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5493cf1d32fa49/Skrivebord/3rd semester/Energy System Modelling/Project/Code/"/>
    </mc:Choice>
  </mc:AlternateContent>
  <xr:revisionPtr revIDLastSave="0" documentId="8_{AB848846-8C6F-48D8-8AA3-C55535F8217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CCS data" sheetId="3" r:id="rId1"/>
    <sheet name="plants" sheetId="1" r:id="rId2"/>
    <sheet name="Final table" sheetId="2" r:id="rId3"/>
  </sheets>
  <definedNames>
    <definedName name="_xlnm._FilterDatabase" localSheetId="1" hidden="1">plants!$F$1:$F$6094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18" i="1" l="1"/>
  <c r="J6120" i="1" s="1"/>
  <c r="G2" i="3" s="1"/>
  <c r="D2" i="3"/>
  <c r="O6120" i="1"/>
  <c r="P6120" i="1" a="1"/>
  <c r="P6120" i="1" s="1"/>
  <c r="C2" i="3" s="1"/>
  <c r="T6119" i="1"/>
  <c r="T6118" i="1"/>
  <c r="T6117" i="1"/>
  <c r="I6119" i="1"/>
  <c r="I6120" i="1" s="1"/>
  <c r="F2" i="3" s="1"/>
  <c r="H6119" i="1"/>
  <c r="H6120" i="1" s="1"/>
  <c r="E2" i="3" s="1"/>
  <c r="L6119" i="1"/>
  <c r="P6119" i="1"/>
  <c r="N6118" i="1"/>
  <c r="O6118" i="1"/>
  <c r="P6117" i="1"/>
  <c r="I6117" i="1"/>
  <c r="H6117" i="1"/>
  <c r="G6116" i="1"/>
  <c r="G6108" i="1" l="1"/>
  <c r="G6107" i="1"/>
  <c r="G6106" i="1"/>
  <c r="G6105" i="1"/>
  <c r="G6104" i="1"/>
  <c r="G6103" i="1"/>
  <c r="G6102" i="1"/>
  <c r="G6100" i="1" l="1"/>
  <c r="G60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tc={13F84E92-201A-4905-BE77-B3B665C8DFBE}</author>
  </authors>
  <commentList>
    <comment ref="I6119" authorId="0" shapeId="0" xr:uid="{13F84E92-201A-4905-BE77-B3B665C8DFBE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Multiplied by 365 to get Fixed cost on yearly basis, assuming that the cell reflected day to day operations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<sst xmlns="http://schemas.openxmlformats.org/spreadsheetml/2006/main" count="61004" uniqueCount="11300">
  <si>
    <t>company</t>
  </si>
  <si>
    <t>street</t>
  </si>
  <si>
    <t>postcode</t>
  </si>
  <si>
    <t>city</t>
  </si>
  <si>
    <t>country</t>
  </si>
  <si>
    <t>capacity</t>
  </si>
  <si>
    <t>energy_source</t>
  </si>
  <si>
    <t>technology</t>
  </si>
  <si>
    <t>chp</t>
  </si>
  <si>
    <t>commissioned</t>
  </si>
  <si>
    <t>type</t>
  </si>
  <si>
    <t>lat</t>
  </si>
  <si>
    <t>lon</t>
  </si>
  <si>
    <t>eic_code</t>
  </si>
  <si>
    <t>energy_source_level_1</t>
  </si>
  <si>
    <t>energy_source_level_2</t>
  </si>
  <si>
    <t>energy_source_level_3</t>
  </si>
  <si>
    <t>additional_info</t>
  </si>
  <si>
    <t>comment</t>
  </si>
  <si>
    <t>source</t>
  </si>
  <si>
    <t>name</t>
  </si>
  <si>
    <t>Marcinelle Energie (Carsid)</t>
  </si>
  <si>
    <t>Aalst Syral GT</t>
  </si>
  <si>
    <t>Aalst Syral ST</t>
  </si>
  <si>
    <t>AALTER TJ</t>
  </si>
  <si>
    <t>Amercoeur 1 R TGV</t>
  </si>
  <si>
    <t>AWIRS 4</t>
  </si>
  <si>
    <t>BEERSE TJ</t>
  </si>
  <si>
    <t>Beveren Ineos Phenolchemie</t>
  </si>
  <si>
    <t>BUTGENBACH</t>
  </si>
  <si>
    <t>CIERREUX TJ</t>
  </si>
  <si>
    <t>COO I T</t>
  </si>
  <si>
    <t>COO II T</t>
  </si>
  <si>
    <t>DOEL 1</t>
  </si>
  <si>
    <t>DOEL 2</t>
  </si>
  <si>
    <t>DOEL 3</t>
  </si>
  <si>
    <t>DOEL 4</t>
  </si>
  <si>
    <t>DROGENBOS DM 51</t>
  </si>
  <si>
    <t>DROGENBOS DM 52</t>
  </si>
  <si>
    <t>DROGENBOS GT1</t>
  </si>
  <si>
    <t>DROGENBOS GT2</t>
  </si>
  <si>
    <t>DROGENBOS ST</t>
  </si>
  <si>
    <t>HERDERSBRUG STEG</t>
  </si>
  <si>
    <t>IXELLES TJ</t>
  </si>
  <si>
    <t>La Vierre</t>
  </si>
  <si>
    <t>Lanaken Sappi</t>
  </si>
  <si>
    <t>LANGERBRUGGE STORA ST 1</t>
  </si>
  <si>
    <t>LANGERBRUGGE STORA ST 2</t>
  </si>
  <si>
    <t>Lillo Degussa GT1</t>
  </si>
  <si>
    <t>Lillo Degussa GT2</t>
  </si>
  <si>
    <t>Lillo Degussa ST</t>
  </si>
  <si>
    <t>Noordschote TJ</t>
  </si>
  <si>
    <t>Oorderen Bayer</t>
  </si>
  <si>
    <t>Oud-Lillo Monsanto</t>
  </si>
  <si>
    <t>RODENHUIZE 4</t>
  </si>
  <si>
    <t>SAINT-GHISLAIN STEG</t>
  </si>
  <si>
    <t>Schaerbeek Siomab ST1</t>
  </si>
  <si>
    <t>Schaerbeek Siomab ST2</t>
  </si>
  <si>
    <t>Schaerbeek Siomab ST3</t>
  </si>
  <si>
    <t>Scheldelaan Exxonmobil</t>
  </si>
  <si>
    <t>TIHANGE 1N</t>
  </si>
  <si>
    <t>TIHANGE 1S</t>
  </si>
  <si>
    <t>TIHANGE 2</t>
  </si>
  <si>
    <t>TIHANGE 3</t>
  </si>
  <si>
    <t>Turon TJ</t>
  </si>
  <si>
    <t>VILVOORDE GT</t>
  </si>
  <si>
    <t>Wilmarsdonk Total GT1</t>
  </si>
  <si>
    <t>Wilmarsdonk Total GT2</t>
  </si>
  <si>
    <t>Wilmarsdonk Total GT3</t>
  </si>
  <si>
    <t>Wilrijk Isvag</t>
  </si>
  <si>
    <t>Zandvliet Power</t>
  </si>
  <si>
    <t>Zedelgem TJ</t>
  </si>
  <si>
    <t>Zeebrugge 2 Fluxys</t>
  </si>
  <si>
    <t>Zeebrugge TJ</t>
  </si>
  <si>
    <t>Zelzate 2 Knippegroen</t>
  </si>
  <si>
    <t>Zelzate TJ</t>
  </si>
  <si>
    <t>Zwijndrecht Lanxess GT</t>
  </si>
  <si>
    <t>Zwijndrecht Lanxess ST</t>
  </si>
  <si>
    <t>Electrawinds biomassa Oostende</t>
  </si>
  <si>
    <t>Greenpower Oostende</t>
  </si>
  <si>
    <t>Eurosilo</t>
  </si>
  <si>
    <t>Incinerateur THUMAIDE (IPALLE)</t>
  </si>
  <si>
    <t>Intradel Herstal</t>
  </si>
  <si>
    <t>IVBO</t>
  </si>
  <si>
    <t>PLATE-TAILLE T</t>
  </si>
  <si>
    <t>ANGLEUR TG 41</t>
  </si>
  <si>
    <t>ANGLEUR TG 42</t>
  </si>
  <si>
    <t>ANGLEUR TG31</t>
  </si>
  <si>
    <t>ANGLEUR TG32</t>
  </si>
  <si>
    <t>Beveren 2 Indaver</t>
  </si>
  <si>
    <t>Beveren 3 Indaver</t>
  </si>
  <si>
    <t>Beveren Sleco</t>
  </si>
  <si>
    <t>EDF Luminus Izegem WKK</t>
  </si>
  <si>
    <t>EDF Luminus Seraing GT1</t>
  </si>
  <si>
    <t>EDF Luminus Seraing GT2</t>
  </si>
  <si>
    <t>HAM31</t>
  </si>
  <si>
    <t>HAM32</t>
  </si>
  <si>
    <t>HU AMPSIN-NEUVILLE</t>
  </si>
  <si>
    <t>HU ANDENNE</t>
  </si>
  <si>
    <t>HU FLORIFFOUX</t>
  </si>
  <si>
    <t>HU GRAND-MALADES</t>
  </si>
  <si>
    <t>HU IVOZ-RAMET</t>
  </si>
  <si>
    <t>HU LIXHE</t>
  </si>
  <si>
    <t>HU MONSIN</t>
  </si>
  <si>
    <t>Jemeppe-sur-Sambre GT1</t>
  </si>
  <si>
    <t>Jemeppe-sur-Sambre GT2</t>
  </si>
  <si>
    <t>Jemeppe-sur-Sambre ST</t>
  </si>
  <si>
    <t>RINGVAART STEG</t>
  </si>
  <si>
    <t>SERAING TV</t>
  </si>
  <si>
    <t>Biostoom Oostende</t>
  </si>
  <si>
    <t>INESCO WKK</t>
  </si>
  <si>
    <t>T-power Beringen</t>
  </si>
  <si>
    <t>AL-1</t>
  </si>
  <si>
    <t>AL-2</t>
  </si>
  <si>
    <t>Amercentrale (A8)</t>
  </si>
  <si>
    <t>Amercentrale (A9)</t>
  </si>
  <si>
    <t>Amylum</t>
  </si>
  <si>
    <t>BOZ</t>
  </si>
  <si>
    <t>Borssele 30</t>
  </si>
  <si>
    <t>CUIJK</t>
  </si>
  <si>
    <t>Centrale Bergum (CB10)</t>
  </si>
  <si>
    <t>Centrale Bergum (CB20)</t>
  </si>
  <si>
    <t>Centrale Diemen (DM33)</t>
  </si>
  <si>
    <t>Centrale Diemen (DM34)</t>
  </si>
  <si>
    <t>Centrale Galileistraat (FG1)</t>
  </si>
  <si>
    <t>Centrale Gelderland (CG13)</t>
  </si>
  <si>
    <t>Centrale Harculo (HC60)</t>
  </si>
  <si>
    <t>Centrale Hemweg (HW-7)</t>
  </si>
  <si>
    <t>Centrale Hemweg (HW-8)</t>
  </si>
  <si>
    <t>Centrale Hemweg (HW-9)</t>
  </si>
  <si>
    <t>Centrale IJmond</t>
  </si>
  <si>
    <t>Centrale Lage Weide</t>
  </si>
  <si>
    <t>Centrale Maasvlakte (MV1)</t>
  </si>
  <si>
    <t>Centrale Maasvlakte (MV2)</t>
  </si>
  <si>
    <t>Centrale Maasvlakte (MV3)</t>
  </si>
  <si>
    <t>Centrale Merwedekanaal</t>
  </si>
  <si>
    <t>Centrale RoCa (RoCa3)</t>
  </si>
  <si>
    <t>Centrale Swentibold</t>
  </si>
  <si>
    <t>Centrale Velsen (VN24)</t>
  </si>
  <si>
    <t>Centrale Velsen (VN25)</t>
  </si>
  <si>
    <t>Clauscentrale (A)</t>
  </si>
  <si>
    <t>Clauscentrale (C1)</t>
  </si>
  <si>
    <t>Clauscentrale (C2)</t>
  </si>
  <si>
    <t>Clauscentrale (C3)</t>
  </si>
  <si>
    <t>Clauscentrale (C4)</t>
  </si>
  <si>
    <t>Delesto (Del1)</t>
  </si>
  <si>
    <t>Delesto (Del2)</t>
  </si>
  <si>
    <t>Dongecentrale</t>
  </si>
  <si>
    <t>EDH</t>
  </si>
  <si>
    <t>EHV</t>
  </si>
  <si>
    <t>ELSTA</t>
  </si>
  <si>
    <t>ENSCH</t>
  </si>
  <si>
    <t>ERICA</t>
  </si>
  <si>
    <t>Eemscentrale (EC20)</t>
  </si>
  <si>
    <t>Eemscentrale (EC3)</t>
  </si>
  <si>
    <t>Eemscentrale (EC4)</t>
  </si>
  <si>
    <t>Eemscentrale (EC5)</t>
  </si>
  <si>
    <t>Eemscentrale (EC6)</t>
  </si>
  <si>
    <t>Eemscentrale (EC7)</t>
  </si>
  <si>
    <t>HM12</t>
  </si>
  <si>
    <t>HTB</t>
  </si>
  <si>
    <t>KLAZI</t>
  </si>
  <si>
    <t>LD12</t>
  </si>
  <si>
    <t>LWE5</t>
  </si>
  <si>
    <t>MK11</t>
  </si>
  <si>
    <t>MVL380 Centrale Rotterdam 1</t>
  </si>
  <si>
    <t>Magnum Centrale (10)</t>
  </si>
  <si>
    <t>Magnum Centrale (20)</t>
  </si>
  <si>
    <t>Magnum Centrale (30)</t>
  </si>
  <si>
    <t>Maxima Centrale (FL30)</t>
  </si>
  <si>
    <t>Maxima Centrale (FL4)</t>
  </si>
  <si>
    <t>Maxima Centrale (FL5)</t>
  </si>
  <si>
    <t>Moerdijk 1</t>
  </si>
  <si>
    <t>Moerdijk 2</t>
  </si>
  <si>
    <t>PU-1</t>
  </si>
  <si>
    <t>ROC1</t>
  </si>
  <si>
    <t>ROC2</t>
  </si>
  <si>
    <t>Rijnmond II</t>
  </si>
  <si>
    <t>Rijnmond1</t>
  </si>
  <si>
    <t>SAL</t>
  </si>
  <si>
    <t>Sloecentrale (unit 10)</t>
  </si>
  <si>
    <t>Sloecentrale (unit 20)</t>
  </si>
  <si>
    <t>UCML</t>
  </si>
  <si>
    <t>Willem Alexander Centrale</t>
  </si>
  <si>
    <t>corus</t>
  </si>
  <si>
    <t>PROVENCE 4 BIOMASSE</t>
  </si>
  <si>
    <t>AMFARD14</t>
  </si>
  <si>
    <t>AMFARD15</t>
  </si>
  <si>
    <t>BLENOD 5</t>
  </si>
  <si>
    <t>BOUCHAIN 7</t>
  </si>
  <si>
    <t>COMBIGOLFE</t>
  </si>
  <si>
    <t>CYCOFOS</t>
  </si>
  <si>
    <t>Croix-de-Metz</t>
  </si>
  <si>
    <t>DK6</t>
  </si>
  <si>
    <t>EMILE HUCHET 7</t>
  </si>
  <si>
    <t>EMILE HUCHET 8</t>
  </si>
  <si>
    <t>FR-GA-MORANT1</t>
  </si>
  <si>
    <t>GENNEVILLIERS 1</t>
  </si>
  <si>
    <t>MARTIGUES PONTEAU 5</t>
  </si>
  <si>
    <t>MARTIGUES PONTEAU 6</t>
  </si>
  <si>
    <t>Pont-sur-Sambre</t>
  </si>
  <si>
    <t>SPEM</t>
  </si>
  <si>
    <t>CORDEMAIS 4</t>
  </si>
  <si>
    <t>CORDEMAIS 5</t>
  </si>
  <si>
    <t>EMILE HUCHET 6</t>
  </si>
  <si>
    <t>HAVRE 4</t>
  </si>
  <si>
    <t>PROVENCE 5</t>
  </si>
  <si>
    <t>ARRIGHI 1</t>
  </si>
  <si>
    <t>ARRIGHI 2</t>
  </si>
  <si>
    <t>BRENNILIS 1</t>
  </si>
  <si>
    <t>BRENNILIS 2</t>
  </si>
  <si>
    <t>BRENNILIS 3</t>
  </si>
  <si>
    <t>DIRINON 1</t>
  </si>
  <si>
    <t>DIRINON 2</t>
  </si>
  <si>
    <t>MONTEREAU 5</t>
  </si>
  <si>
    <t>MONTEREAU 6</t>
  </si>
  <si>
    <t>VAIRES 1</t>
  </si>
  <si>
    <t>VAIRES 2</t>
  </si>
  <si>
    <t>VAIRES 3</t>
  </si>
  <si>
    <t>CHEYLAS</t>
  </si>
  <si>
    <t>COCHE</t>
  </si>
  <si>
    <t>GRAND MAISON</t>
  </si>
  <si>
    <t>MONTEZIC</t>
  </si>
  <si>
    <t>REVIN</t>
  </si>
  <si>
    <t>SUPER BISSORTE</t>
  </si>
  <si>
    <t>ASTON</t>
  </si>
  <si>
    <t>AVIGNON</t>
  </si>
  <si>
    <t>BAIX LOGIS NEUF 1</t>
  </si>
  <si>
    <t>BEAUCHASTEL</t>
  </si>
  <si>
    <t>BOURG les VALENCE</t>
  </si>
  <si>
    <t>CADEROUSSE</t>
  </si>
  <si>
    <t>CHASTANG</t>
  </si>
  <si>
    <t>COUESQUE</t>
  </si>
  <si>
    <t>DONZERE MONDRAGON</t>
  </si>
  <si>
    <t>FESSENHEIM</t>
  </si>
  <si>
    <t>FR_LA-MAREGES-P</t>
  </si>
  <si>
    <t>FR_LA-STPIERRE-P</t>
  </si>
  <si>
    <t>GENISSIAT</t>
  </si>
  <si>
    <t>GERSTHEIM</t>
  </si>
  <si>
    <t>HERMILLON</t>
  </si>
  <si>
    <t>KEMBS</t>
  </si>
  <si>
    <t>MARCKOLSHEIM</t>
  </si>
  <si>
    <t>MONTELIMAR</t>
  </si>
  <si>
    <t>OTTMARSHEIM</t>
  </si>
  <si>
    <t>PASSY</t>
  </si>
  <si>
    <t>RANDENS</t>
  </si>
  <si>
    <t>RHINAU</t>
  </si>
  <si>
    <t>SAINT PIERRE COGNET</t>
  </si>
  <si>
    <t>SAUSSAZ</t>
  </si>
  <si>
    <t>STRASBOURG</t>
  </si>
  <si>
    <t>VALLABREGUES</t>
  </si>
  <si>
    <t>VOGELGRUN</t>
  </si>
  <si>
    <t>AIGLE</t>
  </si>
  <si>
    <t>BATHIE</t>
  </si>
  <si>
    <t>BORT</t>
  </si>
  <si>
    <t>BROMMAT</t>
  </si>
  <si>
    <t>COMBE D'AVRIEUX</t>
  </si>
  <si>
    <t>CURBANS</t>
  </si>
  <si>
    <t>MALGOVERT</t>
  </si>
  <si>
    <t>MONTEYNARD</t>
  </si>
  <si>
    <t>MONTPEZAT</t>
  </si>
  <si>
    <t>ORAISON</t>
  </si>
  <si>
    <t>PIED DE BORNE</t>
  </si>
  <si>
    <t>POUGET</t>
  </si>
  <si>
    <t>PRAGNERES</t>
  </si>
  <si>
    <t>SAINT CHAMAS</t>
  </si>
  <si>
    <t>SAINT ESTEVE</t>
  </si>
  <si>
    <t>SAINT GUILLERME</t>
  </si>
  <si>
    <t>SAINTE CROIX</t>
  </si>
  <si>
    <t>SARRANS</t>
  </si>
  <si>
    <t>SERRE PONCON</t>
  </si>
  <si>
    <t>SISTERON</t>
  </si>
  <si>
    <t>ST ETIENNE CANTALES</t>
  </si>
  <si>
    <t>VILLARODIN</t>
  </si>
  <si>
    <t>VOUGLANS</t>
  </si>
  <si>
    <t>BELLEVILLE 1</t>
  </si>
  <si>
    <t>BELLEVILLE 2</t>
  </si>
  <si>
    <t>BLAYAIS 1</t>
  </si>
  <si>
    <t>BLAYAIS 2</t>
  </si>
  <si>
    <t>BLAYAIS 3</t>
  </si>
  <si>
    <t>BLAYAIS 4</t>
  </si>
  <si>
    <t>BUGEY 2</t>
  </si>
  <si>
    <t>BUGEY 3</t>
  </si>
  <si>
    <t>BUGEY 4</t>
  </si>
  <si>
    <t>BUGEY 5</t>
  </si>
  <si>
    <t>CATTENOM 1</t>
  </si>
  <si>
    <t>CATTENOM 2</t>
  </si>
  <si>
    <t>CATTENOM 3</t>
  </si>
  <si>
    <t>CATTENOM 4</t>
  </si>
  <si>
    <t>CHINON 1</t>
  </si>
  <si>
    <t>CHINON 2</t>
  </si>
  <si>
    <t>CHINON 3</t>
  </si>
  <si>
    <t>CHINON 4</t>
  </si>
  <si>
    <t>CHOOZ 1</t>
  </si>
  <si>
    <t>CHOOZ 2</t>
  </si>
  <si>
    <t>CIVAUX 1</t>
  </si>
  <si>
    <t>CIVAUX 2</t>
  </si>
  <si>
    <t>CRUAS 1</t>
  </si>
  <si>
    <t>CRUAS 2</t>
  </si>
  <si>
    <t>CRUAS 3</t>
  </si>
  <si>
    <t>CRUAS 4</t>
  </si>
  <si>
    <t>DAMPIERRE 1</t>
  </si>
  <si>
    <t>DAMPIERRE 2</t>
  </si>
  <si>
    <t>DAMPIERRE 3</t>
  </si>
  <si>
    <t>DAMPIERRE 4</t>
  </si>
  <si>
    <t>FESSENHEIM 1</t>
  </si>
  <si>
    <t>FESSENHEIM 2</t>
  </si>
  <si>
    <t>FLAMANVILLE 1</t>
  </si>
  <si>
    <t>FLAMANVILLE 2</t>
  </si>
  <si>
    <t>GOLFECH 1</t>
  </si>
  <si>
    <t>GOLFECH 2</t>
  </si>
  <si>
    <t>GRAVELINES 1</t>
  </si>
  <si>
    <t>GRAVELINES 2</t>
  </si>
  <si>
    <t>GRAVELINES 3</t>
  </si>
  <si>
    <t>GRAVELINES 4</t>
  </si>
  <si>
    <t>GRAVELINES 5</t>
  </si>
  <si>
    <t>GRAVELINES 6</t>
  </si>
  <si>
    <t>NOGENT 1</t>
  </si>
  <si>
    <t>NOGENT 2</t>
  </si>
  <si>
    <t>PALUEL 1</t>
  </si>
  <si>
    <t>PALUEL 2</t>
  </si>
  <si>
    <t>PALUEL 3</t>
  </si>
  <si>
    <t>PALUEL 4</t>
  </si>
  <si>
    <t>PENLY 1</t>
  </si>
  <si>
    <t>PENLY 2</t>
  </si>
  <si>
    <t>ST ALBAN 1</t>
  </si>
  <si>
    <t>ST ALBAN 2</t>
  </si>
  <si>
    <t>ST LAURENT 1</t>
  </si>
  <si>
    <t>ST LAURENT 2</t>
  </si>
  <si>
    <t>TRICASTIN 1</t>
  </si>
  <si>
    <t>TRICASTIN 2</t>
  </si>
  <si>
    <t>TRICASTIN 3</t>
  </si>
  <si>
    <t>TRICASTIN 4</t>
  </si>
  <si>
    <t>CYCOFOS TV2</t>
  </si>
  <si>
    <t>Bełchatów B02</t>
  </si>
  <si>
    <t>Bełchatów B03</t>
  </si>
  <si>
    <t>Bełchatów B04</t>
  </si>
  <si>
    <t>Bełchatów B05</t>
  </si>
  <si>
    <t>Bełchatów B06</t>
  </si>
  <si>
    <t>Bełchatów B07</t>
  </si>
  <si>
    <t>Bełchatów B08</t>
  </si>
  <si>
    <t>Bełchatów B09</t>
  </si>
  <si>
    <t>Bełchatów B10</t>
  </si>
  <si>
    <t>Bełchatów B11</t>
  </si>
  <si>
    <t>Bełchatów B12</t>
  </si>
  <si>
    <t>Bełchatów B14</t>
  </si>
  <si>
    <t>Dolna Odra B1</t>
  </si>
  <si>
    <t>Dolna Odra B2</t>
  </si>
  <si>
    <t>Dolna Odra B5</t>
  </si>
  <si>
    <t>Dolna Odra B6</t>
  </si>
  <si>
    <t>Dolna Odra B7</t>
  </si>
  <si>
    <t>Dolna Odra B8</t>
  </si>
  <si>
    <t>Dychów H1</t>
  </si>
  <si>
    <t>Dychów H2</t>
  </si>
  <si>
    <t>Dychów H3</t>
  </si>
  <si>
    <t>Jaworzno 3 B1</t>
  </si>
  <si>
    <t>Jaworzno 3 B2</t>
  </si>
  <si>
    <t>Jaworzno 3 B3</t>
  </si>
  <si>
    <t>Jaworzno 3 B4</t>
  </si>
  <si>
    <t>Jaworzno 3 B5</t>
  </si>
  <si>
    <t>Jaworzno 3 B6</t>
  </si>
  <si>
    <t>Karolin B2</t>
  </si>
  <si>
    <t>Karolin B3</t>
  </si>
  <si>
    <t>Kozienice 1 B1</t>
  </si>
  <si>
    <t>Kozienice 1 B2</t>
  </si>
  <si>
    <t>Kozienice 1 B3</t>
  </si>
  <si>
    <t>Kozienice 1 B4</t>
  </si>
  <si>
    <t>Kozienice 1 B5</t>
  </si>
  <si>
    <t>Kozienice 1 B6</t>
  </si>
  <si>
    <t>Kozienice 1 B7</t>
  </si>
  <si>
    <t>Kozienice 1 B8</t>
  </si>
  <si>
    <t>Kozienice 2 B09</t>
  </si>
  <si>
    <t>Kozienice 2 B10</t>
  </si>
  <si>
    <t>Kozienice 2 B11</t>
  </si>
  <si>
    <t>Łagisza B10</t>
  </si>
  <si>
    <t>Łagisza B6</t>
  </si>
  <si>
    <t>Łagisza B7</t>
  </si>
  <si>
    <t>Łaziska 2 B1</t>
  </si>
  <si>
    <t>Łaziska 2 B2</t>
  </si>
  <si>
    <t>Łaziska 3 B09</t>
  </si>
  <si>
    <t>Łaziska 3 B10</t>
  </si>
  <si>
    <t>Łaziska 3 B11</t>
  </si>
  <si>
    <t>Łaziska 3 B12</t>
  </si>
  <si>
    <t>Opole B1</t>
  </si>
  <si>
    <t>Opole B2</t>
  </si>
  <si>
    <t>Opole B3</t>
  </si>
  <si>
    <t>Opole B4</t>
  </si>
  <si>
    <t>Opole B5</t>
  </si>
  <si>
    <t>Opole B6</t>
  </si>
  <si>
    <t>Ostrołęka B B01</t>
  </si>
  <si>
    <t>Ostrołęka B B02</t>
  </si>
  <si>
    <t>Ostrołęka B B03</t>
  </si>
  <si>
    <t>Pątnów 1 B1</t>
  </si>
  <si>
    <t>Pątnów 1 B2</t>
  </si>
  <si>
    <t>Pątnów 1 B3</t>
  </si>
  <si>
    <t>Pątnów 1 B4</t>
  </si>
  <si>
    <t>Pątnów 1 B5</t>
  </si>
  <si>
    <t>Pątnów 1 B6</t>
  </si>
  <si>
    <t>Pątnów 2 B9</t>
  </si>
  <si>
    <t>Połaniec B1</t>
  </si>
  <si>
    <t>Połaniec B2</t>
  </si>
  <si>
    <t>Połaniec B3</t>
  </si>
  <si>
    <t>Połaniec B4</t>
  </si>
  <si>
    <t>Połaniec B5</t>
  </si>
  <si>
    <t>Połaniec B6</t>
  </si>
  <si>
    <t>Połaniec B7</t>
  </si>
  <si>
    <t>Porąbka Żar H1</t>
  </si>
  <si>
    <t>Porąbka Żar H2</t>
  </si>
  <si>
    <t>Porąbka Żar H3</t>
  </si>
  <si>
    <t>Porąbka Żar H4</t>
  </si>
  <si>
    <t>Rybnik B1</t>
  </si>
  <si>
    <t>Rybnik B2</t>
  </si>
  <si>
    <t>Rybnik B3</t>
  </si>
  <si>
    <t>Rybnik B4</t>
  </si>
  <si>
    <t>Rybnik B5</t>
  </si>
  <si>
    <t>Rybnik B6</t>
  </si>
  <si>
    <t>Rybnik B7</t>
  </si>
  <si>
    <t>Rybnik B8</t>
  </si>
  <si>
    <t>Siersza B1</t>
  </si>
  <si>
    <t>Siersza B2</t>
  </si>
  <si>
    <t>Siersza B3</t>
  </si>
  <si>
    <t>Siersza B6</t>
  </si>
  <si>
    <t>Solina H1</t>
  </si>
  <si>
    <t>Solina H2</t>
  </si>
  <si>
    <t>Solina H3</t>
  </si>
  <si>
    <t>Solina H4</t>
  </si>
  <si>
    <t>Stalowa Wola 3 B7</t>
  </si>
  <si>
    <t>Stalowa Wola 3 B8</t>
  </si>
  <si>
    <t>Turów B01</t>
  </si>
  <si>
    <t>Turów B02</t>
  </si>
  <si>
    <t>Turów B03</t>
  </si>
  <si>
    <t>Turów B04</t>
  </si>
  <si>
    <t>Turów B05</t>
  </si>
  <si>
    <t>Turów B06</t>
  </si>
  <si>
    <t>Żarnowiec H1</t>
  </si>
  <si>
    <t>Żarnowiec H2</t>
  </si>
  <si>
    <t>Żarnowiec H3</t>
  </si>
  <si>
    <t>Żarnowiec H4</t>
  </si>
  <si>
    <t>Żydowo H1</t>
  </si>
  <si>
    <t>Żydowo H2</t>
  </si>
  <si>
    <t>Żydowo H3</t>
  </si>
  <si>
    <t>Alpiq‐ECK 7</t>
  </si>
  <si>
    <t>Alpiq‐ECK B5</t>
  </si>
  <si>
    <t>Alpiq‐ECK B7</t>
  </si>
  <si>
    <t>C.Budejovice TCB</t>
  </si>
  <si>
    <t>DRPEMO VKR,TEV</t>
  </si>
  <si>
    <t>Dvur Kralove TDK</t>
  </si>
  <si>
    <t>Energotrans TG1</t>
  </si>
  <si>
    <t>Energotrans TG2</t>
  </si>
  <si>
    <t>Energotrans TG3</t>
  </si>
  <si>
    <t>Energotrans TG4</t>
  </si>
  <si>
    <t>Hodonin EHO</t>
  </si>
  <si>
    <t>CHEZA G1</t>
  </si>
  <si>
    <t>Chvaletice B1</t>
  </si>
  <si>
    <t>Chvaletice B2</t>
  </si>
  <si>
    <t>Chvaletice B3</t>
  </si>
  <si>
    <t>Chvaletice B4</t>
  </si>
  <si>
    <t>Karlovy Vary KVT</t>
  </si>
  <si>
    <t>Karvina TG4</t>
  </si>
  <si>
    <t>Karvina TG5</t>
  </si>
  <si>
    <t>Kauc.Kralupy TG1</t>
  </si>
  <si>
    <t>Kauc.Kralupy TG2</t>
  </si>
  <si>
    <t>Kolin Zalabi TG4</t>
  </si>
  <si>
    <t>Kolin Zalabi TG5</t>
  </si>
  <si>
    <t>Komorany TG20</t>
  </si>
  <si>
    <t>Komorany TG21</t>
  </si>
  <si>
    <t>Komorany TG22</t>
  </si>
  <si>
    <t>Komorany TG4</t>
  </si>
  <si>
    <t>Komorany TG5</t>
  </si>
  <si>
    <t>Komorany TG6</t>
  </si>
  <si>
    <t>Komorany TG9</t>
  </si>
  <si>
    <t>Ledvice 2 B2</t>
  </si>
  <si>
    <t>Ledvice 2 B3</t>
  </si>
  <si>
    <t>Ledvice 3 B4</t>
  </si>
  <si>
    <t>Ledvice 4 B6</t>
  </si>
  <si>
    <t>Liberec TLI</t>
  </si>
  <si>
    <t>Melník2 B10</t>
  </si>
  <si>
    <t>Melník2 B9</t>
  </si>
  <si>
    <t>Melník3 B11</t>
  </si>
  <si>
    <t>Náchod TNA</t>
  </si>
  <si>
    <t>Olomouc TG3</t>
  </si>
  <si>
    <t>Olomouc TG4</t>
  </si>
  <si>
    <t>Opatovice TG1</t>
  </si>
  <si>
    <t>Opatovice TG2</t>
  </si>
  <si>
    <t>Opatovice TG3</t>
  </si>
  <si>
    <t>Opatovice TG4</t>
  </si>
  <si>
    <t>Opatovice TG5</t>
  </si>
  <si>
    <t>Opatovice TG6</t>
  </si>
  <si>
    <t>Ostrava TPV</t>
  </si>
  <si>
    <t>Ostrov n. O. TOS</t>
  </si>
  <si>
    <t>Otrokovice TG1</t>
  </si>
  <si>
    <t>Otrokovice TG2</t>
  </si>
  <si>
    <t>PEVTZ PEActherm</t>
  </si>
  <si>
    <t>PE CEZ Morava PESME</t>
  </si>
  <si>
    <t>PE CEZ sever PESCE</t>
  </si>
  <si>
    <t>PE CEZ východ PEVCE</t>
  </si>
  <si>
    <t>PE CEZ západ PEZCE</t>
  </si>
  <si>
    <t>PE CEZstred PESTE</t>
  </si>
  <si>
    <t>PE EONvýchod PEJME</t>
  </si>
  <si>
    <t>PE EONzápad PEJCE</t>
  </si>
  <si>
    <t>PE PREdi PEPRE</t>
  </si>
  <si>
    <t>PE Vresová TG1</t>
  </si>
  <si>
    <t>PE Vresová TG2</t>
  </si>
  <si>
    <t>PE Vresová TG3</t>
  </si>
  <si>
    <t>PE Vresová TG4</t>
  </si>
  <si>
    <t>Písek TPI</t>
  </si>
  <si>
    <t>Planá n/L. TG3</t>
  </si>
  <si>
    <t>Plzen teplárna TG1</t>
  </si>
  <si>
    <t>Plzen teplárna TG2</t>
  </si>
  <si>
    <t>Plzenská energetika TG10</t>
  </si>
  <si>
    <t>Plzenská energetika TG8</t>
  </si>
  <si>
    <t>Plzenská energetika TG9</t>
  </si>
  <si>
    <t>Pocerady B2</t>
  </si>
  <si>
    <t>Pocerady B3</t>
  </si>
  <si>
    <t>Pocerady B4</t>
  </si>
  <si>
    <t>Pocerady B5</t>
  </si>
  <si>
    <t>Pocerady B6</t>
  </si>
  <si>
    <t>Prunérov 1 B3</t>
  </si>
  <si>
    <t>Prunérov 1 B4</t>
  </si>
  <si>
    <t>Prunérov 1 B5</t>
  </si>
  <si>
    <t>Prunérov 1 B6</t>
  </si>
  <si>
    <t>Prunérov 2 B23</t>
  </si>
  <si>
    <t>Prunérov 2 B24</t>
  </si>
  <si>
    <t>Prunérov 2 B25</t>
  </si>
  <si>
    <t>Prerov TG1</t>
  </si>
  <si>
    <t>Prerov TG2</t>
  </si>
  <si>
    <t>Príbram TG1</t>
  </si>
  <si>
    <t>Strakonice TST</t>
  </si>
  <si>
    <t xml:space="preserve">ŠKO-ENERGO </t>
  </si>
  <si>
    <t>Špitálka PS</t>
  </si>
  <si>
    <t>Tábor TTB</t>
  </si>
  <si>
    <t>Terea(Cheb) Terea</t>
  </si>
  <si>
    <t>Tisová2 B6</t>
  </si>
  <si>
    <t>Trmice TG4</t>
  </si>
  <si>
    <t>Trmice TG5</t>
  </si>
  <si>
    <t>Trmice TG6</t>
  </si>
  <si>
    <t>Trmice TG7</t>
  </si>
  <si>
    <t>Trmice TG8</t>
  </si>
  <si>
    <t>Trebovice TG15</t>
  </si>
  <si>
    <t>Trebovice TG16</t>
  </si>
  <si>
    <t>Trebovice TG33</t>
  </si>
  <si>
    <t>Tušimice 2 B21</t>
  </si>
  <si>
    <t>Tušimice 2 B22</t>
  </si>
  <si>
    <t>Tušimice 2 B23</t>
  </si>
  <si>
    <t>Tušimice 2 B24</t>
  </si>
  <si>
    <t>Detmarovice B1</t>
  </si>
  <si>
    <t>Detmarovice B2</t>
  </si>
  <si>
    <t>Detmarovice B3</t>
  </si>
  <si>
    <t>Detmarovice B4</t>
  </si>
  <si>
    <t>PEVitkovice EVI</t>
  </si>
  <si>
    <t>Porici 2 EPO2</t>
  </si>
  <si>
    <t>CS Armáda CSA</t>
  </si>
  <si>
    <t>MITTAL NH</t>
  </si>
  <si>
    <t>Trinec TZ</t>
  </si>
  <si>
    <t>VCHZ Semtín VCHZ</t>
  </si>
  <si>
    <t>Brno Sever PBS</t>
  </si>
  <si>
    <t xml:space="preserve">Zlín </t>
  </si>
  <si>
    <t>Malešice 2 TMA</t>
  </si>
  <si>
    <t>Pražská tepl TMI,TVE</t>
  </si>
  <si>
    <t>Plzen teplárna TG3</t>
  </si>
  <si>
    <t>Spalovna Brno SAKO</t>
  </si>
  <si>
    <t>Spalovna Malešice SMA</t>
  </si>
  <si>
    <t>Pocerady2 B21</t>
  </si>
  <si>
    <t>PP C.Mlýn TG1</t>
  </si>
  <si>
    <t>PP C.Mlýn TG2</t>
  </si>
  <si>
    <t>PP Kyjov TG1</t>
  </si>
  <si>
    <t>PP Kyjov TG2</t>
  </si>
  <si>
    <t>PP Vresová B1</t>
  </si>
  <si>
    <t>PP Vresová B2</t>
  </si>
  <si>
    <t>Alpiq-PS ECKGB6</t>
  </si>
  <si>
    <t>Alpiq-PS GTB8</t>
  </si>
  <si>
    <t>Plzenská energetika TG11D</t>
  </si>
  <si>
    <t>Prostejov EPRJ</t>
  </si>
  <si>
    <t>Planán/L. TG4P</t>
  </si>
  <si>
    <t>Kauc.Kralupy TG4</t>
  </si>
  <si>
    <t>Dukovany RE1</t>
  </si>
  <si>
    <t>Dukovany RE2</t>
  </si>
  <si>
    <t>Dukovany RE3</t>
  </si>
  <si>
    <t>Dukovany RE4</t>
  </si>
  <si>
    <t>Temelín B1</t>
  </si>
  <si>
    <t>Temelín B2</t>
  </si>
  <si>
    <t>fiktivníbloky Dalesice</t>
  </si>
  <si>
    <t>fiktivníbloky DlouheStrane</t>
  </si>
  <si>
    <t>fiktivníbloky Stechovice2</t>
  </si>
  <si>
    <t>fiktivníbloky Malevody Cechy</t>
  </si>
  <si>
    <t>fiktivníbloky MalevodyMorava</t>
  </si>
  <si>
    <t>Dl.Stráne 2 TG3</t>
  </si>
  <si>
    <t>fiktivníbloky Vltava</t>
  </si>
  <si>
    <t>Korensko2 TG1</t>
  </si>
  <si>
    <t>MVEZelina TG1</t>
  </si>
  <si>
    <t>MVEZelina TG2</t>
  </si>
  <si>
    <t>MVEZelina TG3</t>
  </si>
  <si>
    <t>MVEZelina TG4</t>
  </si>
  <si>
    <t>Val Giuf</t>
  </si>
  <si>
    <t>Val Strem</t>
  </si>
  <si>
    <t>Sedrun 1</t>
  </si>
  <si>
    <t>Sedrun 2</t>
  </si>
  <si>
    <t>Tavanasa (KVR)</t>
  </si>
  <si>
    <t>Russein</t>
  </si>
  <si>
    <t>Ferrera</t>
  </si>
  <si>
    <t>Trun</t>
  </si>
  <si>
    <t>Dardin (Casut)</t>
  </si>
  <si>
    <t>Tavanasa (AHSAG)</t>
  </si>
  <si>
    <t>Kraftwerk Tschar</t>
  </si>
  <si>
    <t>Brigels-Tavanasa</t>
  </si>
  <si>
    <t>Ladral</t>
  </si>
  <si>
    <t>Ilanz 1 (Stufe Tavanasa)</t>
  </si>
  <si>
    <t>Ilanz 2 (Stufe Panix (Pigniu))</t>
  </si>
  <si>
    <t>Seekraftwerk Zervreila</t>
  </si>
  <si>
    <t>Safien Platz</t>
  </si>
  <si>
    <t>Rothenbrunnen</t>
  </si>
  <si>
    <t>Rabiusa-Realta</t>
  </si>
  <si>
    <t>Lunschania</t>
  </si>
  <si>
    <t>Bargaus</t>
  </si>
  <si>
    <t>Punt Gronda (Segnas)</t>
  </si>
  <si>
    <t>Punt Gronda (Platt Alva)</t>
  </si>
  <si>
    <t>Punt Gronda (Tarschlims)</t>
  </si>
  <si>
    <t>Stenna (Flims) Flembach</t>
  </si>
  <si>
    <t>Flims, Felsbach (Karstwasser)</t>
  </si>
  <si>
    <t>Flims, Felsbach (Bergwasser)</t>
  </si>
  <si>
    <t>Mulin</t>
  </si>
  <si>
    <t>Pintrun</t>
  </si>
  <si>
    <t>Ferrera 1</t>
  </si>
  <si>
    <t>Ferrera 2</t>
  </si>
  <si>
    <t>Nufenen</t>
  </si>
  <si>
    <t>Splügen (Tambobach)</t>
  </si>
  <si>
    <t>Stauanlage Sufers Dotieranlage</t>
  </si>
  <si>
    <t>Bärenburg</t>
  </si>
  <si>
    <t>Bärenburg Dotieranlage</t>
  </si>
  <si>
    <t>Sils</t>
  </si>
  <si>
    <t>Thusis</t>
  </si>
  <si>
    <t>Frauenkirch</t>
  </si>
  <si>
    <t>Glaris</t>
  </si>
  <si>
    <t>Filisur</t>
  </si>
  <si>
    <t>Filisur-Tiefencastel</t>
  </si>
  <si>
    <t>Stalvedro (Julia)</t>
  </si>
  <si>
    <t>Mulegn, Tinizong-Rona</t>
  </si>
  <si>
    <t>Tinizong</t>
  </si>
  <si>
    <t>Nandrò</t>
  </si>
  <si>
    <t>Tiefencastel Ost</t>
  </si>
  <si>
    <t>Tiefencastel West</t>
  </si>
  <si>
    <t>Solis</t>
  </si>
  <si>
    <t>Sils (EWZ)</t>
  </si>
  <si>
    <t>Rothenbrunnen (EWZ)</t>
  </si>
  <si>
    <t>Reichenau</t>
  </si>
  <si>
    <t>Arosa-Litzirüti</t>
  </si>
  <si>
    <t>KW Sagenbach</t>
  </si>
  <si>
    <t>Molinis-Lüen</t>
  </si>
  <si>
    <t>Plessurwerk</t>
  </si>
  <si>
    <t>Rabiusawerk</t>
  </si>
  <si>
    <t>Klosters</t>
  </si>
  <si>
    <t>Schlappin</t>
  </si>
  <si>
    <t>Küblis</t>
  </si>
  <si>
    <t>Taschinas</t>
  </si>
  <si>
    <t>Igiser Mülbach 1 (Landquart 1)</t>
  </si>
  <si>
    <t>Igiser Mülbach 2 (Landquart 2)</t>
  </si>
  <si>
    <t>Mapragg</t>
  </si>
  <si>
    <t>Sarelli</t>
  </si>
  <si>
    <t>Ragaz</t>
  </si>
  <si>
    <t>Jenins</t>
  </si>
  <si>
    <t>Valeis</t>
  </si>
  <si>
    <t>Grossbach</t>
  </si>
  <si>
    <t>Sevelen</t>
  </si>
  <si>
    <t>Buchs-Vorderberg</t>
  </si>
  <si>
    <t>Buchs-Tobeläckerli</t>
  </si>
  <si>
    <t>Buchs-Altendorf</t>
  </si>
  <si>
    <t>Grabs (Bannwald)</t>
  </si>
  <si>
    <t>Grabs (Löchli)</t>
  </si>
  <si>
    <t>Sennwald</t>
  </si>
  <si>
    <t>Lienz</t>
  </si>
  <si>
    <t>Blatten (SAK)</t>
  </si>
  <si>
    <t>Montlingen</t>
  </si>
  <si>
    <t>Gstaldenbach, Heiden</t>
  </si>
  <si>
    <t>Lochmühle</t>
  </si>
  <si>
    <t>Morgental (Abwasser)</t>
  </si>
  <si>
    <t>Schaffhausen</t>
  </si>
  <si>
    <t>Engeweiher</t>
  </si>
  <si>
    <t>Neuhausen</t>
  </si>
  <si>
    <t>Rheinau</t>
  </si>
  <si>
    <t>Giessen</t>
  </si>
  <si>
    <t>Nesslau (Ijentalerbach)</t>
  </si>
  <si>
    <t>Herrentöbeli</t>
  </si>
  <si>
    <t>Trempel</t>
  </si>
  <si>
    <t>Im Roos</t>
  </si>
  <si>
    <t>Stadtbrücke, Lichtensteig</t>
  </si>
  <si>
    <t>Dietfurt</t>
  </si>
  <si>
    <t>Soor</t>
  </si>
  <si>
    <t>Mülau</t>
  </si>
  <si>
    <t>Niederglatt-Gossau</t>
  </si>
  <si>
    <t>Bischofszell</t>
  </si>
  <si>
    <t>Seealp - Wasserauen</t>
  </si>
  <si>
    <t>Rossfall</t>
  </si>
  <si>
    <t>EW Zürchersmühle</t>
  </si>
  <si>
    <t>Kubel</t>
  </si>
  <si>
    <t>Sittertal</t>
  </si>
  <si>
    <t>Kraftwerk Grafenau</t>
  </si>
  <si>
    <t>Burentobel</t>
  </si>
  <si>
    <t>Erlenholz</t>
  </si>
  <si>
    <t>Thurfeld</t>
  </si>
  <si>
    <t>Au-Schönenberg</t>
  </si>
  <si>
    <t>Bürglen (Säge)</t>
  </si>
  <si>
    <t>Kleinwasserkraftwerk Bürglen</t>
  </si>
  <si>
    <t>Thur</t>
  </si>
  <si>
    <t>Weinfelden (Model)</t>
  </si>
  <si>
    <t>Weinfelden (Mühle)</t>
  </si>
  <si>
    <t>Widen</t>
  </si>
  <si>
    <t>Murkart</t>
  </si>
  <si>
    <t>Schlossmühle, Frauenfeld</t>
  </si>
  <si>
    <t>Kollbrunn</t>
  </si>
  <si>
    <t>Sennhof</t>
  </si>
  <si>
    <t>Pfungen</t>
  </si>
  <si>
    <t>Hard Wülflingen</t>
  </si>
  <si>
    <t>Freienstein</t>
  </si>
  <si>
    <t>Trümpler</t>
  </si>
  <si>
    <t>Eglisau</t>
  </si>
  <si>
    <t>Reckingen</t>
  </si>
  <si>
    <t>Wunderklingen</t>
  </si>
  <si>
    <t>Albbruck-Dogern</t>
  </si>
  <si>
    <t>Laufenburg</t>
  </si>
  <si>
    <t>Rheinkraftwerk Säckingen</t>
  </si>
  <si>
    <t>Ryburg-Schwörstadt</t>
  </si>
  <si>
    <t>Ryburg-Schwörstadt Lockstromz.</t>
  </si>
  <si>
    <t>Rheinfelden</t>
  </si>
  <si>
    <t>Rheinfelden-Dotierzentrale</t>
  </si>
  <si>
    <t>Augst</t>
  </si>
  <si>
    <t>Wyhlen</t>
  </si>
  <si>
    <t>Birsfelden</t>
  </si>
  <si>
    <t>Moutier</t>
  </si>
  <si>
    <t>Choindez</t>
  </si>
  <si>
    <t>Blanches-Fontaines Undervelier</t>
  </si>
  <si>
    <t>Bassecourt</t>
  </si>
  <si>
    <t>Bellerive</t>
  </si>
  <si>
    <t>Juramill</t>
  </si>
  <si>
    <t>Laufen (Wasserfall)</t>
  </si>
  <si>
    <t>Zwingen, Obermatt</t>
  </si>
  <si>
    <t>Nenzlingen</t>
  </si>
  <si>
    <t>Moos</t>
  </si>
  <si>
    <t>Büttenen 2</t>
  </si>
  <si>
    <t>Büttenen 1</t>
  </si>
  <si>
    <t>Dornachbrugg</t>
  </si>
  <si>
    <t>Neuewelt</t>
  </si>
  <si>
    <t>Am. de dotation du Kembs 1</t>
  </si>
  <si>
    <t>Am. de dotation du Kembs 2</t>
  </si>
  <si>
    <t>Kembs</t>
  </si>
  <si>
    <t>Grimsel 2</t>
  </si>
  <si>
    <t>KW Grimsel Nollen</t>
  </si>
  <si>
    <t>Grimsel 1-Oberaarsee</t>
  </si>
  <si>
    <t>Grimsel 1-Grimselsee</t>
  </si>
  <si>
    <t>Handeck 1</t>
  </si>
  <si>
    <t>Handeck 2</t>
  </si>
  <si>
    <t>Handeck 3 - Isogyre</t>
  </si>
  <si>
    <t>Kraftwerk Hostetbach AG</t>
  </si>
  <si>
    <t>Innertkirchen 3</t>
  </si>
  <si>
    <t>Innertkirchen 1</t>
  </si>
  <si>
    <t>Gental</t>
  </si>
  <si>
    <t>Hopflauenen-Trift</t>
  </si>
  <si>
    <t>Hopflauenen-Leimboden</t>
  </si>
  <si>
    <t>Innertkirchen 2</t>
  </si>
  <si>
    <t>Meiringen 2</t>
  </si>
  <si>
    <t>Meiringen 1</t>
  </si>
  <si>
    <t>Schattenhalb 1+</t>
  </si>
  <si>
    <t>Schattenhalb 3</t>
  </si>
  <si>
    <t>Giessbach</t>
  </si>
  <si>
    <t>Grindelwald</t>
  </si>
  <si>
    <t>Burglauenen-Lütschental</t>
  </si>
  <si>
    <t>Stechelberg</t>
  </si>
  <si>
    <t>Saxettal-Geissbrunnen</t>
  </si>
  <si>
    <t>Saxettal-Kammri</t>
  </si>
  <si>
    <t>Interlaken</t>
  </si>
  <si>
    <t>Kandersteg (Eggeschwand)</t>
  </si>
  <si>
    <t>Kandersteg (Zilfuri)</t>
  </si>
  <si>
    <t>Kandersteg (Dorf)</t>
  </si>
  <si>
    <t>Kandergrund</t>
  </si>
  <si>
    <t>Engstligenalp</t>
  </si>
  <si>
    <t>WKA Spiggenbach Reichenbach</t>
  </si>
  <si>
    <t>Moosweid</t>
  </si>
  <si>
    <t>Engstlige</t>
  </si>
  <si>
    <t>Spiez</t>
  </si>
  <si>
    <t>Färmelbach, St. Stephan</t>
  </si>
  <si>
    <t>KW Simelemoos</t>
  </si>
  <si>
    <t>Laubegg (Garstatt)</t>
  </si>
  <si>
    <t>Berner Green Power GmbH</t>
  </si>
  <si>
    <t>Klusi</t>
  </si>
  <si>
    <t>Erlenbach</t>
  </si>
  <si>
    <t>Simmenfluh</t>
  </si>
  <si>
    <t>AAREwerk 62 Thun</t>
  </si>
  <si>
    <t>AAREwerk 94 Thun</t>
  </si>
  <si>
    <t>Thun (Eidg.)</t>
  </si>
  <si>
    <t>Blumenstein</t>
  </si>
  <si>
    <t>Matte</t>
  </si>
  <si>
    <t>Felsenau</t>
  </si>
  <si>
    <t>Mühleberg</t>
  </si>
  <si>
    <t>Sanetsch</t>
  </si>
  <si>
    <t>Lauenen (Louibach)</t>
  </si>
  <si>
    <t>Gsteig</t>
  </si>
  <si>
    <t>Gérignoz - La Pontia</t>
  </si>
  <si>
    <t>Montbovon</t>
  </si>
  <si>
    <t>Lessoc</t>
  </si>
  <si>
    <t>Sainte - Anne</t>
  </si>
  <si>
    <t>Jaun</t>
  </si>
  <si>
    <t>Charmey (La Tzintre)</t>
  </si>
  <si>
    <t>Charmey (La Perré)</t>
  </si>
  <si>
    <t>Broc</t>
  </si>
  <si>
    <t>Am.de dotation d'Hauterive 1</t>
  </si>
  <si>
    <t>Am. de dotation d'Hauterive 2</t>
  </si>
  <si>
    <t>Hauterive</t>
  </si>
  <si>
    <t>Am.de dotation d'Oelberg</t>
  </si>
  <si>
    <t>Oelberg</t>
  </si>
  <si>
    <t>Schiffenen</t>
  </si>
  <si>
    <t>Niederried</t>
  </si>
  <si>
    <t>Aarberg</t>
  </si>
  <si>
    <t>Kallnach</t>
  </si>
  <si>
    <t>Hagneck 1</t>
  </si>
  <si>
    <t>Hagneck 2</t>
  </si>
  <si>
    <t>La Dernier</t>
  </si>
  <si>
    <t>La Jougnenaz</t>
  </si>
  <si>
    <t>Les Clées</t>
  </si>
  <si>
    <t>Montcherand</t>
  </si>
  <si>
    <t>Le Chalet</t>
  </si>
  <si>
    <t>Moulinets sur l'Orbe</t>
  </si>
  <si>
    <t>St.Sulpice</t>
  </si>
  <si>
    <t>Le Furcil</t>
  </si>
  <si>
    <t>Les Moyats</t>
  </si>
  <si>
    <t>Combe-Garot</t>
  </si>
  <si>
    <t>Usine du Chanet</t>
  </si>
  <si>
    <t>Boudry (les Essert)</t>
  </si>
  <si>
    <t>La Serrière</t>
  </si>
  <si>
    <t>Sous les Roches</t>
  </si>
  <si>
    <t>Rondchâtel</t>
  </si>
  <si>
    <t>Frinvillier</t>
  </si>
  <si>
    <t>Taubenloch</t>
  </si>
  <si>
    <t>Bözingen</t>
  </si>
  <si>
    <t>Brügg</t>
  </si>
  <si>
    <t>Wannenfluh</t>
  </si>
  <si>
    <t>Gohlhaus, Lützelflüh</t>
  </si>
  <si>
    <t>Hagerhüsli</t>
  </si>
  <si>
    <t>Bätterkinden</t>
  </si>
  <si>
    <t>Utzenstorf</t>
  </si>
  <si>
    <t>Gerlafingen 1</t>
  </si>
  <si>
    <t>Biberist</t>
  </si>
  <si>
    <t>Emmenhof</t>
  </si>
  <si>
    <t>Untere Emmengasse</t>
  </si>
  <si>
    <t>Luterbach</t>
  </si>
  <si>
    <t>Flumenthal</t>
  </si>
  <si>
    <t>Bannwil</t>
  </si>
  <si>
    <t>Wynau I</t>
  </si>
  <si>
    <t>Wynau II</t>
  </si>
  <si>
    <t>Ruppoldingen</t>
  </si>
  <si>
    <t>Aarburg</t>
  </si>
  <si>
    <t>Dünnern, Olten</t>
  </si>
  <si>
    <t>Gösgen</t>
  </si>
  <si>
    <t>Aarau Stadt</t>
  </si>
  <si>
    <t>Rüchlig - HKW</t>
  </si>
  <si>
    <t>Rüchlig-Dotierzentrale</t>
  </si>
  <si>
    <t>Rupperswil-Auenstein</t>
  </si>
  <si>
    <t>Niederlenz</t>
  </si>
  <si>
    <t>Wildegg-Brugg</t>
  </si>
  <si>
    <t>Beznau</t>
  </si>
  <si>
    <t>Klingnau</t>
  </si>
  <si>
    <t>Hospental</t>
  </si>
  <si>
    <t>Realp</t>
  </si>
  <si>
    <t>Kraftwerk Realp II</t>
  </si>
  <si>
    <t>Oberalp</t>
  </si>
  <si>
    <t>Göschenen (Göscheneralp)</t>
  </si>
  <si>
    <t>Göschenen (Andermatt)</t>
  </si>
  <si>
    <t>Göschenen (Unterdorf)</t>
  </si>
  <si>
    <t>Wassen</t>
  </si>
  <si>
    <t>Amsteg</t>
  </si>
  <si>
    <t>Kraftwerk Gurtnellen</t>
  </si>
  <si>
    <t>Stäubenwald</t>
  </si>
  <si>
    <t>KW Gurtnellen</t>
  </si>
  <si>
    <t>Kraftwerk Bristen</t>
  </si>
  <si>
    <t>Arniberg</t>
  </si>
  <si>
    <t>Bocki 2</t>
  </si>
  <si>
    <t>Bocki 1</t>
  </si>
  <si>
    <t>Äsch</t>
  </si>
  <si>
    <t>Schächental</t>
  </si>
  <si>
    <t>Bürglen (Unterschächen)</t>
  </si>
  <si>
    <t>Bürglen (Loreto)</t>
  </si>
  <si>
    <t>Bannwald</t>
  </si>
  <si>
    <t>Kleintal (Isenthal)</t>
  </si>
  <si>
    <t>Bolzbach, Seedorf Chuchib. Q.</t>
  </si>
  <si>
    <t>Isenthal (Bolzbach)</t>
  </si>
  <si>
    <t>Ruosalp</t>
  </si>
  <si>
    <t>Glattalp</t>
  </si>
  <si>
    <t>Bisisthal</t>
  </si>
  <si>
    <t>Muota</t>
  </si>
  <si>
    <t>Hüribach</t>
  </si>
  <si>
    <t>Wernisberg</t>
  </si>
  <si>
    <t>Ibach</t>
  </si>
  <si>
    <t>Kleinwasserkraftwerk Steineraa</t>
  </si>
  <si>
    <t>Sustli</t>
  </si>
  <si>
    <t>Tagenstal</t>
  </si>
  <si>
    <t>Trüebsee</t>
  </si>
  <si>
    <t>Arni, Engelberg</t>
  </si>
  <si>
    <t>Obermatt</t>
  </si>
  <si>
    <t>Obermatt (Nebenkraftwerk)</t>
  </si>
  <si>
    <t>Dallenwil</t>
  </si>
  <si>
    <t>Buoholzbach Wolfenschiessen</t>
  </si>
  <si>
    <t>Bannalp</t>
  </si>
  <si>
    <t>Wolfenschiessen</t>
  </si>
  <si>
    <t>Schild</t>
  </si>
  <si>
    <t>Unteraa - Melchaa</t>
  </si>
  <si>
    <t>Unteraa - Lungerersee</t>
  </si>
  <si>
    <t>Obflue, Sachseln</t>
  </si>
  <si>
    <t>Melchsee-Frutt</t>
  </si>
  <si>
    <t>Wisserlen</t>
  </si>
  <si>
    <t>Eichi</t>
  </si>
  <si>
    <t>Rotzloch</t>
  </si>
  <si>
    <t>Mühlenplatz</t>
  </si>
  <si>
    <t>Wolhusen (Geistlich)</t>
  </si>
  <si>
    <t>Malters-Ettisbühl</t>
  </si>
  <si>
    <t>Stollen</t>
  </si>
  <si>
    <t>Thorenberg</t>
  </si>
  <si>
    <t>Emmenweid</t>
  </si>
  <si>
    <t>Rathausen</t>
  </si>
  <si>
    <t>Perlen 1 (WTA HF)</t>
  </si>
  <si>
    <t>Perlen 2 (WTA PF)</t>
  </si>
  <si>
    <t>Innere Spinnerei</t>
  </si>
  <si>
    <t>WKW Neuägeri, Gmde Menzingen</t>
  </si>
  <si>
    <t>Lorzentobel 2</t>
  </si>
  <si>
    <t>Lorzentobel 1</t>
  </si>
  <si>
    <t>Lorzentobel 3</t>
  </si>
  <si>
    <t>Untermühle</t>
  </si>
  <si>
    <t>Hagendorn</t>
  </si>
  <si>
    <t>Bremgarten-Zufikon</t>
  </si>
  <si>
    <t>Bruggmühle</t>
  </si>
  <si>
    <t>Windisch</t>
  </si>
  <si>
    <t>Limmern</t>
  </si>
  <si>
    <t>Tierfehd (Limmern)</t>
  </si>
  <si>
    <t>Tierfehd (Umwälzwerk)</t>
  </si>
  <si>
    <t>Tierfehd (Hintersand)</t>
  </si>
  <si>
    <t>Linthal</t>
  </si>
  <si>
    <t>Fätschbach</t>
  </si>
  <si>
    <t>Linthkraft (Stiftung)</t>
  </si>
  <si>
    <t>Linthwerk</t>
  </si>
  <si>
    <t>Brummbach, Linthal</t>
  </si>
  <si>
    <t>Brummbach, Braunwald</t>
  </si>
  <si>
    <t>Kraftwerk Cotlan</t>
  </si>
  <si>
    <t>Diesbach (Linth)</t>
  </si>
  <si>
    <t>Hefti</t>
  </si>
  <si>
    <t>Luchsingen</t>
  </si>
  <si>
    <t>Leuggelbach</t>
  </si>
  <si>
    <t>Haslen</t>
  </si>
  <si>
    <t>Schwanden (F.Blumer)</t>
  </si>
  <si>
    <t>Empächli</t>
  </si>
  <si>
    <t>Krauchbachwerk</t>
  </si>
  <si>
    <t>Engi, Hinterdorf (Sernf)</t>
  </si>
  <si>
    <t>Engi</t>
  </si>
  <si>
    <t>Kraftwerk Mühlebach AG</t>
  </si>
  <si>
    <t>Sernf</t>
  </si>
  <si>
    <t>Niederenbach</t>
  </si>
  <si>
    <t>Schwanden (Gemeinde)</t>
  </si>
  <si>
    <t>Schwanden (SNE)</t>
  </si>
  <si>
    <t>Mitlödi (Seidendruckerei)</t>
  </si>
  <si>
    <t>Mühlefuhr</t>
  </si>
  <si>
    <t>Holenstein Wehrkraftw. Glarus</t>
  </si>
  <si>
    <t>Walzmühle 2</t>
  </si>
  <si>
    <t>Elggiskraft, Netstal</t>
  </si>
  <si>
    <t>Am Löntsch</t>
  </si>
  <si>
    <t>Linthkraft, Netstal</t>
  </si>
  <si>
    <t>Mels (Tobel)</t>
  </si>
  <si>
    <t>Mels (KW Stoffel)</t>
  </si>
  <si>
    <t>Mels (Halde)</t>
  </si>
  <si>
    <t>KW Weissenstein</t>
  </si>
  <si>
    <t>Kraftwerk Mädems-Parmort</t>
  </si>
  <si>
    <t>Flums (Pravizin 1 (Bruggwiti))</t>
  </si>
  <si>
    <t>Flums (Pravizin 2 (Äuli))</t>
  </si>
  <si>
    <t>Röllbach, Flums</t>
  </si>
  <si>
    <t>Flums (Felsen)</t>
  </si>
  <si>
    <t>Flums (Neues Sägengüetli)</t>
  </si>
  <si>
    <t>Töbeli</t>
  </si>
  <si>
    <t>Talbach</t>
  </si>
  <si>
    <t>Oberterzen</t>
  </si>
  <si>
    <t>Murg (Plätz)</t>
  </si>
  <si>
    <t>Murg (Gödis)</t>
  </si>
  <si>
    <t>Murg (Säge)</t>
  </si>
  <si>
    <t>Muslen</t>
  </si>
  <si>
    <t>Rütiberg (Obersee)</t>
  </si>
  <si>
    <t>Rütiberg (Brändbach)</t>
  </si>
  <si>
    <t>Risi</t>
  </si>
  <si>
    <t>Niederurnen</t>
  </si>
  <si>
    <t>Ziegelbrücke</t>
  </si>
  <si>
    <t>Uznaberg, Uznach</t>
  </si>
  <si>
    <t>Wägital (Rempen)</t>
  </si>
  <si>
    <t>Wägital (Siebnen)</t>
  </si>
  <si>
    <t>Spreitenbach, Galgenen Kistler</t>
  </si>
  <si>
    <t>Pilgersteg</t>
  </si>
  <si>
    <t>Etzelwerk</t>
  </si>
  <si>
    <t>Bäch</t>
  </si>
  <si>
    <t>Feusisberg</t>
  </si>
  <si>
    <t>Sihl-Höfe</t>
  </si>
  <si>
    <t>Waldhalde</t>
  </si>
  <si>
    <t>Letten</t>
  </si>
  <si>
    <t>Höngg</t>
  </si>
  <si>
    <t>Wettingen-Dotieranlage</t>
  </si>
  <si>
    <t>Wettingen</t>
  </si>
  <si>
    <t>Aue-Dotierzentrale</t>
  </si>
  <si>
    <t>Aue</t>
  </si>
  <si>
    <t>Kappelerhof</t>
  </si>
  <si>
    <t>Schiffmühle - Dotierzentrale</t>
  </si>
  <si>
    <t>Schiffmühle</t>
  </si>
  <si>
    <t>Turgi</t>
  </si>
  <si>
    <t>BAG Turgi</t>
  </si>
  <si>
    <t>Stroppel, Untersiggenthal</t>
  </si>
  <si>
    <t>Rufi, Hätzingen</t>
  </si>
  <si>
    <t>Aegina</t>
  </si>
  <si>
    <t>Gletsch-Oberwald</t>
  </si>
  <si>
    <t>KW Ulrichen</t>
  </si>
  <si>
    <t>Merezenbach</t>
  </si>
  <si>
    <t>Kraftwerk Niderbach</t>
  </si>
  <si>
    <t>Blinne</t>
  </si>
  <si>
    <t>Kraftwerk Walibach</t>
  </si>
  <si>
    <t>Rappental</t>
  </si>
  <si>
    <t>Neubrigg</t>
  </si>
  <si>
    <t>Fieschertal</t>
  </si>
  <si>
    <t>Fiesch</t>
  </si>
  <si>
    <t>Ernen</t>
  </si>
  <si>
    <t>Saflisch</t>
  </si>
  <si>
    <t>Heiligkreuz</t>
  </si>
  <si>
    <t>Aletsch</t>
  </si>
  <si>
    <t>Mörel</t>
  </si>
  <si>
    <t>Massaboden</t>
  </si>
  <si>
    <t>Bitsch</t>
  </si>
  <si>
    <t>Wässerwasserkraftwerk Mund</t>
  </si>
  <si>
    <t>Bortel-Oberstufe</t>
  </si>
  <si>
    <t>TWKW Nessel u. Mittubäch</t>
  </si>
  <si>
    <t>Bortel-Mittelstufe</t>
  </si>
  <si>
    <t>Ganterbach-Saltina</t>
  </si>
  <si>
    <t>Chräjubiel Ried-Brig</t>
  </si>
  <si>
    <t>Rosswald-Gärsterna</t>
  </si>
  <si>
    <t>Zermeiggern</t>
  </si>
  <si>
    <t>Saas-Fee</t>
  </si>
  <si>
    <t>Stalden</t>
  </si>
  <si>
    <t>Mossjesee Kraftwerk</t>
  </si>
  <si>
    <t>Mutt</t>
  </si>
  <si>
    <t>Wiesti</t>
  </si>
  <si>
    <t>Täschbach</t>
  </si>
  <si>
    <t>KW Jungbach</t>
  </si>
  <si>
    <t>KW Siwibach (Eisten, VS)</t>
  </si>
  <si>
    <t>Törbel (Gappil)</t>
  </si>
  <si>
    <t>Ackersand 1</t>
  </si>
  <si>
    <t>Ackersand 2</t>
  </si>
  <si>
    <t>Kraftwerk Heidadorf</t>
  </si>
  <si>
    <t>Baltschieder</t>
  </si>
  <si>
    <t>Kalter Brunnen</t>
  </si>
  <si>
    <t>Ginals</t>
  </si>
  <si>
    <t>KWKW Bachtoli</t>
  </si>
  <si>
    <t>Unterbäch</t>
  </si>
  <si>
    <t>Turtig</t>
  </si>
  <si>
    <t>Chriz</t>
  </si>
  <si>
    <t>Niedergesteln</t>
  </si>
  <si>
    <t>Fafleralp</t>
  </si>
  <si>
    <t>Blatten</t>
  </si>
  <si>
    <t>Wiler</t>
  </si>
  <si>
    <t>KWKW Dornbach</t>
  </si>
  <si>
    <t>Lötschen</t>
  </si>
  <si>
    <t>Oberems (Borterbach)</t>
  </si>
  <si>
    <t>Illsee</t>
  </si>
  <si>
    <t>Turtmann</t>
  </si>
  <si>
    <t>Dala</t>
  </si>
  <si>
    <t>Chippis-Rhône</t>
  </si>
  <si>
    <t>Lona</t>
  </si>
  <si>
    <t>Mottec</t>
  </si>
  <si>
    <t>Vissoie</t>
  </si>
  <si>
    <t>Vissoie "groupe auxiliaire"</t>
  </si>
  <si>
    <t>Navisence</t>
  </si>
  <si>
    <t>Croix</t>
  </si>
  <si>
    <t>Chamarin</t>
  </si>
  <si>
    <t>Centrale de turb. lac d'Icogne</t>
  </si>
  <si>
    <t>St-Léonard</t>
  </si>
  <si>
    <t>Beulet</t>
  </si>
  <si>
    <t>Sauterot (Hérémence LYSA)</t>
  </si>
  <si>
    <t>Sauterôt (Hérémence FMdB)</t>
  </si>
  <si>
    <t>Bramois (Groupes 1 à 4)</t>
  </si>
  <si>
    <t>Bramois (Groupe 7)</t>
  </si>
  <si>
    <t>La Dixence</t>
  </si>
  <si>
    <t>La Zour</t>
  </si>
  <si>
    <t>Arbaz I  STEP (Comba Energies)</t>
  </si>
  <si>
    <t>Arbaz II (Sionne Energie)</t>
  </si>
  <si>
    <t>Rochers</t>
  </si>
  <si>
    <t>Reserv. de Péteille, Vétroz</t>
  </si>
  <si>
    <t>Ardon</t>
  </si>
  <si>
    <t>Balavaud</t>
  </si>
  <si>
    <t>Grande Dixence</t>
  </si>
  <si>
    <t>Cleuson-Dixence</t>
  </si>
  <si>
    <t>2ème Palier Isérables, Riddes</t>
  </si>
  <si>
    <t>1er Palier Isérables c. Arcay</t>
  </si>
  <si>
    <t>Les Pontets, Com. de Riddes</t>
  </si>
  <si>
    <t>Riddes (l'eau potable)</t>
  </si>
  <si>
    <t>Chanrion</t>
  </si>
  <si>
    <t>Fionnay (Mauvoisin)</t>
  </si>
  <si>
    <t>Riddes</t>
  </si>
  <si>
    <t>Turbinage Jora - Afforêts</t>
  </si>
  <si>
    <t>Fully les Verdan</t>
  </si>
  <si>
    <t>Fully Les Garettes</t>
  </si>
  <si>
    <t>Champsec</t>
  </si>
  <si>
    <t>STEP Vallée Bagnes</t>
  </si>
  <si>
    <t>Eaux des torrent de Verbier</t>
  </si>
  <si>
    <t>Pas-du-Lein</t>
  </si>
  <si>
    <t>Vollèges-Cries</t>
  </si>
  <si>
    <t>Hospitalet</t>
  </si>
  <si>
    <t>La Delise, Bourg-Saint-Pierre</t>
  </si>
  <si>
    <t>Pallazuit</t>
  </si>
  <si>
    <t>Niollet 1</t>
  </si>
  <si>
    <t>Niollet 2</t>
  </si>
  <si>
    <t>Orsières</t>
  </si>
  <si>
    <t>Sembrancher</t>
  </si>
  <si>
    <t>Martigny-Bourg</t>
  </si>
  <si>
    <t>Pont-Neuf</t>
  </si>
  <si>
    <t>Trient</t>
  </si>
  <si>
    <t>Châtelard-Barberine</t>
  </si>
  <si>
    <t>Emosson</t>
  </si>
  <si>
    <t>Vernayaz (CFF)</t>
  </si>
  <si>
    <t>Turbinage Salvan et Vernayaz</t>
  </si>
  <si>
    <t>Vernayaz (Pissevache)</t>
  </si>
  <si>
    <t>Salanfe</t>
  </si>
  <si>
    <t>Aboyeu</t>
  </si>
  <si>
    <t>La Rasse</t>
  </si>
  <si>
    <t>Lavey</t>
  </si>
  <si>
    <t>La Peuffeyre</t>
  </si>
  <si>
    <t>Sublin 1</t>
  </si>
  <si>
    <t>Sublin 2</t>
  </si>
  <si>
    <t>Bevieux</t>
  </si>
  <si>
    <t>Champéry Etrivouez</t>
  </si>
  <si>
    <t>Torrent de Soi</t>
  </si>
  <si>
    <t>Monthey (Vièze)</t>
  </si>
  <si>
    <t>Monthey (Tine)</t>
  </si>
  <si>
    <t>Monthey (Commune)</t>
  </si>
  <si>
    <t>Châble II</t>
  </si>
  <si>
    <t>Diablerets</t>
  </si>
  <si>
    <t>Pont de la Tine</t>
  </si>
  <si>
    <t>Pont de la Tine  Coussy-Loudze</t>
  </si>
  <si>
    <t>La Douve, Aigle</t>
  </si>
  <si>
    <t>Les Farettes</t>
  </si>
  <si>
    <t>Micro-centrale de Fontanney</t>
  </si>
  <si>
    <t>Eaux du torrent du Fossau</t>
  </si>
  <si>
    <t>Croseau, Saint-Gingolph</t>
  </si>
  <si>
    <t>Hongrin-Léman</t>
  </si>
  <si>
    <t>Sonzier</t>
  </si>
  <si>
    <t>Taulan</t>
  </si>
  <si>
    <t>Rivaz (Le Forestay)</t>
  </si>
  <si>
    <t>Plan-Dessous</t>
  </si>
  <si>
    <t>La Petite Vaux</t>
  </si>
  <si>
    <t>Seujet</t>
  </si>
  <si>
    <t>Vessy</t>
  </si>
  <si>
    <t>Verbois</t>
  </si>
  <si>
    <t>Chancy-Pougny</t>
  </si>
  <si>
    <t>Chancy-Pougny Dot. passe pois.</t>
  </si>
  <si>
    <t>La Rançonnière</t>
  </si>
  <si>
    <t>Am. de dotation du Châtelot</t>
  </si>
  <si>
    <t>Le Châtelot</t>
  </si>
  <si>
    <t>Refrain</t>
  </si>
  <si>
    <t>La Goule</t>
  </si>
  <si>
    <t>Ossasco</t>
  </si>
  <si>
    <t>Sella</t>
  </si>
  <si>
    <t>Lucendro</t>
  </si>
  <si>
    <t>Calcaccia</t>
  </si>
  <si>
    <t>Ritom</t>
  </si>
  <si>
    <t>Stalvedro (AET)</t>
  </si>
  <si>
    <t>Tremorgio</t>
  </si>
  <si>
    <t>Ri di Foch 2 Prato (Leventina)</t>
  </si>
  <si>
    <t>Ceresa 1</t>
  </si>
  <si>
    <t>Piumogna, Dalpe</t>
  </si>
  <si>
    <t>Piottino</t>
  </si>
  <si>
    <t>Ticinetto</t>
  </si>
  <si>
    <t>Nuova Biaschina</t>
  </si>
  <si>
    <t>Luzzone</t>
  </si>
  <si>
    <t>Olivone</t>
  </si>
  <si>
    <t>Biasca</t>
  </si>
  <si>
    <t>Spina (Isola)</t>
  </si>
  <si>
    <t>Spina (Valbella)</t>
  </si>
  <si>
    <t>Mesocco (Nan Ros)</t>
  </si>
  <si>
    <t>Soazza</t>
  </si>
  <si>
    <t>Lostallo</t>
  </si>
  <si>
    <t>Tecnicama</t>
  </si>
  <si>
    <t>Grono</t>
  </si>
  <si>
    <t>Calancasca</t>
  </si>
  <si>
    <t>Morobbia</t>
  </si>
  <si>
    <t>Verzasca (Gordola)</t>
  </si>
  <si>
    <t>Verzasca (Tenero)</t>
  </si>
  <si>
    <t>Sambuco-Peccia</t>
  </si>
  <si>
    <t>Corgello-Peccia</t>
  </si>
  <si>
    <t>Robiei</t>
  </si>
  <si>
    <t>Bavona</t>
  </si>
  <si>
    <t>Kraftwerk Tomè</t>
  </si>
  <si>
    <t>Cavergno</t>
  </si>
  <si>
    <t>Verbano 1</t>
  </si>
  <si>
    <t>Verbano 2</t>
  </si>
  <si>
    <t>Cerentino</t>
  </si>
  <si>
    <t>Giumaglio</t>
  </si>
  <si>
    <t>Galleria Cavergno-Palagnedra</t>
  </si>
  <si>
    <t>Ponte Brolla</t>
  </si>
  <si>
    <t>Cassarate - Franscinone</t>
  </si>
  <si>
    <t>Sigirino (Monteceneri)</t>
  </si>
  <si>
    <t>Valmara</t>
  </si>
  <si>
    <t>Gabi</t>
  </si>
  <si>
    <t>Gondo</t>
  </si>
  <si>
    <t>Tannuwald</t>
  </si>
  <si>
    <t>Palü</t>
  </si>
  <si>
    <t>Cavaglia</t>
  </si>
  <si>
    <t>Robbia</t>
  </si>
  <si>
    <t>Pedecosta</t>
  </si>
  <si>
    <t>Campocologno 1</t>
  </si>
  <si>
    <t>Campocologno 2</t>
  </si>
  <si>
    <t>Lizun</t>
  </si>
  <si>
    <t>Albignawerk Löbbia</t>
  </si>
  <si>
    <t>Plancanin</t>
  </si>
  <si>
    <t>Fornowerk Löbbia</t>
  </si>
  <si>
    <t>Molino</t>
  </si>
  <si>
    <t>Castasegna</t>
  </si>
  <si>
    <t>Silvaplana</t>
  </si>
  <si>
    <t>Pradella - Dotierzentrale</t>
  </si>
  <si>
    <t>Islas</t>
  </si>
  <si>
    <t>Roseg, Samedan</t>
  </si>
  <si>
    <t>Morteratsch</t>
  </si>
  <si>
    <t>Champagna 1</t>
  </si>
  <si>
    <t>Madulain</t>
  </si>
  <si>
    <t>Susasca</t>
  </si>
  <si>
    <t>Ouvra Electrica Lavinuoz Lavin</t>
  </si>
  <si>
    <t>Guarda (Ara)</t>
  </si>
  <si>
    <t>Tasnan</t>
  </si>
  <si>
    <t>Tarasp (Ischla)</t>
  </si>
  <si>
    <t>Clemgia</t>
  </si>
  <si>
    <t>Chasura</t>
  </si>
  <si>
    <t>Alp Trida-Laret, Samnaun</t>
  </si>
  <si>
    <t>Schergenbach</t>
  </si>
  <si>
    <t>Punt dal Gall-Dotieranlage</t>
  </si>
  <si>
    <t>Ova Spin</t>
  </si>
  <si>
    <t>Ova Spin-Dotieranlage</t>
  </si>
  <si>
    <t>Pradella</t>
  </si>
  <si>
    <t>Pradella-Martina</t>
  </si>
  <si>
    <t>Muranzina</t>
  </si>
  <si>
    <t>Chasseras</t>
  </si>
  <si>
    <t>Beznau 1</t>
  </si>
  <si>
    <t>Beznau 2</t>
  </si>
  <si>
    <t>Leibstadt</t>
  </si>
  <si>
    <t>TORINO NORD</t>
  </si>
  <si>
    <t>CCGT APRILIA</t>
  </si>
  <si>
    <t>ILVA TARANTO CET3</t>
  </si>
  <si>
    <t>ENTRACQUE ROVINA</t>
  </si>
  <si>
    <t>ALESSANDRIA</t>
  </si>
  <si>
    <t>VERZUOLO</t>
  </si>
  <si>
    <t>CHIVASSO</t>
  </si>
  <si>
    <t xml:space="preserve">E.ON C.TE LIVORNO FERRARIS </t>
  </si>
  <si>
    <t>ENTRACQUE_CHRO</t>
  </si>
  <si>
    <t>U.O. MIRAFIORI</t>
  </si>
  <si>
    <t>LEINI</t>
  </si>
  <si>
    <t>MONCALIERI</t>
  </si>
  <si>
    <t>PONT VENTOUX</t>
  </si>
  <si>
    <t>ROSONE</t>
  </si>
  <si>
    <t>TRINO</t>
  </si>
  <si>
    <t>VENAUS</t>
  </si>
  <si>
    <t>AVISE</t>
  </si>
  <si>
    <t>VALPELLINE</t>
  </si>
  <si>
    <t>CASSANO</t>
  </si>
  <si>
    <t>CTE DEL MINCIO</t>
  </si>
  <si>
    <t>CENTRALE DI TURANO LODIGIANO - BERTONICO (LO)</t>
  </si>
  <si>
    <t>LAMARMORA</t>
  </si>
  <si>
    <t>TENARIS DALMINE S.P.A.</t>
  </si>
  <si>
    <t>EDOLO</t>
  </si>
  <si>
    <t>ENIPOWER MANTOVA</t>
  </si>
  <si>
    <t>ENIPOWER FERRERA ERBOGNONE</t>
  </si>
  <si>
    <t>GARGNANO</t>
  </si>
  <si>
    <t>LANZADA</t>
  </si>
  <si>
    <t>OSTIGLIA</t>
  </si>
  <si>
    <t>RONCOVALGRANDE</t>
  </si>
  <si>
    <t>S.FIORANO</t>
  </si>
  <si>
    <t>SONDRIO</t>
  </si>
  <si>
    <t>SERMIDE</t>
  </si>
  <si>
    <t>SESTO SAN GIOVANNI</t>
  </si>
  <si>
    <t>TURBIGO</t>
  </si>
  <si>
    <t>TAVAZZANO</t>
  </si>
  <si>
    <t>VOGHERA</t>
  </si>
  <si>
    <t>MESE</t>
  </si>
  <si>
    <t>CIMEGO</t>
  </si>
  <si>
    <t>CARDANO</t>
  </si>
  <si>
    <t>SELED GLORENZA</t>
  </si>
  <si>
    <t>LANA</t>
  </si>
  <si>
    <t>CENTRALE NATURNO</t>
  </si>
  <si>
    <t>RIVA DEL GARDA - NUOVO</t>
  </si>
  <si>
    <t>S.FLORIANO</t>
  </si>
  <si>
    <t>TORBOLE</t>
  </si>
  <si>
    <t>AZOTATI</t>
  </si>
  <si>
    <t>PORTO VIRO</t>
  </si>
  <si>
    <t>FADALTO</t>
  </si>
  <si>
    <t>FUSINA T.</t>
  </si>
  <si>
    <t>LEVANTE</t>
  </si>
  <si>
    <t>PORTO MARGHERA</t>
  </si>
  <si>
    <t>PORTO TOLLE</t>
  </si>
  <si>
    <t>SOVERZENE</t>
  </si>
  <si>
    <t>CET SERVOLA</t>
  </si>
  <si>
    <t>MONFALCONE</t>
  </si>
  <si>
    <t>SOMPLAGO</t>
  </si>
  <si>
    <t>TORVISCOSA</t>
  </si>
  <si>
    <t>GENOVA T.</t>
  </si>
  <si>
    <t>SPEZIA CENTR</t>
  </si>
  <si>
    <t>VADO TERM.</t>
  </si>
  <si>
    <t>BARGI CENTRALE</t>
  </si>
  <si>
    <t>CENTRO ENERGIA FERRARA</t>
  </si>
  <si>
    <t>CARPI TURBOGAS</t>
  </si>
  <si>
    <t>S.E.F. SRL</t>
  </si>
  <si>
    <t>ENIPOWER RAVENNA</t>
  </si>
  <si>
    <t>SAN  QUIRICO</t>
  </si>
  <si>
    <t>LA CASELLA C.LE</t>
  </si>
  <si>
    <t>PORTO CORSINI</t>
  </si>
  <si>
    <t>PIACENZA</t>
  </si>
  <si>
    <t>SARMATO</t>
  </si>
  <si>
    <t>ENIPOWER LIVORNO</t>
  </si>
  <si>
    <t>PORCARI</t>
  </si>
  <si>
    <t>ISE PIOMBINO CET3</t>
  </si>
  <si>
    <t>LIVORNO MARZOCCO</t>
  </si>
  <si>
    <t>PIOMBINO TERMICA</t>
  </si>
  <si>
    <t>ROSELECTRA</t>
  </si>
  <si>
    <t>ROSEN</t>
  </si>
  <si>
    <t>S.BARBARA</t>
  </si>
  <si>
    <t>BASTARDO</t>
  </si>
  <si>
    <t>GALLETO</t>
  </si>
  <si>
    <t>PIETRAFITTA</t>
  </si>
  <si>
    <t>API ENERGIA IGCC</t>
  </si>
  <si>
    <t>JESI</t>
  </si>
  <si>
    <t>TOR DI VALLE</t>
  </si>
  <si>
    <t>MONTALTO C.LE</t>
  </si>
  <si>
    <t>TORREVAL.NORD</t>
  </si>
  <si>
    <t>TORREVALDALIGA</t>
  </si>
  <si>
    <t>BUSSI</t>
  </si>
  <si>
    <t>GISSI</t>
  </si>
  <si>
    <t>CTE TAMARETE</t>
  </si>
  <si>
    <t>MONTORIO</t>
  </si>
  <si>
    <t>PROVVIDENZA</t>
  </si>
  <si>
    <t>S.GIACOMO</t>
  </si>
  <si>
    <t>CELANO</t>
  </si>
  <si>
    <t>LARINO TG</t>
  </si>
  <si>
    <t>ENERGIA MOLISE</t>
  </si>
  <si>
    <t>CAPRIATI</t>
  </si>
  <si>
    <t>GIUGLIANO T.GAS</t>
  </si>
  <si>
    <t>MADDALONI T.GAS</t>
  </si>
  <si>
    <t>NAPOLI L</t>
  </si>
  <si>
    <t>PRESENZANO</t>
  </si>
  <si>
    <t xml:space="preserve">SPARANISE </t>
  </si>
  <si>
    <t>POMIGLIANO D'ARCO</t>
  </si>
  <si>
    <t xml:space="preserve">CENTRALE DI TEVEROLA </t>
  </si>
  <si>
    <t>BRINDISI NORD</t>
  </si>
  <si>
    <t>BRINDISI SUD CE</t>
  </si>
  <si>
    <t>BARI</t>
  </si>
  <si>
    <t>SORGENIA PUGLIA CENTRALE DI MODUGNO</t>
  </si>
  <si>
    <t>CANDELA</t>
  </si>
  <si>
    <t>RATINO</t>
  </si>
  <si>
    <t>ENIPOWER BRINDISI</t>
  </si>
  <si>
    <t>IGES</t>
  </si>
  <si>
    <t>ALTOMONTE</t>
  </si>
  <si>
    <t>MUCONE 1S</t>
  </si>
  <si>
    <t>ORICHELLA</t>
  </si>
  <si>
    <t>RIZZICONI</t>
  </si>
  <si>
    <t>ROSSANO TE</t>
  </si>
  <si>
    <t>SIMERI CRICHI</t>
  </si>
  <si>
    <t>CENTRALE DI SCANDALE</t>
  </si>
  <si>
    <t>TIMPAGRANDE</t>
  </si>
  <si>
    <t>AUGUSTA C.LE</t>
  </si>
  <si>
    <t>RAFFINERIA DI GELA SPA</t>
  </si>
  <si>
    <t>ANAPO C.LE</t>
  </si>
  <si>
    <t>CTE NUCE NORD</t>
  </si>
  <si>
    <t>ISAB ENERGY</t>
  </si>
  <si>
    <t>PRIOLO C.LE</t>
  </si>
  <si>
    <t>PORTO EMPEDOCLE C.LE</t>
  </si>
  <si>
    <t xml:space="preserve">SAN FILIPPO DEL MELA </t>
  </si>
  <si>
    <t>TERMINI IMERESE C.LE</t>
  </si>
  <si>
    <t>TRAPANI C.LE</t>
  </si>
  <si>
    <t>MILAZZO</t>
  </si>
  <si>
    <t>ASSEMINI</t>
  </si>
  <si>
    <t>FIUMESANTO</t>
  </si>
  <si>
    <t>PORTO SCUSO</t>
  </si>
  <si>
    <t>SULCIS CENTR</t>
  </si>
  <si>
    <t>SARLUX</t>
  </si>
  <si>
    <t>TALORO1</t>
  </si>
  <si>
    <t>VENINA</t>
  </si>
  <si>
    <t>ISOLATO SPLUGA</t>
  </si>
  <si>
    <t>TAIO</t>
  </si>
  <si>
    <t>GROSIO</t>
  </si>
  <si>
    <t>S.MASSENZA 1 (Molveno)</t>
  </si>
  <si>
    <t>CEDEGOLO</t>
  </si>
  <si>
    <t>Ahvenkoski</t>
  </si>
  <si>
    <t>Aittaluoto 1</t>
  </si>
  <si>
    <t>Aittaluoto 2</t>
  </si>
  <si>
    <t>Aittokoski</t>
  </si>
  <si>
    <t>Alakoski</t>
  </si>
  <si>
    <t>Alholma AK 1</t>
  </si>
  <si>
    <t>Alholma AK 2</t>
  </si>
  <si>
    <t>Anjalankoski</t>
  </si>
  <si>
    <t>Anjalankoski, G1</t>
  </si>
  <si>
    <t>Askala</t>
  </si>
  <si>
    <t>Atro</t>
  </si>
  <si>
    <t>Billnäs</t>
  </si>
  <si>
    <t>Björkfors</t>
  </si>
  <si>
    <t>Björknäs kraftvärmeverk</t>
  </si>
  <si>
    <t>Energia-Tietola</t>
  </si>
  <si>
    <t>Finlayson ve</t>
  </si>
  <si>
    <t>Forssa kt</t>
  </si>
  <si>
    <t>Haapakoski</t>
  </si>
  <si>
    <t>Haapaniemi</t>
  </si>
  <si>
    <t>Haapavesi</t>
  </si>
  <si>
    <t>Hamari</t>
  </si>
  <si>
    <t>Haminan höyrykattilalaitos</t>
  </si>
  <si>
    <t>Hanasaari B</t>
  </si>
  <si>
    <t>Hanhikoski</t>
  </si>
  <si>
    <t>Harabacka</t>
  </si>
  <si>
    <t>Harjavalta</t>
  </si>
  <si>
    <t>Hattarfors</t>
  </si>
  <si>
    <t>Hedet</t>
  </si>
  <si>
    <t>Heinola</t>
  </si>
  <si>
    <t>Heinola vp</t>
  </si>
  <si>
    <t>Hietamankoski</t>
  </si>
  <si>
    <t>Hilmonkoski</t>
  </si>
  <si>
    <t>Hinkismäki</t>
  </si>
  <si>
    <t>Hinkua</t>
  </si>
  <si>
    <t>Hirvikoski</t>
  </si>
  <si>
    <t>Hoikankangas, Kajaanin sähkölaitos</t>
  </si>
  <si>
    <t>Hovinsaari</t>
  </si>
  <si>
    <t>Huutokoski kt</t>
  </si>
  <si>
    <t>Hyötyvoimalaitos</t>
  </si>
  <si>
    <t>Hämeenkyrö lä</t>
  </si>
  <si>
    <t>Hämeenkyrö ve</t>
  </si>
  <si>
    <t>Hämeenlinna</t>
  </si>
  <si>
    <t>Iisalmi</t>
  </si>
  <si>
    <t>Ikaalinen</t>
  </si>
  <si>
    <t>Ilomantsin pellettitehdas</t>
  </si>
  <si>
    <t>Imatra</t>
  </si>
  <si>
    <t>Imatran Energia</t>
  </si>
  <si>
    <t>Inkeroinen ve</t>
  </si>
  <si>
    <t>Isohaara</t>
  </si>
  <si>
    <t>Jalasjoki/Niiles</t>
  </si>
  <si>
    <t>Joensuu</t>
  </si>
  <si>
    <t>Joutseno</t>
  </si>
  <si>
    <t>Jouttikallio</t>
  </si>
  <si>
    <t>Juankoski</t>
  </si>
  <si>
    <t>Jumisko</t>
  </si>
  <si>
    <t>Juntola</t>
  </si>
  <si>
    <t>Juotas</t>
  </si>
  <si>
    <t>Juva</t>
  </si>
  <si>
    <t>Jylhämä</t>
  </si>
  <si>
    <t>Jämsänkoski bv</t>
  </si>
  <si>
    <t>Järvelän vaneritehdas</t>
  </si>
  <si>
    <t>Järvenpää</t>
  </si>
  <si>
    <t>Kaaranneskoski</t>
  </si>
  <si>
    <t>Kaarni</t>
  </si>
  <si>
    <t>Kaihua</t>
  </si>
  <si>
    <t>Kaipola</t>
  </si>
  <si>
    <t>Kaitfors</t>
  </si>
  <si>
    <t>Kalajärvi</t>
  </si>
  <si>
    <t>Kallioinen</t>
  </si>
  <si>
    <t>Kaltimo</t>
  </si>
  <si>
    <t>Kankaanpää</t>
  </si>
  <si>
    <t>Kantvik</t>
  </si>
  <si>
    <t>Karjalankoski</t>
  </si>
  <si>
    <t>Karvetti</t>
  </si>
  <si>
    <t>Kaskinen lv ja vp</t>
  </si>
  <si>
    <t>Katerma</t>
  </si>
  <si>
    <t>Kattilakoski</t>
  </si>
  <si>
    <t>Kaukopää</t>
  </si>
  <si>
    <t>Kauttua</t>
  </si>
  <si>
    <t>Kavo</t>
  </si>
  <si>
    <t>Keljonlahti</t>
  </si>
  <si>
    <t>Kellosaari</t>
  </si>
  <si>
    <t>Keltti</t>
  </si>
  <si>
    <t>Kelukoski</t>
  </si>
  <si>
    <t>Kemi</t>
  </si>
  <si>
    <t>Kemijärvi</t>
  </si>
  <si>
    <t>Kerava</t>
  </si>
  <si>
    <t>Kierikki</t>
  </si>
  <si>
    <t>Kiimassuo</t>
  </si>
  <si>
    <t>Killinkoski</t>
  </si>
  <si>
    <t>Kiltua</t>
  </si>
  <si>
    <t>Kirakkaköngäs</t>
  </si>
  <si>
    <t>Kirkniemi</t>
  </si>
  <si>
    <t>Kissakoski</t>
  </si>
  <si>
    <t>Klåsarö</t>
  </si>
  <si>
    <t>Koivukoski</t>
  </si>
  <si>
    <t>Koivukoski 1 ja 2</t>
  </si>
  <si>
    <t>Koivukoski 3</t>
  </si>
  <si>
    <t>Kokkola</t>
  </si>
  <si>
    <t>Kokkosniva</t>
  </si>
  <si>
    <t>Kolsi</t>
  </si>
  <si>
    <t>Koneharju kt</t>
  </si>
  <si>
    <t>Korkeakoski</t>
  </si>
  <si>
    <t>Koskensaari</t>
  </si>
  <si>
    <t>Koskenvarsi</t>
  </si>
  <si>
    <t>Kotka</t>
  </si>
  <si>
    <t>Kristiina 1</t>
  </si>
  <si>
    <t>Kristiina 2</t>
  </si>
  <si>
    <t>Kristiinankaupunki kt</t>
  </si>
  <si>
    <t>Kuhankoski</t>
  </si>
  <si>
    <t>Kuhmon Lämpö</t>
  </si>
  <si>
    <t>Kumpuniemi</t>
  </si>
  <si>
    <t>Kuokkastenkoski</t>
  </si>
  <si>
    <t>Kuopio, Savon Sellu</t>
  </si>
  <si>
    <t>Kurittukoski</t>
  </si>
  <si>
    <t>Kurkiaska</t>
  </si>
  <si>
    <t>Kuurna</t>
  </si>
  <si>
    <t>Kuusaanniemi</t>
  </si>
  <si>
    <t>Kuusamo</t>
  </si>
  <si>
    <t>Kuusankoski bv</t>
  </si>
  <si>
    <t>Kuusankoski ve</t>
  </si>
  <si>
    <t>Kymijärvi</t>
  </si>
  <si>
    <t>Kymijärvi 2</t>
  </si>
  <si>
    <t>Kyrkösjärvi</t>
  </si>
  <si>
    <t>Käenkoski</t>
  </si>
  <si>
    <t>Lappeenranta TG9</t>
  </si>
  <si>
    <t>Lappeenranta, Kaukaan tehdas</t>
  </si>
  <si>
    <t>Lapua</t>
  </si>
  <si>
    <t>Leppikoski</t>
  </si>
  <si>
    <t>Lestijärvi</t>
  </si>
  <si>
    <t>Leuhunkoski</t>
  </si>
  <si>
    <t>Lieksa Kevätniemi</t>
  </si>
  <si>
    <t>Lieksankoski</t>
  </si>
  <si>
    <t>Lielahti</t>
  </si>
  <si>
    <t>Liunankoski</t>
  </si>
  <si>
    <t>Loviisa kt</t>
  </si>
  <si>
    <t>Loviisa Y1</t>
  </si>
  <si>
    <t>Loviisa Y2</t>
  </si>
  <si>
    <t>Långfors</t>
  </si>
  <si>
    <t>Maalismaa</t>
  </si>
  <si>
    <t>Maavesi</t>
  </si>
  <si>
    <t>Mankala</t>
  </si>
  <si>
    <t>Martinlaakso</t>
  </si>
  <si>
    <t>Matarakoski</t>
  </si>
  <si>
    <t>Melo</t>
  </si>
  <si>
    <t>Merikoski</t>
  </si>
  <si>
    <t>Meri-Pori</t>
  </si>
  <si>
    <t xml:space="preserve">Mertaniemi 1 ja 2 </t>
  </si>
  <si>
    <t>Montta</t>
  </si>
  <si>
    <t>Mustio</t>
  </si>
  <si>
    <t>Myllykoski</t>
  </si>
  <si>
    <t>Myllykoski ve</t>
  </si>
  <si>
    <t>Myllykoski vp</t>
  </si>
  <si>
    <t>Mäkipää Diesel</t>
  </si>
  <si>
    <t>Mänttä lä</t>
  </si>
  <si>
    <t>Mänttä ve</t>
  </si>
  <si>
    <t>Naantali</t>
  </si>
  <si>
    <t>Naantali kt</t>
  </si>
  <si>
    <t>Naistenlahti 1</t>
  </si>
  <si>
    <t>Naistenlahti 2</t>
  </si>
  <si>
    <t>Nastola kt</t>
  </si>
  <si>
    <t>Nikkilä</t>
  </si>
  <si>
    <t>Nivala</t>
  </si>
  <si>
    <t>Nokia kombi</t>
  </si>
  <si>
    <t>Nuojua</t>
  </si>
  <si>
    <t>Oksava</t>
  </si>
  <si>
    <t>Olkiluoto 1</t>
  </si>
  <si>
    <t>Olkiluoto 2</t>
  </si>
  <si>
    <t>Olkiluoto kt</t>
  </si>
  <si>
    <t>Ossauskoski</t>
  </si>
  <si>
    <t>Oulu</t>
  </si>
  <si>
    <t>Oulu, Laanilan Voima</t>
  </si>
  <si>
    <t>Padinki</t>
  </si>
  <si>
    <t>Pahkakoski</t>
  </si>
  <si>
    <t>Palokki</t>
  </si>
  <si>
    <t>Pamilo</t>
  </si>
  <si>
    <t>Pankakoski</t>
  </si>
  <si>
    <t>Parantalankoski</t>
  </si>
  <si>
    <t>Patalankoski</t>
  </si>
  <si>
    <t>Peltokoski</t>
  </si>
  <si>
    <t>Permantokoski</t>
  </si>
  <si>
    <t>Petäjäskoski</t>
  </si>
  <si>
    <t>Pieksämäki</t>
  </si>
  <si>
    <t>Pietarsaari (Wisapower Oy)</t>
  </si>
  <si>
    <t>Pihlava</t>
  </si>
  <si>
    <t>Pirttikoski</t>
  </si>
  <si>
    <t>Pitkämö</t>
  </si>
  <si>
    <t>Pori</t>
  </si>
  <si>
    <t>Portimokoski</t>
  </si>
  <si>
    <t>Porttipahta</t>
  </si>
  <si>
    <t>Porvoo</t>
  </si>
  <si>
    <t>Porvoo Kilpilahti</t>
  </si>
  <si>
    <t>Porvoo kt 2</t>
  </si>
  <si>
    <t>Porvoo kt 3</t>
  </si>
  <si>
    <t>Porvoo Tolkkinen</t>
  </si>
  <si>
    <t>Posion CHP-laitos</t>
  </si>
  <si>
    <t>Puntarikoski</t>
  </si>
  <si>
    <t>Pursiala 1</t>
  </si>
  <si>
    <t>Pursiala 2</t>
  </si>
  <si>
    <t>Puulaakso</t>
  </si>
  <si>
    <t>Pyhäkoski</t>
  </si>
  <si>
    <t>Pyhännänkoski</t>
  </si>
  <si>
    <t>Pälli</t>
  </si>
  <si>
    <t>Raahe</t>
  </si>
  <si>
    <t>Raasakka</t>
  </si>
  <si>
    <t>Raisio</t>
  </si>
  <si>
    <t>Rauhalahti</t>
  </si>
  <si>
    <t>Rauma</t>
  </si>
  <si>
    <t>Rengon saha</t>
  </si>
  <si>
    <t>Riihimäki (Ekokem)</t>
  </si>
  <si>
    <t>Riikinvoima</t>
  </si>
  <si>
    <t>Ristiina</t>
  </si>
  <si>
    <t>Ruskeakoski</t>
  </si>
  <si>
    <t>Ruusutarhat</t>
  </si>
  <si>
    <t>Röyttä, Tornion tehtaat, 11 generaattoria</t>
  </si>
  <si>
    <t>Saario</t>
  </si>
  <si>
    <t>Sallila</t>
  </si>
  <si>
    <t>Salmisaari B</t>
  </si>
  <si>
    <t>Salo</t>
  </si>
  <si>
    <t>Savela</t>
  </si>
  <si>
    <t>Savio</t>
  </si>
  <si>
    <t>Savonlinna</t>
  </si>
  <si>
    <t>Seinäjoki (SEVO)</t>
  </si>
  <si>
    <t>Seitakorva</t>
  </si>
  <si>
    <t>Seitenoikea</t>
  </si>
  <si>
    <t>Siikakoski</t>
  </si>
  <si>
    <t>Siilinjärvi, V1 turb. ja vp turb.</t>
  </si>
  <si>
    <t>Simpele</t>
  </si>
  <si>
    <t>Siuronkoski</t>
  </si>
  <si>
    <t>Sodankylän varuskunta</t>
  </si>
  <si>
    <t>Soilu</t>
  </si>
  <si>
    <t>Soininkoski</t>
  </si>
  <si>
    <t>Sopenkorpi</t>
  </si>
  <si>
    <t>Sotkamo</t>
  </si>
  <si>
    <t>Stadsforsens Kraftverk</t>
  </si>
  <si>
    <t>Sunila</t>
  </si>
  <si>
    <t>Suomenojan voimalaitos</t>
  </si>
  <si>
    <t>Suosiola</t>
  </si>
  <si>
    <t>Säkylä</t>
  </si>
  <si>
    <t>Sälevä</t>
  </si>
  <si>
    <t>Sänkiaho</t>
  </si>
  <si>
    <t>Tahkoluoto</t>
  </si>
  <si>
    <t>Tahkoluoto kt</t>
  </si>
  <si>
    <t>Tainionkoski</t>
  </si>
  <si>
    <t>Taivalkoski</t>
  </si>
  <si>
    <t>Tako T2 ja T5</t>
  </si>
  <si>
    <t>Tammerkoski</t>
  </si>
  <si>
    <t>Tammervoima</t>
  </si>
  <si>
    <t>Tampella ve</t>
  </si>
  <si>
    <t>Tervakoski lä</t>
  </si>
  <si>
    <t>Tervasaari lä</t>
  </si>
  <si>
    <t>Tervasaari ve</t>
  </si>
  <si>
    <t>Tiihala</t>
  </si>
  <si>
    <t>Toholampi</t>
  </si>
  <si>
    <t>Tolkkinen 1</t>
  </si>
  <si>
    <t>Tolkkinen, Biolaitos</t>
  </si>
  <si>
    <t>Topinojan Biokaasulaitos</t>
  </si>
  <si>
    <t>Toppila 1</t>
  </si>
  <si>
    <t>Toppila 2</t>
  </si>
  <si>
    <t>Tornio</t>
  </si>
  <si>
    <t>Tyrvää</t>
  </si>
  <si>
    <t>Uimaharju 2 + 1 vp/lv</t>
  </si>
  <si>
    <t>Uljua</t>
  </si>
  <si>
    <t>Utanen</t>
  </si>
  <si>
    <t>Uusikaupunki</t>
  </si>
  <si>
    <t>Vaaja</t>
  </si>
  <si>
    <t>Vaasa</t>
  </si>
  <si>
    <t>Vajukoski</t>
  </si>
  <si>
    <t>Valajaskoski</t>
  </si>
  <si>
    <t>Vanaja kt 1</t>
  </si>
  <si>
    <t>Vantaan jätevoimala</t>
  </si>
  <si>
    <t>Vanttauskoski</t>
  </si>
  <si>
    <t>Varissaari</t>
  </si>
  <si>
    <t xml:space="preserve">Varkaus lä </t>
  </si>
  <si>
    <t>Vaskiluoto 2</t>
  </si>
  <si>
    <t>Vaskiluoto 3</t>
  </si>
  <si>
    <t>Vaskiluoto kt</t>
  </si>
  <si>
    <t>Waskiluoto Validation Center</t>
  </si>
  <si>
    <t>Vatajankoski</t>
  </si>
  <si>
    <t>Vehmaa</t>
  </si>
  <si>
    <t>Veitsiluoto</t>
  </si>
  <si>
    <t>Venetpalo</t>
  </si>
  <si>
    <t>Verla 1 ja 2</t>
  </si>
  <si>
    <t>Westenergy jätteenpolttolaitos</t>
  </si>
  <si>
    <t>Vihtakoski</t>
  </si>
  <si>
    <t>Viikinmäki</t>
  </si>
  <si>
    <t>Vilppulan saha</t>
  </si>
  <si>
    <t>Voikkaa ve 1</t>
  </si>
  <si>
    <t>Voikkaa ve 2</t>
  </si>
  <si>
    <t>Vuolenkoski ve</t>
  </si>
  <si>
    <t>Vuosaari A</t>
  </si>
  <si>
    <t>Vuosaari B</t>
  </si>
  <si>
    <t>Värnå</t>
  </si>
  <si>
    <t>Wärtsilä tehdas</t>
  </si>
  <si>
    <t>Vääräkoski</t>
  </si>
  <si>
    <t>Ylivieska</t>
  </si>
  <si>
    <t>Åminnefors</t>
  </si>
  <si>
    <t>Äetsä</t>
  </si>
  <si>
    <t>Ämmä</t>
  </si>
  <si>
    <t>Ämmäkoski</t>
  </si>
  <si>
    <t>Ämmässuo</t>
  </si>
  <si>
    <t>Ämmässuo 2</t>
  </si>
  <si>
    <t>Äänekoski ht</t>
  </si>
  <si>
    <t>Äänekoski ve</t>
  </si>
  <si>
    <t>Äänekoski, Biotuotetehdas</t>
  </si>
  <si>
    <t>ABOÑO 1</t>
  </si>
  <si>
    <t>aboño 2</t>
  </si>
  <si>
    <t>SOTO RIBERA 3</t>
  </si>
  <si>
    <t>TRILLO</t>
  </si>
  <si>
    <t>LA BARCA 1</t>
  </si>
  <si>
    <t>LA BARCA 2</t>
  </si>
  <si>
    <t>LA BARCA 3</t>
  </si>
  <si>
    <t>FLORIDA 1</t>
  </si>
  <si>
    <t>FLORIDA 2</t>
  </si>
  <si>
    <t>FLORIDA 3</t>
  </si>
  <si>
    <t>LAVIANA 1</t>
  </si>
  <si>
    <t>LAVIANA 2</t>
  </si>
  <si>
    <t>LAVIANA 3</t>
  </si>
  <si>
    <t>LA MALVA 1</t>
  </si>
  <si>
    <t>LA MALVA 2</t>
  </si>
  <si>
    <t>LA MALVA 3</t>
  </si>
  <si>
    <t>LA MALVA 4</t>
  </si>
  <si>
    <t>MIRANDA 1</t>
  </si>
  <si>
    <t>MIRANDA 2</t>
  </si>
  <si>
    <t>MIRANDA 3</t>
  </si>
  <si>
    <t>MIRANDA 4</t>
  </si>
  <si>
    <t>PRIAÑES 1</t>
  </si>
  <si>
    <t>PRIAÑES 2</t>
  </si>
  <si>
    <t>PRIAÑES 3</t>
  </si>
  <si>
    <t>PROAZA 1</t>
  </si>
  <si>
    <t>PROAZA 2</t>
  </si>
  <si>
    <t>LA RIERA 1</t>
  </si>
  <si>
    <t>LA RIERA 2</t>
  </si>
  <si>
    <t>LA RIERA 3</t>
  </si>
  <si>
    <t>SALIME 1</t>
  </si>
  <si>
    <t>SALIME 2</t>
  </si>
  <si>
    <t>SALIME 3</t>
  </si>
  <si>
    <t>SALIME 4</t>
  </si>
  <si>
    <t>TANES 1</t>
  </si>
  <si>
    <t>TANES 2</t>
  </si>
  <si>
    <t>CN ALMARAZ 1</t>
  </si>
  <si>
    <t>CN ALMARAZ 2</t>
  </si>
  <si>
    <t>ASCÓ GR 2</t>
  </si>
  <si>
    <t>CN COFRENTES</t>
  </si>
  <si>
    <t>CT ESCOMBRERAS 4</t>
  </si>
  <si>
    <t>CT ESCOMBRERAS 5</t>
  </si>
  <si>
    <t>CT GUARDO 1</t>
  </si>
  <si>
    <t>CT GUARDO 2</t>
  </si>
  <si>
    <t>CT LADA 4</t>
  </si>
  <si>
    <t>CT SANTURCE 1</t>
  </si>
  <si>
    <t>CT SANTURCE 2</t>
  </si>
  <si>
    <t>VANDELLÓS GR 2</t>
  </si>
  <si>
    <t>ABARAN 1</t>
  </si>
  <si>
    <t>ABARAN 2</t>
  </si>
  <si>
    <t>ACECA 1, CH</t>
  </si>
  <si>
    <t>ACECA 2, CH</t>
  </si>
  <si>
    <t>ACECA 3, CH</t>
  </si>
  <si>
    <t>ACERA DE LA VEGA 1</t>
  </si>
  <si>
    <t>ACERA DE LA VEGA 2</t>
  </si>
  <si>
    <t>Nª Sª DEL AGAVANZAL 1</t>
  </si>
  <si>
    <t>Nª Sª DEL AGAVANZAL 2</t>
  </si>
  <si>
    <t>Nª Sª DEL AGAVANZAL 3</t>
  </si>
  <si>
    <t>EL AGUILA 1</t>
  </si>
  <si>
    <t>EL AGUILA 2</t>
  </si>
  <si>
    <t>ALCALA DEL JUCAR 1</t>
  </si>
  <si>
    <t>ALCALA DEL JUCAR 2</t>
  </si>
  <si>
    <t>ALDEADAVILA I 1</t>
  </si>
  <si>
    <t>ALDEADAVILA I 2</t>
  </si>
  <si>
    <t>ALDEADAVILA I 3</t>
  </si>
  <si>
    <t>ALDEADAVILA I 4</t>
  </si>
  <si>
    <t>ALDEADAVILA I 5</t>
  </si>
  <si>
    <t>ALDEADAVILA I 6</t>
  </si>
  <si>
    <t>ALDEADAVILA II 1</t>
  </si>
  <si>
    <t>ALDEADAVILA II 2</t>
  </si>
  <si>
    <t>ALLOZ 1</t>
  </si>
  <si>
    <t>ALLOZ 2</t>
  </si>
  <si>
    <t>ALMADENES 1</t>
  </si>
  <si>
    <t>ALMADENES 2</t>
  </si>
  <si>
    <t>ALMADENES 3</t>
  </si>
  <si>
    <t>ALMADENES 4</t>
  </si>
  <si>
    <t>AMBASAGUAS 1</t>
  </si>
  <si>
    <t>AMBASAGUAS 2</t>
  </si>
  <si>
    <t>AMBASAGUAS 3</t>
  </si>
  <si>
    <t>ANGUIANO 1</t>
  </si>
  <si>
    <t>ANGUIANO 2</t>
  </si>
  <si>
    <t>ANGUIANO 3</t>
  </si>
  <si>
    <t>LAS CUEVAS 1</t>
  </si>
  <si>
    <t>LAS CUEVAS 2</t>
  </si>
  <si>
    <t>ANTOÑANA 1</t>
  </si>
  <si>
    <t>ANTOÑANA 2</t>
  </si>
  <si>
    <t>ARCHENA</t>
  </si>
  <si>
    <t>ARENZANA 1</t>
  </si>
  <si>
    <t>ARENZANA 2</t>
  </si>
  <si>
    <t>ARIZMENDI</t>
  </si>
  <si>
    <t>ARRAMBIDE 1</t>
  </si>
  <si>
    <t>ARRAMBIDE 2</t>
  </si>
  <si>
    <t>ARRAMBIDE 3</t>
  </si>
  <si>
    <t>ARROLLANDIETA</t>
  </si>
  <si>
    <t>ARTESIAGA 1</t>
  </si>
  <si>
    <t>ARTESIAGA 2</t>
  </si>
  <si>
    <t>AZUTAN 1</t>
  </si>
  <si>
    <t>AZUTAN 2</t>
  </si>
  <si>
    <t>AZUTAN 3</t>
  </si>
  <si>
    <t>BARAZAR 1</t>
  </si>
  <si>
    <t>BARAZAR 2</t>
  </si>
  <si>
    <t>BARAZAR 3</t>
  </si>
  <si>
    <t>BATAN 1</t>
  </si>
  <si>
    <t>BATANEJO</t>
  </si>
  <si>
    <t>BENAGEBER 1</t>
  </si>
  <si>
    <t>BENAGEBER 2</t>
  </si>
  <si>
    <t>BERGANZO 1</t>
  </si>
  <si>
    <t>BERGANZO 2</t>
  </si>
  <si>
    <t>BERROCALILLO 1</t>
  </si>
  <si>
    <t>BOLINCHES</t>
  </si>
  <si>
    <t>BORBOLLON</t>
  </si>
  <si>
    <t>EL BOSQUE 1</t>
  </si>
  <si>
    <t>EL BOSQUE 2</t>
  </si>
  <si>
    <t>BUGARRA 1</t>
  </si>
  <si>
    <t>BUGARRA 2</t>
  </si>
  <si>
    <t>CABRIANA 1</t>
  </si>
  <si>
    <t>CABRIANA 2</t>
  </si>
  <si>
    <t>CABRIANA 3</t>
  </si>
  <si>
    <t>CABRIANA 4</t>
  </si>
  <si>
    <t>CAÑAVEROSA 1</t>
  </si>
  <si>
    <t>CAÑAVEROSA 2</t>
  </si>
  <si>
    <t>CAÑAVEROSA 3</t>
  </si>
  <si>
    <t>LOS CANTOS 1</t>
  </si>
  <si>
    <t>LOS CANTOS 2</t>
  </si>
  <si>
    <t>CASEDA 1</t>
  </si>
  <si>
    <t>CASEDA 2</t>
  </si>
  <si>
    <t>EL CASTILLEJO 1</t>
  </si>
  <si>
    <t>EL CASTILLEJO 2</t>
  </si>
  <si>
    <t>CASTRO I 1</t>
  </si>
  <si>
    <t>CASTRO I 2</t>
  </si>
  <si>
    <t>CASTRO II</t>
  </si>
  <si>
    <t>CEDILLO 1</t>
  </si>
  <si>
    <t>CEDILLO 2</t>
  </si>
  <si>
    <t>CEDILLO 3</t>
  </si>
  <si>
    <t>CEDILLO 4</t>
  </si>
  <si>
    <t>CERNADILLA</t>
  </si>
  <si>
    <t>CERNADO</t>
  </si>
  <si>
    <t>CHANDREJA 1</t>
  </si>
  <si>
    <t>CHANDREJA 2</t>
  </si>
  <si>
    <t>CHIRRISQUIN 1</t>
  </si>
  <si>
    <t>CHORRO DEL DUQUE</t>
  </si>
  <si>
    <t>CHULILLA 1</t>
  </si>
  <si>
    <t>CHULILLA 2</t>
  </si>
  <si>
    <t>CHULILLA 3</t>
  </si>
  <si>
    <t>CIRAT 1</t>
  </si>
  <si>
    <t>CIRAT 2</t>
  </si>
  <si>
    <t>COFRENTES 1</t>
  </si>
  <si>
    <t>COFRENTES 2</t>
  </si>
  <si>
    <t>COFRENTES 3</t>
  </si>
  <si>
    <t>COLMENAR 1</t>
  </si>
  <si>
    <t>COLMENAR 2</t>
  </si>
  <si>
    <t>COMPUERTO 1</t>
  </si>
  <si>
    <t>COMPUERTO 2</t>
  </si>
  <si>
    <t>CONSO 1</t>
  </si>
  <si>
    <t>CONSO 2</t>
  </si>
  <si>
    <t>CONSO 3</t>
  </si>
  <si>
    <t>CONTRERAS II 1</t>
  </si>
  <si>
    <t>CONTRERAS II 2</t>
  </si>
  <si>
    <t>CORTES II 1</t>
  </si>
  <si>
    <t>CORTES II 2</t>
  </si>
  <si>
    <t>EL CORTIJO, GRUPO 1</t>
  </si>
  <si>
    <t>EL CORTIJO, GRUPO 2</t>
  </si>
  <si>
    <t>CUERDA DEL POZO 1</t>
  </si>
  <si>
    <t>CUERDA DEL POZO 2</t>
  </si>
  <si>
    <t>LOS DORNAJOS 1</t>
  </si>
  <si>
    <t>LOS DORNAJOS 2</t>
  </si>
  <si>
    <t>EGUILLOR 1</t>
  </si>
  <si>
    <t>EGUILLOR 2</t>
  </si>
  <si>
    <t>EL BATÁN</t>
  </si>
  <si>
    <t>EL CABILDO 1</t>
  </si>
  <si>
    <t>EL CABILDO 2</t>
  </si>
  <si>
    <t>EL CASTELLAR 1</t>
  </si>
  <si>
    <t>EL CASTELLAR 2</t>
  </si>
  <si>
    <t>EL CORTIJO, GRUPO 3</t>
  </si>
  <si>
    <t>EL TORCIDO</t>
  </si>
  <si>
    <t>ENDARLAZA</t>
  </si>
  <si>
    <t>RICOBAYO 1</t>
  </si>
  <si>
    <t>RICOBAYO 2</t>
  </si>
  <si>
    <t>RICOBAYO 3</t>
  </si>
  <si>
    <t>RICOBAYO 4</t>
  </si>
  <si>
    <t>FUENROSARIO</t>
  </si>
  <si>
    <t>GABRIEL Y GALAN</t>
  </si>
  <si>
    <t>GALLIPIENZO 1</t>
  </si>
  <si>
    <t>GALLIPIENZO 2</t>
  </si>
  <si>
    <t>LOS GAVILANES 1</t>
  </si>
  <si>
    <t>LOS GAVILANES 2</t>
  </si>
  <si>
    <t>GESTALGAR 1</t>
  </si>
  <si>
    <t>GESTALGAR 2</t>
  </si>
  <si>
    <t>LA GOTERA</t>
  </si>
  <si>
    <t>GRANADA 1</t>
  </si>
  <si>
    <t>GRANADA 2</t>
  </si>
  <si>
    <t>GUIJO DE GRANADILLA 1</t>
  </si>
  <si>
    <t>GUIJO DE GRANADILLA 2</t>
  </si>
  <si>
    <t>GUISTOLAS</t>
  </si>
  <si>
    <t>GURIEZO INFERIOR 1</t>
  </si>
  <si>
    <t>GURIEZO INFERIOR 2</t>
  </si>
  <si>
    <t>GURIEZO SUPERIOR 1</t>
  </si>
  <si>
    <t>HIDRO 1</t>
  </si>
  <si>
    <t>HIDRO 2</t>
  </si>
  <si>
    <t>HIJAR 1</t>
  </si>
  <si>
    <t>HIJAR 2</t>
  </si>
  <si>
    <t>JOSE Mª ORIOL, GRUPO 1</t>
  </si>
  <si>
    <t>JOSE Mª ORIOL, GRUPO 2</t>
  </si>
  <si>
    <t>JOSE Mª ORIOL, GRUPO 3</t>
  </si>
  <si>
    <t>JOSE Mª ORIOL, GRUPO 4</t>
  </si>
  <si>
    <t>LA GOSALVEZ</t>
  </si>
  <si>
    <t>LA LOSA 1</t>
  </si>
  <si>
    <t>LA LOSA 2</t>
  </si>
  <si>
    <t>LA LOSA 3</t>
  </si>
  <si>
    <t>LA MANCHEGA</t>
  </si>
  <si>
    <t>LA MARMOTA 1</t>
  </si>
  <si>
    <t>LA MARMOTA 2</t>
  </si>
  <si>
    <t>LA MUELA CORTES 1</t>
  </si>
  <si>
    <t>LA MUELA CORTES 2</t>
  </si>
  <si>
    <t>LA MUELA CORTES 3</t>
  </si>
  <si>
    <t>LAS GRAJAS 1</t>
  </si>
  <si>
    <t>LAS GRAJAS 2</t>
  </si>
  <si>
    <t>LEIZA 1</t>
  </si>
  <si>
    <t>LEIZA 2</t>
  </si>
  <si>
    <t>LEIZARAN</t>
  </si>
  <si>
    <t>LORCHA</t>
  </si>
  <si>
    <t>LOS BATANEJOS</t>
  </si>
  <si>
    <t>LOS NUEVOS 1</t>
  </si>
  <si>
    <t>LOS NUEVOS 2</t>
  </si>
  <si>
    <t>LOZABIAN</t>
  </si>
  <si>
    <t>LUCAS DE URQUIJO 1</t>
  </si>
  <si>
    <t>LUCAS DE URQUIJO 2</t>
  </si>
  <si>
    <t>LUCAS DE URQUIJO 3</t>
  </si>
  <si>
    <t>LUCAS DE URQUIJO 4</t>
  </si>
  <si>
    <t>LUGAN 1</t>
  </si>
  <si>
    <t>LUGAN 2</t>
  </si>
  <si>
    <t>MAÑERU 1</t>
  </si>
  <si>
    <t>MAÑERU 2</t>
  </si>
  <si>
    <t>MANISES 1</t>
  </si>
  <si>
    <t>MANSILLA 1</t>
  </si>
  <si>
    <t>MANSILLA 2</t>
  </si>
  <si>
    <t>MENDARAZ 1</t>
  </si>
  <si>
    <t>MENDARAZ 2</t>
  </si>
  <si>
    <t>EL MENJU</t>
  </si>
  <si>
    <t>LA MILAGROSA 3</t>
  </si>
  <si>
    <t>MILLER 1</t>
  </si>
  <si>
    <t>MILLER 2</t>
  </si>
  <si>
    <t>MILLER 3</t>
  </si>
  <si>
    <t>CONTRERAS MIRASOL 1</t>
  </si>
  <si>
    <t>CONTRERAS MIRASOL 2</t>
  </si>
  <si>
    <t>MOLINO DE SANTIAGO</t>
  </si>
  <si>
    <t>MONTEFURADO 1</t>
  </si>
  <si>
    <t>MONTEFURADO 2</t>
  </si>
  <si>
    <t>MONTEFURADO 3</t>
  </si>
  <si>
    <t>MORANCHEL 1</t>
  </si>
  <si>
    <t>MORANCHEL 2</t>
  </si>
  <si>
    <t>NAJERILLA 1</t>
  </si>
  <si>
    <t>NAJERILLA 2</t>
  </si>
  <si>
    <t>LAS NORIAS 1</t>
  </si>
  <si>
    <t>LAS NORIAS 2</t>
  </si>
  <si>
    <t>OIZ 1</t>
  </si>
  <si>
    <t>OIZ 2</t>
  </si>
  <si>
    <t>OJER Y MARCOS</t>
  </si>
  <si>
    <t>ONDA 1</t>
  </si>
  <si>
    <t>ONDA 2</t>
  </si>
  <si>
    <t>ORONOZ 1</t>
  </si>
  <si>
    <t>ORONOZ 2</t>
  </si>
  <si>
    <t>PANZARES 1</t>
  </si>
  <si>
    <t>PANZARES 2</t>
  </si>
  <si>
    <t>LA PEA 1</t>
  </si>
  <si>
    <t>LA PEA 2</t>
  </si>
  <si>
    <t>LA PEA 4</t>
  </si>
  <si>
    <t>PEDRALBA 1</t>
  </si>
  <si>
    <t>PEDRALBA 2</t>
  </si>
  <si>
    <t>PENADEGUI 1</t>
  </si>
  <si>
    <t>PESQUERUELA 1</t>
  </si>
  <si>
    <t>PESQUERUELA 2</t>
  </si>
  <si>
    <t>EL PICAZO 1</t>
  </si>
  <si>
    <t>EL PICAZO 2</t>
  </si>
  <si>
    <t>PICOAGA 1</t>
  </si>
  <si>
    <t>PICOAGA 2</t>
  </si>
  <si>
    <t>PLAZAKOLA</t>
  </si>
  <si>
    <t>PONTENOVO 1</t>
  </si>
  <si>
    <t>PONTENOVO 2</t>
  </si>
  <si>
    <t>PONTENOVO 3</t>
  </si>
  <si>
    <t>PONTENOVO 4</t>
  </si>
  <si>
    <t>LAS PORTAS 1</t>
  </si>
  <si>
    <t>PORTLUX 1</t>
  </si>
  <si>
    <t>PORTLUX 2</t>
  </si>
  <si>
    <t>PUENTE BIBEY 1</t>
  </si>
  <si>
    <t>PUENTE BIBEY 2</t>
  </si>
  <si>
    <t>PUENTE BIBEY 3</t>
  </si>
  <si>
    <t>PUENTE BIBEY 4</t>
  </si>
  <si>
    <t>PUENTE BIBEY 5</t>
  </si>
  <si>
    <t>PUENTE CONGOSTO 1</t>
  </si>
  <si>
    <t>PUENTELARRA 1</t>
  </si>
  <si>
    <t>PUENTELARRA 2</t>
  </si>
  <si>
    <t>PUENTELARRA 3</t>
  </si>
  <si>
    <t>PUERTO SEGURO 1</t>
  </si>
  <si>
    <t>PUERTO SEGURO 2</t>
  </si>
  <si>
    <t>QUEILES I 1</t>
  </si>
  <si>
    <t>QUEILES I 2</t>
  </si>
  <si>
    <t>QUEILES II 1</t>
  </si>
  <si>
    <t>QUEILES II 2</t>
  </si>
  <si>
    <t>QUEILES II 3</t>
  </si>
  <si>
    <t>QUINTANA 1</t>
  </si>
  <si>
    <t>QUINTANILLA ESCALADA 1</t>
  </si>
  <si>
    <t>QUINTANILLA ESCALADA 2</t>
  </si>
  <si>
    <t>RECAJO 1</t>
  </si>
  <si>
    <t>RECAJO 2</t>
  </si>
  <si>
    <t>RECAJO 3</t>
  </si>
  <si>
    <t>LA RECUEJA 1</t>
  </si>
  <si>
    <t>LA RECUEJA 2</t>
  </si>
  <si>
    <t>REPRIMALA</t>
  </si>
  <si>
    <t>LA RETORNA 1</t>
  </si>
  <si>
    <t>LA RETORNA 2</t>
  </si>
  <si>
    <t>RIBESALBES 1</t>
  </si>
  <si>
    <t>RIBESALBES 2</t>
  </si>
  <si>
    <t>RIO MUERTO 1</t>
  </si>
  <si>
    <t>TORREJON 4</t>
  </si>
  <si>
    <t>ALBENTOSA 1</t>
  </si>
  <si>
    <t>ALBENTOSA 2</t>
  </si>
  <si>
    <t>SAN MARTIN</t>
  </si>
  <si>
    <t>SAN ANTOLIN 1</t>
  </si>
  <si>
    <t>SAN CLODIO</t>
  </si>
  <si>
    <t>SAN CRISTOBAL 1</t>
  </si>
  <si>
    <t>SAN CRISTOBAL 2</t>
  </si>
  <si>
    <t>SAN ESTEBAN 1</t>
  </si>
  <si>
    <t>SAN ESTEBAN 2</t>
  </si>
  <si>
    <t>SAN ESTEBAN 3</t>
  </si>
  <si>
    <t>SAN ESTEBAN 4</t>
  </si>
  <si>
    <t>SAN ESTEBAN 5</t>
  </si>
  <si>
    <t>SAN ESTEBAN 6</t>
  </si>
  <si>
    <t>SAN FAUSTO 1</t>
  </si>
  <si>
    <t>SAN FAUSTO 2</t>
  </si>
  <si>
    <t>SAN JOSE 1</t>
  </si>
  <si>
    <t>SAN JOSE 2</t>
  </si>
  <si>
    <t>SAN MIGUEL 1</t>
  </si>
  <si>
    <t>SAN MIGUEL 2</t>
  </si>
  <si>
    <t>SAN PEDRO 1</t>
  </si>
  <si>
    <t>SAN PEDRO 2</t>
  </si>
  <si>
    <t>SAN ROMAN 1</t>
  </si>
  <si>
    <t>SAN TIBURCIO</t>
  </si>
  <si>
    <t>SANGÜESA</t>
  </si>
  <si>
    <t>SANTA TERESA 1</t>
  </si>
  <si>
    <t>SANTA TERESA 2</t>
  </si>
  <si>
    <t>SANTIAGO-JARES 1</t>
  </si>
  <si>
    <t>SANTIAGO-JARES 2</t>
  </si>
  <si>
    <t>SANTIAGO-SIL 1</t>
  </si>
  <si>
    <t>SANTIAGO-SIL 2</t>
  </si>
  <si>
    <t>SANTIAGO-URUMEA 1</t>
  </si>
  <si>
    <t>SANTIAGO-URUMEA 2</t>
  </si>
  <si>
    <t>SANTIAGO-URUMEA 3</t>
  </si>
  <si>
    <t>SAUCELLE I 1</t>
  </si>
  <si>
    <t>SAUCELLE I 2</t>
  </si>
  <si>
    <t>SAUCELLE I 3</t>
  </si>
  <si>
    <t>SAUCELLE I 4</t>
  </si>
  <si>
    <t>SAUCELLE II 1</t>
  </si>
  <si>
    <t>SAUCELLE II 2</t>
  </si>
  <si>
    <t>SEQUEIROS 1</t>
  </si>
  <si>
    <t>SEQUEIROS 2</t>
  </si>
  <si>
    <t>SEQUEIROS 3</t>
  </si>
  <si>
    <t>SOBRADELO 1</t>
  </si>
  <si>
    <t>SOBRADELO 2</t>
  </si>
  <si>
    <t>SOBRON 1</t>
  </si>
  <si>
    <t>SOBRON 2</t>
  </si>
  <si>
    <t>EL SOLVENTE 2</t>
  </si>
  <si>
    <t>SOTO ALBUREZ</t>
  </si>
  <si>
    <t>SOUTELO 1</t>
  </si>
  <si>
    <t>SOUTELO 2</t>
  </si>
  <si>
    <t>TORREJON 1</t>
  </si>
  <si>
    <t>TORREJON 2</t>
  </si>
  <si>
    <t>TORREJON 3</t>
  </si>
  <si>
    <t>TRANCO DEL LOBO 1</t>
  </si>
  <si>
    <t>TRANCO DEL LOBO 2</t>
  </si>
  <si>
    <t>TRANCO DEL LOBO 3</t>
  </si>
  <si>
    <t>TRESPADERNE 1</t>
  </si>
  <si>
    <t>TRESPADERNE 2</t>
  </si>
  <si>
    <t>ULEA</t>
  </si>
  <si>
    <t>ULLIVARRI-GAMBOA 1</t>
  </si>
  <si>
    <t>URROZ 1</t>
  </si>
  <si>
    <t>URROZ 2</t>
  </si>
  <si>
    <t>VALDECAÑAS 1</t>
  </si>
  <si>
    <t>VALDECAÑAS 2</t>
  </si>
  <si>
    <t>VALDECAÑAS 3</t>
  </si>
  <si>
    <t>VALDEOBISPO 1</t>
  </si>
  <si>
    <t>VALDEOBISPO 2</t>
  </si>
  <si>
    <t>VALLAT 1</t>
  </si>
  <si>
    <t>VALLAT 2</t>
  </si>
  <si>
    <t>VALPARAISO 1</t>
  </si>
  <si>
    <t>VALPARAISO 2</t>
  </si>
  <si>
    <t>VEGACERVERA 1</t>
  </si>
  <si>
    <t>VEGACERVERA 2</t>
  </si>
  <si>
    <t>VENTAS DE YANCI 1</t>
  </si>
  <si>
    <t>VENTAS DE YANCI 2</t>
  </si>
  <si>
    <t>VENTAS DE YANCI 3</t>
  </si>
  <si>
    <t>VENTAS DE YANCI 4</t>
  </si>
  <si>
    <t>VERA DE BIDASOA 1</t>
  </si>
  <si>
    <t>VERA DE BIDASOA 2</t>
  </si>
  <si>
    <t>VILLAGONZALO 1</t>
  </si>
  <si>
    <t>VILLAGONZALO 2</t>
  </si>
  <si>
    <t>VILLALBA 1</t>
  </si>
  <si>
    <t>VILLALBA 2</t>
  </si>
  <si>
    <t>VILLALCAMPO I 1</t>
  </si>
  <si>
    <t>VILLALCAMPO I 2</t>
  </si>
  <si>
    <t>VILLALCAMPO I 3</t>
  </si>
  <si>
    <t>VILLALCAMPO II</t>
  </si>
  <si>
    <t>LOS VILLANUEVAS 1</t>
  </si>
  <si>
    <t>LOS VILLANUEVAS 2</t>
  </si>
  <si>
    <t>LOS VILLANUEVAS 3</t>
  </si>
  <si>
    <t>VILLARREAL</t>
  </si>
  <si>
    <t>VILLARINO 1</t>
  </si>
  <si>
    <t>VILLARINO 2</t>
  </si>
  <si>
    <t>VILLARINO 3</t>
  </si>
  <si>
    <t>VILLARINO 4</t>
  </si>
  <si>
    <t>VILLARINO 5</t>
  </si>
  <si>
    <t>VILLARINO 6</t>
  </si>
  <si>
    <t>VIRGEN DEL PILAR 2</t>
  </si>
  <si>
    <t>VOZMEDIANO 1</t>
  </si>
  <si>
    <t>YANCI II 1</t>
  </si>
  <si>
    <t>YANCI II 2</t>
  </si>
  <si>
    <t>YESA</t>
  </si>
  <si>
    <t>ZABURDON</t>
  </si>
  <si>
    <t>ZUBIETA 1</t>
  </si>
  <si>
    <t>ZUBIETA 2</t>
  </si>
  <si>
    <t>ZUMARRESTA 1</t>
  </si>
  <si>
    <t>ZUMARRESTA 2</t>
  </si>
  <si>
    <t>ASCÓ GR 1</t>
  </si>
  <si>
    <t>LOS BARRIOS</t>
  </si>
  <si>
    <t>COMPOSTILLA II GR 3</t>
  </si>
  <si>
    <t>COMPOSTILLA II GR 4</t>
  </si>
  <si>
    <t>COMPOSTILLA II GR 5</t>
  </si>
  <si>
    <t>ESCATRÓN GR 5</t>
  </si>
  <si>
    <t>LITORAL DE ALMERÍA GR 1</t>
  </si>
  <si>
    <t>LITORAL DE ALMERÍA GR 2</t>
  </si>
  <si>
    <t>PUENTE NUEVO GR 3</t>
  </si>
  <si>
    <t>PUENTES GR 1</t>
  </si>
  <si>
    <t>PUENTES GR 2</t>
  </si>
  <si>
    <t>PUENTES GR 3</t>
  </si>
  <si>
    <t>PUENTES GR 4</t>
  </si>
  <si>
    <t>TERUEL GR 1</t>
  </si>
  <si>
    <t>TERUEL GR 2</t>
  </si>
  <si>
    <t>TERUEL GR 3</t>
  </si>
  <si>
    <t>BÁRCENA GR 1</t>
  </si>
  <si>
    <t>BÁRCENA GR 2</t>
  </si>
  <si>
    <t>CORNATEL GR 1</t>
  </si>
  <si>
    <t>CORNATEL GR 2</t>
  </si>
  <si>
    <t>EUME GR 1</t>
  </si>
  <si>
    <t>EUME GR 2</t>
  </si>
  <si>
    <t>LAS ONDINAS GR 1</t>
  </si>
  <si>
    <t>LAS ONDINAS GR 2</t>
  </si>
  <si>
    <t>PEÑADRADA GR 1</t>
  </si>
  <si>
    <t>PEÑADRADA GR 2</t>
  </si>
  <si>
    <t>PORTO GR 1</t>
  </si>
  <si>
    <t>PRADA GR 1</t>
  </si>
  <si>
    <t>PRADA GR 2</t>
  </si>
  <si>
    <t>QUEREÑO GR 1</t>
  </si>
  <si>
    <t>QUEREÑO GR 2</t>
  </si>
  <si>
    <t>LA REMOLINA GR 1</t>
  </si>
  <si>
    <t>LA REMOLINA GR 2</t>
  </si>
  <si>
    <t>RIBADELAGO GR 1</t>
  </si>
  <si>
    <t>RIBADELAGO GR 2</t>
  </si>
  <si>
    <t>RIBADELAGO GR 3</t>
  </si>
  <si>
    <t>RIBADELAGO GR 4</t>
  </si>
  <si>
    <t>LA RIBEIRA GR 1</t>
  </si>
  <si>
    <t>RIOSCURO GR 1</t>
  </si>
  <si>
    <t>RIOSCURO GR 2</t>
  </si>
  <si>
    <t>SAN AGUSTÍN GR 1</t>
  </si>
  <si>
    <t>SAN AGUSTÍN GR 2</t>
  </si>
  <si>
    <t>SAN SEBASTIÁN GR 1</t>
  </si>
  <si>
    <t>SAN SEBASTIÁN GR 2</t>
  </si>
  <si>
    <t>SANTA MARINA GR 1</t>
  </si>
  <si>
    <t>SANTA MARINA GR 2</t>
  </si>
  <si>
    <t>SANTA MARINA GR 3</t>
  </si>
  <si>
    <t>TREGURA 2</t>
  </si>
  <si>
    <t>CAMARMEÑA 2</t>
  </si>
  <si>
    <t>ALCALÁ DEL RÍO 3</t>
  </si>
  <si>
    <t>ALCALÁ DEL RÍO 2</t>
  </si>
  <si>
    <t>BEMBEZAR</t>
  </si>
  <si>
    <t>BUITRERAS 1</t>
  </si>
  <si>
    <t>BUITRERAS 2</t>
  </si>
  <si>
    <t>BUITRERAS 3</t>
  </si>
  <si>
    <t>CALA 1</t>
  </si>
  <si>
    <t>CALA 2</t>
  </si>
  <si>
    <t>CANALES</t>
  </si>
  <si>
    <t>CANTILLANA 1</t>
  </si>
  <si>
    <t>CANTILLANA 2</t>
  </si>
  <si>
    <t>EL CARPIO 1</t>
  </si>
  <si>
    <t>EL CARPIO 2</t>
  </si>
  <si>
    <t>EL CARPIO 3</t>
  </si>
  <si>
    <t>CÁZULAS</t>
  </si>
  <si>
    <t>CHÍLLAR</t>
  </si>
  <si>
    <t>CIJARA M. IZDA. 1</t>
  </si>
  <si>
    <t>CIJARA M. IZDA. 2</t>
  </si>
  <si>
    <t>CIJARA M. IZDA. 3</t>
  </si>
  <si>
    <t>CIJARA M. DCHA. 1</t>
  </si>
  <si>
    <t>EL CORCHADO 1</t>
  </si>
  <si>
    <t>EL CORCHADO 2</t>
  </si>
  <si>
    <t>EL CORCHADO 3</t>
  </si>
  <si>
    <t>CORDOBILLA 1</t>
  </si>
  <si>
    <t>CORDOBILLA 2</t>
  </si>
  <si>
    <t>CORDOBILLA 3</t>
  </si>
  <si>
    <t>DILAR 1</t>
  </si>
  <si>
    <t>DILAR 2</t>
  </si>
  <si>
    <t>DOÑA ALDONZA 1</t>
  </si>
  <si>
    <t>DOÑA ALDONZA 2</t>
  </si>
  <si>
    <t>DUQUE</t>
  </si>
  <si>
    <t>DÚRCAL 1</t>
  </si>
  <si>
    <t>DÚRCAL 2</t>
  </si>
  <si>
    <t>ENCINAREJO 1</t>
  </si>
  <si>
    <t>ENCINAREJO 2</t>
  </si>
  <si>
    <t>GOBANTES</t>
  </si>
  <si>
    <t>GUADALÉN</t>
  </si>
  <si>
    <t>GUADALMELLATO</t>
  </si>
  <si>
    <t>GUADALMENA</t>
  </si>
  <si>
    <t>GUILLENA 1</t>
  </si>
  <si>
    <t>GUILLENA 2</t>
  </si>
  <si>
    <t>GUILLENA 3</t>
  </si>
  <si>
    <t>IZNAJAR 1</t>
  </si>
  <si>
    <t>IZNAJAR 2</t>
  </si>
  <si>
    <t>JÁNDULA 1</t>
  </si>
  <si>
    <t>JÁNDULA 2</t>
  </si>
  <si>
    <t>JÁNDULA 3</t>
  </si>
  <si>
    <t>JAUJA 1</t>
  </si>
  <si>
    <t>JAUJA 2</t>
  </si>
  <si>
    <t>JAUJA 3</t>
  </si>
  <si>
    <t>LA SERENA</t>
  </si>
  <si>
    <t>MARMOLEJO 1</t>
  </si>
  <si>
    <t>MARMOLEJO 2</t>
  </si>
  <si>
    <t>MENGIBAR 1</t>
  </si>
  <si>
    <t>MENGIBAR 2</t>
  </si>
  <si>
    <t>MENGIBAR 3</t>
  </si>
  <si>
    <t>NACIMIENTO 1</t>
  </si>
  <si>
    <t>NACIMIENTO 2</t>
  </si>
  <si>
    <t>NEGRATÍN</t>
  </si>
  <si>
    <t>NUEVO CASTILLO</t>
  </si>
  <si>
    <t>NUEVO CHORRO</t>
  </si>
  <si>
    <t>ORELLANA PIE DE PRESA</t>
  </si>
  <si>
    <t>ORELLANA CANAL</t>
  </si>
  <si>
    <t>LOS ORGANOS 1</t>
  </si>
  <si>
    <t>LOS ORGANOS 2</t>
  </si>
  <si>
    <t>PAMPANEIRA</t>
  </si>
  <si>
    <t>PAREDONES 1</t>
  </si>
  <si>
    <t>PAREDONES 2</t>
  </si>
  <si>
    <t>PEDRO MARÍN 1</t>
  </si>
  <si>
    <t>PEDRO MARÍN 2</t>
  </si>
  <si>
    <t>PINTADO 1</t>
  </si>
  <si>
    <t>PINTADO 2</t>
  </si>
  <si>
    <t>PINTADO 3</t>
  </si>
  <si>
    <t>POQUEIRA 1</t>
  </si>
  <si>
    <t>POQUEIRA 2</t>
  </si>
  <si>
    <t>PUERTO PEÑA 1</t>
  </si>
  <si>
    <t>PUERTO PEÑA 2</t>
  </si>
  <si>
    <t>PUERTO PEÑA 3</t>
  </si>
  <si>
    <t>RACIONEROS 1</t>
  </si>
  <si>
    <t>RACIONEROS 2</t>
  </si>
  <si>
    <t>RONDA 1</t>
  </si>
  <si>
    <t>RONDA 2</t>
  </si>
  <si>
    <t>SAN AUGUSTO 1</t>
  </si>
  <si>
    <t>SAN AUGUSTO 2</t>
  </si>
  <si>
    <t>SAN AUGUSTO 3</t>
  </si>
  <si>
    <t>SAN CALIXTO 2</t>
  </si>
  <si>
    <t>SAN CALIXTO 1</t>
  </si>
  <si>
    <t>SAN PASCUAL 1</t>
  </si>
  <si>
    <t>SAN PASCUAL 2</t>
  </si>
  <si>
    <t>SAN RAMÓN</t>
  </si>
  <si>
    <t>TAJO DE LA ENCANTADA 1</t>
  </si>
  <si>
    <t>TAJO DE LA ENCANTADA 2</t>
  </si>
  <si>
    <t>TAJO DE LA ENCANTADA 3</t>
  </si>
  <si>
    <t>TAJO DE LA ENCANTADA 4</t>
  </si>
  <si>
    <t>TRANCO DE BEAS 1</t>
  </si>
  <si>
    <t>TRANCO DE BEAS 2</t>
  </si>
  <si>
    <t>TRANCO DE BEAS 3</t>
  </si>
  <si>
    <t>VALTODANO 1</t>
  </si>
  <si>
    <t>VALTODANO 2</t>
  </si>
  <si>
    <t>VALTODANO 3</t>
  </si>
  <si>
    <t>LA VEGA 1</t>
  </si>
  <si>
    <t>LA VEGA 2</t>
  </si>
  <si>
    <t>VILLAFRANCA 1</t>
  </si>
  <si>
    <t>VILLAFRANCA 2</t>
  </si>
  <si>
    <t>ZÚJAR 1</t>
  </si>
  <si>
    <t>ZÚJAR 2</t>
  </si>
  <si>
    <t>AIGUAMOIX</t>
  </si>
  <si>
    <t>ARTIES 1</t>
  </si>
  <si>
    <t>ARTIES 2</t>
  </si>
  <si>
    <t>BALAGUER</t>
  </si>
  <si>
    <t>BARRADOS</t>
  </si>
  <si>
    <t>BENOS 1</t>
  </si>
  <si>
    <t>BENOS 2</t>
  </si>
  <si>
    <t>BOSSOST 1</t>
  </si>
  <si>
    <t>BOSSOST 2</t>
  </si>
  <si>
    <t>CAPDELLA II 1</t>
  </si>
  <si>
    <t>CAPDELLA II 2</t>
  </si>
  <si>
    <t>CAPDELLA II 3</t>
  </si>
  <si>
    <t>CAPDELLA II 4</t>
  </si>
  <si>
    <t>CAPDELLA II 5</t>
  </si>
  <si>
    <t>CAMARASA II 1</t>
  </si>
  <si>
    <t>CAMARASA II 2</t>
  </si>
  <si>
    <t>CAMARASA II 3</t>
  </si>
  <si>
    <t>CAMARASA II 4</t>
  </si>
  <si>
    <t>ESTANY GENTO-SALLENTE 1</t>
  </si>
  <si>
    <t>ESTANY GENTO-SALLENTE 2</t>
  </si>
  <si>
    <t>ESTANY GENTO-SALLENTE 3</t>
  </si>
  <si>
    <t>ESTANY GENTO-SALLENTE 4</t>
  </si>
  <si>
    <t>FLIX 1</t>
  </si>
  <si>
    <t>FLIX 2</t>
  </si>
  <si>
    <t>FLIX 3</t>
  </si>
  <si>
    <t>FLIX 4</t>
  </si>
  <si>
    <t>GAVET 1</t>
  </si>
  <si>
    <t>GAVET 2</t>
  </si>
  <si>
    <t>JUEU</t>
  </si>
  <si>
    <t>LA BAELLS</t>
  </si>
  <si>
    <t>LERIDA</t>
  </si>
  <si>
    <t>LLAVORSÍ CARDÓS 1</t>
  </si>
  <si>
    <t>LLAVORSÍ CARDÓS 2</t>
  </si>
  <si>
    <t>MONTAMARA 1</t>
  </si>
  <si>
    <t>MONTAMARA 2</t>
  </si>
  <si>
    <t>OLIANA 1</t>
  </si>
  <si>
    <t>OLIANA 2</t>
  </si>
  <si>
    <t>OLIANA 3</t>
  </si>
  <si>
    <t>POBLA II 1</t>
  </si>
  <si>
    <t>POBLA II 2</t>
  </si>
  <si>
    <t>PONT DE REI 1</t>
  </si>
  <si>
    <t>PONT DE REI 2</t>
  </si>
  <si>
    <t>SEROS II 1</t>
  </si>
  <si>
    <t>SEROS II 2</t>
  </si>
  <si>
    <t>SEROS II 3</t>
  </si>
  <si>
    <t>SEROS II 4</t>
  </si>
  <si>
    <t>TAVASCAN INFERIOR</t>
  </si>
  <si>
    <t>TAVASCAN SUPERIOR 1</t>
  </si>
  <si>
    <t>TAVASCAN SUPERIOR 2</t>
  </si>
  <si>
    <t>TALARN II 1</t>
  </si>
  <si>
    <t>TALARN II 2</t>
  </si>
  <si>
    <t>TALARN II 3</t>
  </si>
  <si>
    <t>TALARN II 4</t>
  </si>
  <si>
    <t>TERMENS</t>
  </si>
  <si>
    <t>TERRADETS 1</t>
  </si>
  <si>
    <t>TERRADETS 2</t>
  </si>
  <si>
    <t>TORAN</t>
  </si>
  <si>
    <t>VIELHA 1</t>
  </si>
  <si>
    <t>VIELHA 2</t>
  </si>
  <si>
    <t>BALIERA</t>
  </si>
  <si>
    <t>BASERCA</t>
  </si>
  <si>
    <t>BOADELLA PIE DE PRESA</t>
  </si>
  <si>
    <t>BOHI 1</t>
  </si>
  <si>
    <t>BOHI 2</t>
  </si>
  <si>
    <t>BONO 1</t>
  </si>
  <si>
    <t>BONO 2</t>
  </si>
  <si>
    <t>CALABUIG</t>
  </si>
  <si>
    <t>CALDES 1</t>
  </si>
  <si>
    <t>CALDES 2</t>
  </si>
  <si>
    <t>CANELLES 1</t>
  </si>
  <si>
    <t>CANELLES 2</t>
  </si>
  <si>
    <t>CANELLES 3</t>
  </si>
  <si>
    <t>ESCALES 1</t>
  </si>
  <si>
    <t>ESCALES 2</t>
  </si>
  <si>
    <t>ESCALES 3</t>
  </si>
  <si>
    <t>GRADO I 1</t>
  </si>
  <si>
    <t>GRADO I 2</t>
  </si>
  <si>
    <t>GRADO II 1</t>
  </si>
  <si>
    <t>GRADO II 2</t>
  </si>
  <si>
    <t>LES ILLES</t>
  </si>
  <si>
    <t>LLESP 1</t>
  </si>
  <si>
    <t>LLESP 2</t>
  </si>
  <si>
    <t>MEDIANO 1</t>
  </si>
  <si>
    <t>MEDIANO 2</t>
  </si>
  <si>
    <t>MEQUINENZA 1</t>
  </si>
  <si>
    <t>MEQUINENZA 2</t>
  </si>
  <si>
    <t>MEQUINENZA 3</t>
  </si>
  <si>
    <t>MEQUINENZA 4</t>
  </si>
  <si>
    <t>MOLI</t>
  </si>
  <si>
    <t>MONTESQUIU</t>
  </si>
  <si>
    <t>MORALETS 1</t>
  </si>
  <si>
    <t>MORALETS 2</t>
  </si>
  <si>
    <t>MORALETS 3</t>
  </si>
  <si>
    <t>ORFANS</t>
  </si>
  <si>
    <t>PONT DE SUERT 1</t>
  </si>
  <si>
    <t>PONT DE SUERT 2</t>
  </si>
  <si>
    <t>PUENTE MONTAÑANA 1</t>
  </si>
  <si>
    <t>PUENTE MONTAÑANA 2</t>
  </si>
  <si>
    <t>RIBA ROJA 1</t>
  </si>
  <si>
    <t>RIBA ROJA 2</t>
  </si>
  <si>
    <t>RIBA ROJA 3</t>
  </si>
  <si>
    <t>RIBA ROJA 4</t>
  </si>
  <si>
    <t>SANTA ANA 1</t>
  </si>
  <si>
    <t>SANTA ANA 2</t>
  </si>
  <si>
    <t>SENET 1</t>
  </si>
  <si>
    <t>SENET 2</t>
  </si>
  <si>
    <t>TREGURA 1</t>
  </si>
  <si>
    <t>VILALLER 1</t>
  </si>
  <si>
    <t>VILALLER 2</t>
  </si>
  <si>
    <t>AGUAYO 1</t>
  </si>
  <si>
    <t>AGUAYO 2</t>
  </si>
  <si>
    <t>AGUAYO 3</t>
  </si>
  <si>
    <t>AGUAYO 4</t>
  </si>
  <si>
    <t>AGUILAR 1</t>
  </si>
  <si>
    <t>AGUILAR 2</t>
  </si>
  <si>
    <t>ARBON 1</t>
  </si>
  <si>
    <t>ARBON 2</t>
  </si>
  <si>
    <t>ARENAS 1</t>
  </si>
  <si>
    <t>ARENAS 2</t>
  </si>
  <si>
    <t>BÁRCENA BESAYA 1</t>
  </si>
  <si>
    <t>BÁRCENA BESAYA 2</t>
  </si>
  <si>
    <t>BATÁN-RIOBARBA</t>
  </si>
  <si>
    <t>CAMARMEÑA 1</t>
  </si>
  <si>
    <t>GERDIZ</t>
  </si>
  <si>
    <t>CHAVÍN</t>
  </si>
  <si>
    <t>DOIRAS 1</t>
  </si>
  <si>
    <t>DOIRAS 2</t>
  </si>
  <si>
    <t>DOIRAS 3</t>
  </si>
  <si>
    <t>LA PARAYA 1</t>
  </si>
  <si>
    <t>LA PARAYA 2</t>
  </si>
  <si>
    <t>PIAGO DE MARTUL</t>
  </si>
  <si>
    <t>SILVON 1</t>
  </si>
  <si>
    <t>SILVON 2</t>
  </si>
  <si>
    <t>TORINA 1</t>
  </si>
  <si>
    <t>TORINA 2</t>
  </si>
  <si>
    <t>TORINA 3</t>
  </si>
  <si>
    <t>URDON 1</t>
  </si>
  <si>
    <t>URDON 2</t>
  </si>
  <si>
    <t>URDON 3</t>
  </si>
  <si>
    <t>LA ROBLA GRUPO 1</t>
  </si>
  <si>
    <t>LA ROBLA GRUPO 2</t>
  </si>
  <si>
    <t>MEIRAMA GRUPO 1</t>
  </si>
  <si>
    <t>NARCEA GRUPO 2</t>
  </si>
  <si>
    <t>NARCEA GRUPO 3</t>
  </si>
  <si>
    <t>ALBARELLOS GRUPO 1</t>
  </si>
  <si>
    <t>ALCOBA GRUPO 1</t>
  </si>
  <si>
    <t>ALMOGUERA GRUPO 1</t>
  </si>
  <si>
    <t>ALMOGUERA GRUPO 2</t>
  </si>
  <si>
    <t>ALMOGUERA GRUPO 3</t>
  </si>
  <si>
    <t>BELESAR GRUPO 1</t>
  </si>
  <si>
    <t>BELESAR GRUPO 2</t>
  </si>
  <si>
    <t>BELESAR GRUPO 3</t>
  </si>
  <si>
    <t>BOLARQUE I GRUPO 1</t>
  </si>
  <si>
    <t>BOLARQUE I GRUPO 2</t>
  </si>
  <si>
    <t>BOLARQUE II GRUPO 1</t>
  </si>
  <si>
    <t>BOLARQUE II GRUPO 2</t>
  </si>
  <si>
    <t>BOLARQUE II GRUPO 3</t>
  </si>
  <si>
    <t>BOLARQUE II GRUPO 4</t>
  </si>
  <si>
    <t>BUENAMESÓN GRUPO 1</t>
  </si>
  <si>
    <t>BUENAMESÓN GRUPO 2</t>
  </si>
  <si>
    <t>BUENAMESÓN GRUPO 3</t>
  </si>
  <si>
    <t>BUENDÍA GRUPO 1</t>
  </si>
  <si>
    <t>BUENDÍA GRUPO 2</t>
  </si>
  <si>
    <t>BUENDÍA GRUPO 3</t>
  </si>
  <si>
    <t>BURGOMILLODO GRUPO 1</t>
  </si>
  <si>
    <t>BURGOMILLODO GRUPO 2</t>
  </si>
  <si>
    <t>BURGOMILLODO GRUPO 3</t>
  </si>
  <si>
    <t>BURGOMILLODO GRUPO 4</t>
  </si>
  <si>
    <t>BURGUILLO GRUPO 1</t>
  </si>
  <si>
    <t>BURGUILLO GRUPO 2</t>
  </si>
  <si>
    <t>BURGUILLO GRUPO 3</t>
  </si>
  <si>
    <t>CABANELAS GRUPO 1</t>
  </si>
  <si>
    <t>CASTREJÓN GRUPO 1</t>
  </si>
  <si>
    <t>CASTREJÓN GRUPO 2</t>
  </si>
  <si>
    <t>CASTREJÓN GRUPO 3</t>
  </si>
  <si>
    <t>CASTREJÓN GRUPO 4</t>
  </si>
  <si>
    <t>CASTRELO GRUPO 1</t>
  </si>
  <si>
    <t>CASTRELO GRUPO 2</t>
  </si>
  <si>
    <t>CIMANES GRUPO 1</t>
  </si>
  <si>
    <t>LAS CONCHAS GRUPO 1</t>
  </si>
  <si>
    <t>LAS CONCHAS GRUPO 2</t>
  </si>
  <si>
    <t>LAS CONCHAS GRUPO 3</t>
  </si>
  <si>
    <t>ENTREPEÑAS GRUPO 1</t>
  </si>
  <si>
    <t>ENTREPEÑAS GRUPO 2</t>
  </si>
  <si>
    <t>ESPINOSA GRUPO 1</t>
  </si>
  <si>
    <t>TRONCEDA 1</t>
  </si>
  <si>
    <t>TRONCEDA 2</t>
  </si>
  <si>
    <t>FERVENCIA</t>
  </si>
  <si>
    <t>FERVENZA GRUPO 1</t>
  </si>
  <si>
    <t>FRIEIRA GRUPO 1</t>
  </si>
  <si>
    <t>FRIEIRA GRUPO 2</t>
  </si>
  <si>
    <t>GÜIMIL GRUPO 1</t>
  </si>
  <si>
    <t>LA TOBA GRUPO 1</t>
  </si>
  <si>
    <t>LANCARA GRUPO 1</t>
  </si>
  <si>
    <t>LANCARA GRUPO 2</t>
  </si>
  <si>
    <t>LEBOREIRO GRUPO 1</t>
  </si>
  <si>
    <t>LEBOREIRO GRUPO 2</t>
  </si>
  <si>
    <t>LINARES ARROYO GRUPO 1</t>
  </si>
  <si>
    <t>MEZONZO GRUPO 1</t>
  </si>
  <si>
    <t>MEZONZO GRUPO 2</t>
  </si>
  <si>
    <t>LOS PEARES GRUPO 1</t>
  </si>
  <si>
    <t>LOS PEARES GRUPO 2</t>
  </si>
  <si>
    <t>LOS PEARES GRUPO 3</t>
  </si>
  <si>
    <t>EL PELGO GRUPO 1</t>
  </si>
  <si>
    <t>EL PELGO GRUPO 2</t>
  </si>
  <si>
    <t>LAS PICADAS GRUPO 1</t>
  </si>
  <si>
    <t>LAS PICADAS GRUPO 2</t>
  </si>
  <si>
    <t>PORTODEMOUROS GRUPO 1</t>
  </si>
  <si>
    <t>PORTODEMOUROS GRUPO 2</t>
  </si>
  <si>
    <t>PUENTE NUEVO GRUPO 1</t>
  </si>
  <si>
    <t>PUENTE NUEVO GRUPO 2</t>
  </si>
  <si>
    <t>PUENTE NUEVO GRUPO 3</t>
  </si>
  <si>
    <t>REGUEIRO GRUPO 1</t>
  </si>
  <si>
    <t>REGUEIRO GRUPO 2</t>
  </si>
  <si>
    <t>SALAS GRUPO 1</t>
  </si>
  <si>
    <t>SAN ISIDORO (BARRIOS) GRUPO 1</t>
  </si>
  <si>
    <t>SAN ISIDORO (BARRIOS) GRUPO 2</t>
  </si>
  <si>
    <t>SAN ISIDORO (BARRIOS) GRUPO 3</t>
  </si>
  <si>
    <t>SAN ISIDORO (BARRIOS) GRUPO 4</t>
  </si>
  <si>
    <t>SAN JUAN GRUPO 1</t>
  </si>
  <si>
    <t>SAN JUAN GRUPO 2</t>
  </si>
  <si>
    <t>TAMBRE I GRUPO 1</t>
  </si>
  <si>
    <t>TAMBRE I GRUPO 2</t>
  </si>
  <si>
    <t>TAMBRE I GRUPO 3</t>
  </si>
  <si>
    <t>TAMBRE I GRUPO 4</t>
  </si>
  <si>
    <t>TAMBRE II GRUPO 1</t>
  </si>
  <si>
    <t>VELLE GRUPO 1</t>
  </si>
  <si>
    <t>VELLE GRUPO 2</t>
  </si>
  <si>
    <t>LAS VENCIAS GRUPO 1</t>
  </si>
  <si>
    <t>VILLALBA GRUPO 1</t>
  </si>
  <si>
    <t>VILLALBA GRUPO 2</t>
  </si>
  <si>
    <t>ZORITA GRUPO 1</t>
  </si>
  <si>
    <t>ZORITA GRUPO 2</t>
  </si>
  <si>
    <t>ZORITA GRUPO 3</t>
  </si>
  <si>
    <t>ANZÁNIGO</t>
  </si>
  <si>
    <t>ARATORES</t>
  </si>
  <si>
    <t>BARROSA</t>
  </si>
  <si>
    <t>BIELSA</t>
  </si>
  <si>
    <t>CANALROYA</t>
  </si>
  <si>
    <t>CARCAVILLA</t>
  </si>
  <si>
    <t>CASABLANCA</t>
  </si>
  <si>
    <t>CASTELFABIB</t>
  </si>
  <si>
    <t>CASTIELLO</t>
  </si>
  <si>
    <t>EL BERBEL 1</t>
  </si>
  <si>
    <t>EL BERBEL 2</t>
  </si>
  <si>
    <t>EL BERBEL 3</t>
  </si>
  <si>
    <t>EMBID DE LA RIBERA 1</t>
  </si>
  <si>
    <t>EMBID DE LA RIBERA 2</t>
  </si>
  <si>
    <t>HIDROELECTRICA DE HUESCA</t>
  </si>
  <si>
    <t>HUERMEDA</t>
  </si>
  <si>
    <t>IP 1</t>
  </si>
  <si>
    <t>IP 2</t>
  </si>
  <si>
    <t>IP 3</t>
  </si>
  <si>
    <t>JABARRELLA 1</t>
  </si>
  <si>
    <t>JABARRELLA 2</t>
  </si>
  <si>
    <t>JABARRELLA 3</t>
  </si>
  <si>
    <t>JACA 1</t>
  </si>
  <si>
    <t>JACA 2</t>
  </si>
  <si>
    <t>JAVIERRELATRE 1</t>
  </si>
  <si>
    <t>JAVIERRELATRE 2</t>
  </si>
  <si>
    <t>LA MORCA</t>
  </si>
  <si>
    <t>LAFORTUNADA CINQUETA 1</t>
  </si>
  <si>
    <t>LAFORTUNADA CINQUETA 2</t>
  </si>
  <si>
    <t>LAFORTUNADA CINCA 1</t>
  </si>
  <si>
    <t>LAFORTUNADA CINCA 2</t>
  </si>
  <si>
    <t>LAFORTUNADA CINCA 3</t>
  </si>
  <si>
    <t>LASPUÑA 1</t>
  </si>
  <si>
    <t>LASPUÑA 2</t>
  </si>
  <si>
    <t>MARRACOS 1</t>
  </si>
  <si>
    <t>MARRACOS 2</t>
  </si>
  <si>
    <t>LA MORANA 1</t>
  </si>
  <si>
    <t>LA MORANA 2</t>
  </si>
  <si>
    <t>MORES</t>
  </si>
  <si>
    <t>PURROY</t>
  </si>
  <si>
    <t>LOS RABANOS 1</t>
  </si>
  <si>
    <t>LOS RABANOS 2</t>
  </si>
  <si>
    <t>RIVERA 1</t>
  </si>
  <si>
    <t>SABIÑÁNIGO 1</t>
  </si>
  <si>
    <t>SABIÑÁNIGO2</t>
  </si>
  <si>
    <t>SALINAS</t>
  </si>
  <si>
    <t>SAN MATEO</t>
  </si>
  <si>
    <t>URDICETO 1</t>
  </si>
  <si>
    <t>URDICETO 2</t>
  </si>
  <si>
    <t>VILLANUA</t>
  </si>
  <si>
    <t>ARGONE 1</t>
  </si>
  <si>
    <t>ARGONE 2</t>
  </si>
  <si>
    <t>ESPOT 1</t>
  </si>
  <si>
    <t>ESPOT 2</t>
  </si>
  <si>
    <t>ESTERRI 1</t>
  </si>
  <si>
    <t>ESTERRI 2</t>
  </si>
  <si>
    <t>ESTERRI 3</t>
  </si>
  <si>
    <t>LLADRES</t>
  </si>
  <si>
    <t>PASTERAL 1</t>
  </si>
  <si>
    <t>PASTERAL II 1</t>
  </si>
  <si>
    <t>PASTERAL II 2</t>
  </si>
  <si>
    <t>SAN MAURICI 1</t>
  </si>
  <si>
    <t>SAN MAURICI 2</t>
  </si>
  <si>
    <t>SAN MAURICI 3</t>
  </si>
  <si>
    <t>SAU 1</t>
  </si>
  <si>
    <t>SAU 2</t>
  </si>
  <si>
    <t>SEIRA II 1</t>
  </si>
  <si>
    <t>SEIRA II 2</t>
  </si>
  <si>
    <t>SEIRA II 3</t>
  </si>
  <si>
    <t>SUSQUEDA 1</t>
  </si>
  <si>
    <t>SUSQUEDA 2</t>
  </si>
  <si>
    <t>SUSQUEDA 3</t>
  </si>
  <si>
    <t>TORRASA</t>
  </si>
  <si>
    <t>UNARRE</t>
  </si>
  <si>
    <t>RICOBAYO II 1</t>
  </si>
  <si>
    <t>BERROCALILLO 2</t>
  </si>
  <si>
    <t>LINARES ARROYO GRUPO 2</t>
  </si>
  <si>
    <t>GÜIMIL GRUPO 2</t>
  </si>
  <si>
    <t>SAN ROQUE GRUPO 1</t>
  </si>
  <si>
    <t>SAN ROQUE GRUPO 2</t>
  </si>
  <si>
    <t>CASTELLÓN</t>
  </si>
  <si>
    <t>BESÓS, GRUPO 3</t>
  </si>
  <si>
    <t>CTCC CASTEJÓN, GRUPO 1</t>
  </si>
  <si>
    <t>BESÓS, GRUPO 4</t>
  </si>
  <si>
    <t>ZIERBENA</t>
  </si>
  <si>
    <t>SNIACE</t>
  </si>
  <si>
    <t>EL MORELL-PERAFORT</t>
  </si>
  <si>
    <t>MARINA DE CUDEYO (COGENERACIÓN 75,5)</t>
  </si>
  <si>
    <t>REPSOL PUERTOLLANO</t>
  </si>
  <si>
    <t>REPSOL PETRÓLEO TARRAGONA</t>
  </si>
  <si>
    <t>COMPLEJO INDUSTRIAL DE LA CORUÑA</t>
  </si>
  <si>
    <t>CASTEJÓN, GRUPO A</t>
  </si>
  <si>
    <t>TARRAGONA</t>
  </si>
  <si>
    <t>COGENERACIÓN, PLANTA A</t>
  </si>
  <si>
    <t>CAMPO DE GIBRALTAR GRUPO 10</t>
  </si>
  <si>
    <t>CAMPO DE GIBRALTAR GRUPO 20</t>
  </si>
  <si>
    <t>GE PLASTICS ESPAÑA</t>
  </si>
  <si>
    <t>SANTURCE, GRUPO 4</t>
  </si>
  <si>
    <t>PALOS DE LA FRONTERA GRUPO 1</t>
  </si>
  <si>
    <t>ARCOS DE LA FRONTERA GRUPO 2</t>
  </si>
  <si>
    <t>ARRÚBAL GRUPO 1</t>
  </si>
  <si>
    <t>ARRÚBAL GRUPO 2</t>
  </si>
  <si>
    <t>JINAMAR 8, VAPOR 4</t>
  </si>
  <si>
    <t>JINAMAR 9, VAPOR 5</t>
  </si>
  <si>
    <t>BARRANCO DE TIRAJANA 3, VAPOR 1</t>
  </si>
  <si>
    <t>BARRANCO DE TIRAJANA 4, VAPOR 2</t>
  </si>
  <si>
    <t>BARRANCO DE TIRAJANA 5, GAS 3 (CC 1)</t>
  </si>
  <si>
    <t>BARRANCO DE TIRAJANA 6, GAS 4 (CC 1)</t>
  </si>
  <si>
    <t>GRANADILLA 5, VAPOR 1</t>
  </si>
  <si>
    <t>GRANADILLA 4, VAPOR 2</t>
  </si>
  <si>
    <t>GRANADILLA 7, GAS 3 (CC1)</t>
  </si>
  <si>
    <t>GRANADILLA 8, GAS 4 (CC1)</t>
  </si>
  <si>
    <t>COGENERACIÓN, PLANTA B</t>
  </si>
  <si>
    <t>ARCOS DE LA FRONTERA GRUPO 1</t>
  </si>
  <si>
    <t>PALOS DE LA FRONTERA GRUPO 2</t>
  </si>
  <si>
    <t>AMOREBIETA</t>
  </si>
  <si>
    <t>PALOS DE LA FRONTERA GRUPO 3</t>
  </si>
  <si>
    <t>ACECA, GRUPO 3</t>
  </si>
  <si>
    <t>GRANADILLA 12, VAPOR 4 (CC2)</t>
  </si>
  <si>
    <t>ALCUDIA 1, GRUPO Nº 1</t>
  </si>
  <si>
    <t>ALCUDIA 2, GRUPO Nº 2</t>
  </si>
  <si>
    <t>ALCUDIA 5, GRUPO Nº 3</t>
  </si>
  <si>
    <t>ALCUDIA 6, GRUPO Nº 4</t>
  </si>
  <si>
    <t>SON REUS 5, TURBINA DE GAS Nº 5</t>
  </si>
  <si>
    <t>SON REUS 6, TURBINA DE GAS Nº 6</t>
  </si>
  <si>
    <t>SON REUS 7, TURBINA DE GAS Nº 7</t>
  </si>
  <si>
    <t>SON REUS TURBINA DE GAS Nº 8 (CC2)</t>
  </si>
  <si>
    <t>SON REUS 9, TURBINA DE GAS Nº 9 (CC2)</t>
  </si>
  <si>
    <t>SON REUS VAPOR 10</t>
  </si>
  <si>
    <t>MAHÓN 14, TURBINA DE GAS Nº 3</t>
  </si>
  <si>
    <t>SON REUS TURBINA DE VAPOR Nº 2 (CC2)</t>
  </si>
  <si>
    <t>ESCOMBRERAS GRUPO 1</t>
  </si>
  <si>
    <t>ESCOMBRERAS GRUPO 2</t>
  </si>
  <si>
    <t>ESCOMBRERAS GRUPO 3</t>
  </si>
  <si>
    <t>ARCOS DE LA FRONTERA GRUPO 3</t>
  </si>
  <si>
    <t>CARTAGENA GRUPO 1</t>
  </si>
  <si>
    <t>CARTAGENA GRUPO 2</t>
  </si>
  <si>
    <t>CARTAGENA GRUPO 3</t>
  </si>
  <si>
    <t>CRISTOBAL COLON</t>
  </si>
  <si>
    <t>ACECA, GRUPO 4</t>
  </si>
  <si>
    <t>CICLO COMBINADO DE CASTELNOU</t>
  </si>
  <si>
    <t>CTCC ESCOMBRERAS</t>
  </si>
  <si>
    <t>GRANADILLA 9, VAPOR, 3 (CC 1)</t>
  </si>
  <si>
    <t>CTCC PLANA DEL VENT 1</t>
  </si>
  <si>
    <t>CCC SAGUNTO, GRUPO 1</t>
  </si>
  <si>
    <t>CTCC PLANA DEL VENT 2</t>
  </si>
  <si>
    <t>CCC SAGUNTO, GRUPO 2</t>
  </si>
  <si>
    <t>CTCC ESCATRÓN</t>
  </si>
  <si>
    <t>CCC SAGUNTO, GRUPO 3</t>
  </si>
  <si>
    <t>CTCC AS PONTES, GRUPO 5</t>
  </si>
  <si>
    <t>CTCC SABON, GRUPO 3</t>
  </si>
  <si>
    <t>ESCATRÓN</t>
  </si>
  <si>
    <t>CTCC CASTELLÓN, GRUPO 4</t>
  </si>
  <si>
    <t>CTCC SOTO DE RIBERA, GRUPO 4</t>
  </si>
  <si>
    <t>BARRANCO DE TIRAJANA 7, VAPOR 3 (CC1)</t>
  </si>
  <si>
    <t>MALA1 (CTCC MALAGA)</t>
  </si>
  <si>
    <t>CTCC BAHÍA DE ALGECIRAS</t>
  </si>
  <si>
    <t>BESÓS, GRUPO 5</t>
  </si>
  <si>
    <t>PUERTO DE BARCELONA, GRUPO 1</t>
  </si>
  <si>
    <t>PUERTO DE BARCELONA, GRUPO 2</t>
  </si>
  <si>
    <t>CTCC SOTO DE RIBERA, GRUPO 5</t>
  </si>
  <si>
    <t>CA'S TRESORER TG3, CC2</t>
  </si>
  <si>
    <t>CA'S TRESORER TG4, CC2</t>
  </si>
  <si>
    <t>CA'S TRESORER TV2, CC2</t>
  </si>
  <si>
    <t>GRANADILLA 10, TG 5 (CC2)</t>
  </si>
  <si>
    <t>GRANADILLA 11, TG 6 (CC2)</t>
  </si>
  <si>
    <t>San Esteban II, Grupo 1</t>
  </si>
  <si>
    <t>La Muela II Grupo 7</t>
  </si>
  <si>
    <t>La Muela II Grupo 4</t>
  </si>
  <si>
    <t>La Muela II Grupo 5</t>
  </si>
  <si>
    <t>La Muela II Grupo 6</t>
  </si>
  <si>
    <t>Central de San Pedro II Grupo 1</t>
  </si>
  <si>
    <t>SAN ISIDRO 1</t>
  </si>
  <si>
    <t>SAN ISIDRO 2</t>
  </si>
  <si>
    <t>MORELLA 1</t>
  </si>
  <si>
    <t>MORELLA 2</t>
  </si>
  <si>
    <t>BIESCAS II 1</t>
  </si>
  <si>
    <t>BIESCAS II 2</t>
  </si>
  <si>
    <t>ERISTE 1</t>
  </si>
  <si>
    <t>ERISTE 2</t>
  </si>
  <si>
    <t>LANUZA 1</t>
  </si>
  <si>
    <t>LANUZA 2</t>
  </si>
  <si>
    <t>CEUTA 1, G-1</t>
  </si>
  <si>
    <t>CACHINA</t>
  </si>
  <si>
    <t>CEUTA 6, G-6</t>
  </si>
  <si>
    <t>CEUTA 7, G-7</t>
  </si>
  <si>
    <t>MELILLA 5, G-5</t>
  </si>
  <si>
    <t>MELILLA 6, G-6</t>
  </si>
  <si>
    <t>MELILLA 9, G-9</t>
  </si>
  <si>
    <t>MELILLA 10, G-10</t>
  </si>
  <si>
    <t>CEUTA 2, G-2</t>
  </si>
  <si>
    <t>SON REUS 1, TURBINA DE GAS Nº 1</t>
  </si>
  <si>
    <t>SON REUS 2, TURBINA DE GAS Nº 2</t>
  </si>
  <si>
    <t>SON REUS 3, TURBINA DE GAS Nº 3</t>
  </si>
  <si>
    <t>SON REUS 4, TURBINA DE GAS Nº 4</t>
  </si>
  <si>
    <t>MAHÓN 9, BURMEISTER Nº 1</t>
  </si>
  <si>
    <t>MAHÓN 10, BURMEISTER Nº 2</t>
  </si>
  <si>
    <t>MAHÓN 11, BURMEISTER Nº 3</t>
  </si>
  <si>
    <t>IBIZA 13, BURMEISTER Nº 8</t>
  </si>
  <si>
    <t>IBIZA 14, BURMEISTER Nº 9</t>
  </si>
  <si>
    <t>ALCUDIA 3, TURBINA DE GAS Nº 1</t>
  </si>
  <si>
    <t>ALCUDIA 4, TURBINA DE GAS Nº 2</t>
  </si>
  <si>
    <t>IBIZA 12, TURBINA DE GAS Nº 1</t>
  </si>
  <si>
    <t>IBIZA 15, TURBINA DE GAS Nº 2</t>
  </si>
  <si>
    <t>MAHÓN 12, TURBINA DE GAS Nº 2</t>
  </si>
  <si>
    <t>FORMENTERA 1, TURBINA DE GAS Nº 1</t>
  </si>
  <si>
    <t>C.H. MILLARES II GRUPO 1</t>
  </si>
  <si>
    <t>C.H. MILLARES II GRUPO 2</t>
  </si>
  <si>
    <t>MAHÓN 13, TURBINA DE GAS Nº 1</t>
  </si>
  <si>
    <t>JINAMAR 2, DIÉSEL 1</t>
  </si>
  <si>
    <t>JINAMAR 3, DIÉSEL 2</t>
  </si>
  <si>
    <t>JINAMAR 4, DIÉSEL 3</t>
  </si>
  <si>
    <t>JINAMAR 12, DIÉSEL 4</t>
  </si>
  <si>
    <t>JINAMAR 13, DIÉSEL 5</t>
  </si>
  <si>
    <t>JINAMAR 7, GAS 1</t>
  </si>
  <si>
    <t>JINAMAR 10, GAS 2</t>
  </si>
  <si>
    <t>JINAMAR 11, GAS 3</t>
  </si>
  <si>
    <t>BARRANCO DE TIRAJANA 1, GAS 1</t>
  </si>
  <si>
    <t>BARRANCO DE TIRAJANA 2, GAS 2</t>
  </si>
  <si>
    <t>CANDELARIA 9, VAPOR 5</t>
  </si>
  <si>
    <t>CANDELARIA 10, VAPOR 6</t>
  </si>
  <si>
    <t>CANDELARIA 3, DIÉSEL 1</t>
  </si>
  <si>
    <t>CANDELARIA 4, DIÉSEL 2</t>
  </si>
  <si>
    <t>CANDELARIA 6, DIÉSEL 3</t>
  </si>
  <si>
    <t>CANDELARIA 11, GAS 1</t>
  </si>
  <si>
    <t>CANDELARIA 12, GAS 2</t>
  </si>
  <si>
    <t>CANDELARIA 5, GAS 3</t>
  </si>
  <si>
    <t>GRANADILLA 2, DIÉSEL 1</t>
  </si>
  <si>
    <t>GRANADILLA 3, DIÉSEL 2</t>
  </si>
  <si>
    <t>GRANADILLA 1, GAS 1</t>
  </si>
  <si>
    <t>GRANADILLA 6, GAS 2</t>
  </si>
  <si>
    <t>ARONA 1, GAS 1</t>
  </si>
  <si>
    <t>ARONA 2, GAS 2</t>
  </si>
  <si>
    <t>PUNTA GRANDE 2, DIÉSEL 1</t>
  </si>
  <si>
    <t>PUNTA GRANDE 3, DIÉSEL 2</t>
  </si>
  <si>
    <t>PUNTA GRANDE 7, DIÉSEL 3</t>
  </si>
  <si>
    <t>PUNTA GRANDE 11, DIÉSEL 4</t>
  </si>
  <si>
    <t>PUNTA GRANDE 12, DIÉSEL 5</t>
  </si>
  <si>
    <t>PUNTA GRANDE 13, DIÉSEL 6</t>
  </si>
  <si>
    <t>PUNTA GRANDE 15, DIÉSEL 7</t>
  </si>
  <si>
    <t>PUNTA GRANDE 16, DIÉSEL 8</t>
  </si>
  <si>
    <t>PUNTA GRANDE 9, GAS 1</t>
  </si>
  <si>
    <t>PUNTA GRANDE 14, GAS 2</t>
  </si>
  <si>
    <t>LAS SALINAS 1, DIÉSEL 1</t>
  </si>
  <si>
    <t>LAS SALINAS 2, DIÉSEL 2</t>
  </si>
  <si>
    <t>LAS SALINAS 3, DIÉSEL 3</t>
  </si>
  <si>
    <t>LAS SALINAS 4, DIÉSEL 4</t>
  </si>
  <si>
    <t>LAS SALINAS 5, DIÉSEL 5</t>
  </si>
  <si>
    <t>LAS SALINAS 6, DIÉSEL 6</t>
  </si>
  <si>
    <t>LAS SALINAS 7,GAS 1</t>
  </si>
  <si>
    <t>LAS SALINAS 8, GAS 2</t>
  </si>
  <si>
    <t>LOS GUINCHOS 6, DIÉSEL 6</t>
  </si>
  <si>
    <t>LOS GUINCHOS 7, DIÉSEL 7</t>
  </si>
  <si>
    <t>LOS GUINCHOS 8, DIÉSEL 8</t>
  </si>
  <si>
    <t>LOS GUINCHOS 9, DIÉSEL 9</t>
  </si>
  <si>
    <t>LOS GUINCHOS 10, DIÉSEL 10</t>
  </si>
  <si>
    <t>LOS GUINCHOS 12, DIÉSEL 11</t>
  </si>
  <si>
    <t>LOS GUINCHOS 13, DIÉSEL 12</t>
  </si>
  <si>
    <t>LOS GUINCHOS 14, DIÉSEL 13</t>
  </si>
  <si>
    <t>LAS SALINAS 9 (GAS MÓVIL 1)</t>
  </si>
  <si>
    <t>EL PALMAR 13, DIÉSEL 12</t>
  </si>
  <si>
    <t>EL PALMAR 14, DIÉSEL 13</t>
  </si>
  <si>
    <t>EL PALMAR 15, DIÉSEL 14</t>
  </si>
  <si>
    <t>EL PALMAR 16, DIÉSEL 15</t>
  </si>
  <si>
    <t>EL PALMAR 17, DIÉSEL 16</t>
  </si>
  <si>
    <t>EL PALMAR 18, DIÉSEL 17</t>
  </si>
  <si>
    <t>EL PALMAR 19, DIÉSEL 18</t>
  </si>
  <si>
    <t>EL PALMAR 20, DIÉSEL 19</t>
  </si>
  <si>
    <t>LLANOS BLANCOS 11, DIÉSEL 9</t>
  </si>
  <si>
    <t>LLANOS BLANCOS 12, DIÉSEL 10</t>
  </si>
  <si>
    <t>LLANOS BLANCOS 13, DIÉSEL 11</t>
  </si>
  <si>
    <t>LLANOS BLANCOS 14, DIÉSEL 12</t>
  </si>
  <si>
    <t>LLANOS BLANCOS 15, DIÉSEL 13</t>
  </si>
  <si>
    <t>LLANOS BLANCOS 1, DIÉSEL MOVIL 1</t>
  </si>
  <si>
    <t>IBIZA TURBINA DE GAS Nº 3</t>
  </si>
  <si>
    <t>IBIZA 16, DIÉSEL MAN 1</t>
  </si>
  <si>
    <t>IBIZA 17, DIÉSEL MAN 2</t>
  </si>
  <si>
    <t>IBIZA TURBINA DE GAS Nº 4</t>
  </si>
  <si>
    <t>MELILLA 11, DIÉSEL 10</t>
  </si>
  <si>
    <t>LLANOS BLANCOS 16, DIÉSEL, 14</t>
  </si>
  <si>
    <t>CEUTA 8, G-8</t>
  </si>
  <si>
    <t>CEUTA 9, G-9</t>
  </si>
  <si>
    <t>LAS SALINAS 10, DIÉSEL 7</t>
  </si>
  <si>
    <t>MELILLA 12</t>
  </si>
  <si>
    <t>CEUTA, GRUPO 10</t>
  </si>
  <si>
    <t>IBIZA 20 (MAN3)</t>
  </si>
  <si>
    <t>IBIZA 21 (MAN 4)</t>
  </si>
  <si>
    <t>CEUTA, GRUPO 11</t>
  </si>
  <si>
    <t>MELILLA 13</t>
  </si>
  <si>
    <t>LLANOS BLANCOS 17, DIÉSEL 15</t>
  </si>
  <si>
    <t>LOS GUINCHOS 15 , GAS MÓVIL 2</t>
  </si>
  <si>
    <t>BARRANCO DE TIRAJANA 8, GAS 5 CC2</t>
  </si>
  <si>
    <t>BARRANCO DE TIRAJANA 9, GAS 6 CC2</t>
  </si>
  <si>
    <t>BARRANCO DE TIRAJANA 10, VAPOR 4 CC2</t>
  </si>
  <si>
    <t>LOS GUINCHOS 16 (DIÉSEL 14)</t>
  </si>
  <si>
    <t>LOS GUINCHOS 17 (DIÉSEL 15)</t>
  </si>
  <si>
    <t>PUNTA GRANDE DIÉSEL 9</t>
  </si>
  <si>
    <t>PUNTA GRANDE DIÉSEL 10</t>
  </si>
  <si>
    <t>CA'S TRESORER TG1, CC1</t>
  </si>
  <si>
    <t>CA'S TRESORER TG2, CC1</t>
  </si>
  <si>
    <t>CA'S TRESORER TV, CC1</t>
  </si>
  <si>
    <t>MAHÓN TG4</t>
  </si>
  <si>
    <t>LAS SALINAS 11, DIÉSEL 8</t>
  </si>
  <si>
    <t>LAS SALINAS 12, DIÉSEL 9</t>
  </si>
  <si>
    <t>IBIZA 22, TURBINA DE GAS Nº 5</t>
  </si>
  <si>
    <t>IBIZA 23, TURBINA DE GAS Nº 6</t>
  </si>
  <si>
    <t>MAHÓN 16, TURBINA DE GAS Nº 5</t>
  </si>
  <si>
    <t>CEUTA, GRUPO 12</t>
  </si>
  <si>
    <t>CEUTA, GRUPO 13</t>
  </si>
  <si>
    <t>IBIZA 24, TURBINA DE GAS Nº 6B</t>
  </si>
  <si>
    <t>IBIZA 25, TURBINA DE GAS Nº 7A</t>
  </si>
  <si>
    <t>IBIZA 26, TURBINA DE GAS Nº 7B</t>
  </si>
  <si>
    <t>C.T. EL PALMAR 21 DIESEL MOVIL 3</t>
  </si>
  <si>
    <t>PUNTA GRANDE 19 DIESEL 11</t>
  </si>
  <si>
    <t>LLANOS BLANOCS 18 (DIESEL 16)</t>
  </si>
  <si>
    <t>GUIA DE ISORA GAS 1</t>
  </si>
  <si>
    <t>CAÑO 1</t>
  </si>
  <si>
    <t>CAÑO2</t>
  </si>
  <si>
    <t>RINCON DEL DUQUE 1</t>
  </si>
  <si>
    <t>RINCON DEL DUQUE 2</t>
  </si>
  <si>
    <t>BERGANZO 3</t>
  </si>
  <si>
    <t>TORRECILLA III GRUPO 1</t>
  </si>
  <si>
    <t>TORRECILLA III GRUPO 2</t>
  </si>
  <si>
    <t>CENTRAL ERA NOVA GRUPO 1</t>
  </si>
  <si>
    <t>CENTRAL ERA NOVA GRUPO 2</t>
  </si>
  <si>
    <t>SALTO DEL MARTEL 1</t>
  </si>
  <si>
    <t>SALTO DEL MARTEL 2</t>
  </si>
  <si>
    <t>POZO CAPITÁN</t>
  </si>
  <si>
    <t>EL MULATO, HIDRAULICA 1</t>
  </si>
  <si>
    <t>LLANOS BLANCOS 9, DIÉSEL 7</t>
  </si>
  <si>
    <t>DEL MOLINO</t>
  </si>
  <si>
    <t>RESSEC (ASERRADORA)</t>
  </si>
  <si>
    <t>MELILLA 12, G. ELECTRÓGENO</t>
  </si>
  <si>
    <t>MELILLA 13, G. ELECTRÓGENO</t>
  </si>
  <si>
    <t>MELILLA 14, G. ELECTRÓGENO</t>
  </si>
  <si>
    <t>MELILLA 15, G. ELECTRÓGENO</t>
  </si>
  <si>
    <t>MELILLA 16, G. ELECTRÓGENO</t>
  </si>
  <si>
    <t>MELILLA 17, G. ELECTRÓGENO</t>
  </si>
  <si>
    <t>MELILLA 18, G. ELECTRÓGENO</t>
  </si>
  <si>
    <t>MELILLA 19, G. ELECTRÓGENO</t>
  </si>
  <si>
    <t>MELILLA 20, G. ELECTRÓGENO</t>
  </si>
  <si>
    <t>MELILLA 21, G. ELECTRÓGENO</t>
  </si>
  <si>
    <t>MELILLA 22, G. ELECTRÓGENO</t>
  </si>
  <si>
    <t>MELILLA 23, G. ELECTRÓGENO</t>
  </si>
  <si>
    <t>CENTRAL DE PORTODIS</t>
  </si>
  <si>
    <t>CENTRAL PORTOCHAO</t>
  </si>
  <si>
    <t>Kilroot</t>
  </si>
  <si>
    <t>Ballylumford B GT1 &amp; GT2</t>
  </si>
  <si>
    <t>Kilroot GT</t>
  </si>
  <si>
    <t>Ballylumford C</t>
  </si>
  <si>
    <t>Baglan Bay GT</t>
  </si>
  <si>
    <t>Baglan Bay</t>
  </si>
  <si>
    <t>Severn Power</t>
  </si>
  <si>
    <t>Sutton Bridge</t>
  </si>
  <si>
    <t>Glanford Brigg</t>
  </si>
  <si>
    <t>Peterborough</t>
  </si>
  <si>
    <t>Drax - biomass units</t>
  </si>
  <si>
    <t>Drax - coal units</t>
  </si>
  <si>
    <t>Drax GT</t>
  </si>
  <si>
    <t>Bonnington</t>
  </si>
  <si>
    <t>Carsfad</t>
  </si>
  <si>
    <t>Drumjohn</t>
  </si>
  <si>
    <t>Earlstoun</t>
  </si>
  <si>
    <t>Glenlee</t>
  </si>
  <si>
    <t>Kendoon</t>
  </si>
  <si>
    <t>Stonebyres</t>
  </si>
  <si>
    <t>Tongland</t>
  </si>
  <si>
    <t>Blackburn</t>
  </si>
  <si>
    <t>Damhead Creek</t>
  </si>
  <si>
    <t>Rye House</t>
  </si>
  <si>
    <t>Shoreham</t>
  </si>
  <si>
    <t>Cruachan</t>
  </si>
  <si>
    <t>Blackburn Meadows *</t>
  </si>
  <si>
    <t>Steven's Croft *</t>
  </si>
  <si>
    <t>Castleford</t>
  </si>
  <si>
    <t>Sandbach</t>
  </si>
  <si>
    <t>Thornhill</t>
  </si>
  <si>
    <t>Cottam</t>
  </si>
  <si>
    <t>West Burton</t>
  </si>
  <si>
    <t>West Burton GT</t>
  </si>
  <si>
    <t>Barkantine Heat &amp; Power *</t>
  </si>
  <si>
    <t>London Heat &amp; Power *</t>
  </si>
  <si>
    <t>West Burton CCGT</t>
  </si>
  <si>
    <t>Dungeness B</t>
  </si>
  <si>
    <t>Hartlepool</t>
  </si>
  <si>
    <t>Heysham 1</t>
  </si>
  <si>
    <t>Heysham 2</t>
  </si>
  <si>
    <t>Hinkley Point B</t>
  </si>
  <si>
    <t>Hunterston B</t>
  </si>
  <si>
    <t>Sizewell B</t>
  </si>
  <si>
    <t>Torness</t>
  </si>
  <si>
    <t>Indian Queens</t>
  </si>
  <si>
    <t>Saltend *</t>
  </si>
  <si>
    <t>Dinorwig</t>
  </si>
  <si>
    <t>Ffestiniog</t>
  </si>
  <si>
    <t>Thetford</t>
  </si>
  <si>
    <t>Glanford</t>
  </si>
  <si>
    <t>Westfield</t>
  </si>
  <si>
    <t>Eye Suffolk</t>
  </si>
  <si>
    <t>Ely</t>
  </si>
  <si>
    <t>Lynemouth</t>
  </si>
  <si>
    <t>Langage</t>
  </si>
  <si>
    <t>South Humber Bank</t>
  </si>
  <si>
    <t>Coolkeeragh GT</t>
  </si>
  <si>
    <t>Carrington</t>
  </si>
  <si>
    <t>Coolkeeragh</t>
  </si>
  <si>
    <t>Corby</t>
  </si>
  <si>
    <t>Fellside CHP *</t>
  </si>
  <si>
    <t>Ferrybridge Multi-fuel</t>
  </si>
  <si>
    <t>Coryton</t>
  </si>
  <si>
    <t>Rocksavage</t>
  </si>
  <si>
    <t>Spalding</t>
  </si>
  <si>
    <t>Edmonton</t>
  </si>
  <si>
    <t>Maentwrog</t>
  </si>
  <si>
    <t>Marchwood</t>
  </si>
  <si>
    <t>Riverside</t>
  </si>
  <si>
    <t>Markinch CHP *</t>
  </si>
  <si>
    <t>Aberthaw B</t>
  </si>
  <si>
    <t>Aberthaw GT</t>
  </si>
  <si>
    <t>Cowes</t>
  </si>
  <si>
    <t>Didcot GT</t>
  </si>
  <si>
    <t>Little Barford GT</t>
  </si>
  <si>
    <t>Auchtertyre</t>
  </si>
  <si>
    <t>Black Rock</t>
  </si>
  <si>
    <t>Blantyre</t>
  </si>
  <si>
    <t>Braevallich</t>
  </si>
  <si>
    <t>Carnoch</t>
  </si>
  <si>
    <t>Cia Aig</t>
  </si>
  <si>
    <t>Croesor</t>
  </si>
  <si>
    <t>Cwm Dyli</t>
  </si>
  <si>
    <t>Dolgarrog High Head</t>
  </si>
  <si>
    <t>Dolgarrog Low Head</t>
  </si>
  <si>
    <t>Douglas Water</t>
  </si>
  <si>
    <t>Dulyn</t>
  </si>
  <si>
    <t>Garnedd</t>
  </si>
  <si>
    <t>Garrogie</t>
  </si>
  <si>
    <t>Garry Gualach</t>
  </si>
  <si>
    <t>Glen Tarbert</t>
  </si>
  <si>
    <t>Grudie</t>
  </si>
  <si>
    <t>Inverbain</t>
  </si>
  <si>
    <t>Inverlael</t>
  </si>
  <si>
    <t>Kielder</t>
  </si>
  <si>
    <t>Maldie</t>
  </si>
  <si>
    <t>River E</t>
  </si>
  <si>
    <t>Selset</t>
  </si>
  <si>
    <t>Stanley Mill</t>
  </si>
  <si>
    <t>Didcot B</t>
  </si>
  <si>
    <t>Great Yarmouth</t>
  </si>
  <si>
    <t>Little Barford</t>
  </si>
  <si>
    <t>Pembroke</t>
  </si>
  <si>
    <t>Staythorpe C</t>
  </si>
  <si>
    <t>Seabank</t>
  </si>
  <si>
    <t>Wilton 10 *</t>
  </si>
  <si>
    <t>Wilton GT *</t>
  </si>
  <si>
    <t>Wilton 11 EfW</t>
  </si>
  <si>
    <t>Slough Heat &amp; Power *</t>
  </si>
  <si>
    <t>Fiddler’s Ferry</t>
  </si>
  <si>
    <t>Arnish</t>
  </si>
  <si>
    <t>Barra</t>
  </si>
  <si>
    <t>Bowmore</t>
  </si>
  <si>
    <t>Fiddler’s Ferry GT</t>
  </si>
  <si>
    <t>Five Oaks</t>
  </si>
  <si>
    <t>Keadby GT</t>
  </si>
  <si>
    <t>Kirkwall</t>
  </si>
  <si>
    <t>Lerwick</t>
  </si>
  <si>
    <t>Loch Carnan, South Uist</t>
  </si>
  <si>
    <t>Stornoway</t>
  </si>
  <si>
    <t>Thatcham</t>
  </si>
  <si>
    <t>Tiree</t>
  </si>
  <si>
    <t>Achanalt</t>
  </si>
  <si>
    <t>Aigas</t>
  </si>
  <si>
    <t>Allt-na-Lairige</t>
  </si>
  <si>
    <t>Awe Barrage - A</t>
  </si>
  <si>
    <t>Beannachran Dam</t>
  </si>
  <si>
    <t>Cashlie</t>
  </si>
  <si>
    <t>Cassley</t>
  </si>
  <si>
    <t>Ceannacroc (plus Comp Set)</t>
  </si>
  <si>
    <t>Chliostair</t>
  </si>
  <si>
    <t>Clachan</t>
  </si>
  <si>
    <t>Cladach Dam</t>
  </si>
  <si>
    <t>Cluanie Dam</t>
  </si>
  <si>
    <t>Clunie</t>
  </si>
  <si>
    <t>Clunie Dam</t>
  </si>
  <si>
    <t>Cuaich (plus Comp Set)</t>
  </si>
  <si>
    <t>Culligran</t>
  </si>
  <si>
    <t>Culligran Comp Set</t>
  </si>
  <si>
    <t>Dalchonzie</t>
  </si>
  <si>
    <t>Deanie</t>
  </si>
  <si>
    <t>Duchally</t>
  </si>
  <si>
    <t>Dundreggan Dam</t>
  </si>
  <si>
    <t>Errochty</t>
  </si>
  <si>
    <t>Fasnakyle</t>
  </si>
  <si>
    <t>Fasnakyle Comp Set</t>
  </si>
  <si>
    <t>Finlarig</t>
  </si>
  <si>
    <t>Foyers Falls</t>
  </si>
  <si>
    <t>Gaur</t>
  </si>
  <si>
    <t>Gisla</t>
  </si>
  <si>
    <t>Glendoe</t>
  </si>
  <si>
    <t>Glenmoriston</t>
  </si>
  <si>
    <t>Grudie Bridge</t>
  </si>
  <si>
    <t>Inverawe</t>
  </si>
  <si>
    <t>Invergarry</t>
  </si>
  <si>
    <t>Invergarry Dam</t>
  </si>
  <si>
    <t>Kerry Falls</t>
  </si>
  <si>
    <t>Kilmelford</t>
  </si>
  <si>
    <t>Kilmelford Comp Set</t>
  </si>
  <si>
    <t>Kilmorack</t>
  </si>
  <si>
    <t>Kingairloch</t>
  </si>
  <si>
    <t>Lairg</t>
  </si>
  <si>
    <t>Lednock</t>
  </si>
  <si>
    <t>Livishie</t>
  </si>
  <si>
    <t>Loch Dubh</t>
  </si>
  <si>
    <t>Loch Ericht</t>
  </si>
  <si>
    <t>Loch Gair</t>
  </si>
  <si>
    <t>Lochay</t>
  </si>
  <si>
    <t>Lochay Comp Set</t>
  </si>
  <si>
    <t>Lochay Fish Pass</t>
  </si>
  <si>
    <t>Loyne Tunnel</t>
  </si>
  <si>
    <t>Lubreoch</t>
  </si>
  <si>
    <t>Luichart</t>
  </si>
  <si>
    <t>Luichart Dam</t>
  </si>
  <si>
    <t>Lussa (plus Comp Set)</t>
  </si>
  <si>
    <t>Meig Dam</t>
  </si>
  <si>
    <t>Misgeach</t>
  </si>
  <si>
    <t>Morar</t>
  </si>
  <si>
    <t>Mossford</t>
  </si>
  <si>
    <t>Mucomir</t>
  </si>
  <si>
    <t>Mullardoch Tunnel</t>
  </si>
  <si>
    <t>Nant</t>
  </si>
  <si>
    <t>Nostie Bridge (plus Comp Set)</t>
  </si>
  <si>
    <t>Orrin</t>
  </si>
  <si>
    <t>Orrin Dam</t>
  </si>
  <si>
    <t>Pitlochry</t>
  </si>
  <si>
    <t>Pitlochry Comp Set</t>
  </si>
  <si>
    <t>Quoich</t>
  </si>
  <si>
    <t>Quoich Dam</t>
  </si>
  <si>
    <t>Rannoch</t>
  </si>
  <si>
    <t>River Cuileig</t>
  </si>
  <si>
    <t>Shin</t>
  </si>
  <si>
    <t>Shin Diversion Dam</t>
  </si>
  <si>
    <t>Sloy</t>
  </si>
  <si>
    <t>Sron Mor</t>
  </si>
  <si>
    <t>St Fillans</t>
  </si>
  <si>
    <t>Storr Lochs</t>
  </si>
  <si>
    <t>Striven</t>
  </si>
  <si>
    <t>Stronuich</t>
  </si>
  <si>
    <t>Tobermory</t>
  </si>
  <si>
    <t>Torr Achilty</t>
  </si>
  <si>
    <t>Tralaig</t>
  </si>
  <si>
    <t>Trinafour</t>
  </si>
  <si>
    <t>Tummel</t>
  </si>
  <si>
    <t>Vaich</t>
  </si>
  <si>
    <t>Foyers</t>
  </si>
  <si>
    <t>Burghfield</t>
  </si>
  <si>
    <t>Chickerell</t>
  </si>
  <si>
    <t>Chippenham</t>
  </si>
  <si>
    <t>Keadby</t>
  </si>
  <si>
    <t>Medway</t>
  </si>
  <si>
    <t>Peterhead</t>
  </si>
  <si>
    <t>Pilkington - Greengate *</t>
  </si>
  <si>
    <t>Barkip</t>
  </si>
  <si>
    <t>Rheidol Hydro Scheme Gen 1</t>
  </si>
  <si>
    <t>Rheidol Hydro Scheme Gen 2</t>
  </si>
  <si>
    <t>Rheidol Hydro Scheme Gen 3</t>
  </si>
  <si>
    <t>Rheidol Hydro Scheme Gen 4</t>
  </si>
  <si>
    <t>Rheidol Hydro Scheme Gen 5</t>
  </si>
  <si>
    <t>Rheidol Hydro Scheme Gen 6</t>
  </si>
  <si>
    <t>Rheidol Hydro Scheme Gen 7</t>
  </si>
  <si>
    <t>Allt Fionn</t>
  </si>
  <si>
    <t>Derrydarroch</t>
  </si>
  <si>
    <t>Upper Falloch</t>
  </si>
  <si>
    <t>Knapton</t>
  </si>
  <si>
    <t>Ratcliffe</t>
  </si>
  <si>
    <t>Grain GT</t>
  </si>
  <si>
    <t>Ratcliffe GT</t>
  </si>
  <si>
    <t>Taylor's Lane GT</t>
  </si>
  <si>
    <t>Cottam Development Centre</t>
  </si>
  <si>
    <t>Enfield</t>
  </si>
  <si>
    <t>Grain CHP *</t>
  </si>
  <si>
    <t>Killingholme</t>
  </si>
  <si>
    <t>Connahs Quay</t>
  </si>
  <si>
    <t>SELCHP ERF *</t>
  </si>
  <si>
    <t>Ardley EfW</t>
  </si>
  <si>
    <t>Bolton EfW</t>
  </si>
  <si>
    <t>Cardiff EfW</t>
  </si>
  <si>
    <t>Exeter EfW</t>
  </si>
  <si>
    <t>Lakeside EfW</t>
  </si>
  <si>
    <t>Peterborough EfW</t>
  </si>
  <si>
    <t>Runcorn EfW</t>
  </si>
  <si>
    <t>VPI Immingham *</t>
  </si>
  <si>
    <t>Aall-Ulefoss</t>
  </si>
  <si>
    <t>Aaning</t>
  </si>
  <si>
    <t>Aarskog</t>
  </si>
  <si>
    <t>Aas</t>
  </si>
  <si>
    <t>Adamselv</t>
  </si>
  <si>
    <t>Adamselv II</t>
  </si>
  <si>
    <t>Aga</t>
  </si>
  <si>
    <t>Aklestad</t>
  </si>
  <si>
    <t>Akslandselva</t>
  </si>
  <si>
    <t>Alnes Vannbehandlingsanlegg</t>
  </si>
  <si>
    <t>Alsaker</t>
  </si>
  <si>
    <t>Alta</t>
  </si>
  <si>
    <t>Andåsfossen</t>
  </si>
  <si>
    <t>Anga</t>
  </si>
  <si>
    <t>Angvik</t>
  </si>
  <si>
    <t>Ardalen</t>
  </si>
  <si>
    <t>Arna</t>
  </si>
  <si>
    <t>Arneselv</t>
  </si>
  <si>
    <t>Arstadfossen</t>
  </si>
  <si>
    <t>Ask Kraft</t>
  </si>
  <si>
    <t>Askerudfoss</t>
  </si>
  <si>
    <t>Aspenes</t>
  </si>
  <si>
    <t>Aunbekken</t>
  </si>
  <si>
    <t>Aunfoss</t>
  </si>
  <si>
    <t>Aura</t>
  </si>
  <si>
    <t>Aurdal</t>
  </si>
  <si>
    <t>Aurland I</t>
  </si>
  <si>
    <t>Aurland II H</t>
  </si>
  <si>
    <t>Aurland II L</t>
  </si>
  <si>
    <t>Aurland III</t>
  </si>
  <si>
    <t>Aurland IV (Vangen)</t>
  </si>
  <si>
    <t>Aurland V (Reppa)</t>
  </si>
  <si>
    <t>Austdøla</t>
  </si>
  <si>
    <t>Austvass</t>
  </si>
  <si>
    <t>Baggfossen</t>
  </si>
  <si>
    <t>Bagn</t>
  </si>
  <si>
    <t>Bakkeelva</t>
  </si>
  <si>
    <t>Bakkefossen</t>
  </si>
  <si>
    <t>Bardufoss</t>
  </si>
  <si>
    <t>Bedafors</t>
  </si>
  <si>
    <t>Befring</t>
  </si>
  <si>
    <t>Begna</t>
  </si>
  <si>
    <t>Bele</t>
  </si>
  <si>
    <t>Bele mikrokraftverk</t>
  </si>
  <si>
    <t>Bentsjord</t>
  </si>
  <si>
    <t>Berdal</t>
  </si>
  <si>
    <t>Berdalselva</t>
  </si>
  <si>
    <t>Bergbekken</t>
  </si>
  <si>
    <t>Berge</t>
  </si>
  <si>
    <t>Bergelva</t>
  </si>
  <si>
    <t>Bergerfoss</t>
  </si>
  <si>
    <t>Bergesli</t>
  </si>
  <si>
    <t>Bergsbotn</t>
  </si>
  <si>
    <t>Bergselva</t>
  </si>
  <si>
    <t>Bergsfjord</t>
  </si>
  <si>
    <t>Bergstø</t>
  </si>
  <si>
    <t>Berild</t>
  </si>
  <si>
    <t>Berlifoss</t>
  </si>
  <si>
    <t>Bessa Minikraftverk</t>
  </si>
  <si>
    <t>Bestul</t>
  </si>
  <si>
    <t>Bingsfoss</t>
  </si>
  <si>
    <t>Birkedal</t>
  </si>
  <si>
    <t>Birkås</t>
  </si>
  <si>
    <t>Biskopstien</t>
  </si>
  <si>
    <t>Bjelland</t>
  </si>
  <si>
    <t>Bjelland II</t>
  </si>
  <si>
    <t>Bjergaelva</t>
  </si>
  <si>
    <t>Bjerka</t>
  </si>
  <si>
    <t>Bjordal</t>
  </si>
  <si>
    <t>Bjordal II</t>
  </si>
  <si>
    <t>Bjordalen</t>
  </si>
  <si>
    <t>Bjordøla</t>
  </si>
  <si>
    <t>Bjoråi</t>
  </si>
  <si>
    <t>Bjølvo</t>
  </si>
  <si>
    <t>Bjørdal</t>
  </si>
  <si>
    <t>Bjørgjo</t>
  </si>
  <si>
    <t>Bjørgum</t>
  </si>
  <si>
    <t>Bjørheimsbygd</t>
  </si>
  <si>
    <t>Bjørkåsen</t>
  </si>
  <si>
    <t>Bjørndalen</t>
  </si>
  <si>
    <t>Bjørndalselva</t>
  </si>
  <si>
    <t>Bjørnebykverna</t>
  </si>
  <si>
    <t>Bjørnstokk</t>
  </si>
  <si>
    <t>Bjørsvik</t>
  </si>
  <si>
    <t>Bjøråa</t>
  </si>
  <si>
    <t>Bjåstad</t>
  </si>
  <si>
    <t>Blikraåna</t>
  </si>
  <si>
    <t>Blikåsbekken</t>
  </si>
  <si>
    <t>Blokken</t>
  </si>
  <si>
    <t>Blådalselva</t>
  </si>
  <si>
    <t>Blåfalli III H</t>
  </si>
  <si>
    <t>Blåfalli III L</t>
  </si>
  <si>
    <t>Blåfalli IV</t>
  </si>
  <si>
    <t>Blåfalli V</t>
  </si>
  <si>
    <t>Blåfalli Vik</t>
  </si>
  <si>
    <t>Blålid</t>
  </si>
  <si>
    <t>Blåsvagrova</t>
  </si>
  <si>
    <t>Bog</t>
  </si>
  <si>
    <t>Boge 1</t>
  </si>
  <si>
    <t>Boge 2</t>
  </si>
  <si>
    <t>Bogna</t>
  </si>
  <si>
    <t>Bordalsbekken</t>
  </si>
  <si>
    <t>Borgen</t>
  </si>
  <si>
    <t>Borgund</t>
  </si>
  <si>
    <t>Borgåna</t>
  </si>
  <si>
    <t>Borregaard</t>
  </si>
  <si>
    <t>Botnabakken</t>
  </si>
  <si>
    <t>Botnaelva</t>
  </si>
  <si>
    <t>Brandåa</t>
  </si>
  <si>
    <t>Braskereidfoss</t>
  </si>
  <si>
    <t>Bratsberg</t>
  </si>
  <si>
    <t>Bratthus</t>
  </si>
  <si>
    <t>Brattingfoss</t>
  </si>
  <si>
    <t>Brattset</t>
  </si>
  <si>
    <t>Brattvåg</t>
  </si>
  <si>
    <t>Breiava</t>
  </si>
  <si>
    <t>Breidalselva</t>
  </si>
  <si>
    <t>Breiskallen</t>
  </si>
  <si>
    <t>Breive</t>
  </si>
  <si>
    <t>Breivikbotn</t>
  </si>
  <si>
    <t>Breivold</t>
  </si>
  <si>
    <t>Brekke</t>
  </si>
  <si>
    <t>Brekkebekken</t>
  </si>
  <si>
    <t>Brekkefoss</t>
  </si>
  <si>
    <t>Brekkefossen</t>
  </si>
  <si>
    <t>Brekkestøl</t>
  </si>
  <si>
    <t>Breksillan</t>
  </si>
  <si>
    <t>Briksdal</t>
  </si>
  <si>
    <t>Brokke</t>
  </si>
  <si>
    <t>Brudalsbekken</t>
  </si>
  <si>
    <t>Bruelva</t>
  </si>
  <si>
    <t>Brufjell</t>
  </si>
  <si>
    <t>Brufoss</t>
  </si>
  <si>
    <t>Brulandsfoss</t>
  </si>
  <si>
    <t>Brunstad</t>
  </si>
  <si>
    <t>Bruvollelva</t>
  </si>
  <si>
    <t>Brødbølfoss</t>
  </si>
  <si>
    <t>Bråberg</t>
  </si>
  <si>
    <t>Buavatn</t>
  </si>
  <si>
    <t>Budalselva</t>
  </si>
  <si>
    <t>Buer</t>
  </si>
  <si>
    <t>Bukkskinn</t>
  </si>
  <si>
    <t>Bulko</t>
  </si>
  <si>
    <t>Buru</t>
  </si>
  <si>
    <t>Buset</t>
  </si>
  <si>
    <t>Buset mikrokraftverk</t>
  </si>
  <si>
    <t>Byaelva</t>
  </si>
  <si>
    <t>Byafossen</t>
  </si>
  <si>
    <t>Byrkjedal</t>
  </si>
  <si>
    <t>Byrkjelo</t>
  </si>
  <si>
    <t>Byro</t>
  </si>
  <si>
    <t>Byrte</t>
  </si>
  <si>
    <t>Bæverfjord Gård Kraftverk</t>
  </si>
  <si>
    <t>Bøaåni</t>
  </si>
  <si>
    <t>Bøen I</t>
  </si>
  <si>
    <t>Bøen II</t>
  </si>
  <si>
    <t>Bøhnsdalen</t>
  </si>
  <si>
    <t>Børter 1</t>
  </si>
  <si>
    <t>Børter 2</t>
  </si>
  <si>
    <t>Børtveit</t>
  </si>
  <si>
    <t>Bøylefoss</t>
  </si>
  <si>
    <t>Båtsvatn</t>
  </si>
  <si>
    <t>Cabardasjohka</t>
  </si>
  <si>
    <t>Cermaq Norway AS avd, Dyping</t>
  </si>
  <si>
    <t>Corrojavrrit</t>
  </si>
  <si>
    <t>Dahlefoss</t>
  </si>
  <si>
    <t>Daja</t>
  </si>
  <si>
    <t>Dalabekken</t>
  </si>
  <si>
    <t>Dalane</t>
  </si>
  <si>
    <t>Dale</t>
  </si>
  <si>
    <t>Dale II</t>
  </si>
  <si>
    <t>Daleelva</t>
  </si>
  <si>
    <t>Dalegjerdet</t>
  </si>
  <si>
    <t>Dalelva</t>
  </si>
  <si>
    <t>Dalen 1</t>
  </si>
  <si>
    <t>Dalsbekken</t>
  </si>
  <si>
    <t>Dalselva</t>
  </si>
  <si>
    <t>Dalsfos</t>
  </si>
  <si>
    <t>Dalvatn</t>
  </si>
  <si>
    <t>Dauremål</t>
  </si>
  <si>
    <t>Deilbekken</t>
  </si>
  <si>
    <t>Deveggåe</t>
  </si>
  <si>
    <t>Dirdal</t>
  </si>
  <si>
    <t>Dittielva</t>
  </si>
  <si>
    <t>Dividalen</t>
  </si>
  <si>
    <t>Djupdal</t>
  </si>
  <si>
    <t>Djupfjord I</t>
  </si>
  <si>
    <t>Djupfjord II</t>
  </si>
  <si>
    <t>Djupvika</t>
  </si>
  <si>
    <t>Djupå</t>
  </si>
  <si>
    <t>Djuv</t>
  </si>
  <si>
    <t>Dokka</t>
  </si>
  <si>
    <t>Dokkelva</t>
  </si>
  <si>
    <t>Dragefossen</t>
  </si>
  <si>
    <t>Drarvik</t>
  </si>
  <si>
    <t>Draura</t>
  </si>
  <si>
    <t>Dravlaus</t>
  </si>
  <si>
    <t>Driva</t>
  </si>
  <si>
    <t>Drivdal</t>
  </si>
  <si>
    <t>Drivdalselva</t>
  </si>
  <si>
    <t>Duge</t>
  </si>
  <si>
    <t>Dvergsdalsdalen</t>
  </si>
  <si>
    <t>Dversetelva</t>
  </si>
  <si>
    <t>Dynjanfoss</t>
  </si>
  <si>
    <t>Dyrbakk</t>
  </si>
  <si>
    <t>Dyrhovden</t>
  </si>
  <si>
    <t>Dyrkorn</t>
  </si>
  <si>
    <t>Dyrnesli</t>
  </si>
  <si>
    <t>Dyrstad</t>
  </si>
  <si>
    <t>Døla</t>
  </si>
  <si>
    <t>Døsen</t>
  </si>
  <si>
    <t>Døvik</t>
  </si>
  <si>
    <t>Døvikfoss</t>
  </si>
  <si>
    <t>Eftestøl</t>
  </si>
  <si>
    <t>Egge</t>
  </si>
  <si>
    <t>Eid</t>
  </si>
  <si>
    <t>Eide</t>
  </si>
  <si>
    <t>Eidefossen</t>
  </si>
  <si>
    <t>Eidesfossen</t>
  </si>
  <si>
    <t>Eidet</t>
  </si>
  <si>
    <t>Eidsdal</t>
  </si>
  <si>
    <t>Eidsetelva</t>
  </si>
  <si>
    <t>Eidsfoss</t>
  </si>
  <si>
    <t>Eidsfossen</t>
  </si>
  <si>
    <t>Eidsland 1</t>
  </si>
  <si>
    <t>Eidsland 2</t>
  </si>
  <si>
    <t>Eikedalsvatten</t>
  </si>
  <si>
    <t>Eikelandsosen</t>
  </si>
  <si>
    <t>Eimstad</t>
  </si>
  <si>
    <t>Einunna</t>
  </si>
  <si>
    <t>Eiriksdal</t>
  </si>
  <si>
    <t>Eitro</t>
  </si>
  <si>
    <t>Ekkjestølen</t>
  </si>
  <si>
    <t>Eldao</t>
  </si>
  <si>
    <t>Eldrevatn</t>
  </si>
  <si>
    <t>Ellenelva</t>
  </si>
  <si>
    <t>Ellingsbekken</t>
  </si>
  <si>
    <t>Embla</t>
  </si>
  <si>
    <t>Embretsfoss</t>
  </si>
  <si>
    <t>Engeset</t>
  </si>
  <si>
    <t>Epteland</t>
  </si>
  <si>
    <t>Erdal</t>
  </si>
  <si>
    <t>Erfjord</t>
  </si>
  <si>
    <t>Ervik</t>
  </si>
  <si>
    <t>Espeelvi</t>
  </si>
  <si>
    <t>Espeland</t>
  </si>
  <si>
    <t>Evanger</t>
  </si>
  <si>
    <t>Evebøfossen</t>
  </si>
  <si>
    <t>Evenset</t>
  </si>
  <si>
    <t>Evenstad</t>
  </si>
  <si>
    <t>Fagerdalen</t>
  </si>
  <si>
    <t>Fagerelva</t>
  </si>
  <si>
    <t>Fagerli</t>
  </si>
  <si>
    <t>Fagerlid</t>
  </si>
  <si>
    <t>Fagervollan</t>
  </si>
  <si>
    <t>Fall</t>
  </si>
  <si>
    <t>Faslefoss</t>
  </si>
  <si>
    <t>Fatland</t>
  </si>
  <si>
    <t>Fausa I</t>
  </si>
  <si>
    <t>Fausa II</t>
  </si>
  <si>
    <t>Fellesanlegget Kykkelsrud-Fossumfoss</t>
  </si>
  <si>
    <t>Finndøla</t>
  </si>
  <si>
    <t>Finnesetbekken</t>
  </si>
  <si>
    <t>Finså</t>
  </si>
  <si>
    <t>Fiskefjord</t>
  </si>
  <si>
    <t>Fiskløysa</t>
  </si>
  <si>
    <t>Fiskå Mølle</t>
  </si>
  <si>
    <t>Fivlemyr</t>
  </si>
  <si>
    <t>Fjellanger</t>
  </si>
  <si>
    <t>Fjellet</t>
  </si>
  <si>
    <t>Fjellhaugen</t>
  </si>
  <si>
    <t>Fjelna</t>
  </si>
  <si>
    <t>Fjone</t>
  </si>
  <si>
    <t>Fjæremsfoss</t>
  </si>
  <si>
    <t>Flaen Mølle</t>
  </si>
  <si>
    <t>Flatenfoss 2</t>
  </si>
  <si>
    <t>Flatenfoss 3</t>
  </si>
  <si>
    <t>Flatlandsåi</t>
  </si>
  <si>
    <t>Flatråker</t>
  </si>
  <si>
    <t>Flittig</t>
  </si>
  <si>
    <t>Flørli</t>
  </si>
  <si>
    <t>Fløtre</t>
  </si>
  <si>
    <t>Folkedal</t>
  </si>
  <si>
    <t>Folkestad</t>
  </si>
  <si>
    <t>Follafoss</t>
  </si>
  <si>
    <t>Follebu bruk</t>
  </si>
  <si>
    <t>Follsjå</t>
  </si>
  <si>
    <t>Forneselva</t>
  </si>
  <si>
    <t>Forsanvatn</t>
  </si>
  <si>
    <t>Forsanvatn minikraftverk</t>
  </si>
  <si>
    <t>Forsland</t>
  </si>
  <si>
    <t>Forså</t>
  </si>
  <si>
    <t>Foss</t>
  </si>
  <si>
    <t>Fossabekken</t>
  </si>
  <si>
    <t>Fossan</t>
  </si>
  <si>
    <t>Fossane</t>
  </si>
  <si>
    <t>Fossane - Molla</t>
  </si>
  <si>
    <t>Fossbråten</t>
  </si>
  <si>
    <t>Fossdal</t>
  </si>
  <si>
    <t>Fosse</t>
  </si>
  <si>
    <t>Fosseelvo Mikrokraftverk</t>
  </si>
  <si>
    <t>Fossekallen</t>
  </si>
  <si>
    <t>Fossen</t>
  </si>
  <si>
    <t>Fossheim</t>
  </si>
  <si>
    <t>Fossheimfoss</t>
  </si>
  <si>
    <t>Fossheimgardane</t>
  </si>
  <si>
    <t>Fossmark</t>
  </si>
  <si>
    <t>Fosstun</t>
  </si>
  <si>
    <t>Fosstveit</t>
  </si>
  <si>
    <t>Fossum</t>
  </si>
  <si>
    <t>Fossum Mølle og elektrisitetsverk</t>
  </si>
  <si>
    <t>Fossåno</t>
  </si>
  <si>
    <t>Frammarsvik</t>
  </si>
  <si>
    <t>Framruste</t>
  </si>
  <si>
    <t>Freim</t>
  </si>
  <si>
    <t>Fremstedalen</t>
  </si>
  <si>
    <t>Friheim</t>
  </si>
  <si>
    <t>Frilsjøen</t>
  </si>
  <si>
    <t>Frisvold</t>
  </si>
  <si>
    <t>Fritzøe</t>
  </si>
  <si>
    <t>Frøland</t>
  </si>
  <si>
    <t>Frøvik Gård</t>
  </si>
  <si>
    <t>Frøystul</t>
  </si>
  <si>
    <t>Fuglestein</t>
  </si>
  <si>
    <t>Funna</t>
  </si>
  <si>
    <t>Funnefoss</t>
  </si>
  <si>
    <t>Furebø</t>
  </si>
  <si>
    <t>Furegardane</t>
  </si>
  <si>
    <t>Furset</t>
  </si>
  <si>
    <t>Fykanvannet</t>
  </si>
  <si>
    <t>Færåsen</t>
  </si>
  <si>
    <t>Fønhus</t>
  </si>
  <si>
    <t>Føssa</t>
  </si>
  <si>
    <t>Gamlebrofoss</t>
  </si>
  <si>
    <t>Gandvik</t>
  </si>
  <si>
    <t>Gangsbekken</t>
  </si>
  <si>
    <t>Gapestad</t>
  </si>
  <si>
    <t>Gaudøla</t>
  </si>
  <si>
    <t>Gaula</t>
  </si>
  <si>
    <t>Gausbu</t>
  </si>
  <si>
    <t>Gausvik I</t>
  </si>
  <si>
    <t>Gausvik III</t>
  </si>
  <si>
    <t>Gautvella</t>
  </si>
  <si>
    <t>Geisdøla</t>
  </si>
  <si>
    <t>Geithusfoss</t>
  </si>
  <si>
    <t>Geitåni</t>
  </si>
  <si>
    <t>Gilja</t>
  </si>
  <si>
    <t>Gire</t>
  </si>
  <si>
    <t>Gisnafallet</t>
  </si>
  <si>
    <t>Gjedrem &amp; Holmen</t>
  </si>
  <si>
    <t>Gjerde</t>
  </si>
  <si>
    <t>Gjerdsvika</t>
  </si>
  <si>
    <t>Gjerland</t>
  </si>
  <si>
    <t>Gjersvik</t>
  </si>
  <si>
    <t>Gjesdal</t>
  </si>
  <si>
    <t>Gjetingsdalen</t>
  </si>
  <si>
    <t>Gjuva</t>
  </si>
  <si>
    <t>Gjønaelva</t>
  </si>
  <si>
    <t>Gjøv</t>
  </si>
  <si>
    <t>Glesåa</t>
  </si>
  <si>
    <t>Glisja</t>
  </si>
  <si>
    <t>Glomfjord</t>
  </si>
  <si>
    <t>Glomnes</t>
  </si>
  <si>
    <t>Glutra</t>
  </si>
  <si>
    <t>Godal</t>
  </si>
  <si>
    <t>Gosland</t>
  </si>
  <si>
    <t>Govddesåga</t>
  </si>
  <si>
    <t>Grana</t>
  </si>
  <si>
    <t>Grasbotntjørni</t>
  </si>
  <si>
    <t>Grasdalen</t>
  </si>
  <si>
    <t>Gravbrøtfoss</t>
  </si>
  <si>
    <t>Gravfoss I</t>
  </si>
  <si>
    <t>Gravfoss II</t>
  </si>
  <si>
    <t>Gravvold</t>
  </si>
  <si>
    <t>Gresslifoss</t>
  </si>
  <si>
    <t>Grimo</t>
  </si>
  <si>
    <t>Grislefoss</t>
  </si>
  <si>
    <t>Grovane</t>
  </si>
  <si>
    <t>Grove</t>
  </si>
  <si>
    <t>Grunnevatn</t>
  </si>
  <si>
    <t>Grunnåi</t>
  </si>
  <si>
    <t>Gryta</t>
  </si>
  <si>
    <t>Grytdalen</t>
  </si>
  <si>
    <t>Gryte I</t>
  </si>
  <si>
    <t>Gryte II</t>
  </si>
  <si>
    <t>Grytefoss</t>
  </si>
  <si>
    <t>Grytendal</t>
  </si>
  <si>
    <t>Grytfossen</t>
  </si>
  <si>
    <t>Grytneselva</t>
  </si>
  <si>
    <t>Gryto</t>
  </si>
  <si>
    <t>Grytten</t>
  </si>
  <si>
    <t>Grytåga</t>
  </si>
  <si>
    <t>Grytåga Småkraftverk</t>
  </si>
  <si>
    <t>Grytåi</t>
  </si>
  <si>
    <t>Grytåne</t>
  </si>
  <si>
    <t>Grøa</t>
  </si>
  <si>
    <t>Grødem</t>
  </si>
  <si>
    <t>Grødemfoss</t>
  </si>
  <si>
    <t>Grøndal</t>
  </si>
  <si>
    <t>Grøndalsvatn</t>
  </si>
  <si>
    <t>Grøneng</t>
  </si>
  <si>
    <t>Grønhaug</t>
  </si>
  <si>
    <t>Grønhovdelva</t>
  </si>
  <si>
    <t>Grønlielva</t>
  </si>
  <si>
    <t>Grønnedal</t>
  </si>
  <si>
    <t>Grønningselva</t>
  </si>
  <si>
    <t>Grønsdal</t>
  </si>
  <si>
    <t>Grønvollfoss</t>
  </si>
  <si>
    <t>Grøslandselva</t>
  </si>
  <si>
    <t>Grøtte</t>
  </si>
  <si>
    <t>Grøvla</t>
  </si>
  <si>
    <t>Gråklubben</t>
  </si>
  <si>
    <t>Gråsjø</t>
  </si>
  <si>
    <t>Gunnar Jan Gjerland</t>
  </si>
  <si>
    <t>Guolásjohka</t>
  </si>
  <si>
    <t>Gurebo</t>
  </si>
  <si>
    <t>Gursli</t>
  </si>
  <si>
    <t>Gyl</t>
  </si>
  <si>
    <t>Gåseflå</t>
  </si>
  <si>
    <t>Gåslonelva</t>
  </si>
  <si>
    <t>Gåsvasselva</t>
  </si>
  <si>
    <t>Haavard T, Lien Mikrokraftverk</t>
  </si>
  <si>
    <t>Hafslund</t>
  </si>
  <si>
    <t>Hagaelva</t>
  </si>
  <si>
    <t>Hakavik</t>
  </si>
  <si>
    <t>Hakkstabben</t>
  </si>
  <si>
    <t>Halle</t>
  </si>
  <si>
    <t>Halne</t>
  </si>
  <si>
    <t>Halvdagsåa</t>
  </si>
  <si>
    <t>Hammerbekken</t>
  </si>
  <si>
    <t>Hammeren</t>
  </si>
  <si>
    <t>Hammerfest</t>
  </si>
  <si>
    <t>Hammerstrand</t>
  </si>
  <si>
    <t>Hamrabø</t>
  </si>
  <si>
    <t>Hanefoss</t>
  </si>
  <si>
    <t>Hanestadnea</t>
  </si>
  <si>
    <t>Hansfoss</t>
  </si>
  <si>
    <t>Harastølen I</t>
  </si>
  <si>
    <t>Harastølen II</t>
  </si>
  <si>
    <t>Hardeland H</t>
  </si>
  <si>
    <t>Hardeland K</t>
  </si>
  <si>
    <t>Harpefossen</t>
  </si>
  <si>
    <t>Harstveitbekken</t>
  </si>
  <si>
    <t>Hasselelva</t>
  </si>
  <si>
    <t>Hatlemark</t>
  </si>
  <si>
    <t>Hatlestad</t>
  </si>
  <si>
    <t>Hattebergsdalen</t>
  </si>
  <si>
    <t>Haugaelva</t>
  </si>
  <si>
    <t>Haugafossen</t>
  </si>
  <si>
    <t>Hauge</t>
  </si>
  <si>
    <t>Haugfoss</t>
  </si>
  <si>
    <t>Hauggard</t>
  </si>
  <si>
    <t>Haugsland</t>
  </si>
  <si>
    <t>Haukali</t>
  </si>
  <si>
    <t>Haukeli</t>
  </si>
  <si>
    <t>Haukland</t>
  </si>
  <si>
    <t>Haukrei</t>
  </si>
  <si>
    <t>Haukvik</t>
  </si>
  <si>
    <t>Hausken</t>
  </si>
  <si>
    <t>Hauskje</t>
  </si>
  <si>
    <t>Havdal</t>
  </si>
  <si>
    <t>Havrevoll</t>
  </si>
  <si>
    <t>Heggemselva</t>
  </si>
  <si>
    <t>Heggmoen</t>
  </si>
  <si>
    <t>Heggtveit</t>
  </si>
  <si>
    <t>Hegsetdammen</t>
  </si>
  <si>
    <t>Hegsetfoss</t>
  </si>
  <si>
    <t>Heidelva</t>
  </si>
  <si>
    <t>Heieren</t>
  </si>
  <si>
    <t>Heierenfossen</t>
  </si>
  <si>
    <t>Heimerdalen</t>
  </si>
  <si>
    <t>Heimseta</t>
  </si>
  <si>
    <t>Heina</t>
  </si>
  <si>
    <t>Heiåi</t>
  </si>
  <si>
    <t>Hekni</t>
  </si>
  <si>
    <t>Heldøla</t>
  </si>
  <si>
    <t>Helganes</t>
  </si>
  <si>
    <t>Helgheim</t>
  </si>
  <si>
    <t>Helgøy</t>
  </si>
  <si>
    <t>Helgåa</t>
  </si>
  <si>
    <t>Hellandsfoss</t>
  </si>
  <si>
    <t>Hellandsfossen</t>
  </si>
  <si>
    <t>Helle</t>
  </si>
  <si>
    <t>Helle Bruk</t>
  </si>
  <si>
    <t>Hellefoss</t>
  </si>
  <si>
    <t>Helleren</t>
  </si>
  <si>
    <t>Hellevang</t>
  </si>
  <si>
    <t>Helveteskraft</t>
  </si>
  <si>
    <t>Hemsil I</t>
  </si>
  <si>
    <t>Hemsil II</t>
  </si>
  <si>
    <t>Hensfoss</t>
  </si>
  <si>
    <t>Herad</t>
  </si>
  <si>
    <t>Herje</t>
  </si>
  <si>
    <t>Herjåa</t>
  </si>
  <si>
    <t>Herlandsfoss</t>
  </si>
  <si>
    <t>Herva</t>
  </si>
  <si>
    <t>Hesjeberg</t>
  </si>
  <si>
    <t>Hestdal</t>
  </si>
  <si>
    <t>Hestenes</t>
  </si>
  <si>
    <t>Hetland</t>
  </si>
  <si>
    <t>Hindbergelva</t>
  </si>
  <si>
    <t>Hisvatn</t>
  </si>
  <si>
    <t>Hjartdøla</t>
  </si>
  <si>
    <t>Hjelle</t>
  </si>
  <si>
    <t>Hjelledøla</t>
  </si>
  <si>
    <t>Hjelmeland</t>
  </si>
  <si>
    <t>Hjertvatn</t>
  </si>
  <si>
    <t>Hjorteland</t>
  </si>
  <si>
    <t>Hjorteland (Fjellbergsåno)</t>
  </si>
  <si>
    <t>Hjorteland (Hjortelandsåno)</t>
  </si>
  <si>
    <t>Hodnaberg</t>
  </si>
  <si>
    <t>Hoelsfossen</t>
  </si>
  <si>
    <t>Hofkvern</t>
  </si>
  <si>
    <t>Hofsfoss</t>
  </si>
  <si>
    <t>Hogga</t>
  </si>
  <si>
    <t>Hogstad</t>
  </si>
  <si>
    <t>Hol I (Urunda)</t>
  </si>
  <si>
    <t>Hol I (Votna)</t>
  </si>
  <si>
    <t>Hol II</t>
  </si>
  <si>
    <t>Hol III</t>
  </si>
  <si>
    <t>Holdal</t>
  </si>
  <si>
    <t>Hole</t>
  </si>
  <si>
    <t>Holen</t>
  </si>
  <si>
    <t>Holen III</t>
  </si>
  <si>
    <t>Holen I-II</t>
  </si>
  <si>
    <t>Holmane</t>
  </si>
  <si>
    <t>Holmbekken</t>
  </si>
  <si>
    <t>Holmem</t>
  </si>
  <si>
    <t>Holmen</t>
  </si>
  <si>
    <t>Holsbru</t>
  </si>
  <si>
    <t>Holsen</t>
  </si>
  <si>
    <t>Holsfossen</t>
  </si>
  <si>
    <t>Hommafossen</t>
  </si>
  <si>
    <t>Hommelfoss</t>
  </si>
  <si>
    <t>Hommsåne</t>
  </si>
  <si>
    <t>Hongset Røye</t>
  </si>
  <si>
    <t>Honnefoss</t>
  </si>
  <si>
    <t>Hopla</t>
  </si>
  <si>
    <t>Hopland</t>
  </si>
  <si>
    <t>Hopselva</t>
  </si>
  <si>
    <t>Hopsfossen</t>
  </si>
  <si>
    <t>Horga</t>
  </si>
  <si>
    <t>Horka</t>
  </si>
  <si>
    <t>Horneelva</t>
  </si>
  <si>
    <t>Horpedal</t>
  </si>
  <si>
    <t>Hovatn</t>
  </si>
  <si>
    <t>Hove</t>
  </si>
  <si>
    <t>Hovland</t>
  </si>
  <si>
    <t>Hovuduk</t>
  </si>
  <si>
    <t>Hugla</t>
  </si>
  <si>
    <t>Hulbak</t>
  </si>
  <si>
    <t>Humberset</t>
  </si>
  <si>
    <t>Hunderfossen</t>
  </si>
  <si>
    <t>Hundseid</t>
  </si>
  <si>
    <t>Hundtjønnsbekken</t>
  </si>
  <si>
    <t>Hunnevatn</t>
  </si>
  <si>
    <t>Hunsfoss</t>
  </si>
  <si>
    <t>Hurunda</t>
  </si>
  <si>
    <t>Husbyelva</t>
  </si>
  <si>
    <t>Husefest</t>
  </si>
  <si>
    <t>Husstøl</t>
  </si>
  <si>
    <t>Hustveit</t>
  </si>
  <si>
    <t>Hyelva</t>
  </si>
  <si>
    <t>Hylen</t>
  </si>
  <si>
    <t>Hylla</t>
  </si>
  <si>
    <t>Hynna</t>
  </si>
  <si>
    <t>Høgefoss</t>
  </si>
  <si>
    <t>Høgfallet</t>
  </si>
  <si>
    <t>Høglielva Kraftverk</t>
  </si>
  <si>
    <t>Hølera</t>
  </si>
  <si>
    <t>Hølseter</t>
  </si>
  <si>
    <t>Hønefoss</t>
  </si>
  <si>
    <t>Høyanger K5A</t>
  </si>
  <si>
    <t>Høyanger K5B</t>
  </si>
  <si>
    <t>Høydal</t>
  </si>
  <si>
    <t>Høylandsfoss</t>
  </si>
  <si>
    <t>Håen</t>
  </si>
  <si>
    <t>Hågjøla</t>
  </si>
  <si>
    <t>Håkvik</t>
  </si>
  <si>
    <t>Hålandsfoss</t>
  </si>
  <si>
    <t>Håra</t>
  </si>
  <si>
    <t>Hårstadbekken</t>
  </si>
  <si>
    <t>Håvardsvatn</t>
  </si>
  <si>
    <t>Håverstad</t>
  </si>
  <si>
    <t>Håvik</t>
  </si>
  <si>
    <t>Ilaget</t>
  </si>
  <si>
    <t>Ildgrubfossen</t>
  </si>
  <si>
    <t>Imsland</t>
  </si>
  <si>
    <t>Indre Fossen</t>
  </si>
  <si>
    <t>Indre Norddal</t>
  </si>
  <si>
    <t>Indrebø</t>
  </si>
  <si>
    <t>Indreitselva</t>
  </si>
  <si>
    <t>Ingstad</t>
  </si>
  <si>
    <t>Innset</t>
  </si>
  <si>
    <t>Innvik</t>
  </si>
  <si>
    <t>Istad</t>
  </si>
  <si>
    <t>Isvatn</t>
  </si>
  <si>
    <t>Iungsdalshytta</t>
  </si>
  <si>
    <t>Iveland</t>
  </si>
  <si>
    <t>Jardøla</t>
  </si>
  <si>
    <t>Joka</t>
  </si>
  <si>
    <t>Jora</t>
  </si>
  <si>
    <t>Jorda</t>
  </si>
  <si>
    <t>Jordal</t>
  </si>
  <si>
    <t>Jordalen</t>
  </si>
  <si>
    <t>Jordalen 2</t>
  </si>
  <si>
    <t>Jostedal</t>
  </si>
  <si>
    <t>Jukla</t>
  </si>
  <si>
    <t>Julfoss</t>
  </si>
  <si>
    <t>Julskaret</t>
  </si>
  <si>
    <t>Juvet</t>
  </si>
  <si>
    <t>Juvfossen</t>
  </si>
  <si>
    <t>Juvsbekken</t>
  </si>
  <si>
    <t>Jølstraholmen</t>
  </si>
  <si>
    <t>Jølåna</t>
  </si>
  <si>
    <t>Jørundland</t>
  </si>
  <si>
    <t>Jøssang</t>
  </si>
  <si>
    <t>Jøssingfjord</t>
  </si>
  <si>
    <t>Jåstadkraft</t>
  </si>
  <si>
    <t>Kaggefoss</t>
  </si>
  <si>
    <t>Kaldestad</t>
  </si>
  <si>
    <t>Kaldheim Bruk</t>
  </si>
  <si>
    <t>Kaldsåni</t>
  </si>
  <si>
    <t>Kaldåga</t>
  </si>
  <si>
    <t>Kaldåna</t>
  </si>
  <si>
    <t>Kaldåni</t>
  </si>
  <si>
    <t>Kalsabø</t>
  </si>
  <si>
    <t>Kalvedalen</t>
  </si>
  <si>
    <t>Kalvåa</t>
  </si>
  <si>
    <t>Kambe Kraft</t>
  </si>
  <si>
    <t>Kammerfoss</t>
  </si>
  <si>
    <t>Kanalen</t>
  </si>
  <si>
    <t>Kandal</t>
  </si>
  <si>
    <t>Kangsliåga</t>
  </si>
  <si>
    <t>Kanndalen</t>
  </si>
  <si>
    <t>Karstad</t>
  </si>
  <si>
    <t>Kastdalen</t>
  </si>
  <si>
    <t>Kaupanger</t>
  </si>
  <si>
    <t>Kaupanger 3</t>
  </si>
  <si>
    <t>Kildalen</t>
  </si>
  <si>
    <t>Kilsti</t>
  </si>
  <si>
    <t>Kinnali</t>
  </si>
  <si>
    <t>Kinnali II</t>
  </si>
  <si>
    <t>Kinnforsen</t>
  </si>
  <si>
    <t>Kinso</t>
  </si>
  <si>
    <t>Kistafossen</t>
  </si>
  <si>
    <t>Kiste</t>
  </si>
  <si>
    <t>Kistefoss I</t>
  </si>
  <si>
    <t>Kistefoss II</t>
  </si>
  <si>
    <t>Kittilsviken</t>
  </si>
  <si>
    <t>Kjela</t>
  </si>
  <si>
    <t>Kjeldebekken</t>
  </si>
  <si>
    <t>Kjeldåga</t>
  </si>
  <si>
    <t>Kjensvatn</t>
  </si>
  <si>
    <t>Kjetland</t>
  </si>
  <si>
    <t>Kjosfoss</t>
  </si>
  <si>
    <t>Kjærnes</t>
  </si>
  <si>
    <t>Kjøljua</t>
  </si>
  <si>
    <t>Kjølvik</t>
  </si>
  <si>
    <t>Kjørstad</t>
  </si>
  <si>
    <t>Kjøsnesfjorden</t>
  </si>
  <si>
    <t>Kjøsstånå</t>
  </si>
  <si>
    <t>Kleiva</t>
  </si>
  <si>
    <t>Kleivafoss</t>
  </si>
  <si>
    <t>Kleivane</t>
  </si>
  <si>
    <t>Klosterfoss</t>
  </si>
  <si>
    <t>Klubbatjern</t>
  </si>
  <si>
    <t>Kløvkraft</t>
  </si>
  <si>
    <t>Kløvtveit</t>
  </si>
  <si>
    <t>Knutfoss</t>
  </si>
  <si>
    <t>Koabekken</t>
  </si>
  <si>
    <t>Kobbelv</t>
  </si>
  <si>
    <t>Kobbholm</t>
  </si>
  <si>
    <t>Kolfossen</t>
  </si>
  <si>
    <t>Kolsvik</t>
  </si>
  <si>
    <t>Kongsfjord I</t>
  </si>
  <si>
    <t>Kongsfoss</t>
  </si>
  <si>
    <t>Kongsmarka</t>
  </si>
  <si>
    <t>Kongsvinger</t>
  </si>
  <si>
    <t>Kopa</t>
  </si>
  <si>
    <t>Koparvike</t>
  </si>
  <si>
    <t>Krogseth</t>
  </si>
  <si>
    <t>Krogstadelva</t>
  </si>
  <si>
    <t>Kroka</t>
  </si>
  <si>
    <t>Krokevatn</t>
  </si>
  <si>
    <t>Krokvatn</t>
  </si>
  <si>
    <t>Krutlet</t>
  </si>
  <si>
    <t>Krutvatnet</t>
  </si>
  <si>
    <t>Kråkenes</t>
  </si>
  <si>
    <t>Kuli</t>
  </si>
  <si>
    <t>Kulu</t>
  </si>
  <si>
    <t>Kupe</t>
  </si>
  <si>
    <t>Kuråsfoss</t>
  </si>
  <si>
    <t>Kvalvaag</t>
  </si>
  <si>
    <t>Kvamselva</t>
  </si>
  <si>
    <t>Kvangreelva</t>
  </si>
  <si>
    <t>Kvanndal</t>
  </si>
  <si>
    <t>Kvannvatn</t>
  </si>
  <si>
    <t>Kvarv</t>
  </si>
  <si>
    <t>Kvassteinåga</t>
  </si>
  <si>
    <t>Kveaså</t>
  </si>
  <si>
    <t>Kvemma</t>
  </si>
  <si>
    <t>Kvemma minikraftverk</t>
  </si>
  <si>
    <t>Kvennhusbekken</t>
  </si>
  <si>
    <t>Kvennhusåi</t>
  </si>
  <si>
    <t>Kvennhølet</t>
  </si>
  <si>
    <t>Kvernerud</t>
  </si>
  <si>
    <t>Kvernfallet</t>
  </si>
  <si>
    <t>Kvernhusbekken</t>
  </si>
  <si>
    <t>Kvernhusdalsbekken</t>
  </si>
  <si>
    <t>Kvernhuselva</t>
  </si>
  <si>
    <t>Kvernhusfossen</t>
  </si>
  <si>
    <t>Kverninga</t>
  </si>
  <si>
    <t>Kvernstad</t>
  </si>
  <si>
    <t>Kvernstufossen</t>
  </si>
  <si>
    <t>Kvernåi</t>
  </si>
  <si>
    <t>Kvilldal</t>
  </si>
  <si>
    <t>Kvina</t>
  </si>
  <si>
    <t>Kvinen</t>
  </si>
  <si>
    <t>Kvinesdal</t>
  </si>
  <si>
    <t>Kvitefella</t>
  </si>
  <si>
    <t>Kvitelva</t>
  </si>
  <si>
    <t>Kvitfossen</t>
  </si>
  <si>
    <t>Kvitingen</t>
  </si>
  <si>
    <t>Kvitno</t>
  </si>
  <si>
    <t>Kvittingen</t>
  </si>
  <si>
    <t>Kvitvella</t>
  </si>
  <si>
    <t>Kvitåi</t>
  </si>
  <si>
    <t>Kviven</t>
  </si>
  <si>
    <t>Kvænangsbotn</t>
  </si>
  <si>
    <t>Kvåle</t>
  </si>
  <si>
    <t>Kvåmm</t>
  </si>
  <si>
    <t>Kylland</t>
  </si>
  <si>
    <t>Kyrkjevollgrova</t>
  </si>
  <si>
    <t>Kysinga</t>
  </si>
  <si>
    <t>Kåven</t>
  </si>
  <si>
    <t>Laksen</t>
  </si>
  <si>
    <t>Lakshola</t>
  </si>
  <si>
    <t>Landakraft</t>
  </si>
  <si>
    <t>Langdalselva</t>
  </si>
  <si>
    <t>Langedal</t>
  </si>
  <si>
    <t>Langedalen</t>
  </si>
  <si>
    <t>Langedalselva</t>
  </si>
  <si>
    <t>Langevåg</t>
  </si>
  <si>
    <t>Langfjord</t>
  </si>
  <si>
    <t>Langfoss</t>
  </si>
  <si>
    <t>Langli</t>
  </si>
  <si>
    <t>Lang-Sima</t>
  </si>
  <si>
    <t>Langsteinelva</t>
  </si>
  <si>
    <t>Langvatn</t>
  </si>
  <si>
    <t>Langåsfoss</t>
  </si>
  <si>
    <t>Lappvikelva</t>
  </si>
  <si>
    <t>Laskbekken</t>
  </si>
  <si>
    <t>Lassajavrri</t>
  </si>
  <si>
    <t>Laudal</t>
  </si>
  <si>
    <t>Laugaland</t>
  </si>
  <si>
    <t>Lauki og Melei</t>
  </si>
  <si>
    <t>Lauvlielva</t>
  </si>
  <si>
    <t>Lauvsnes</t>
  </si>
  <si>
    <t>Lavkajohka</t>
  </si>
  <si>
    <t>Leidesfossen</t>
  </si>
  <si>
    <t>Leinafoss</t>
  </si>
  <si>
    <t>Leirbekken</t>
  </si>
  <si>
    <t>Leirdøla</t>
  </si>
  <si>
    <t>Leirelva</t>
  </si>
  <si>
    <t>Leirfossene</t>
  </si>
  <si>
    <t>Leiro</t>
  </si>
  <si>
    <t>Leirosen</t>
  </si>
  <si>
    <t>Leiråa</t>
  </si>
  <si>
    <t>Leknesvatn</t>
  </si>
  <si>
    <t>Lekum</t>
  </si>
  <si>
    <t>Lesjaverk</t>
  </si>
  <si>
    <t>Liaelva</t>
  </si>
  <si>
    <t>Liafoss</t>
  </si>
  <si>
    <t>Liarelva</t>
  </si>
  <si>
    <t>Liavatn</t>
  </si>
  <si>
    <t>Lidal</t>
  </si>
  <si>
    <t>Lielva</t>
  </si>
  <si>
    <t>Lien</t>
  </si>
  <si>
    <t>Lille Måsevatn</t>
  </si>
  <si>
    <t>Lindland</t>
  </si>
  <si>
    <t>Lindåna</t>
  </si>
  <si>
    <t>Linvasselv</t>
  </si>
  <si>
    <t>Lio</t>
  </si>
  <si>
    <t>Lislevatn</t>
  </si>
  <si>
    <t>Litjfossen</t>
  </si>
  <si>
    <t>Litj-Hena</t>
  </si>
  <si>
    <t>Litledalen</t>
  </si>
  <si>
    <t>Litlelva</t>
  </si>
  <si>
    <t>Litleåna</t>
  </si>
  <si>
    <t>Ljotå</t>
  </si>
  <si>
    <t>Ljøsåa</t>
  </si>
  <si>
    <t>Logna</t>
  </si>
  <si>
    <t>Lognavann</t>
  </si>
  <si>
    <t>Lomen</t>
  </si>
  <si>
    <t>Lomi</t>
  </si>
  <si>
    <t>Lomsdalselva</t>
  </si>
  <si>
    <t>Longerak</t>
  </si>
  <si>
    <t>Lothe</t>
  </si>
  <si>
    <t>Lotsberg</t>
  </si>
  <si>
    <t>Lovik</t>
  </si>
  <si>
    <t>Lundsfoss</t>
  </si>
  <si>
    <t>Lundsæter</t>
  </si>
  <si>
    <t>Luostejok</t>
  </si>
  <si>
    <t>Luren</t>
  </si>
  <si>
    <t>Lutufallet</t>
  </si>
  <si>
    <t>Lya</t>
  </si>
  <si>
    <t>Lysbotn</t>
  </si>
  <si>
    <t>Lysebotn 2</t>
  </si>
  <si>
    <t>Lysvatn</t>
  </si>
  <si>
    <t>Løa</t>
  </si>
  <si>
    <t>Løgjen</t>
  </si>
  <si>
    <t>Løkaunet</t>
  </si>
  <si>
    <t>Løpet</t>
  </si>
  <si>
    <t>Madalen</t>
  </si>
  <si>
    <t>Madland</t>
  </si>
  <si>
    <t>Mago A</t>
  </si>
  <si>
    <t>Mago B</t>
  </si>
  <si>
    <t>Mago C</t>
  </si>
  <si>
    <t>Mago D</t>
  </si>
  <si>
    <t>Makkoren</t>
  </si>
  <si>
    <t>Malmo</t>
  </si>
  <si>
    <t>Mandelid</t>
  </si>
  <si>
    <t>Mannsberg</t>
  </si>
  <si>
    <t>Mardal</t>
  </si>
  <si>
    <t>Maribu</t>
  </si>
  <si>
    <t>Marifjøra</t>
  </si>
  <si>
    <t>Markjelkevatn</t>
  </si>
  <si>
    <t>Marvik</t>
  </si>
  <si>
    <t>Matre H</t>
  </si>
  <si>
    <t>Matre M</t>
  </si>
  <si>
    <t>Mattisfoss</t>
  </si>
  <si>
    <t>Maudal</t>
  </si>
  <si>
    <t>Mauranger</t>
  </si>
  <si>
    <t>Medåe</t>
  </si>
  <si>
    <t>Medås</t>
  </si>
  <si>
    <t>Mehammer Mikrokraftverk I</t>
  </si>
  <si>
    <t>Mehammer Mikrokraftverk II</t>
  </si>
  <si>
    <t>Meierifossen</t>
  </si>
  <si>
    <t>Meisal I</t>
  </si>
  <si>
    <t>Meisal II</t>
  </si>
  <si>
    <t>Mel</t>
  </si>
  <si>
    <t>Mela</t>
  </si>
  <si>
    <t>Melheim</t>
  </si>
  <si>
    <t>Melkefoss</t>
  </si>
  <si>
    <t>Mellomjord 2</t>
  </si>
  <si>
    <t>Memurubu</t>
  </si>
  <si>
    <t>Meråker</t>
  </si>
  <si>
    <t>Mesna</t>
  </si>
  <si>
    <t>Middagsbukt</t>
  </si>
  <si>
    <t>Middyr</t>
  </si>
  <si>
    <t>Middøla</t>
  </si>
  <si>
    <t>Midtlæger</t>
  </si>
  <si>
    <t>Midtre Tessa</t>
  </si>
  <si>
    <t>Midtun</t>
  </si>
  <si>
    <t>Milja</t>
  </si>
  <si>
    <t>Misfjord</t>
  </si>
  <si>
    <t>Mjeldeelva</t>
  </si>
  <si>
    <t>Mjella</t>
  </si>
  <si>
    <t>Mo</t>
  </si>
  <si>
    <t>Mobæk Mølle</t>
  </si>
  <si>
    <t>Moe</t>
  </si>
  <si>
    <t>Moelv</t>
  </si>
  <si>
    <t>Mofjellet</t>
  </si>
  <si>
    <t>Moflåt</t>
  </si>
  <si>
    <t>Moi</t>
  </si>
  <si>
    <t>Moksa</t>
  </si>
  <si>
    <t>Molla</t>
  </si>
  <si>
    <t>Momrak</t>
  </si>
  <si>
    <t>Monabekken</t>
  </si>
  <si>
    <t>Mone</t>
  </si>
  <si>
    <t>Monge</t>
  </si>
  <si>
    <t>Morkenfoss</t>
  </si>
  <si>
    <t>Mortensdalelva</t>
  </si>
  <si>
    <t>Mosbakka</t>
  </si>
  <si>
    <t>Mosbekken</t>
  </si>
  <si>
    <t>Moskenes Fiskeindustri</t>
  </si>
  <si>
    <t>Mossefossen</t>
  </si>
  <si>
    <t>Mosvik</t>
  </si>
  <si>
    <t>Mulvik</t>
  </si>
  <si>
    <t>Muoidejohka</t>
  </si>
  <si>
    <t>Mydalen</t>
  </si>
  <si>
    <t>Mydland</t>
  </si>
  <si>
    <t>Myklebost</t>
  </si>
  <si>
    <t>Myklebust</t>
  </si>
  <si>
    <t>Myklebustdalen</t>
  </si>
  <si>
    <t>Mykstufoss</t>
  </si>
  <si>
    <t>Myra</t>
  </si>
  <si>
    <t>Myraelva</t>
  </si>
  <si>
    <t>Myrbekk</t>
  </si>
  <si>
    <t>Myster</t>
  </si>
  <si>
    <t>Mæl</t>
  </si>
  <si>
    <t>Mælafoss</t>
  </si>
  <si>
    <t>Mærdalsåi</t>
  </si>
  <si>
    <t>Mølleelva</t>
  </si>
  <si>
    <t>Møllefossen</t>
  </si>
  <si>
    <t>Møllen</t>
  </si>
  <si>
    <t>Mølnbekken</t>
  </si>
  <si>
    <t>Mølnelva</t>
  </si>
  <si>
    <t>Mørnbekken</t>
  </si>
  <si>
    <t>Mørre</t>
  </si>
  <si>
    <t>Møyskrev</t>
  </si>
  <si>
    <t>Måge</t>
  </si>
  <si>
    <t>Mågeli</t>
  </si>
  <si>
    <t>Målset</t>
  </si>
  <si>
    <t>Mår</t>
  </si>
  <si>
    <t>Måren</t>
  </si>
  <si>
    <t>Mårøyfjord</t>
  </si>
  <si>
    <t>Naddvik</t>
  </si>
  <si>
    <t>Nape</t>
  </si>
  <si>
    <t>Nasvatn</t>
  </si>
  <si>
    <t>Naurak</t>
  </si>
  <si>
    <t>Nea</t>
  </si>
  <si>
    <t>Nedalsfoss</t>
  </si>
  <si>
    <t>Nedre Bersåvatn</t>
  </si>
  <si>
    <t>Nedre Eiane</t>
  </si>
  <si>
    <t>Nedre Fiskumfoss</t>
  </si>
  <si>
    <t>Nedre Kivfallet</t>
  </si>
  <si>
    <t>Nedre Leirfoss</t>
  </si>
  <si>
    <t>Nedre Markevatn</t>
  </si>
  <si>
    <t>Nedre Mollisjok</t>
  </si>
  <si>
    <t>Nedre Nea</t>
  </si>
  <si>
    <t>Nedre Neset</t>
  </si>
  <si>
    <t>Nedre Porsa</t>
  </si>
  <si>
    <t>Nedre Røssåga</t>
  </si>
  <si>
    <t>Nedre Svultingen</t>
  </si>
  <si>
    <t>Nedre Tessa 1</t>
  </si>
  <si>
    <t>Nedre Tessa 2</t>
  </si>
  <si>
    <t>Nedre Urdalen</t>
  </si>
  <si>
    <t>Nedre Vinstra</t>
  </si>
  <si>
    <t>Nedrebø</t>
  </si>
  <si>
    <t>Nes</t>
  </si>
  <si>
    <t>Neselva</t>
  </si>
  <si>
    <t>Nessa</t>
  </si>
  <si>
    <t>Nesset</t>
  </si>
  <si>
    <t>Neverdalsåga</t>
  </si>
  <si>
    <t>Nibbedalen</t>
  </si>
  <si>
    <t>Niingen</t>
  </si>
  <si>
    <t>Nipo</t>
  </si>
  <si>
    <t>Nisserdam</t>
  </si>
  <si>
    <t>Nivla</t>
  </si>
  <si>
    <t>Nomeland</t>
  </si>
  <si>
    <t>Nordbekken</t>
  </si>
  <si>
    <t>Nordbøåna</t>
  </si>
  <si>
    <t>Norddalen</t>
  </si>
  <si>
    <t>Nordelva</t>
  </si>
  <si>
    <t>Nordfjordbekkan</t>
  </si>
  <si>
    <t>Nord-Forså</t>
  </si>
  <si>
    <t>Nordlandselva</t>
  </si>
  <si>
    <t>Nordre Mangen</t>
  </si>
  <si>
    <t>Nordsvorka</t>
  </si>
  <si>
    <t>Nordvik</t>
  </si>
  <si>
    <t>Nordåni</t>
  </si>
  <si>
    <t>Nore I</t>
  </si>
  <si>
    <t>Nore II</t>
  </si>
  <si>
    <t>Norvald Hestad</t>
  </si>
  <si>
    <t>Nottveit Pico</t>
  </si>
  <si>
    <t>Novle</t>
  </si>
  <si>
    <t>Nunelva</t>
  </si>
  <si>
    <t>Nybrufoss</t>
  </si>
  <si>
    <t>Nybuelvi</t>
  </si>
  <si>
    <t>Nydal</t>
  </si>
  <si>
    <t>Nydalselva</t>
  </si>
  <si>
    <t>Nye Suvdøla</t>
  </si>
  <si>
    <t>Nye Verma</t>
  </si>
  <si>
    <t>Nygard</t>
  </si>
  <si>
    <t>Nygård</t>
  </si>
  <si>
    <t>Nyset</t>
  </si>
  <si>
    <t>Nystavnbekken</t>
  </si>
  <si>
    <t>Nyvikelva</t>
  </si>
  <si>
    <t>Nøringset</t>
  </si>
  <si>
    <t>Nørsteteig</t>
  </si>
  <si>
    <t>Nørståe</t>
  </si>
  <si>
    <t>Nånes &amp; Mele Mikrokraftverk</t>
  </si>
  <si>
    <t>Odberg</t>
  </si>
  <si>
    <t>Offervann</t>
  </si>
  <si>
    <t>Oftedal I</t>
  </si>
  <si>
    <t>Oftedal II</t>
  </si>
  <si>
    <t>Oksarelva</t>
  </si>
  <si>
    <t>Oksebotn</t>
  </si>
  <si>
    <t>Oksefjell</t>
  </si>
  <si>
    <t>Oksla</t>
  </si>
  <si>
    <t>Ola Rise</t>
  </si>
  <si>
    <t>Oldereid</t>
  </si>
  <si>
    <t>Ole Kristian Sylling</t>
  </si>
  <si>
    <t>Oltedal</t>
  </si>
  <si>
    <t>Oltesvik</t>
  </si>
  <si>
    <t>Oma</t>
  </si>
  <si>
    <t>Ormhaugfossen</t>
  </si>
  <si>
    <t>Ormsetfoss</t>
  </si>
  <si>
    <t>Ortnevik</t>
  </si>
  <si>
    <t>Ortnevik Mikrokraftverk</t>
  </si>
  <si>
    <t>Osa</t>
  </si>
  <si>
    <t>Osavatnet</t>
  </si>
  <si>
    <t>Osbu</t>
  </si>
  <si>
    <t>Osen</t>
  </si>
  <si>
    <t>Osfallet</t>
  </si>
  <si>
    <t>Osland</t>
  </si>
  <si>
    <t>Oslandsbotn</t>
  </si>
  <si>
    <t>Osteren</t>
  </si>
  <si>
    <t>Osvatn</t>
  </si>
  <si>
    <t>Oterbekken</t>
  </si>
  <si>
    <t>Oterholtfoss</t>
  </si>
  <si>
    <t>Otertjønnbekken</t>
  </si>
  <si>
    <t>Otro</t>
  </si>
  <si>
    <t>Ottar Holta</t>
  </si>
  <si>
    <t>Palmafoss</t>
  </si>
  <si>
    <t>Pikerfoss</t>
  </si>
  <si>
    <t>Porkegjel</t>
  </si>
  <si>
    <t>Pålsbu</t>
  </si>
  <si>
    <t>Rabb-bekken</t>
  </si>
  <si>
    <t>Rafdal (Heimeelva)</t>
  </si>
  <si>
    <t>Rafdal (Ø-Rafdal)</t>
  </si>
  <si>
    <t>Ramberg</t>
  </si>
  <si>
    <t>Ramfoss</t>
  </si>
  <si>
    <t>Ramstaddal</t>
  </si>
  <si>
    <t>Rana</t>
  </si>
  <si>
    <t>Rasdalen</t>
  </si>
  <si>
    <t>Raua</t>
  </si>
  <si>
    <t>Raubergfossen</t>
  </si>
  <si>
    <t>Raudberget</t>
  </si>
  <si>
    <t>Ravnastua</t>
  </si>
  <si>
    <t>Ravnåga</t>
  </si>
  <si>
    <t>Refsdal</t>
  </si>
  <si>
    <t>Reiersdalen</t>
  </si>
  <si>
    <t>Reinfossen</t>
  </si>
  <si>
    <t>Reingardsåga</t>
  </si>
  <si>
    <t>Reinli</t>
  </si>
  <si>
    <t>Reinset</t>
  </si>
  <si>
    <t>Reinskar</t>
  </si>
  <si>
    <t>Reinstaul</t>
  </si>
  <si>
    <t>Reinåga</t>
  </si>
  <si>
    <t>Reisæter (Bleieelvi)</t>
  </si>
  <si>
    <t>Reisæter (Strutåni)</t>
  </si>
  <si>
    <t>Rekvatn</t>
  </si>
  <si>
    <t>Rekåa</t>
  </si>
  <si>
    <t>Ren Energi Ramsland</t>
  </si>
  <si>
    <t>Rendalen</t>
  </si>
  <si>
    <t>Rendalselva</t>
  </si>
  <si>
    <t>Rensjø</t>
  </si>
  <si>
    <t>Reppa</t>
  </si>
  <si>
    <t>Repvåg</t>
  </si>
  <si>
    <t>Ridøla</t>
  </si>
  <si>
    <t>Riksheim</t>
  </si>
  <si>
    <t>Riksheimdal</t>
  </si>
  <si>
    <t>Rimbareid</t>
  </si>
  <si>
    <t>Rime</t>
  </si>
  <si>
    <t>Ringdal</t>
  </si>
  <si>
    <t>Ringedalen</t>
  </si>
  <si>
    <t>Ringheim</t>
  </si>
  <si>
    <t>Rise</t>
  </si>
  <si>
    <t>Risvollfossen</t>
  </si>
  <si>
    <t>Rivedal</t>
  </si>
  <si>
    <t>Rodal</t>
  </si>
  <si>
    <t>Rogheien</t>
  </si>
  <si>
    <t>Rognsfossen</t>
  </si>
  <si>
    <t>Rolf Nåden og Ole Jan Naaden</t>
  </si>
  <si>
    <t>Rolleivstadvatn</t>
  </si>
  <si>
    <t>Romøyri</t>
  </si>
  <si>
    <t>Rongkleiv</t>
  </si>
  <si>
    <t>Roppa</t>
  </si>
  <si>
    <t>Rosendal</t>
  </si>
  <si>
    <t>Roskrepp</t>
  </si>
  <si>
    <t>Rosten</t>
  </si>
  <si>
    <t>Rotnes Bruk</t>
  </si>
  <si>
    <t>Rottenvik</t>
  </si>
  <si>
    <t>Rovde</t>
  </si>
  <si>
    <t>Rud 1</t>
  </si>
  <si>
    <t>Rud Gårdskraftverk</t>
  </si>
  <si>
    <t>Rui</t>
  </si>
  <si>
    <t>Rusdalsåni</t>
  </si>
  <si>
    <t>Russagjela</t>
  </si>
  <si>
    <t>Ryddøla</t>
  </si>
  <si>
    <t>Rygene</t>
  </si>
  <si>
    <t>Rygene miniaggregat</t>
  </si>
  <si>
    <t>Ryssdal</t>
  </si>
  <si>
    <t>Ryånda</t>
  </si>
  <si>
    <t>Rødberg</t>
  </si>
  <si>
    <t>Rødne</t>
  </si>
  <si>
    <t>Rødset</t>
  </si>
  <si>
    <t>Rødstøl</t>
  </si>
  <si>
    <t>Røfsdalselva</t>
  </si>
  <si>
    <t>Røldal</t>
  </si>
  <si>
    <t>Røneid</t>
  </si>
  <si>
    <t>Rønnestad</t>
  </si>
  <si>
    <t>Rørheim</t>
  </si>
  <si>
    <t>Rørtveit</t>
  </si>
  <si>
    <t>Rørvikbekken</t>
  </si>
  <si>
    <t>Røssåga Mikrokraftverk</t>
  </si>
  <si>
    <t>Røstad</t>
  </si>
  <si>
    <t>Røstefoss</t>
  </si>
  <si>
    <t>Røylandsfoss</t>
  </si>
  <si>
    <t>Røyrvatn</t>
  </si>
  <si>
    <t>Røyrvikfoss</t>
  </si>
  <si>
    <t>Råfossen</t>
  </si>
  <si>
    <t>Rånåsfoss</t>
  </si>
  <si>
    <t>Råssåfoss</t>
  </si>
  <si>
    <t>Sagabekken 1</t>
  </si>
  <si>
    <t>Sagabekken 2</t>
  </si>
  <si>
    <t>Sagabekken 3</t>
  </si>
  <si>
    <t>Sagbergfossen</t>
  </si>
  <si>
    <t>Sage</t>
  </si>
  <si>
    <t>Sagefoss</t>
  </si>
  <si>
    <t>Sagefossen</t>
  </si>
  <si>
    <t>Sagelva</t>
  </si>
  <si>
    <t>Sagelva 1</t>
  </si>
  <si>
    <t>Sagelva 2</t>
  </si>
  <si>
    <t>Sagelvi</t>
  </si>
  <si>
    <t>Sagevikelv</t>
  </si>
  <si>
    <t>Sagfossen</t>
  </si>
  <si>
    <t>Sagnfossen</t>
  </si>
  <si>
    <t>Sajå</t>
  </si>
  <si>
    <t>Sakrisåga</t>
  </si>
  <si>
    <t>Saksenvik</t>
  </si>
  <si>
    <t>Salen Mikrokraftverk</t>
  </si>
  <si>
    <t>Salsbruket</t>
  </si>
  <si>
    <t>Saltdalelva</t>
  </si>
  <si>
    <t>Saltåno</t>
  </si>
  <si>
    <t>Sama</t>
  </si>
  <si>
    <t>Sand</t>
  </si>
  <si>
    <t>Sandal og Fossheim</t>
  </si>
  <si>
    <t>Sanddal</t>
  </si>
  <si>
    <t>Sandneselva</t>
  </si>
  <si>
    <t>Sandvik</t>
  </si>
  <si>
    <t>Sarp</t>
  </si>
  <si>
    <t>Saupstadfossen</t>
  </si>
  <si>
    <t>Saurdal</t>
  </si>
  <si>
    <t>Savalen</t>
  </si>
  <si>
    <t>Scheldefoss</t>
  </si>
  <si>
    <t>Seimsdal</t>
  </si>
  <si>
    <t>Sekkelva</t>
  </si>
  <si>
    <t>Selland</t>
  </si>
  <si>
    <t>Selselva</t>
  </si>
  <si>
    <t>Sesselva</t>
  </si>
  <si>
    <t>Seterkraft</t>
  </si>
  <si>
    <t>Seteråa</t>
  </si>
  <si>
    <t>Setredalen</t>
  </si>
  <si>
    <t>Sevre</t>
  </si>
  <si>
    <t>Sigdestad</t>
  </si>
  <si>
    <t>Sikkajokk</t>
  </si>
  <si>
    <t>Sikkilsdalseter</t>
  </si>
  <si>
    <t>Sildhopen</t>
  </si>
  <si>
    <t>Sildvik</t>
  </si>
  <si>
    <t>Simavik</t>
  </si>
  <si>
    <t>Simsfossen</t>
  </si>
  <si>
    <t>Sireåne</t>
  </si>
  <si>
    <t>Sirkelvann</t>
  </si>
  <si>
    <t>Siso</t>
  </si>
  <si>
    <t>Sjona</t>
  </si>
  <si>
    <t>Sjøfossen</t>
  </si>
  <si>
    <t>Sjølingstad Uldvarefabrikk</t>
  </si>
  <si>
    <t>Sjølset</t>
  </si>
  <si>
    <t>Sjønstå</t>
  </si>
  <si>
    <t>Skagen</t>
  </si>
  <si>
    <t>Skakadalen</t>
  </si>
  <si>
    <t>Skar</t>
  </si>
  <si>
    <t>Skarelva</t>
  </si>
  <si>
    <t>Skarg</t>
  </si>
  <si>
    <t>Skarje</t>
  </si>
  <si>
    <t>Skarsfjord</t>
  </si>
  <si>
    <t>Skauma</t>
  </si>
  <si>
    <t>Skibeli</t>
  </si>
  <si>
    <t>Skibotn</t>
  </si>
  <si>
    <t>Skinvik</t>
  </si>
  <si>
    <t>Skipelva</t>
  </si>
  <si>
    <t>Skjefstadfoss I</t>
  </si>
  <si>
    <t>Skjefstadfoss II</t>
  </si>
  <si>
    <t>Skjeggedal</t>
  </si>
  <si>
    <t>Skjelfoss</t>
  </si>
  <si>
    <t>Skjenaldfossen</t>
  </si>
  <si>
    <t>Skjerdal</t>
  </si>
  <si>
    <t>Skjerka</t>
  </si>
  <si>
    <t>Skjomen</t>
  </si>
  <si>
    <t>Skjærdalselva</t>
  </si>
  <si>
    <t>Skjærlivatn</t>
  </si>
  <si>
    <t>Skjæveland</t>
  </si>
  <si>
    <t>Skjåk I</t>
  </si>
  <si>
    <t>Skjåstad</t>
  </si>
  <si>
    <t>Skoddeberg</t>
  </si>
  <si>
    <t>Skogbuåna</t>
  </si>
  <si>
    <t>Skogelva</t>
  </si>
  <si>
    <t>Skogfoss</t>
  </si>
  <si>
    <t>Skogheim</t>
  </si>
  <si>
    <t>Skogkraft</t>
  </si>
  <si>
    <t>Skollenborg</t>
  </si>
  <si>
    <t>Skoltefoss</t>
  </si>
  <si>
    <t>Skolten</t>
  </si>
  <si>
    <t>Skonningsfoss</t>
  </si>
  <si>
    <t>Skorga</t>
  </si>
  <si>
    <t>Skorge</t>
  </si>
  <si>
    <t>Skorovasselva</t>
  </si>
  <si>
    <t>Skotfoss</t>
  </si>
  <si>
    <t>Skotselv</t>
  </si>
  <si>
    <t>Skravlåga</t>
  </si>
  <si>
    <t>Skree</t>
  </si>
  <si>
    <t>Skripelandsfossen</t>
  </si>
  <si>
    <t>Skromma</t>
  </si>
  <si>
    <t>Skråstadbekken</t>
  </si>
  <si>
    <t>Skulafossen</t>
  </si>
  <si>
    <t>Skulbørstadfoss</t>
  </si>
  <si>
    <t>Skyggeelva</t>
  </si>
  <si>
    <t>Skålheim</t>
  </si>
  <si>
    <t>Skår</t>
  </si>
  <si>
    <t>Slagstad</t>
  </si>
  <si>
    <t>Slemmå</t>
  </si>
  <si>
    <t>Slettevann</t>
  </si>
  <si>
    <t>Sleveåne</t>
  </si>
  <si>
    <t>Slind</t>
  </si>
  <si>
    <t>Slunkajavrre</t>
  </si>
  <si>
    <t>Smeland</t>
  </si>
  <si>
    <t>Smørklepp I</t>
  </si>
  <si>
    <t>Smørklepp II</t>
  </si>
  <si>
    <t>Smådøla</t>
  </si>
  <si>
    <t>Småvatna</t>
  </si>
  <si>
    <t>Snefjellå</t>
  </si>
  <si>
    <t>Sokna</t>
  </si>
  <si>
    <t>Soks</t>
  </si>
  <si>
    <t>Solbergfoss</t>
  </si>
  <si>
    <t>Solbjørn</t>
  </si>
  <si>
    <t>Solhom</t>
  </si>
  <si>
    <t>Solnør Gård</t>
  </si>
  <si>
    <t>Songa</t>
  </si>
  <si>
    <t>Spetal Verk As</t>
  </si>
  <si>
    <t>Spigerbruksfallet</t>
  </si>
  <si>
    <t>Spilling</t>
  </si>
  <si>
    <t>Stadheim</t>
  </si>
  <si>
    <t>Staffi</t>
  </si>
  <si>
    <t>Stakaldefoss</t>
  </si>
  <si>
    <t>Standal</t>
  </si>
  <si>
    <t>Stedjeåna</t>
  </si>
  <si>
    <t>Stegaros</t>
  </si>
  <si>
    <t>Steinbekken</t>
  </si>
  <si>
    <t>Steindal (Steindal)</t>
  </si>
  <si>
    <t>Steindal (Støylselva)</t>
  </si>
  <si>
    <t>Steindøla</t>
  </si>
  <si>
    <t>Steine</t>
  </si>
  <si>
    <t>Steinsfoss</t>
  </si>
  <si>
    <t>Steinsland</t>
  </si>
  <si>
    <t>Steinsvik</t>
  </si>
  <si>
    <t>Steinåga</t>
  </si>
  <si>
    <t>Stend</t>
  </si>
  <si>
    <t>Stifoss</t>
  </si>
  <si>
    <t>Stokkelandsåna</t>
  </si>
  <si>
    <t>Stongfjord</t>
  </si>
  <si>
    <t>Stordal</t>
  </si>
  <si>
    <t>Storebekk</t>
  </si>
  <si>
    <t>Storedalen</t>
  </si>
  <si>
    <t>Storelva</t>
  </si>
  <si>
    <t>Storelvi</t>
  </si>
  <si>
    <t>Storelvvatnet</t>
  </si>
  <si>
    <t>Storfallet</t>
  </si>
  <si>
    <t>Storli</t>
  </si>
  <si>
    <t>Storlivatn</t>
  </si>
  <si>
    <t>Storrøvatnet</t>
  </si>
  <si>
    <t>Storvatnet</t>
  </si>
  <si>
    <t>Storå</t>
  </si>
  <si>
    <t>Storåselva</t>
  </si>
  <si>
    <t>Storåvatn 1</t>
  </si>
  <si>
    <t>Strand I</t>
  </si>
  <si>
    <t>Strandeelva</t>
  </si>
  <si>
    <t>Strandfossen</t>
  </si>
  <si>
    <t>Strandfossen Minikraftverk</t>
  </si>
  <si>
    <t>Strandjordselva</t>
  </si>
  <si>
    <t>Strandos</t>
  </si>
  <si>
    <t>Straumane</t>
  </si>
  <si>
    <t>Straume</t>
  </si>
  <si>
    <t>Straumsmo</t>
  </si>
  <si>
    <t>Straumstøyl</t>
  </si>
  <si>
    <t>Strielv</t>
  </si>
  <si>
    <t>Strindmoelva</t>
  </si>
  <si>
    <t>Strupen</t>
  </si>
  <si>
    <t>Strømsfoss</t>
  </si>
  <si>
    <t>Stråpa</t>
  </si>
  <si>
    <t>Stublielva</t>
  </si>
  <si>
    <t>Stuttgongfossen</t>
  </si>
  <si>
    <t>Stuvane</t>
  </si>
  <si>
    <t>Styggtjønna</t>
  </si>
  <si>
    <t>Stølsdal</t>
  </si>
  <si>
    <t>Stølsdalselva</t>
  </si>
  <si>
    <t>Stølskraft</t>
  </si>
  <si>
    <t>Stølslia</t>
  </si>
  <si>
    <t>Suldal I</t>
  </si>
  <si>
    <t>Suldal II</t>
  </si>
  <si>
    <t>Sundal</t>
  </si>
  <si>
    <t>Sundfossen</t>
  </si>
  <si>
    <t>Sundli</t>
  </si>
  <si>
    <t>Sundsbarm</t>
  </si>
  <si>
    <t>Sundsfjord</t>
  </si>
  <si>
    <t>Suvdal (Buvasselva)</t>
  </si>
  <si>
    <t>Suvdal (Kleppsvatn)</t>
  </si>
  <si>
    <t>Svabo</t>
  </si>
  <si>
    <t>Svandalsflona</t>
  </si>
  <si>
    <t>Svanedal</t>
  </si>
  <si>
    <t>Svanedal i Gjesdal</t>
  </si>
  <si>
    <t>Svardøla</t>
  </si>
  <si>
    <t>Svartdalen</t>
  </si>
  <si>
    <t>Svartelva</t>
  </si>
  <si>
    <t>Svartevatn</t>
  </si>
  <si>
    <t>Svartisen</t>
  </si>
  <si>
    <t>Svartkulp</t>
  </si>
  <si>
    <t>Svarttjern</t>
  </si>
  <si>
    <t>Svartvasselva</t>
  </si>
  <si>
    <t>Svartvatn</t>
  </si>
  <si>
    <t>Svatsum 1</t>
  </si>
  <si>
    <t>Svatsum 2</t>
  </si>
  <si>
    <t>Svean</t>
  </si>
  <si>
    <t>Svelgen I</t>
  </si>
  <si>
    <t>Svelgen II</t>
  </si>
  <si>
    <t>Svelgen III</t>
  </si>
  <si>
    <t>Svelgen IV</t>
  </si>
  <si>
    <t>Svelgfoss</t>
  </si>
  <si>
    <t>Sviland</t>
  </si>
  <si>
    <t>Svorka</t>
  </si>
  <si>
    <t>Svorkmo</t>
  </si>
  <si>
    <t>Sværa</t>
  </si>
  <si>
    <t>Sværen</t>
  </si>
  <si>
    <t>Sya</t>
  </si>
  <si>
    <t>Sylsjø</t>
  </si>
  <si>
    <t>Syrifossen</t>
  </si>
  <si>
    <t>Sy-Sima</t>
  </si>
  <si>
    <t>Syversætre Foss</t>
  </si>
  <si>
    <t>Sæterstad</t>
  </si>
  <si>
    <t>Sæteråa</t>
  </si>
  <si>
    <t>Sætra</t>
  </si>
  <si>
    <t>Sævareid</t>
  </si>
  <si>
    <t>Søa</t>
  </si>
  <si>
    <t>Søberg</t>
  </si>
  <si>
    <t>Søfferud</t>
  </si>
  <si>
    <t>Søkkunda</t>
  </si>
  <si>
    <t>Sølbergfallet</t>
  </si>
  <si>
    <t>Sølia</t>
  </si>
  <si>
    <t>Sølna</t>
  </si>
  <si>
    <t>Sønnå H</t>
  </si>
  <si>
    <t>Sønnå L</t>
  </si>
  <si>
    <t>Sønsteby</t>
  </si>
  <si>
    <t>Sørbrandal</t>
  </si>
  <si>
    <t>Sørdalen</t>
  </si>
  <si>
    <t>Sørdalselva</t>
  </si>
  <si>
    <t>Sørfjord I</t>
  </si>
  <si>
    <t>Sørfjord II</t>
  </si>
  <si>
    <t>Sørfjordkraft</t>
  </si>
  <si>
    <t>Sør-Forså</t>
  </si>
  <si>
    <t>Sørmeland</t>
  </si>
  <si>
    <t>Søråi (Momrak)</t>
  </si>
  <si>
    <t>Søråni</t>
  </si>
  <si>
    <t>Søtvik</t>
  </si>
  <si>
    <t>Såheim</t>
  </si>
  <si>
    <t>Tafjord 1</t>
  </si>
  <si>
    <t>Tafjord 2</t>
  </si>
  <si>
    <t>Tafjord 3</t>
  </si>
  <si>
    <t>Tafjord 4</t>
  </si>
  <si>
    <t>Tafjord 5</t>
  </si>
  <si>
    <t>Tafjord 6</t>
  </si>
  <si>
    <t>Tafjord 7 (Fagerbotnvatn)</t>
  </si>
  <si>
    <t>Tafjord 7 (Fetvatn)</t>
  </si>
  <si>
    <t>Tafjord 8</t>
  </si>
  <si>
    <t>Takle</t>
  </si>
  <si>
    <t>Tapstad</t>
  </si>
  <si>
    <t>Taraldsvik</t>
  </si>
  <si>
    <t>Teitafossen</t>
  </si>
  <si>
    <t>Teksdal</t>
  </si>
  <si>
    <t>Tendeland</t>
  </si>
  <si>
    <t>Tenneelva</t>
  </si>
  <si>
    <t>Tennesvatn</t>
  </si>
  <si>
    <t>Tesgjolo</t>
  </si>
  <si>
    <t>Tesra</t>
  </si>
  <si>
    <t>Tevla</t>
  </si>
  <si>
    <t>Thue</t>
  </si>
  <si>
    <t>Timbra</t>
  </si>
  <si>
    <t>Tinfos I</t>
  </si>
  <si>
    <t>Tinfos II</t>
  </si>
  <si>
    <t>Tinnkraft</t>
  </si>
  <si>
    <t>Tisjøen</t>
  </si>
  <si>
    <t>Tisleifjord</t>
  </si>
  <si>
    <t>Tistedalsfoss</t>
  </si>
  <si>
    <t>Tjodan</t>
  </si>
  <si>
    <t>Tjodanpollen</t>
  </si>
  <si>
    <t>Tjønna</t>
  </si>
  <si>
    <t>Tjønnefoss</t>
  </si>
  <si>
    <t>Tjørhom</t>
  </si>
  <si>
    <t>Tjørn I</t>
  </si>
  <si>
    <t>Tjørn II</t>
  </si>
  <si>
    <t>Tjøstheim</t>
  </si>
  <si>
    <t>Tjøtaelva</t>
  </si>
  <si>
    <t>Todøla</t>
  </si>
  <si>
    <t>Tokke</t>
  </si>
  <si>
    <t>Toklev</t>
  </si>
  <si>
    <t>Tonstad</t>
  </si>
  <si>
    <t>Tore Holmen</t>
  </si>
  <si>
    <t>Torjul</t>
  </si>
  <si>
    <t>Torpa</t>
  </si>
  <si>
    <t>Torsnes</t>
  </si>
  <si>
    <t>Torvikelva</t>
  </si>
  <si>
    <t>Tosdalen</t>
  </si>
  <si>
    <t>Tossevikelva</t>
  </si>
  <si>
    <t>Tou</t>
  </si>
  <si>
    <t>Toverud</t>
  </si>
  <si>
    <t>Trandal</t>
  </si>
  <si>
    <t>Traudalen</t>
  </si>
  <si>
    <t>Tredal</t>
  </si>
  <si>
    <t>Trengereid</t>
  </si>
  <si>
    <t>Trodla-Tysdal</t>
  </si>
  <si>
    <t>Trollelva</t>
  </si>
  <si>
    <t>Trollfjord I</t>
  </si>
  <si>
    <t>Trollfjord II</t>
  </si>
  <si>
    <t>Trollheim</t>
  </si>
  <si>
    <t>Trollkraft</t>
  </si>
  <si>
    <t>Tronstad</t>
  </si>
  <si>
    <t>Trontveitåna</t>
  </si>
  <si>
    <t>Tryland</t>
  </si>
  <si>
    <t>Trysilfossen</t>
  </si>
  <si>
    <t>Trælandsfos</t>
  </si>
  <si>
    <t>Tua</t>
  </si>
  <si>
    <t>Tuddal</t>
  </si>
  <si>
    <t>Tunnsjø</t>
  </si>
  <si>
    <t>Tunnsjødal</t>
  </si>
  <si>
    <t>Tunnsjøfoss</t>
  </si>
  <si>
    <t>Tussa</t>
  </si>
  <si>
    <t>Tveit</t>
  </si>
  <si>
    <t>Tveitafoss</t>
  </si>
  <si>
    <t>Tveitaskar</t>
  </si>
  <si>
    <t>Tveitelva</t>
  </si>
  <si>
    <t>Tveitelvfallet</t>
  </si>
  <si>
    <t>Tveiten</t>
  </si>
  <si>
    <t>Tveitereidfoss</t>
  </si>
  <si>
    <t>Tveiteåno</t>
  </si>
  <si>
    <t>Tverrelva</t>
  </si>
  <si>
    <t>Tverrgjuvlo</t>
  </si>
  <si>
    <t>Tverrvatn</t>
  </si>
  <si>
    <t>Tverråa</t>
  </si>
  <si>
    <t>Tverråga</t>
  </si>
  <si>
    <t>Tverråna</t>
  </si>
  <si>
    <t>Tverråni</t>
  </si>
  <si>
    <t>Tverå</t>
  </si>
  <si>
    <t>Tya</t>
  </si>
  <si>
    <t>Tyin</t>
  </si>
  <si>
    <t>Tynna</t>
  </si>
  <si>
    <t>Tyria I</t>
  </si>
  <si>
    <t>Tyria II</t>
  </si>
  <si>
    <t>Tysseelva</t>
  </si>
  <si>
    <t>Tyssefossen</t>
  </si>
  <si>
    <t>Tyssehøl</t>
  </si>
  <si>
    <t>Tysseland</t>
  </si>
  <si>
    <t>Tysso II</t>
  </si>
  <si>
    <t>Tyttebærelva</t>
  </si>
  <si>
    <t>Tømmerdal</t>
  </si>
  <si>
    <t>Tørnes</t>
  </si>
  <si>
    <t>Tørrbekken</t>
  </si>
  <si>
    <t>Tøsse</t>
  </si>
  <si>
    <t>Ufysja</t>
  </si>
  <si>
    <t>Ugedal</t>
  </si>
  <si>
    <t>Uleberg</t>
  </si>
  <si>
    <t>Ulefoss</t>
  </si>
  <si>
    <t>Ullestad</t>
  </si>
  <si>
    <t>Ulset</t>
  </si>
  <si>
    <t>Ulsteindal</t>
  </si>
  <si>
    <t>Ulvik I</t>
  </si>
  <si>
    <t>Ulvik II</t>
  </si>
  <si>
    <t>Ulvilla</t>
  </si>
  <si>
    <t>Ulvund</t>
  </si>
  <si>
    <t>Undfossen</t>
  </si>
  <si>
    <t>Unhjemskraft</t>
  </si>
  <si>
    <t>Unkervatn</t>
  </si>
  <si>
    <t>Urdsdalselva</t>
  </si>
  <si>
    <t>Urke</t>
  </si>
  <si>
    <t>Urlandåga</t>
  </si>
  <si>
    <t>Usma</t>
  </si>
  <si>
    <t>Usta</t>
  </si>
  <si>
    <t>Ustekveikja</t>
  </si>
  <si>
    <t>Uthusbekken</t>
  </si>
  <si>
    <t>Utigardselva</t>
  </si>
  <si>
    <t>Utistubekken</t>
  </si>
  <si>
    <t>Utne</t>
  </si>
  <si>
    <t>Uvdal</t>
  </si>
  <si>
    <t>Uvdal I</t>
  </si>
  <si>
    <t>Uvdal II</t>
  </si>
  <si>
    <t>Vaage</t>
  </si>
  <si>
    <t>Vada</t>
  </si>
  <si>
    <t>Vafos</t>
  </si>
  <si>
    <t>Vaka</t>
  </si>
  <si>
    <t>Vaksvik</t>
  </si>
  <si>
    <t>Valen</t>
  </si>
  <si>
    <t>Valgermo Giskemo</t>
  </si>
  <si>
    <t>Valken</t>
  </si>
  <si>
    <t>Vallestadfossen</t>
  </si>
  <si>
    <t>Valsøyfjord</t>
  </si>
  <si>
    <t>Valvatn</t>
  </si>
  <si>
    <t>Valåe</t>
  </si>
  <si>
    <t>Vamma</t>
  </si>
  <si>
    <t>Vangjolo</t>
  </si>
  <si>
    <t>Vangpollen</t>
  </si>
  <si>
    <t>Vanndøla</t>
  </si>
  <si>
    <t>Vannebo</t>
  </si>
  <si>
    <t>Vanvik</t>
  </si>
  <si>
    <t>Varalden</t>
  </si>
  <si>
    <t>Vartdal</t>
  </si>
  <si>
    <t>Vassdalselva</t>
  </si>
  <si>
    <t>Vassenden</t>
  </si>
  <si>
    <t>Vassfossen</t>
  </si>
  <si>
    <t>Vassli</t>
  </si>
  <si>
    <t>Vasstaket</t>
  </si>
  <si>
    <t>Vasstøl</t>
  </si>
  <si>
    <t>Vassvikelva</t>
  </si>
  <si>
    <t>Vatn 1012</t>
  </si>
  <si>
    <t>Vatn 462</t>
  </si>
  <si>
    <t>Vatne</t>
  </si>
  <si>
    <t>Vedeld</t>
  </si>
  <si>
    <t>Veiteberg</t>
  </si>
  <si>
    <t>Veiåni</t>
  </si>
  <si>
    <t>Veka</t>
  </si>
  <si>
    <t>Vemork</t>
  </si>
  <si>
    <t>Vemundsbotn</t>
  </si>
  <si>
    <t>Vengåa</t>
  </si>
  <si>
    <t>Venna</t>
  </si>
  <si>
    <t>Verja</t>
  </si>
  <si>
    <t>Verket</t>
  </si>
  <si>
    <t>Verksfossen</t>
  </si>
  <si>
    <t>Veslefallet</t>
  </si>
  <si>
    <t>Vesleåni</t>
  </si>
  <si>
    <t>Vessingfoss</t>
  </si>
  <si>
    <t>Vestbakken</t>
  </si>
  <si>
    <t>Vestfossen</t>
  </si>
  <si>
    <t>Vestre Neset</t>
  </si>
  <si>
    <t>Vestrebotn</t>
  </si>
  <si>
    <t>Viddal</t>
  </si>
  <si>
    <t>Viervatn</t>
  </si>
  <si>
    <t>Vigelandsfoss</t>
  </si>
  <si>
    <t>Vigga</t>
  </si>
  <si>
    <t>Vik</t>
  </si>
  <si>
    <t>Vika</t>
  </si>
  <si>
    <t>Vikaelva</t>
  </si>
  <si>
    <t>Vikaåne</t>
  </si>
  <si>
    <t>Vikdalskraft</t>
  </si>
  <si>
    <t>Viken</t>
  </si>
  <si>
    <t>Vikeså</t>
  </si>
  <si>
    <t>Vindedal</t>
  </si>
  <si>
    <t>Vinjadalen</t>
  </si>
  <si>
    <t>Vinje</t>
  </si>
  <si>
    <t>Vinkelfallet</t>
  </si>
  <si>
    <t>Virak</t>
  </si>
  <si>
    <t>Virakelva</t>
  </si>
  <si>
    <t>Vistvik</t>
  </si>
  <si>
    <t>Vittingfoss</t>
  </si>
  <si>
    <t>Viulfoss</t>
  </si>
  <si>
    <t>Voldsetelva</t>
  </si>
  <si>
    <t>Vollabekken</t>
  </si>
  <si>
    <t>Vollakvernfallet</t>
  </si>
  <si>
    <t>Vollselva</t>
  </si>
  <si>
    <t>Vorma</t>
  </si>
  <si>
    <t>Vossedalselvi</t>
  </si>
  <si>
    <t>Vrangfoss</t>
  </si>
  <si>
    <t>Vrenga</t>
  </si>
  <si>
    <t>Vuttudal</t>
  </si>
  <si>
    <t>Væla</t>
  </si>
  <si>
    <t>Vågaåna</t>
  </si>
  <si>
    <t>Våge</t>
  </si>
  <si>
    <t>Vågen</t>
  </si>
  <si>
    <t>Ylja</t>
  </si>
  <si>
    <t>Ytre Alsåker</t>
  </si>
  <si>
    <t>Ytre Matre</t>
  </si>
  <si>
    <t>Ytteråa</t>
  </si>
  <si>
    <t>Øgreyfoss</t>
  </si>
  <si>
    <t>Øksenelvane</t>
  </si>
  <si>
    <t>Økslandselv</t>
  </si>
  <si>
    <t>Økstra</t>
  </si>
  <si>
    <t>Øljusjøen</t>
  </si>
  <si>
    <t>Ølmedal</t>
  </si>
  <si>
    <t>Ølselva</t>
  </si>
  <si>
    <t>Ørje</t>
  </si>
  <si>
    <t>Ørteren</t>
  </si>
  <si>
    <t>Ørtvatn</t>
  </si>
  <si>
    <t>Østabø</t>
  </si>
  <si>
    <t>Østerhus</t>
  </si>
  <si>
    <t>Østli</t>
  </si>
  <si>
    <t>Østre Neset</t>
  </si>
  <si>
    <t>Øverdal</t>
  </si>
  <si>
    <t>Øvre Bersåvatn</t>
  </si>
  <si>
    <t>Øvre Dørålseter</t>
  </si>
  <si>
    <t>Øvre Fiskumfoss</t>
  </si>
  <si>
    <t>Øvre Forsland</t>
  </si>
  <si>
    <t>Øvre Kivfallet</t>
  </si>
  <si>
    <t>Øvre Leirfoss</t>
  </si>
  <si>
    <t>Øvre Markevatn</t>
  </si>
  <si>
    <t>Øvre Mollisjok</t>
  </si>
  <si>
    <t>Øvre Porsa</t>
  </si>
  <si>
    <t>Øvre Røssåga</t>
  </si>
  <si>
    <t>Øvre Svultingen</t>
  </si>
  <si>
    <t>Øvre Tessa</t>
  </si>
  <si>
    <t>Øvre Vinstra</t>
  </si>
  <si>
    <t>Øvre Åvella</t>
  </si>
  <si>
    <t>Øvstedal</t>
  </si>
  <si>
    <t>Øyadalen</t>
  </si>
  <si>
    <t>Øyberget</t>
  </si>
  <si>
    <t>Øynan</t>
  </si>
  <si>
    <t>Øyrabekken</t>
  </si>
  <si>
    <t>Øystad Mikrokraftverk</t>
  </si>
  <si>
    <t>Åbjøra</t>
  </si>
  <si>
    <t>Ågjølet</t>
  </si>
  <si>
    <t>Ågskar</t>
  </si>
  <si>
    <t>Åkraelva</t>
  </si>
  <si>
    <t>Åkvisla</t>
  </si>
  <si>
    <t>Ål</t>
  </si>
  <si>
    <t>Ålgård</t>
  </si>
  <si>
    <t>Ålmo</t>
  </si>
  <si>
    <t>Åmdal</t>
  </si>
  <si>
    <t>Åmela</t>
  </si>
  <si>
    <t>Åmli-Gjøv</t>
  </si>
  <si>
    <t>Åmli-Nidelv</t>
  </si>
  <si>
    <t>Åmot</t>
  </si>
  <si>
    <t>Åna-Sira</t>
  </si>
  <si>
    <t>Årdal Nedre</t>
  </si>
  <si>
    <t>Årdal Øvre</t>
  </si>
  <si>
    <t>Årlifoss</t>
  </si>
  <si>
    <t>Årteigelva</t>
  </si>
  <si>
    <t>Årvik</t>
  </si>
  <si>
    <t>Årøy</t>
  </si>
  <si>
    <t>Årøy I</t>
  </si>
  <si>
    <t>Åsa</t>
  </si>
  <si>
    <t>Åsebotn</t>
  </si>
  <si>
    <t>Åsedøla</t>
  </si>
  <si>
    <t>Åselva</t>
  </si>
  <si>
    <t>Åsgårdselva</t>
  </si>
  <si>
    <t>Åskåra 1</t>
  </si>
  <si>
    <t>Åskåra 2</t>
  </si>
  <si>
    <t>Åsmulfoss</t>
  </si>
  <si>
    <t>Åvedal</t>
  </si>
  <si>
    <t>Åvella</t>
  </si>
  <si>
    <t>Bio-El Fredrikstad</t>
  </si>
  <si>
    <t>Bjølvefossen</t>
  </si>
  <si>
    <t>Bærheim/Forus</t>
  </si>
  <si>
    <t>Bø</t>
  </si>
  <si>
    <t>Fana</t>
  </si>
  <si>
    <t>Finnfjord</t>
  </si>
  <si>
    <t>Forus</t>
  </si>
  <si>
    <t>FREVAR</t>
  </si>
  <si>
    <t>Grautneset</t>
  </si>
  <si>
    <t>Klemetsrud</t>
  </si>
  <si>
    <t>Knivåsen</t>
  </si>
  <si>
    <t>Kollsnes Kogenereringsanlegg</t>
  </si>
  <si>
    <t>Kogen Sund</t>
  </si>
  <si>
    <t>Kårstø terminalen</t>
  </si>
  <si>
    <t>Melkøya</t>
  </si>
  <si>
    <t>Mongstad</t>
  </si>
  <si>
    <t>Norske Skog, Skogn</t>
  </si>
  <si>
    <t>Nyhamna reservekraftverk</t>
  </si>
  <si>
    <t>Returkraft/Langemyr</t>
  </si>
  <si>
    <t>Senja Avfall</t>
  </si>
  <si>
    <t>Sløvåg kogen</t>
  </si>
  <si>
    <t>Thamshavn verk</t>
  </si>
  <si>
    <t>Tjeldbergodden</t>
  </si>
  <si>
    <t>Tjeldbergodden reservekraftverk</t>
  </si>
  <si>
    <t>Trehørningen energisentral</t>
  </si>
  <si>
    <t>Øye varmekraftverk/Kleven</t>
  </si>
  <si>
    <t>Åby (Örebro) G3</t>
  </si>
  <si>
    <t>Aros (Västerås) G3</t>
  </si>
  <si>
    <t>Aros (Västerås) G4</t>
  </si>
  <si>
    <t>Bastusel G1</t>
  </si>
  <si>
    <t>Forsmark G11+G12</t>
  </si>
  <si>
    <t>Forsmark G21+G22</t>
  </si>
  <si>
    <t>Forsmark G3</t>
  </si>
  <si>
    <t>Fyris (Uppsala) G1</t>
  </si>
  <si>
    <t>Gallejaur G1</t>
  </si>
  <si>
    <t>Gallejaur G2</t>
  </si>
  <si>
    <t>Harsprånget G1</t>
  </si>
  <si>
    <t>Harsprånget G3</t>
  </si>
  <si>
    <t>Harsprånget G4</t>
  </si>
  <si>
    <t>Harsprånget G5</t>
  </si>
  <si>
    <t>Karlshamn G1</t>
  </si>
  <si>
    <t>Karlshamn G2</t>
  </si>
  <si>
    <t>Karlshamn G3</t>
  </si>
  <si>
    <t>Letsi G1</t>
  </si>
  <si>
    <t>Letsi G2</t>
  </si>
  <si>
    <t>Letsi G3</t>
  </si>
  <si>
    <t>Ligga G3</t>
  </si>
  <si>
    <t xml:space="preserve">Messaure G1 </t>
  </si>
  <si>
    <t xml:space="preserve">Messaure G2 </t>
  </si>
  <si>
    <t xml:space="preserve">Messaure G3 </t>
  </si>
  <si>
    <t>Öresundsverket (Malmö) G1+G2</t>
  </si>
  <si>
    <t>Oskarshamn G1</t>
  </si>
  <si>
    <t>Oskarshamn G2</t>
  </si>
  <si>
    <t>Oskarshamn G3</t>
  </si>
  <si>
    <t xml:space="preserve">Porjus G11 </t>
  </si>
  <si>
    <t xml:space="preserve">Porjus G12 </t>
  </si>
  <si>
    <t xml:space="preserve">Porsi G3 </t>
  </si>
  <si>
    <t>Ringhals G11+G12</t>
  </si>
  <si>
    <t>Ringhals G21+G22</t>
  </si>
  <si>
    <t>Ringhals G31+G32</t>
  </si>
  <si>
    <t>Ringhals G41+G42</t>
  </si>
  <si>
    <t xml:space="preserve">Ritsem G1 </t>
  </si>
  <si>
    <t>Rya kraftvärmeverk (Göteborg)</t>
  </si>
  <si>
    <t xml:space="preserve">Seitevare G1 </t>
  </si>
  <si>
    <t>Stalon G1</t>
  </si>
  <si>
    <t>Stenungsund G3</t>
  </si>
  <si>
    <t>Stenungsund G4</t>
  </si>
  <si>
    <t>Stornorrfors G1</t>
  </si>
  <si>
    <t>Stornorrfors G2</t>
  </si>
  <si>
    <t>Stornorrfors G3</t>
  </si>
  <si>
    <t>Stornorrfors G4</t>
  </si>
  <si>
    <t>Trängslet G1</t>
  </si>
  <si>
    <t>Trängslet G2</t>
  </si>
  <si>
    <t>Trängslet G3</t>
  </si>
  <si>
    <t>Värtan (Stockholm) G1</t>
  </si>
  <si>
    <t>Värtan (Stockholm) G6</t>
  </si>
  <si>
    <t xml:space="preserve">Vietas G1 </t>
  </si>
  <si>
    <t xml:space="preserve">Vietas G2 </t>
  </si>
  <si>
    <t>Bešeňová G1</t>
  </si>
  <si>
    <t>Bešeňová G2</t>
  </si>
  <si>
    <t>Bohunice G1</t>
  </si>
  <si>
    <t>Bohunice G2</t>
  </si>
  <si>
    <t>Čierny Váh G1</t>
  </si>
  <si>
    <t>Čierny Váh G2</t>
  </si>
  <si>
    <t>Čierny Váh G3</t>
  </si>
  <si>
    <t>Čierny Váh G4</t>
  </si>
  <si>
    <t>Čierny Váh G5</t>
  </si>
  <si>
    <t>Čierny Váh G6</t>
  </si>
  <si>
    <t>Čierny Váh prietok</t>
  </si>
  <si>
    <t>Dobrohošť</t>
  </si>
  <si>
    <t>Dobšiná 2</t>
  </si>
  <si>
    <t>Dobšiná 3</t>
  </si>
  <si>
    <t>Dobšiná G1</t>
  </si>
  <si>
    <t>Dobšiná G2</t>
  </si>
  <si>
    <t>Domaša G1</t>
  </si>
  <si>
    <t>Domaša G2</t>
  </si>
  <si>
    <t>Dubnica G1</t>
  </si>
  <si>
    <t>Dubnica G2</t>
  </si>
  <si>
    <t>Gabčíkovo </t>
  </si>
  <si>
    <t>Horná Streda G1</t>
  </si>
  <si>
    <t>Horná Streda G2</t>
  </si>
  <si>
    <t>Hričov G1</t>
  </si>
  <si>
    <t>Hričov G2</t>
  </si>
  <si>
    <t>Hričov G3</t>
  </si>
  <si>
    <t>Ilava G1</t>
  </si>
  <si>
    <t>Ilava G2</t>
  </si>
  <si>
    <t>Kostolná G1</t>
  </si>
  <si>
    <t>Kostolná G2</t>
  </si>
  <si>
    <t>Kráľová G1</t>
  </si>
  <si>
    <t>Kráľová G2</t>
  </si>
  <si>
    <t>Krompachy</t>
  </si>
  <si>
    <t>Krpeľany G1</t>
  </si>
  <si>
    <t>Krpeľany G2</t>
  </si>
  <si>
    <t>Krpeľany G3</t>
  </si>
  <si>
    <t>Ladce G1</t>
  </si>
  <si>
    <t>Ladce G2</t>
  </si>
  <si>
    <t>Lipovec G1</t>
  </si>
  <si>
    <t>Lipovec G2</t>
  </si>
  <si>
    <t>Lipovec G3</t>
  </si>
  <si>
    <t>Liptovská Mara G1</t>
  </si>
  <si>
    <t>Liptovská Mara G2</t>
  </si>
  <si>
    <t>Liptovská Mara G3</t>
  </si>
  <si>
    <t>Liptovská Mara G4</t>
  </si>
  <si>
    <t>Madunice G1</t>
  </si>
  <si>
    <t>Madunice G2</t>
  </si>
  <si>
    <t>Madunice G3</t>
  </si>
  <si>
    <t>Malé Gabčíkovo - S VII HPP</t>
  </si>
  <si>
    <t>Mikšová 1 G1</t>
  </si>
  <si>
    <t>Mikšová 1 G2</t>
  </si>
  <si>
    <t>Mikšová 1 G3</t>
  </si>
  <si>
    <t>Mochovce G1</t>
  </si>
  <si>
    <t>Mochovce G2</t>
  </si>
  <si>
    <t>Mošoň </t>
  </si>
  <si>
    <t>Nosice G1</t>
  </si>
  <si>
    <t>Nosice G2</t>
  </si>
  <si>
    <t>Nosice G3</t>
  </si>
  <si>
    <t>Nováky A</t>
  </si>
  <si>
    <t>Nováky B</t>
  </si>
  <si>
    <t>Nové Mesto n/V G1</t>
  </si>
  <si>
    <t>Nové Mesto n/V G2</t>
  </si>
  <si>
    <t>Orava G1</t>
  </si>
  <si>
    <t>Orava G2</t>
  </si>
  <si>
    <t>Považská Bystrica G1</t>
  </si>
  <si>
    <t>Považská Bystrica G2</t>
  </si>
  <si>
    <t>Považská Bystrica G3</t>
  </si>
  <si>
    <t>Rakovec G1</t>
  </si>
  <si>
    <t>Rakovec G2</t>
  </si>
  <si>
    <t>Ružín 2</t>
  </si>
  <si>
    <t>Ružín G1</t>
  </si>
  <si>
    <t>Ružín G2</t>
  </si>
  <si>
    <t>Sučany G1</t>
  </si>
  <si>
    <t>Sučany G2</t>
  </si>
  <si>
    <t>Sučany G3</t>
  </si>
  <si>
    <t>Švedlár</t>
  </si>
  <si>
    <t>Trenčín G1</t>
  </si>
  <si>
    <t>Trenčín G2</t>
  </si>
  <si>
    <t>Tvrdošín G1</t>
  </si>
  <si>
    <t>Tvrdošín G2</t>
  </si>
  <si>
    <t>Tvrdošín G3</t>
  </si>
  <si>
    <t>V. Kozmálovce G1</t>
  </si>
  <si>
    <t>V. Kozmálovce G2</t>
  </si>
  <si>
    <t>V. Kozmálovce G3</t>
  </si>
  <si>
    <t>Vojany</t>
  </si>
  <si>
    <t>Žilina</t>
  </si>
  <si>
    <t>Ajba</t>
  </si>
  <si>
    <t>Arto-Blanca G1</t>
  </si>
  <si>
    <t>Arto-Blanca G2</t>
  </si>
  <si>
    <t>Arto-Blanca G3</t>
  </si>
  <si>
    <t>Avče</t>
  </si>
  <si>
    <t>Bača</t>
  </si>
  <si>
    <t>Boštanj G1</t>
  </si>
  <si>
    <t>Boštanj G2</t>
  </si>
  <si>
    <t>Boštanj G3</t>
  </si>
  <si>
    <t>Brestanica GT1</t>
  </si>
  <si>
    <t>Brestanica GT2</t>
  </si>
  <si>
    <t>Brestanica GT3</t>
  </si>
  <si>
    <t>Brestanica GT4</t>
  </si>
  <si>
    <t>Brestanica GT5</t>
  </si>
  <si>
    <t>Brestanica GT6</t>
  </si>
  <si>
    <t>Brežice G1</t>
  </si>
  <si>
    <t>Brežice G2</t>
  </si>
  <si>
    <t>Brežice G3</t>
  </si>
  <si>
    <t>Cerkno</t>
  </si>
  <si>
    <t>Ceršak G1</t>
  </si>
  <si>
    <t>Ceršak G2</t>
  </si>
  <si>
    <t>Doblar 1 G1</t>
  </si>
  <si>
    <t>Doblar 1 G2</t>
  </si>
  <si>
    <t>Doblar 1 G3</t>
  </si>
  <si>
    <t>Doblar 2</t>
  </si>
  <si>
    <t>Dravograd G1</t>
  </si>
  <si>
    <t>Dravograd G2</t>
  </si>
  <si>
    <t>Dravograd G3</t>
  </si>
  <si>
    <t>Fala G1</t>
  </si>
  <si>
    <t>Fala G2</t>
  </si>
  <si>
    <t>Fala G3</t>
  </si>
  <si>
    <t>Formin G1</t>
  </si>
  <si>
    <t>Formin G2</t>
  </si>
  <si>
    <t>Gradišče</t>
  </si>
  <si>
    <t>Hubelj</t>
  </si>
  <si>
    <t>Jelenk</t>
  </si>
  <si>
    <t>Klavžarica</t>
  </si>
  <si>
    <t>Knežke Ravne 1</t>
  </si>
  <si>
    <t>Knežke Ravne 2</t>
  </si>
  <si>
    <t>Krško </t>
  </si>
  <si>
    <t>Krško G1</t>
  </si>
  <si>
    <t>Krško G2</t>
  </si>
  <si>
    <t>Krško G3</t>
  </si>
  <si>
    <t>Ljubljana 1</t>
  </si>
  <si>
    <t>Ljubljana 2</t>
  </si>
  <si>
    <t>Ljubljana 3</t>
  </si>
  <si>
    <t>Log</t>
  </si>
  <si>
    <t>Mariborski otok G1</t>
  </si>
  <si>
    <t>Mariborski otok G2</t>
  </si>
  <si>
    <t>Mariborski otok G3</t>
  </si>
  <si>
    <t>Markovci G1</t>
  </si>
  <si>
    <t>Markovci G2</t>
  </si>
  <si>
    <t>Marof</t>
  </si>
  <si>
    <t>Mavcice</t>
  </si>
  <si>
    <t>Medvode</t>
  </si>
  <si>
    <t>Melje G1</t>
  </si>
  <si>
    <t>Mesto</t>
  </si>
  <si>
    <t>Mokrice G1</t>
  </si>
  <si>
    <t>Mokrice G2</t>
  </si>
  <si>
    <t>Mokrice G3</t>
  </si>
  <si>
    <t>Moste</t>
  </si>
  <si>
    <t>Možnica</t>
  </si>
  <si>
    <t>Mrzla Rupa</t>
  </si>
  <si>
    <t>Ožbalt G1</t>
  </si>
  <si>
    <t>Ožbalt G2</t>
  </si>
  <si>
    <t>Ožbalt G3</t>
  </si>
  <si>
    <t>Pečnik</t>
  </si>
  <si>
    <t>Planina</t>
  </si>
  <si>
    <t>Plave 1 G1</t>
  </si>
  <si>
    <t>Plave 1 G2</t>
  </si>
  <si>
    <t>Plave 2</t>
  </si>
  <si>
    <t>Plužna</t>
  </si>
  <si>
    <t>Podmelec</t>
  </si>
  <si>
    <t>Ruše G1</t>
  </si>
  <si>
    <t>Ruše G2</t>
  </si>
  <si>
    <t>Solkan G1</t>
  </si>
  <si>
    <t>Solkan G2</t>
  </si>
  <si>
    <t>Solkan G3</t>
  </si>
  <si>
    <t>Šoštanj 5</t>
  </si>
  <si>
    <t>Šoštanj 6</t>
  </si>
  <si>
    <t>Šoštanj GU1</t>
  </si>
  <si>
    <t>Šoštanj GU2</t>
  </si>
  <si>
    <t>Tolmin</t>
  </si>
  <si>
    <t>Trebuša</t>
  </si>
  <si>
    <t>Vrhovo</t>
  </si>
  <si>
    <t>Vuhred G1</t>
  </si>
  <si>
    <t>Vuhred G2</t>
  </si>
  <si>
    <t>Vuhred G3</t>
  </si>
  <si>
    <t>Vuzenica G1</t>
  </si>
  <si>
    <t>Vuzenica G2</t>
  </si>
  <si>
    <t>Vuzenica G3</t>
  </si>
  <si>
    <t>Zadlaščica</t>
  </si>
  <si>
    <t>Zlatoličje G1</t>
  </si>
  <si>
    <t>Zlatoličje G2</t>
  </si>
  <si>
    <t>Abwinden-Asten</t>
  </si>
  <si>
    <t>Altenmarkt</t>
  </si>
  <si>
    <t>Altenwörth</t>
  </si>
  <si>
    <t>Annabrücke</t>
  </si>
  <si>
    <t>Arnstein</t>
  </si>
  <si>
    <t>Aschach</t>
  </si>
  <si>
    <t>Bischofshofen</t>
  </si>
  <si>
    <t>Bodendorf-Mur</t>
  </si>
  <si>
    <t>Bodendorf-Paal</t>
  </si>
  <si>
    <t>Bösdornau</t>
  </si>
  <si>
    <t>Dionysen</t>
  </si>
  <si>
    <t>Edling</t>
  </si>
  <si>
    <t>Egglfing-Obernberg</t>
  </si>
  <si>
    <t>Erzbach</t>
  </si>
  <si>
    <t>Feistritz-Ludmannsdorf</t>
  </si>
  <si>
    <t>Ferlach-Maria Rain</t>
  </si>
  <si>
    <t>Fisching</t>
  </si>
  <si>
    <t>Freudenau</t>
  </si>
  <si>
    <t>Friesach</t>
  </si>
  <si>
    <t>Gabersdorf</t>
  </si>
  <si>
    <t>Garsten-St.Ulrich</t>
  </si>
  <si>
    <t>Gemeinschaftskraftwerk Inn</t>
  </si>
  <si>
    <t>Gerlos</t>
  </si>
  <si>
    <t>Gralla</t>
  </si>
  <si>
    <t>Graz-Puntigam</t>
  </si>
  <si>
    <t>Greifenstein</t>
  </si>
  <si>
    <t>Gries</t>
  </si>
  <si>
    <t>Großraming</t>
  </si>
  <si>
    <t>Gstatterboden</t>
  </si>
  <si>
    <t>Gunggl</t>
  </si>
  <si>
    <t>Gössendorf</t>
  </si>
  <si>
    <t>Hieflau</t>
  </si>
  <si>
    <t>Hieflau-Erzbach</t>
  </si>
  <si>
    <t>Hirzbach</t>
  </si>
  <si>
    <t>Häusling</t>
  </si>
  <si>
    <t>Kalsdorf</t>
  </si>
  <si>
    <t>Kaprun Hauptstufe</t>
  </si>
  <si>
    <t>Kaprun-Klammsee</t>
  </si>
  <si>
    <t>Kellerberg</t>
  </si>
  <si>
    <t>Klaus</t>
  </si>
  <si>
    <t>Kreuzbergmaut</t>
  </si>
  <si>
    <t>Kreuzeck</t>
  </si>
  <si>
    <t>Krippau</t>
  </si>
  <si>
    <t>Landl</t>
  </si>
  <si>
    <t>Laufnitzdorf</t>
  </si>
  <si>
    <t>Lavamünd</t>
  </si>
  <si>
    <t>Leoben</t>
  </si>
  <si>
    <t>Losenstein</t>
  </si>
  <si>
    <t>Malta-Hauptstufe (Rottau)</t>
  </si>
  <si>
    <t>Malta-Oberstufe (Kölnbreinsperre)</t>
  </si>
  <si>
    <t>Malta-Unterstufe (Möllbrücke)</t>
  </si>
  <si>
    <t>Mandling</t>
  </si>
  <si>
    <t>Mayrhofen</t>
  </si>
  <si>
    <t>Melk</t>
  </si>
  <si>
    <t>Mellach Fernheizkraftwerk</t>
  </si>
  <si>
    <t>Mellach Gaskombikraftwerk</t>
  </si>
  <si>
    <t>Mellach Laufkraftwerk</t>
  </si>
  <si>
    <t>Mühldorf</t>
  </si>
  <si>
    <t>Niklai</t>
  </si>
  <si>
    <t>Nußdorf bei Wien</t>
  </si>
  <si>
    <t>Obervogau</t>
  </si>
  <si>
    <t>Ottensheim-Wilhering</t>
  </si>
  <si>
    <t>Pack</t>
  </si>
  <si>
    <t>Paternion</t>
  </si>
  <si>
    <t>Peggau-Deutschfeistritz</t>
  </si>
  <si>
    <t>Pernegg</t>
  </si>
  <si>
    <t>Pichlern</t>
  </si>
  <si>
    <t>Pöls</t>
  </si>
  <si>
    <t>Rabenstein</t>
  </si>
  <si>
    <t>Ramsaubach</t>
  </si>
  <si>
    <t>Reißeck 2</t>
  </si>
  <si>
    <t>Reißeck Jahresspeicher</t>
  </si>
  <si>
    <t>Reißeck Tagesspeicher</t>
  </si>
  <si>
    <t>Retznei</t>
  </si>
  <si>
    <t>Rosegg-St.Jakob</t>
  </si>
  <si>
    <t>Rosenau</t>
  </si>
  <si>
    <t>Roßhag</t>
  </si>
  <si>
    <t>Salza</t>
  </si>
  <si>
    <t>Schwabeck</t>
  </si>
  <si>
    <t>Schwarzach</t>
  </si>
  <si>
    <t>Schönau</t>
  </si>
  <si>
    <t>Spielfeld</t>
  </si>
  <si>
    <t>St.Georgen</t>
  </si>
  <si>
    <t>St.Johann</t>
  </si>
  <si>
    <t>St.Martin</t>
  </si>
  <si>
    <t>St.Pantaleon</t>
  </si>
  <si>
    <t>St.Veit</t>
  </si>
  <si>
    <t>Steinfeld</t>
  </si>
  <si>
    <t>Sölk</t>
  </si>
  <si>
    <t>Teigitschmühle</t>
  </si>
  <si>
    <t>Ternberg</t>
  </si>
  <si>
    <t>Thurnsdorf</t>
  </si>
  <si>
    <t>Triebenbach</t>
  </si>
  <si>
    <t>Tuxbach</t>
  </si>
  <si>
    <t>Unterer Tuxbach  Kleinkraftwerk Stillupp</t>
  </si>
  <si>
    <t>Urreiting</t>
  </si>
  <si>
    <t>Villach</t>
  </si>
  <si>
    <t>Vordernberg</t>
  </si>
  <si>
    <t>Wallnerau-Salzach</t>
  </si>
  <si>
    <t>Wallnerau-Unterwasser</t>
  </si>
  <si>
    <t>Wallsee-Mitterkirchen</t>
  </si>
  <si>
    <t>Weinzödl</t>
  </si>
  <si>
    <t>Weißenegg</t>
  </si>
  <si>
    <t>Werfen/Pfarrwerfen</t>
  </si>
  <si>
    <t>Weyer</t>
  </si>
  <si>
    <t>Ybbs-Persenbeug</t>
  </si>
  <si>
    <t>Mellach Gas-Kombikraftwerk</t>
  </si>
  <si>
    <t>TheiÃ</t>
  </si>
  <si>
    <t>Simmering 1</t>
  </si>
  <si>
    <t>Timelkam</t>
  </si>
  <si>
    <t>Donaustadt</t>
  </si>
  <si>
    <t>Simmering 3</t>
  </si>
  <si>
    <t>Linz-Mitte Fernheizkraftwerk</t>
  </si>
  <si>
    <t>Linz-SÃ¼d Fernheizkraftwerk</t>
  </si>
  <si>
    <t>Korneuburg</t>
  </si>
  <si>
    <t>Salzburg-Mitte Heizkraftwerk</t>
  </si>
  <si>
    <t>Laakirchen</t>
  </si>
  <si>
    <t>Simmering 2</t>
  </si>
  <si>
    <t>Wels Fernheizkraftwerk</t>
  </si>
  <si>
    <t>Salzburg-Nord Heizkraftwerk</t>
  </si>
  <si>
    <t>Amager Power Station (Unit 1)</t>
  </si>
  <si>
    <t>Amager Power Station (Unit 3)</t>
  </si>
  <si>
    <t>Asnæs Power Station (Unit 2)</t>
  </si>
  <si>
    <t>Avedøre Power Station (Unit 1)</t>
  </si>
  <si>
    <t>Avedøre Power Station (Unit 2)</t>
  </si>
  <si>
    <t>Esbjerg Power Station (Unit 3)</t>
  </si>
  <si>
    <t>Fyn Power Station (Unit 7)</t>
  </si>
  <si>
    <t>Fyn Power Station (Unit 8)</t>
  </si>
  <si>
    <t>H.C. Ørsted Power Station (Unit 7)</t>
  </si>
  <si>
    <t>H.C. Ørsted Power Station (Unit 8)</t>
  </si>
  <si>
    <t>Herning Power Station</t>
  </si>
  <si>
    <t>Kyndby Power Station (Unit 21)</t>
  </si>
  <si>
    <t>Kyndby Power Station (Unit 22)</t>
  </si>
  <si>
    <t>Kyndby Power Station (Unit 41)</t>
  </si>
  <si>
    <t>Kyndby Power Station (Unit 51+52)</t>
  </si>
  <si>
    <t>Masnedø Power Station (Unit 31)</t>
  </si>
  <si>
    <t>Nordjylland Power Station (Gas Turbine Unit)</t>
  </si>
  <si>
    <t>Nordjylland Power Station (Unit 3)</t>
  </si>
  <si>
    <t>Østkraft</t>
  </si>
  <si>
    <t>Skærbæk Power Station (Unit 3)</t>
  </si>
  <si>
    <t>Studstrup Power Station (Unit 3)</t>
  </si>
  <si>
    <t>Studstrup Power Station (Unit 5)</t>
  </si>
  <si>
    <t>BNA0012a</t>
  </si>
  <si>
    <t>BNA0021</t>
  </si>
  <si>
    <t>BNA0027</t>
  </si>
  <si>
    <t>BNA0055</t>
  </si>
  <si>
    <t>BNA0062</t>
  </si>
  <si>
    <t>BNA0066</t>
  </si>
  <si>
    <t>BNA0068</t>
  </si>
  <si>
    <t>BNA0090</t>
  </si>
  <si>
    <t>BNA0103</t>
  </si>
  <si>
    <t>BNA0156a</t>
  </si>
  <si>
    <t>BNA0232a</t>
  </si>
  <si>
    <t>BNA0232b</t>
  </si>
  <si>
    <t>BNA0244</t>
  </si>
  <si>
    <t>BNA0245a</t>
  </si>
  <si>
    <t>BNA0250a</t>
  </si>
  <si>
    <t>BNA0277</t>
  </si>
  <si>
    <t>BNA0283</t>
  </si>
  <si>
    <t>BNA0385</t>
  </si>
  <si>
    <t>BNA0388</t>
  </si>
  <si>
    <t>BNA0399</t>
  </si>
  <si>
    <t>BNA0408</t>
  </si>
  <si>
    <t>BNA0520</t>
  </si>
  <si>
    <t>BNA0549</t>
  </si>
  <si>
    <t>BNA0553</t>
  </si>
  <si>
    <t>BNA0573</t>
  </si>
  <si>
    <t>BNA0617</t>
  </si>
  <si>
    <t>BNA0621</t>
  </si>
  <si>
    <t>BNA0628</t>
  </si>
  <si>
    <t>BNA0636</t>
  </si>
  <si>
    <t>BNA0637</t>
  </si>
  <si>
    <t>BNA0692</t>
  </si>
  <si>
    <t>BNA0775</t>
  </si>
  <si>
    <t>BNA0797</t>
  </si>
  <si>
    <t>BNA0826</t>
  </si>
  <si>
    <t>BNA0926a</t>
  </si>
  <si>
    <t>BNA1055</t>
  </si>
  <si>
    <t>BNA1091</t>
  </si>
  <si>
    <t>BNA1256</t>
  </si>
  <si>
    <t>BNA1335c</t>
  </si>
  <si>
    <t>BNA1337b</t>
  </si>
  <si>
    <t>BNA1337c</t>
  </si>
  <si>
    <t>BNA1398</t>
  </si>
  <si>
    <t>BNA1405b</t>
  </si>
  <si>
    <t>BNA1405c</t>
  </si>
  <si>
    <t>BNA1501</t>
  </si>
  <si>
    <t>BNA1522</t>
  </si>
  <si>
    <t>BNA0011</t>
  </si>
  <si>
    <t>BNA0019</t>
  </si>
  <si>
    <t>BNA0020</t>
  </si>
  <si>
    <t>BNA0067</t>
  </si>
  <si>
    <t>BNA0082</t>
  </si>
  <si>
    <t>BNA0085a</t>
  </si>
  <si>
    <t>BNA0086</t>
  </si>
  <si>
    <t>BNA0087</t>
  </si>
  <si>
    <t>BNA0093</t>
  </si>
  <si>
    <t>BNA0138</t>
  </si>
  <si>
    <t>BNA0144</t>
  </si>
  <si>
    <t>BNA0145</t>
  </si>
  <si>
    <t>BNA0146</t>
  </si>
  <si>
    <t>BNA0147</t>
  </si>
  <si>
    <t>BNA0187</t>
  </si>
  <si>
    <t>BNA0188</t>
  </si>
  <si>
    <t>BNA0189</t>
  </si>
  <si>
    <t>BNA0203</t>
  </si>
  <si>
    <t>BNA0211</t>
  </si>
  <si>
    <t>BNA0212</t>
  </si>
  <si>
    <t>BNA0215</t>
  </si>
  <si>
    <t>BNA0216a</t>
  </si>
  <si>
    <t>BNA0216b</t>
  </si>
  <si>
    <t>BNA0252</t>
  </si>
  <si>
    <t>BNA0253</t>
  </si>
  <si>
    <t>BNA0261b</t>
  </si>
  <si>
    <t>BNA0270</t>
  </si>
  <si>
    <t>BNA0271</t>
  </si>
  <si>
    <t>BNA0272</t>
  </si>
  <si>
    <t>BNA0273</t>
  </si>
  <si>
    <t>BNA0274</t>
  </si>
  <si>
    <t>BNA0289b</t>
  </si>
  <si>
    <t>BNA0290</t>
  </si>
  <si>
    <t>BNA0331</t>
  </si>
  <si>
    <t>BNA0332</t>
  </si>
  <si>
    <t>BNA0333</t>
  </si>
  <si>
    <t>BNA0334</t>
  </si>
  <si>
    <t>BNA0335</t>
  </si>
  <si>
    <t>BNA0336</t>
  </si>
  <si>
    <t>BNA0375</t>
  </si>
  <si>
    <t>BNA0376</t>
  </si>
  <si>
    <t>BNA0377</t>
  </si>
  <si>
    <t>BNA0402</t>
  </si>
  <si>
    <t>BNA0403</t>
  </si>
  <si>
    <t>BNA0404</t>
  </si>
  <si>
    <t>BNA0413a</t>
  </si>
  <si>
    <t>BNA0413b</t>
  </si>
  <si>
    <t>BNA0413c</t>
  </si>
  <si>
    <t>BNA0414</t>
  </si>
  <si>
    <t>BNA0415</t>
  </si>
  <si>
    <t>BNA0420</t>
  </si>
  <si>
    <t>BNA0421</t>
  </si>
  <si>
    <t>BNA0432</t>
  </si>
  <si>
    <t>BNA0433</t>
  </si>
  <si>
    <t>BNA0434</t>
  </si>
  <si>
    <t>BNA0447</t>
  </si>
  <si>
    <t>BNA0448</t>
  </si>
  <si>
    <t>BNA0449</t>
  </si>
  <si>
    <t>BNA0450</t>
  </si>
  <si>
    <t>BNA0464</t>
  </si>
  <si>
    <t>BNA0493</t>
  </si>
  <si>
    <t>BNA0498</t>
  </si>
  <si>
    <t>BNA0510b</t>
  </si>
  <si>
    <t>BNA0518a</t>
  </si>
  <si>
    <t>BNA0518b</t>
  </si>
  <si>
    <t>BNA0526</t>
  </si>
  <si>
    <t>BNA0557a</t>
  </si>
  <si>
    <t>BNA0557b</t>
  </si>
  <si>
    <t>BNA0600b</t>
  </si>
  <si>
    <t>BNA0618</t>
  </si>
  <si>
    <t>BNA0619</t>
  </si>
  <si>
    <t>BNA0642</t>
  </si>
  <si>
    <t>BNA0643</t>
  </si>
  <si>
    <t>BNA0644</t>
  </si>
  <si>
    <t>BNA0645</t>
  </si>
  <si>
    <t>BNA0646a</t>
  </si>
  <si>
    <t>BNA0646b</t>
  </si>
  <si>
    <t>BNA0660</t>
  </si>
  <si>
    <t>BNA0661</t>
  </si>
  <si>
    <t>BNA0662a</t>
  </si>
  <si>
    <t>BNA0662b</t>
  </si>
  <si>
    <t>BNA0758</t>
  </si>
  <si>
    <t>BNA0793</t>
  </si>
  <si>
    <t>BNA0801</t>
  </si>
  <si>
    <t>BNA0812</t>
  </si>
  <si>
    <t>BNA0813</t>
  </si>
  <si>
    <t>BNA0820</t>
  </si>
  <si>
    <t>BNA0849</t>
  </si>
  <si>
    <t>BNA0861b</t>
  </si>
  <si>
    <t>BNA0926b</t>
  </si>
  <si>
    <t>BNA0934</t>
  </si>
  <si>
    <t>BNA0935</t>
  </si>
  <si>
    <t>BNA0936</t>
  </si>
  <si>
    <t>BNA0969b</t>
  </si>
  <si>
    <t>BNA0989</t>
  </si>
  <si>
    <t>BNA0990</t>
  </si>
  <si>
    <t>BNA0991</t>
  </si>
  <si>
    <t>BNA0992</t>
  </si>
  <si>
    <t>BNA0998</t>
  </si>
  <si>
    <t>BNA0999</t>
  </si>
  <si>
    <t>BNA1005</t>
  </si>
  <si>
    <t>BNA1006</t>
  </si>
  <si>
    <t>BNA1035</t>
  </si>
  <si>
    <t>BNA1037</t>
  </si>
  <si>
    <t>BNA1046a</t>
  </si>
  <si>
    <t>BNA1061</t>
  </si>
  <si>
    <t>BNA1075a</t>
  </si>
  <si>
    <t>BNA1075b</t>
  </si>
  <si>
    <t>BNA1076a</t>
  </si>
  <si>
    <t>BNA1076b</t>
  </si>
  <si>
    <t>BNA1084</t>
  </si>
  <si>
    <t>BNA1093</t>
  </si>
  <si>
    <t>BNA1331</t>
  </si>
  <si>
    <t>BNA1405a</t>
  </si>
  <si>
    <t>BNA1500</t>
  </si>
  <si>
    <t>BNA1508</t>
  </si>
  <si>
    <t>BNA1558</t>
  </si>
  <si>
    <t>BNA1673</t>
  </si>
  <si>
    <t>BNA1674</t>
  </si>
  <si>
    <t>BNA0010a</t>
  </si>
  <si>
    <t>BNA0010b</t>
  </si>
  <si>
    <t>BNA0012c</t>
  </si>
  <si>
    <t>BNA0024</t>
  </si>
  <si>
    <t>BNA0042</t>
  </si>
  <si>
    <t>BNA0045</t>
  </si>
  <si>
    <t>BNA0046</t>
  </si>
  <si>
    <t>BNA0065</t>
  </si>
  <si>
    <t>BNA0173</t>
  </si>
  <si>
    <t>BNA0228</t>
  </si>
  <si>
    <t>BNA0229</t>
  </si>
  <si>
    <t>BNA0230</t>
  </si>
  <si>
    <t>BNA0259</t>
  </si>
  <si>
    <t>BNA0268</t>
  </si>
  <si>
    <t>BNA0278</t>
  </si>
  <si>
    <t>BNA0279</t>
  </si>
  <si>
    <t>BNA0324</t>
  </si>
  <si>
    <t>BNA0327</t>
  </si>
  <si>
    <t>BNA0328</t>
  </si>
  <si>
    <t>BNA0329</t>
  </si>
  <si>
    <t>BNA0337</t>
  </si>
  <si>
    <t>BNA0350</t>
  </si>
  <si>
    <t>BNA0351</t>
  </si>
  <si>
    <t>BNA0352</t>
  </si>
  <si>
    <t>BNA0353</t>
  </si>
  <si>
    <t>BNA0362</t>
  </si>
  <si>
    <t>BNA0364</t>
  </si>
  <si>
    <t>BNA0422</t>
  </si>
  <si>
    <t>BNA0426</t>
  </si>
  <si>
    <t>BNA0443</t>
  </si>
  <si>
    <t>BNA0465</t>
  </si>
  <si>
    <t>BNA0466</t>
  </si>
  <si>
    <t>BNA0467</t>
  </si>
  <si>
    <t>BNA0468</t>
  </si>
  <si>
    <t>BNA0469</t>
  </si>
  <si>
    <t>BNA0470</t>
  </si>
  <si>
    <t>BNA0471</t>
  </si>
  <si>
    <t>BNA0472</t>
  </si>
  <si>
    <t>BNA0473</t>
  </si>
  <si>
    <t>BNA0474</t>
  </si>
  <si>
    <t>BNA0494</t>
  </si>
  <si>
    <t>BNA0496</t>
  </si>
  <si>
    <t>BNA0505</t>
  </si>
  <si>
    <t>BNA0529</t>
  </si>
  <si>
    <t>BNA0540</t>
  </si>
  <si>
    <t>BNA0558</t>
  </si>
  <si>
    <t>BNA0567a</t>
  </si>
  <si>
    <t>BNA0567b</t>
  </si>
  <si>
    <t>BNA0583</t>
  </si>
  <si>
    <t>BNA0652</t>
  </si>
  <si>
    <t>BNA0653</t>
  </si>
  <si>
    <t>BNA0654</t>
  </si>
  <si>
    <t>BNA0655</t>
  </si>
  <si>
    <t>BNA0656</t>
  </si>
  <si>
    <t>BNA0657</t>
  </si>
  <si>
    <t>BNA0669</t>
  </si>
  <si>
    <t>BNA0689</t>
  </si>
  <si>
    <t>BNA0695</t>
  </si>
  <si>
    <t>BNA0715</t>
  </si>
  <si>
    <t>BNA0721</t>
  </si>
  <si>
    <t>BNA0722</t>
  </si>
  <si>
    <t>BNA0747</t>
  </si>
  <si>
    <t>BNA0748</t>
  </si>
  <si>
    <t>BNA0777</t>
  </si>
  <si>
    <t>BNA0778</t>
  </si>
  <si>
    <t>BNA0779</t>
  </si>
  <si>
    <t>BNA0780</t>
  </si>
  <si>
    <t>BNA0782</t>
  </si>
  <si>
    <t>BNA0784</t>
  </si>
  <si>
    <t>BNA0792</t>
  </si>
  <si>
    <t>BNA0795</t>
  </si>
  <si>
    <t>BNA0816</t>
  </si>
  <si>
    <t>BNA0825</t>
  </si>
  <si>
    <t>BNA0835</t>
  </si>
  <si>
    <t>BNA0839</t>
  </si>
  <si>
    <t>BNA0847</t>
  </si>
  <si>
    <t>BNA0854</t>
  </si>
  <si>
    <t>BNA0859</t>
  </si>
  <si>
    <t>BNA0880</t>
  </si>
  <si>
    <t>BNA0882</t>
  </si>
  <si>
    <t>BNA0883</t>
  </si>
  <si>
    <t>BNA0906</t>
  </si>
  <si>
    <t>BNA0912</t>
  </si>
  <si>
    <t>BNA0917</t>
  </si>
  <si>
    <t>BNA0921</t>
  </si>
  <si>
    <t>BNA0929</t>
  </si>
  <si>
    <t>BNA0946a</t>
  </si>
  <si>
    <t>BNA0946b</t>
  </si>
  <si>
    <t>BNA0946c</t>
  </si>
  <si>
    <t>BNA0950</t>
  </si>
  <si>
    <t>BNA0953</t>
  </si>
  <si>
    <t>BNA0954</t>
  </si>
  <si>
    <t>BNA0972</t>
  </si>
  <si>
    <t>BNA0973</t>
  </si>
  <si>
    <t>BNA0974</t>
  </si>
  <si>
    <t>BNA0975</t>
  </si>
  <si>
    <t>BNA0978</t>
  </si>
  <si>
    <t>BNA0979</t>
  </si>
  <si>
    <t>BNA0980</t>
  </si>
  <si>
    <t>BNA0981</t>
  </si>
  <si>
    <t>BNA0982</t>
  </si>
  <si>
    <t>BNA0983</t>
  </si>
  <si>
    <t>BNA0984</t>
  </si>
  <si>
    <t>BNA0985</t>
  </si>
  <si>
    <t>BNA0986</t>
  </si>
  <si>
    <t>BNA0987</t>
  </si>
  <si>
    <t>BNA0996</t>
  </si>
  <si>
    <t>BNA1003</t>
  </si>
  <si>
    <t>BNA1008</t>
  </si>
  <si>
    <t>BNA1013</t>
  </si>
  <si>
    <t>BNA1019</t>
  </si>
  <si>
    <t>BNA1031</t>
  </si>
  <si>
    <t>BNA1032</t>
  </si>
  <si>
    <t>BNA1066</t>
  </si>
  <si>
    <t>BNA1071</t>
  </si>
  <si>
    <t>BNA1098</t>
  </si>
  <si>
    <t>BNA1102</t>
  </si>
  <si>
    <t>BNA1118</t>
  </si>
  <si>
    <t>BNA1126</t>
  </si>
  <si>
    <t>BNA1129</t>
  </si>
  <si>
    <t>BNA1134</t>
  </si>
  <si>
    <t>BNA1135</t>
  </si>
  <si>
    <t>BNA1136</t>
  </si>
  <si>
    <t>BNA1137</t>
  </si>
  <si>
    <t>BNA1140</t>
  </si>
  <si>
    <t>BNA1143</t>
  </si>
  <si>
    <t>BNA1152</t>
  </si>
  <si>
    <t>BNA1153</t>
  </si>
  <si>
    <t>BNA1157</t>
  </si>
  <si>
    <t>BNA1160</t>
  </si>
  <si>
    <t>BNA1169</t>
  </si>
  <si>
    <t>BNA1175</t>
  </si>
  <si>
    <t>BNA1181</t>
  </si>
  <si>
    <t>BNA1189</t>
  </si>
  <si>
    <t>BNA1191</t>
  </si>
  <si>
    <t>BNA1192</t>
  </si>
  <si>
    <t>BNA1209</t>
  </si>
  <si>
    <t>BNA1210</t>
  </si>
  <si>
    <t>BNA1213</t>
  </si>
  <si>
    <t>BNA1214</t>
  </si>
  <si>
    <t>BNA1216</t>
  </si>
  <si>
    <t>BNA1217</t>
  </si>
  <si>
    <t>BNA1219</t>
  </si>
  <si>
    <t>BNA1220</t>
  </si>
  <si>
    <t>BNA1221</t>
  </si>
  <si>
    <t>BNA1228</t>
  </si>
  <si>
    <t>BNA1230</t>
  </si>
  <si>
    <t>BNA1234</t>
  </si>
  <si>
    <t>BNA1235</t>
  </si>
  <si>
    <t>BNA1239</t>
  </si>
  <si>
    <t>BNA1245</t>
  </si>
  <si>
    <t>BNA1246</t>
  </si>
  <si>
    <t>BNA1247</t>
  </si>
  <si>
    <t>BNA1250</t>
  </si>
  <si>
    <t>BNA1251</t>
  </si>
  <si>
    <t>BNA1263</t>
  </si>
  <si>
    <t>BNA1265</t>
  </si>
  <si>
    <t>BNA1267</t>
  </si>
  <si>
    <t>BNA1269</t>
  </si>
  <si>
    <t>BNA1273</t>
  </si>
  <si>
    <t>BNA1274</t>
  </si>
  <si>
    <t>BNA1287</t>
  </si>
  <si>
    <t>BNA1466</t>
  </si>
  <si>
    <t>BNA1672</t>
  </si>
  <si>
    <t>BNA1675</t>
  </si>
  <si>
    <t>BNA1869</t>
  </si>
  <si>
    <t>BNA1910</t>
  </si>
  <si>
    <t>BNA0115</t>
  </si>
  <si>
    <t>BNA0116</t>
  </si>
  <si>
    <t>BNA0122</t>
  </si>
  <si>
    <t>BNA0123</t>
  </si>
  <si>
    <t>BNA0124</t>
  </si>
  <si>
    <t>BNA0177</t>
  </si>
  <si>
    <t>BNA0179</t>
  </si>
  <si>
    <t>BNA0183</t>
  </si>
  <si>
    <t>BNA0196</t>
  </si>
  <si>
    <t>BNA0292</t>
  </si>
  <si>
    <t>BNA0302</t>
  </si>
  <si>
    <t>BNA0303</t>
  </si>
  <si>
    <t>BNA0304</t>
  </si>
  <si>
    <t>BNA0305</t>
  </si>
  <si>
    <t>BNA0306</t>
  </si>
  <si>
    <t>BNA0307</t>
  </si>
  <si>
    <t>BNA0308</t>
  </si>
  <si>
    <t>BNA0309</t>
  </si>
  <si>
    <t>BNA0310</t>
  </si>
  <si>
    <t>BNA0311</t>
  </si>
  <si>
    <t>BNA0312</t>
  </si>
  <si>
    <t>BNA0313</t>
  </si>
  <si>
    <t>BNA0314</t>
  </si>
  <si>
    <t>BNA0439</t>
  </si>
  <si>
    <t>BNA0489</t>
  </si>
  <si>
    <t>BNA0490a</t>
  </si>
  <si>
    <t>BNA0490b</t>
  </si>
  <si>
    <t>BNA0491</t>
  </si>
  <si>
    <t>BNA0523</t>
  </si>
  <si>
    <t>BNA0543</t>
  </si>
  <si>
    <t>BNA0680</t>
  </si>
  <si>
    <t>BNA0696</t>
  </si>
  <si>
    <t>BNA0697</t>
  </si>
  <si>
    <t>BNA0698</t>
  </si>
  <si>
    <t>BNA0699</t>
  </si>
  <si>
    <t>BNA0700</t>
  </si>
  <si>
    <t>BNA0705</t>
  </si>
  <si>
    <t>BNA0706</t>
  </si>
  <si>
    <t>BNA0707</t>
  </si>
  <si>
    <t>BNA0708</t>
  </si>
  <si>
    <t>BNA0709</t>
  </si>
  <si>
    <t>BNA0710</t>
  </si>
  <si>
    <t>BNA0711</t>
  </si>
  <si>
    <t>BNA0712</t>
  </si>
  <si>
    <t>BNA0713</t>
  </si>
  <si>
    <t>BNA0714</t>
  </si>
  <si>
    <t>BNA0785</t>
  </si>
  <si>
    <t>BNA0786</t>
  </si>
  <si>
    <t>BNA0787</t>
  </si>
  <si>
    <t>BNA0788</t>
  </si>
  <si>
    <t>BNA0789</t>
  </si>
  <si>
    <t>BNA0790</t>
  </si>
  <si>
    <t>BNA0878</t>
  </si>
  <si>
    <t>BNA0879</t>
  </si>
  <si>
    <t>BNA0914</t>
  </si>
  <si>
    <t>BNA0915</t>
  </si>
  <si>
    <t>BNA1002</t>
  </si>
  <si>
    <t>BNA1021</t>
  </si>
  <si>
    <t>BNA1022</t>
  </si>
  <si>
    <t>BNA1025</t>
  </si>
  <si>
    <t>BNA1026</t>
  </si>
  <si>
    <t>BNA1027</t>
  </si>
  <si>
    <t>BNA1028</t>
  </si>
  <si>
    <t>BNA1097</t>
  </si>
  <si>
    <t>BNA1141</t>
  </si>
  <si>
    <t>BNA1164</t>
  </si>
  <si>
    <t>BNA1185</t>
  </si>
  <si>
    <t>BNA1293a</t>
  </si>
  <si>
    <t>BNA1293b</t>
  </si>
  <si>
    <t>BNA1400a</t>
  </si>
  <si>
    <t>BNA1401a</t>
  </si>
  <si>
    <t>BNA1401b</t>
  </si>
  <si>
    <t>BNA1404</t>
  </si>
  <si>
    <t>BNA1451</t>
  </si>
  <si>
    <t>BNA1486</t>
  </si>
  <si>
    <t>BNA1511a</t>
  </si>
  <si>
    <t>BNA0005</t>
  </si>
  <si>
    <t>BNA0006</t>
  </si>
  <si>
    <t>BNA0007</t>
  </si>
  <si>
    <t>BNA0008</t>
  </si>
  <si>
    <t>BNA0012b</t>
  </si>
  <si>
    <t>BNA0015</t>
  </si>
  <si>
    <t>BNA0016</t>
  </si>
  <si>
    <t>BNA0017</t>
  </si>
  <si>
    <t>BNA0018</t>
  </si>
  <si>
    <t>BNA0025</t>
  </si>
  <si>
    <t>BNA0033</t>
  </si>
  <si>
    <t>BNA0051</t>
  </si>
  <si>
    <t>BNA0059a</t>
  </si>
  <si>
    <t>BNA0059b</t>
  </si>
  <si>
    <t>BNA0073</t>
  </si>
  <si>
    <t>BNA0074</t>
  </si>
  <si>
    <t>BNA0075</t>
  </si>
  <si>
    <t>BNA0076</t>
  </si>
  <si>
    <t>BNA0080</t>
  </si>
  <si>
    <t>BNA0081</t>
  </si>
  <si>
    <t>BNA0088a</t>
  </si>
  <si>
    <t>BNA0098</t>
  </si>
  <si>
    <t>BNA0099</t>
  </si>
  <si>
    <t>BNA0100</t>
  </si>
  <si>
    <t>BNA0101</t>
  </si>
  <si>
    <t>BNA0105</t>
  </si>
  <si>
    <t>BNA0110</t>
  </si>
  <si>
    <t>BNA0111</t>
  </si>
  <si>
    <t>BNA0117b</t>
  </si>
  <si>
    <t>BNA0118</t>
  </si>
  <si>
    <t>BNA0129</t>
  </si>
  <si>
    <t>BNA0130</t>
  </si>
  <si>
    <t>BNA0135</t>
  </si>
  <si>
    <t>BNA0136</t>
  </si>
  <si>
    <t>BNA0137</t>
  </si>
  <si>
    <t>BNA0140</t>
  </si>
  <si>
    <t>BNA0156b</t>
  </si>
  <si>
    <t>BNA0172a</t>
  </si>
  <si>
    <t>BNA0172b</t>
  </si>
  <si>
    <t>BNA0174</t>
  </si>
  <si>
    <t>BNA0178</t>
  </si>
  <si>
    <t>BNA0194</t>
  </si>
  <si>
    <t>BNA0199</t>
  </si>
  <si>
    <t>BNA0202</t>
  </si>
  <si>
    <t>BNA0207</t>
  </si>
  <si>
    <t>BNA0213</t>
  </si>
  <si>
    <t>BNA0214</t>
  </si>
  <si>
    <t>BNA0220</t>
  </si>
  <si>
    <t>BNA0221a</t>
  </si>
  <si>
    <t>BNA0221b</t>
  </si>
  <si>
    <t>BNA0221c</t>
  </si>
  <si>
    <t>BNA0232c</t>
  </si>
  <si>
    <t>BNA0233</t>
  </si>
  <si>
    <t>BNA0239</t>
  </si>
  <si>
    <t>BNA0243</t>
  </si>
  <si>
    <t>BNA0245b</t>
  </si>
  <si>
    <t>BNA0255</t>
  </si>
  <si>
    <t>BNA0256a</t>
  </si>
  <si>
    <t>BNA0256b</t>
  </si>
  <si>
    <t>BNA0261a</t>
  </si>
  <si>
    <t>BNA0261c</t>
  </si>
  <si>
    <t>BNA0284</t>
  </si>
  <si>
    <t>BNA0285</t>
  </si>
  <si>
    <t>BNA0286</t>
  </si>
  <si>
    <t>BNA0288</t>
  </si>
  <si>
    <t>BNA0293</t>
  </si>
  <si>
    <t>BNA0343</t>
  </si>
  <si>
    <t>BNA0354</t>
  </si>
  <si>
    <t>BNA0360</t>
  </si>
  <si>
    <t>BNA0361</t>
  </si>
  <si>
    <t>BNA0374</t>
  </si>
  <si>
    <t>BNA0386</t>
  </si>
  <si>
    <t>BNA0389</t>
  </si>
  <si>
    <t>BNA0392a</t>
  </si>
  <si>
    <t>BNA0392b</t>
  </si>
  <si>
    <t>BNA0400</t>
  </si>
  <si>
    <t>BNA0401</t>
  </si>
  <si>
    <t>BNA0410</t>
  </si>
  <si>
    <t>BNA0411</t>
  </si>
  <si>
    <t>BNA0418</t>
  </si>
  <si>
    <t>BNA0419</t>
  </si>
  <si>
    <t>BNA0442</t>
  </si>
  <si>
    <t>BNA0444</t>
  </si>
  <si>
    <t>BNA0497</t>
  </si>
  <si>
    <t>BNA0499</t>
  </si>
  <si>
    <t>BNA0504</t>
  </si>
  <si>
    <t>BNA0510a</t>
  </si>
  <si>
    <t>BNA0514</t>
  </si>
  <si>
    <t>BNA0515</t>
  </si>
  <si>
    <t>BNA0521</t>
  </si>
  <si>
    <t>BNA0527</t>
  </si>
  <si>
    <t>BNA0531</t>
  </si>
  <si>
    <t>BNA0544</t>
  </si>
  <si>
    <t>BNA0545</t>
  </si>
  <si>
    <t>BNA0546</t>
  </si>
  <si>
    <t>BNA0548a</t>
  </si>
  <si>
    <t>BNA0548b</t>
  </si>
  <si>
    <t>BNA0556a</t>
  </si>
  <si>
    <t>BNA0556b</t>
  </si>
  <si>
    <t>BNA0574a</t>
  </si>
  <si>
    <t>BNA0574b</t>
  </si>
  <si>
    <t>BNA0588</t>
  </si>
  <si>
    <t>BNA0592</t>
  </si>
  <si>
    <t>BNA0593</t>
  </si>
  <si>
    <t>BNA0594</t>
  </si>
  <si>
    <t>BNA0595</t>
  </si>
  <si>
    <t>BNA0600a</t>
  </si>
  <si>
    <t>BNA0602</t>
  </si>
  <si>
    <t>BNA0603</t>
  </si>
  <si>
    <t>BNA0604</t>
  </si>
  <si>
    <t>BNA0605</t>
  </si>
  <si>
    <t>BNA0606</t>
  </si>
  <si>
    <t>BNA0614a</t>
  </si>
  <si>
    <t>BNA0614b</t>
  </si>
  <si>
    <t>BNA0615</t>
  </si>
  <si>
    <t>BNA0626</t>
  </si>
  <si>
    <t>BNA0627</t>
  </si>
  <si>
    <t>BNA0658</t>
  </si>
  <si>
    <t>BNA0659</t>
  </si>
  <si>
    <t>BNA0681</t>
  </si>
  <si>
    <t>BNA0682</t>
  </si>
  <si>
    <t>BNA0683a</t>
  </si>
  <si>
    <t>BNA0683b</t>
  </si>
  <si>
    <t>BNA0683c</t>
  </si>
  <si>
    <t>BNA0684a</t>
  </si>
  <si>
    <t>BNA0684b</t>
  </si>
  <si>
    <t>BNA0684c</t>
  </si>
  <si>
    <t>BNA0685</t>
  </si>
  <si>
    <t>BNA0688</t>
  </si>
  <si>
    <t>BNA0702</t>
  </si>
  <si>
    <t>BNA0734</t>
  </si>
  <si>
    <t>BNA0735</t>
  </si>
  <si>
    <t>BNA0736</t>
  </si>
  <si>
    <t>BNA0737</t>
  </si>
  <si>
    <t>BNA0738</t>
  </si>
  <si>
    <t>BNA0739</t>
  </si>
  <si>
    <t>BNA0740</t>
  </si>
  <si>
    <t>BNA0741</t>
  </si>
  <si>
    <t>BNA0742</t>
  </si>
  <si>
    <t>BNA0743</t>
  </si>
  <si>
    <t>BNA0744</t>
  </si>
  <si>
    <t>BNA0745</t>
  </si>
  <si>
    <t>BNA0752</t>
  </si>
  <si>
    <t>BNA0753</t>
  </si>
  <si>
    <t>BNA0755a</t>
  </si>
  <si>
    <t>BNA0755b</t>
  </si>
  <si>
    <t>BNA0799</t>
  </si>
  <si>
    <t>BNA0800</t>
  </si>
  <si>
    <t>BNA0804</t>
  </si>
  <si>
    <t>BNA0805</t>
  </si>
  <si>
    <t>BNA0810</t>
  </si>
  <si>
    <t>BNA0811</t>
  </si>
  <si>
    <t>BNA0814</t>
  </si>
  <si>
    <t>BNA0832</t>
  </si>
  <si>
    <t>BNA0834</t>
  </si>
  <si>
    <t>BNA0842a</t>
  </si>
  <si>
    <t>BNA0842b</t>
  </si>
  <si>
    <t>BNA0843</t>
  </si>
  <si>
    <t>BNA0848</t>
  </si>
  <si>
    <t>BNA0856</t>
  </si>
  <si>
    <t>BNA0857</t>
  </si>
  <si>
    <t>BNA0861a</t>
  </si>
  <si>
    <t>BNA0893</t>
  </si>
  <si>
    <t>BNA0896</t>
  </si>
  <si>
    <t>BNA0897</t>
  </si>
  <si>
    <t>BNA0913</t>
  </si>
  <si>
    <t>BNA0918a</t>
  </si>
  <si>
    <t>BNA0918b</t>
  </si>
  <si>
    <t>BNA0922</t>
  </si>
  <si>
    <t>BNA0922a</t>
  </si>
  <si>
    <t>BNA0933</t>
  </si>
  <si>
    <t>BNA0957</t>
  </si>
  <si>
    <t>BNA0994</t>
  </si>
  <si>
    <t>BNA0995</t>
  </si>
  <si>
    <t>BNA1023</t>
  </si>
  <si>
    <t>BNA1024</t>
  </si>
  <si>
    <t>BNA1039</t>
  </si>
  <si>
    <t>BNA1040</t>
  </si>
  <si>
    <t>BNA1041</t>
  </si>
  <si>
    <t>BNA1042</t>
  </si>
  <si>
    <t>BNA1043</t>
  </si>
  <si>
    <t>BNA1044</t>
  </si>
  <si>
    <t>BNA1045</t>
  </si>
  <si>
    <t>BNA1046b</t>
  </si>
  <si>
    <t>BNA1056</t>
  </si>
  <si>
    <t>BNA1074</t>
  </si>
  <si>
    <t>BNA1078</t>
  </si>
  <si>
    <t>BNA1082</t>
  </si>
  <si>
    <t>BNA1085</t>
  </si>
  <si>
    <t>BNA1086</t>
  </si>
  <si>
    <t>BNA1087</t>
  </si>
  <si>
    <t>BNA1088</t>
  </si>
  <si>
    <t>BNA1089</t>
  </si>
  <si>
    <t>BNA1094</t>
  </si>
  <si>
    <t>BNA1103</t>
  </si>
  <si>
    <t>BNA1104</t>
  </si>
  <si>
    <t>BNA1105</t>
  </si>
  <si>
    <t>BNA1117</t>
  </si>
  <si>
    <t>BNA1120</t>
  </si>
  <si>
    <t>BNA1121</t>
  </si>
  <si>
    <t>BNA1125</t>
  </si>
  <si>
    <t>BNA1127</t>
  </si>
  <si>
    <t>BNA1128</t>
  </si>
  <si>
    <t>BNA1131</t>
  </si>
  <si>
    <t>BNA1138</t>
  </si>
  <si>
    <t>BNA1151</t>
  </si>
  <si>
    <t>BNA1165</t>
  </si>
  <si>
    <t>BNA1182</t>
  </si>
  <si>
    <t>BNA1183</t>
  </si>
  <si>
    <t>BNA1187</t>
  </si>
  <si>
    <t>BNA1193</t>
  </si>
  <si>
    <t>BNA1196a</t>
  </si>
  <si>
    <t>BNA1196b</t>
  </si>
  <si>
    <t>BNA1200</t>
  </si>
  <si>
    <t>BNA1225</t>
  </si>
  <si>
    <t>BNA1226</t>
  </si>
  <si>
    <t>BNA1238</t>
  </si>
  <si>
    <t>BNA1248a</t>
  </si>
  <si>
    <t>BNA1248b</t>
  </si>
  <si>
    <t>BNA1260</t>
  </si>
  <si>
    <t>BNA1264</t>
  </si>
  <si>
    <t>BNA1271</t>
  </si>
  <si>
    <t>BNA1279</t>
  </si>
  <si>
    <t>BNA1284</t>
  </si>
  <si>
    <t>BNA1285</t>
  </si>
  <si>
    <t>BNA1292b</t>
  </si>
  <si>
    <t>BNA1293c</t>
  </si>
  <si>
    <t>BNA1315</t>
  </si>
  <si>
    <t>BNA1327a</t>
  </si>
  <si>
    <t>BNA1327b</t>
  </si>
  <si>
    <t>BNA1328</t>
  </si>
  <si>
    <t>BNA1329</t>
  </si>
  <si>
    <t>BNA1332</t>
  </si>
  <si>
    <t>BNA1333a</t>
  </si>
  <si>
    <t>BNA1333b</t>
  </si>
  <si>
    <t>BNA1333c</t>
  </si>
  <si>
    <t>BNA1334</t>
  </si>
  <si>
    <t>BNA1335a</t>
  </si>
  <si>
    <t>BNA1335b</t>
  </si>
  <si>
    <t>BNA1336</t>
  </si>
  <si>
    <t>BNA1337a</t>
  </si>
  <si>
    <t>BNA1337e</t>
  </si>
  <si>
    <t>BNA1396</t>
  </si>
  <si>
    <t>BNA1400b</t>
  </si>
  <si>
    <t>BNA1402</t>
  </si>
  <si>
    <t>BNA1403</t>
  </si>
  <si>
    <t>BNA1406</t>
  </si>
  <si>
    <t>BNA1407</t>
  </si>
  <si>
    <t>BNA1408</t>
  </si>
  <si>
    <t>BNA1437</t>
  </si>
  <si>
    <t>BNA1444a</t>
  </si>
  <si>
    <t>BNA1444b</t>
  </si>
  <si>
    <t>BNA1444c</t>
  </si>
  <si>
    <t>BNA1444d</t>
  </si>
  <si>
    <t>BNA1450</t>
  </si>
  <si>
    <t>BNA1464</t>
  </si>
  <si>
    <t>BNA1465d</t>
  </si>
  <si>
    <t>BNA1487</t>
  </si>
  <si>
    <t>BNA1489</t>
  </si>
  <si>
    <t>BNA1492a</t>
  </si>
  <si>
    <t>BNA1492b</t>
  </si>
  <si>
    <t>BNA1498</t>
  </si>
  <si>
    <t>BNA1499</t>
  </si>
  <si>
    <t>BNA1502</t>
  </si>
  <si>
    <t>BNA1503</t>
  </si>
  <si>
    <t>BNA1504</t>
  </si>
  <si>
    <t>BNA1505</t>
  </si>
  <si>
    <t>BNA1506</t>
  </si>
  <si>
    <t>BNA1509</t>
  </si>
  <si>
    <t>BNA1516</t>
  </si>
  <si>
    <t>BNA1523a</t>
  </si>
  <si>
    <t>BNA1523b</t>
  </si>
  <si>
    <t>BNA1523d</t>
  </si>
  <si>
    <t>BNA1524</t>
  </si>
  <si>
    <t>BNA1531</t>
  </si>
  <si>
    <t>BNA1541</t>
  </si>
  <si>
    <t>BNA1658</t>
  </si>
  <si>
    <t>BNA1676</t>
  </si>
  <si>
    <t>BNA1677</t>
  </si>
  <si>
    <t>BNA1678</t>
  </si>
  <si>
    <t>BNA1817</t>
  </si>
  <si>
    <t>BNA1818</t>
  </si>
  <si>
    <t>BNA1819</t>
  </si>
  <si>
    <t>BNA1820</t>
  </si>
  <si>
    <t>BNA1821</t>
  </si>
  <si>
    <t>BNA1859</t>
  </si>
  <si>
    <t>BNA1861</t>
  </si>
  <si>
    <t>BNA1862</t>
  </si>
  <si>
    <t>BNA1863</t>
  </si>
  <si>
    <t>BNA1868</t>
  </si>
  <si>
    <t>BNA1873</t>
  </si>
  <si>
    <t>BNA1904</t>
  </si>
  <si>
    <t>BNA1909</t>
  </si>
  <si>
    <t>BNA1911</t>
  </si>
  <si>
    <t>BNA1925</t>
  </si>
  <si>
    <t>BNA1926</t>
  </si>
  <si>
    <t>BNA1927</t>
  </si>
  <si>
    <t>BNA1934</t>
  </si>
  <si>
    <t>BNA1935</t>
  </si>
  <si>
    <t>BNA1937</t>
  </si>
  <si>
    <t>BNA1938</t>
  </si>
  <si>
    <t>BNA1944</t>
  </si>
  <si>
    <t>BNA1945</t>
  </si>
  <si>
    <t>BNA1946</t>
  </si>
  <si>
    <t>BNa1947</t>
  </si>
  <si>
    <t>BNA0157</t>
  </si>
  <si>
    <t>BNA0251</t>
  </si>
  <si>
    <t>BNA0263</t>
  </si>
  <si>
    <t>BNA0355</t>
  </si>
  <si>
    <t>BNA0381</t>
  </si>
  <si>
    <t>BNA0382</t>
  </si>
  <si>
    <t>BNA0607</t>
  </si>
  <si>
    <t>BNA0686</t>
  </si>
  <si>
    <t>BNA0802</t>
  </si>
  <si>
    <t>BNA0012d</t>
  </si>
  <si>
    <t>BNA0083</t>
  </si>
  <si>
    <t>BNA0085b</t>
  </si>
  <si>
    <t>BNA0141</t>
  </si>
  <si>
    <t>BNA0161</t>
  </si>
  <si>
    <t>BNA0162</t>
  </si>
  <si>
    <t>BNA0163</t>
  </si>
  <si>
    <t>BNA0164</t>
  </si>
  <si>
    <t>BNA0222</t>
  </si>
  <si>
    <t>BNA0269</t>
  </si>
  <si>
    <t>BNA0318</t>
  </si>
  <si>
    <t>BNA0369</t>
  </si>
  <si>
    <t>BNA0373</t>
  </si>
  <si>
    <t>BNA0378</t>
  </si>
  <si>
    <t>BNA0379</t>
  </si>
  <si>
    <t>BNA0427</t>
  </si>
  <si>
    <t>BNA0428</t>
  </si>
  <si>
    <t>BNA0429</t>
  </si>
  <si>
    <t>BNA0430</t>
  </si>
  <si>
    <t>BNA0516</t>
  </si>
  <si>
    <t>BNA0517</t>
  </si>
  <si>
    <t>BNA0547</t>
  </si>
  <si>
    <t>BNA0596</t>
  </si>
  <si>
    <t>BNA0647</t>
  </si>
  <si>
    <t>BNA0648</t>
  </si>
  <si>
    <t>BNA0649</t>
  </si>
  <si>
    <t>BNA0759</t>
  </si>
  <si>
    <t>BNA0766</t>
  </si>
  <si>
    <t>BNA0894a</t>
  </si>
  <si>
    <t>BNA0894b</t>
  </si>
  <si>
    <t>BNA0894c</t>
  </si>
  <si>
    <t>BNA0894d</t>
  </si>
  <si>
    <t>BNA0894e</t>
  </si>
  <si>
    <t>BNA0937</t>
  </si>
  <si>
    <t>BNA0938</t>
  </si>
  <si>
    <t>BNA0939b</t>
  </si>
  <si>
    <t>BNA0993</t>
  </si>
  <si>
    <t>BNA1004</t>
  </si>
  <si>
    <t>BNA1007a</t>
  </si>
  <si>
    <t>BNA1007b</t>
  </si>
  <si>
    <t>BNA1015</t>
  </si>
  <si>
    <t>BNA1016</t>
  </si>
  <si>
    <t>BNA1036</t>
  </si>
  <si>
    <t>BNA1060</t>
  </si>
  <si>
    <t>BNA1083</t>
  </si>
  <si>
    <t>BNA1092</t>
  </si>
  <si>
    <t>BNA1166</t>
  </si>
  <si>
    <t>BNA1212</t>
  </si>
  <si>
    <t>BNA1227</t>
  </si>
  <si>
    <t>BNA1280</t>
  </si>
  <si>
    <t>BNA1293d</t>
  </si>
  <si>
    <t>BNA1294</t>
  </si>
  <si>
    <t>BNA1337d</t>
  </si>
  <si>
    <t>BNA1338</t>
  </si>
  <si>
    <t>BNA0142</t>
  </si>
  <si>
    <t>BNA0143</t>
  </si>
  <si>
    <t>BNA0217</t>
  </si>
  <si>
    <t>BNA0218</t>
  </si>
  <si>
    <t>BNA0219</t>
  </si>
  <si>
    <t>BNA0237</t>
  </si>
  <si>
    <t>BNA0238a</t>
  </si>
  <si>
    <t>BNA0238b</t>
  </si>
  <si>
    <t>BNA0289a</t>
  </si>
  <si>
    <t>BNA0395</t>
  </si>
  <si>
    <t>BNA0396</t>
  </si>
  <si>
    <t>BNA0397</t>
  </si>
  <si>
    <t>BNA0485</t>
  </si>
  <si>
    <t>BNA0486</t>
  </si>
  <si>
    <t>BNA0597</t>
  </si>
  <si>
    <t>BNA0598a</t>
  </si>
  <si>
    <t>BNA0598b</t>
  </si>
  <si>
    <t>BNA0616b</t>
  </si>
  <si>
    <t>BNA0693</t>
  </si>
  <si>
    <t>BNA0863</t>
  </si>
  <si>
    <t>BNA0864</t>
  </si>
  <si>
    <t>BNA0865b</t>
  </si>
  <si>
    <t>BNA1115</t>
  </si>
  <si>
    <t>BNA1249</t>
  </si>
  <si>
    <t>BNA1397a</t>
  </si>
  <si>
    <t>BNA1397b</t>
  </si>
  <si>
    <t>BNA1397c</t>
  </si>
  <si>
    <t>BNA1397d</t>
  </si>
  <si>
    <t>BNA1397e</t>
  </si>
  <si>
    <t>BNA1399</t>
  </si>
  <si>
    <t>BNA1409</t>
  </si>
  <si>
    <t>BNA1465a</t>
  </si>
  <si>
    <t>BNA1523c</t>
  </si>
  <si>
    <t>BNA1526</t>
  </si>
  <si>
    <t>BNA1811</t>
  </si>
  <si>
    <t>BNA1812</t>
  </si>
  <si>
    <t>BNA1813</t>
  </si>
  <si>
    <t>BNA1814</t>
  </si>
  <si>
    <t>BNA1815</t>
  </si>
  <si>
    <t>BNA1816</t>
  </si>
  <si>
    <t>BNA1827</t>
  </si>
  <si>
    <t>BNA1870</t>
  </si>
  <si>
    <t>BNA1874</t>
  </si>
  <si>
    <t>BNA1936</t>
  </si>
  <si>
    <t>BNA1939</t>
  </si>
  <si>
    <t>BNA1942</t>
  </si>
  <si>
    <t>BNA0084</t>
  </si>
  <si>
    <t>BNA0088b</t>
  </si>
  <si>
    <t>BNA0097</t>
  </si>
  <si>
    <t>BNA0117a</t>
  </si>
  <si>
    <t>BNA0139</t>
  </si>
  <si>
    <t>BNA0223a</t>
  </si>
  <si>
    <t>BNA0223b</t>
  </si>
  <si>
    <t>BNA0287a</t>
  </si>
  <si>
    <t>BNA0287b</t>
  </si>
  <si>
    <t>BNA0380</t>
  </si>
  <si>
    <t>BNA0398</t>
  </si>
  <si>
    <t>BNA0407</t>
  </si>
  <si>
    <t>BNA0417</t>
  </si>
  <si>
    <t>BNA0438</t>
  </si>
  <si>
    <t>BNA0519</t>
  </si>
  <si>
    <t>BNA0590</t>
  </si>
  <si>
    <t>BNA0591</t>
  </si>
  <si>
    <t>BNA0616a</t>
  </si>
  <si>
    <t>BNA0622</t>
  </si>
  <si>
    <t>BNA0623</t>
  </si>
  <si>
    <t>BNA0638</t>
  </si>
  <si>
    <t>BNA0639</t>
  </si>
  <si>
    <t>BNA0640</t>
  </si>
  <si>
    <t>BNA0641a</t>
  </si>
  <si>
    <t>BNA0641b</t>
  </si>
  <si>
    <t>BNA0641c</t>
  </si>
  <si>
    <t>BNA0746</t>
  </si>
  <si>
    <t>BNA0750</t>
  </si>
  <si>
    <t>BNA0751</t>
  </si>
  <si>
    <t>BNA0845</t>
  </si>
  <si>
    <t>BNA0855</t>
  </si>
  <si>
    <t>BNA0895</t>
  </si>
  <si>
    <t>BNA0939a</t>
  </si>
  <si>
    <t>BNA0969a</t>
  </si>
  <si>
    <t>BNA0969c</t>
  </si>
  <si>
    <t>BNA1020</t>
  </si>
  <si>
    <t>BNA1108</t>
  </si>
  <si>
    <t>BNA1110</t>
  </si>
  <si>
    <t>BNA1114</t>
  </si>
  <si>
    <t>BNA1116</t>
  </si>
  <si>
    <t>BNA1119</t>
  </si>
  <si>
    <t>BNA1139</t>
  </si>
  <si>
    <t>BNA1144</t>
  </si>
  <si>
    <t>BNA1148</t>
  </si>
  <si>
    <t>BNA1154</t>
  </si>
  <si>
    <t>BNA1155</t>
  </si>
  <si>
    <t>BNA1161</t>
  </si>
  <si>
    <t>BNA1167</t>
  </si>
  <si>
    <t>BNA1168</t>
  </si>
  <si>
    <t>BNA1184</t>
  </si>
  <si>
    <t>BNA1186a</t>
  </si>
  <si>
    <t>BNA1186b</t>
  </si>
  <si>
    <t>BNA1186c</t>
  </si>
  <si>
    <t>BNA1186d</t>
  </si>
  <si>
    <t>BNA1186e</t>
  </si>
  <si>
    <t>BNA1190</t>
  </si>
  <si>
    <t>BNA1197</t>
  </si>
  <si>
    <t>BNA1198</t>
  </si>
  <si>
    <t>BNA1199</t>
  </si>
  <si>
    <t>BNA1222</t>
  </si>
  <si>
    <t>BNA1229</t>
  </si>
  <si>
    <t>BNA1232</t>
  </si>
  <si>
    <t>BNA1233</t>
  </si>
  <si>
    <t>BNA1243</t>
  </si>
  <si>
    <t>BNA1244</t>
  </si>
  <si>
    <t>BNA1254</t>
  </si>
  <si>
    <t>BNA1255</t>
  </si>
  <si>
    <t>BNA1262</t>
  </si>
  <si>
    <t>BNA1286</t>
  </si>
  <si>
    <t>BNA1289</t>
  </si>
  <si>
    <t>BNA1291</t>
  </si>
  <si>
    <t>BNA1295</t>
  </si>
  <si>
    <t>BNA1316</t>
  </si>
  <si>
    <t>BNA1330</t>
  </si>
  <si>
    <t>BNA1448</t>
  </si>
  <si>
    <t>BNA1449a</t>
  </si>
  <si>
    <t>BNA1449b</t>
  </si>
  <si>
    <t>BNA1490</t>
  </si>
  <si>
    <t>BNA1510</t>
  </si>
  <si>
    <t>BNA1520</t>
  </si>
  <si>
    <t>BNA1867</t>
  </si>
  <si>
    <t>BNA0492</t>
  </si>
  <si>
    <t>BNA0997</t>
  </si>
  <si>
    <t>BNA1864</t>
  </si>
  <si>
    <t>BNA1865</t>
  </si>
  <si>
    <t>DIRECT ENERGIE</t>
  </si>
  <si>
    <t>Electrabel</t>
  </si>
  <si>
    <t>Electrawinds Distributie</t>
  </si>
  <si>
    <t>Lampiris</t>
  </si>
  <si>
    <t>Luminus</t>
  </si>
  <si>
    <t>RWE Supply &amp; Trading</t>
  </si>
  <si>
    <t>T-Power</t>
  </si>
  <si>
    <t>NUON</t>
  </si>
  <si>
    <t>ESSENT ENERGY TRADING B.V.</t>
  </si>
  <si>
    <t>AMYLUM NEDERLAND B.V.</t>
  </si>
  <si>
    <t>DELTA ENERGY B.V.</t>
  </si>
  <si>
    <t>ELECTRABEL NEDERLAND NV</t>
  </si>
  <si>
    <t>VATTENFALL ENERGY TRADING</t>
  </si>
  <si>
    <t>EON BENELUX</t>
  </si>
  <si>
    <t>NUONENW</t>
  </si>
  <si>
    <t>GDF SUEZ ENERGIE NEDERLAND NV</t>
  </si>
  <si>
    <t>VATTENFALL</t>
  </si>
  <si>
    <t>RWE SUPPLY &amp; TRADING NL B.V.</t>
  </si>
  <si>
    <t>PVNED</t>
  </si>
  <si>
    <t>UNIPER BENELUX N.V.</t>
  </si>
  <si>
    <t>EPZ</t>
  </si>
  <si>
    <t>CORUS STAAL B.V.</t>
  </si>
  <si>
    <t xml:space="preserve">	PGE Górnictwo i Energetyka Konwencjonalna S.A.</t>
  </si>
  <si>
    <t>PGE Górnictwo i Energetyka Konwencjonalna S.A.</t>
  </si>
  <si>
    <t>PGE Energia Odnawialna S.A.</t>
  </si>
  <si>
    <t>TAURON Wytwarzanie S.A.</t>
  </si>
  <si>
    <t>Veolia Energia Poznań ZEC S.A.</t>
  </si>
  <si>
    <t>ENEA Wytwarzanie Sp. z o.o.</t>
  </si>
  <si>
    <t xml:space="preserve">	ENERGA Elektrownie Ostrołęka S.A.</t>
  </si>
  <si>
    <t xml:space="preserve">	Zespół Elektrowni Pątnów-Adamów-Konin S.A.</t>
  </si>
  <si>
    <t>Elektrownia Pątnów II Sp. z o.o.</t>
  </si>
  <si>
    <t>ENEA Elektrownia Połaniec S.A.</t>
  </si>
  <si>
    <t xml:space="preserve"> PGE Energia Ciepła S.A.</t>
  </si>
  <si>
    <t xml:space="preserve">	PGE Energia Odnawialna S.A.</t>
  </si>
  <si>
    <t>ENERGA Wytwarzanie S.A.</t>
  </si>
  <si>
    <t>BKW FMB Energie AG</t>
  </si>
  <si>
    <t>Kernkraftwerk Gösgen-Däniken AG</t>
  </si>
  <si>
    <t>Axpo AG</t>
  </si>
  <si>
    <t>Kernkraftwerk Leibstadt AG</t>
  </si>
  <si>
    <t>Oy Mankala Ab</t>
  </si>
  <si>
    <t>Pori Energia Oy</t>
  </si>
  <si>
    <t>Fortum Power &amp; Heat , Generation</t>
  </si>
  <si>
    <t>Alakoski Oy</t>
  </si>
  <si>
    <t>Oy Alholmens Kraft Ab</t>
  </si>
  <si>
    <t>Stora Enso Publication Papers Oy Ltd</t>
  </si>
  <si>
    <t>Kemijoki Oy</t>
  </si>
  <si>
    <t>Koskienergia Koskivoima Oy</t>
  </si>
  <si>
    <t>Savon Voima Oyj</t>
  </si>
  <si>
    <t>Oy HERRFORS Ab</t>
  </si>
  <si>
    <t>Raseborgs stad / Ekenäs Energi</t>
  </si>
  <si>
    <t>Valkeakosken Energia Oy</t>
  </si>
  <si>
    <t>Tampereen Sähkölaitos</t>
  </si>
  <si>
    <t>Fingrid Oyj</t>
  </si>
  <si>
    <t>PVO Vesivoima Oy</t>
  </si>
  <si>
    <t>Kuopion Energia Oy</t>
  </si>
  <si>
    <t>Kanteleen Voima Oy</t>
  </si>
  <si>
    <t>Vapo Oy</t>
  </si>
  <si>
    <t>Korpelan Voima kuntayhtymä</t>
  </si>
  <si>
    <t>Haminan Energia Oy</t>
  </si>
  <si>
    <t>Helsingin Energia</t>
  </si>
  <si>
    <t>Vattenfall Sähköntuotanto oy</t>
  </si>
  <si>
    <t>Länsi-Suomen Voima Oy</t>
  </si>
  <si>
    <t>Suomen Teollisuuden Energiapalvelut - STEP Oy</t>
  </si>
  <si>
    <t>Esse Elektro-Kraft Ab</t>
  </si>
  <si>
    <t>Hedet Vindpark Ab</t>
  </si>
  <si>
    <t>Adven Oy</t>
  </si>
  <si>
    <t>Stora Enso Oyj Heinolan Flutingtehdas</t>
  </si>
  <si>
    <t>KSS Energia Oy</t>
  </si>
  <si>
    <t>Puolustushallinnon rakennuslaitos</t>
  </si>
  <si>
    <t>Kotkan Energia Oy</t>
  </si>
  <si>
    <t>Hämeenkyrön voima Oy</t>
  </si>
  <si>
    <t>KYRÖSKOSKEN VOIMA OY</t>
  </si>
  <si>
    <t>Elenia Lämpö Oy</t>
  </si>
  <si>
    <t>Leppäkosken Sähkö Oy</t>
  </si>
  <si>
    <t>Fortum Power &amp; Heat OY</t>
  </si>
  <si>
    <t>Imatran Energia Oy</t>
  </si>
  <si>
    <t>Fortum Power and Heat Oy</t>
  </si>
  <si>
    <t>Metsä Fibre Oy</t>
  </si>
  <si>
    <t>FC Power</t>
  </si>
  <si>
    <t>Keski-Lapin voima Oy</t>
  </si>
  <si>
    <t>UPM-Kymmene Oyj</t>
  </si>
  <si>
    <t>Koskipower Oy</t>
  </si>
  <si>
    <t>Tornionlaakson Voima Oy-</t>
  </si>
  <si>
    <t>Rovakairan Tuotanto Oy</t>
  </si>
  <si>
    <t>Oy Perhonjoki Ab</t>
  </si>
  <si>
    <t>Seinäjoen Energia Oy</t>
  </si>
  <si>
    <t>UPM Energy Oy</t>
  </si>
  <si>
    <t>Vatajankosken Sähkö Oy</t>
  </si>
  <si>
    <t>Voimavasu Oy</t>
  </si>
  <si>
    <t>Naantalin Energia Oy</t>
  </si>
  <si>
    <t>Stora Enso Oyj</t>
  </si>
  <si>
    <t>Kainuun Voima Oy</t>
  </si>
  <si>
    <t>Jyväskylän Voima Oy</t>
  </si>
  <si>
    <t>Kemijärven Lämpö ja Vesi Oy</t>
  </si>
  <si>
    <t>Keravan Energia Oy</t>
  </si>
  <si>
    <t>Keravan Lämpövoima Oy</t>
  </si>
  <si>
    <t>Killin Voima Oy</t>
  </si>
  <si>
    <t>Inergia Oy</t>
  </si>
  <si>
    <t>Sappi Finland Oy</t>
  </si>
  <si>
    <t>SUUR-SAVON SÄHKÖ Oy</t>
  </si>
  <si>
    <t>Kolsin Vesivoimantuotanto Oy</t>
  </si>
  <si>
    <t>Kokkolan Energia Oy</t>
  </si>
  <si>
    <t>Kokkolan Voima Oy</t>
  </si>
  <si>
    <t>Lahti Energia Oy</t>
  </si>
  <si>
    <t>Helsingin Rauta Oy</t>
  </si>
  <si>
    <t>Alajärven Sähkö Oy</t>
  </si>
  <si>
    <t>Kotka Mills Oy</t>
  </si>
  <si>
    <t>PVO-Lämpövoima Oy</t>
  </si>
  <si>
    <t>Koskienergia Oy</t>
  </si>
  <si>
    <t>Kuhmon Lämpö Oy</t>
  </si>
  <si>
    <t>Kumpuniemen Voima Oy</t>
  </si>
  <si>
    <t>Pohjois-Karjalan Sähkö Oy</t>
  </si>
  <si>
    <t>Savon Sellu OY</t>
  </si>
  <si>
    <t>Kuurnan Voima Oy</t>
  </si>
  <si>
    <t>Kymin Voima Oy</t>
  </si>
  <si>
    <t>Kaukaan Voima Oy</t>
  </si>
  <si>
    <t>Kiviristin Lämpö Oy</t>
  </si>
  <si>
    <t>Verkko Korpela Oy</t>
  </si>
  <si>
    <t>Fortum Power &amp; Heat , Power</t>
  </si>
  <si>
    <t>Vantaan Energia Oy</t>
  </si>
  <si>
    <t>Oulun Energia</t>
  </si>
  <si>
    <t>Lappeenrannan Lämpövoima Oy</t>
  </si>
  <si>
    <t>Myllykoski Paper Oy</t>
  </si>
  <si>
    <t>UPM</t>
  </si>
  <si>
    <t>Vaasan Sähköverkko Oy</t>
  </si>
  <si>
    <t>Mäntän Energia Oy</t>
  </si>
  <si>
    <t>Turun Seudun Energiantuotanto Oy</t>
  </si>
  <si>
    <t>Nivalan Kaukolämpö Oy</t>
  </si>
  <si>
    <t>Teollisuuden Voima Oy</t>
  </si>
  <si>
    <t>Teollisuuden Voima Oyj</t>
  </si>
  <si>
    <t>Stora Enso Oyj, Oulun tehdas</t>
  </si>
  <si>
    <t>Laanilan Voima Oy</t>
  </si>
  <si>
    <t>Pamilo Oy</t>
  </si>
  <si>
    <t>UPM-Kymmene Oyj Wisaforest</t>
  </si>
  <si>
    <t>Porin Prosessivoima Oy</t>
  </si>
  <si>
    <t>Kilpilahden Voimalaitos Oy</t>
  </si>
  <si>
    <t>Posion Vesi ja Lämpö Oy</t>
  </si>
  <si>
    <t>Etelä-Savon Energia Oy</t>
  </si>
  <si>
    <t>Puulaakson Energia Oy</t>
  </si>
  <si>
    <t>Kainuun Energia Oy</t>
  </si>
  <si>
    <t>Raahen Voima Oyj</t>
  </si>
  <si>
    <t>Raisionkaaren Teollisuuspuisto Oy</t>
  </si>
  <si>
    <t>Jyväskylän Energiantuotanto Oy</t>
  </si>
  <si>
    <t>Rauman Biovoima Oy</t>
  </si>
  <si>
    <t>Biokraft Oy</t>
  </si>
  <si>
    <t>EKOKEM OY AB</t>
  </si>
  <si>
    <t>Riikinvoima Oy</t>
  </si>
  <si>
    <t>Järvi-Suomen Voima Oy</t>
  </si>
  <si>
    <t>Ruusutarhat Suutari Oy</t>
  </si>
  <si>
    <t>Outokumpu Stainless Oy</t>
  </si>
  <si>
    <t>Sallila Energia Oy</t>
  </si>
  <si>
    <t>Seinäjoen Voima Oy</t>
  </si>
  <si>
    <t>Yara Suomi Oy</t>
  </si>
  <si>
    <t>Metsä Board Oyj</t>
  </si>
  <si>
    <t>Virolan puutarha</t>
  </si>
  <si>
    <t>Nykarleby Kraftverk</t>
  </si>
  <si>
    <t>ROVANIEMEN ENERGIA OY</t>
  </si>
  <si>
    <t>Tammervoima Oy</t>
  </si>
  <si>
    <t>Tervakoski Oy</t>
  </si>
  <si>
    <t>Toholammin Energia Oy</t>
  </si>
  <si>
    <t>Porvoon Energia Oy</t>
  </si>
  <si>
    <t>Höyrytys Oy</t>
  </si>
  <si>
    <t>Oulun Energia Oy</t>
  </si>
  <si>
    <t>Tornion Voima Oy</t>
  </si>
  <si>
    <t>Stora Enso Oyj Enocellin tehdas</t>
  </si>
  <si>
    <t>Vaasan Sähkö Oy</t>
  </si>
  <si>
    <t>Keuruun Lämpövoima Oy</t>
  </si>
  <si>
    <t>Vaskiluodon Voima Oy</t>
  </si>
  <si>
    <t>PVO-Huippuvoima Oy</t>
  </si>
  <si>
    <t>Wärtsilä Finland Oy</t>
  </si>
  <si>
    <t>Biovakka Suomi Oy</t>
  </si>
  <si>
    <t xml:space="preserve"> Vaasan Sähkö Oy (Westenergy Oy Ab)</t>
  </si>
  <si>
    <t>Helsingin Vesi</t>
  </si>
  <si>
    <t>Oy Perhonjoki AB</t>
  </si>
  <si>
    <t>Helsingin seudun ympäristöpalvelut -kuntayhtymä (HSY)</t>
  </si>
  <si>
    <t>Äänevoima Oy</t>
  </si>
  <si>
    <t>Metsä Fibre</t>
  </si>
  <si>
    <t>EDP ESPAÑA, S.A.U.</t>
  </si>
  <si>
    <t>IBERDROLA GENERACIÓN NUCLEAR, S.A.U.</t>
  </si>
  <si>
    <t>ENDESA GENERACIÓN S.A.</t>
  </si>
  <si>
    <t>IBERDROLA GENERACIÓN TÉRMICA S.L.</t>
  </si>
  <si>
    <t>BARBO ENERGÍAS RENOVABLES, S.A.</t>
  </si>
  <si>
    <t>IBERDROLA GENERACIÓN, S.A.</t>
  </si>
  <si>
    <t>IBERDROLA RENOVABLES, S.A.</t>
  </si>
  <si>
    <t>IBERDROLA RENOVABLES ENERGIA, S.A.</t>
  </si>
  <si>
    <t>HIDROJERTE S.L.U.</t>
  </si>
  <si>
    <t>HEREDEROS DE DÍAZ CORDOVÉS, S.A.</t>
  </si>
  <si>
    <t>SALTOS DEL JÚCAR, S.L.</t>
  </si>
  <si>
    <t>Andueza Generación Eléctrica</t>
  </si>
  <si>
    <t>CONFEDERACION HIDROGRAFICA DEL DUERO</t>
  </si>
  <si>
    <t>VIESGO PRODUCCION, S.L.</t>
  </si>
  <si>
    <t>Repsol Generación Eléctrica, S.L.U.</t>
  </si>
  <si>
    <t>EISSL EOLICA, S.L.</t>
  </si>
  <si>
    <t>CORPORACIÓN ACCIONA HIDRAULICA, S.L.</t>
  </si>
  <si>
    <t>BARRAS ELÉCTRICAS GENERACIÓN, S.L.</t>
  </si>
  <si>
    <t>NATURGY GENERACIÓN, S.L.U.</t>
  </si>
  <si>
    <t>CONFEDERACION HIDROGRAFICA DEL EBRO</t>
  </si>
  <si>
    <t>BAHÍA DE BIZKAIA ELECTRICIDAD, S.L.</t>
  </si>
  <si>
    <t>SNIACE, S.A.</t>
  </si>
  <si>
    <t>REPSOL QUÍMICA, S.A</t>
  </si>
  <si>
    <t>REPSOL PETRÓLEO, S.A.</t>
  </si>
  <si>
    <t>TARRAGONA POWER, S.L.</t>
  </si>
  <si>
    <t>ZABALGARBI, S.A.</t>
  </si>
  <si>
    <t>CEPSA GAS Y ELECTRICIDAD, S.A.U.</t>
  </si>
  <si>
    <t>ENERGYWORKS CARTAGENA, S.L.</t>
  </si>
  <si>
    <t>CONTOUR GLOBAL LA RIOJA, S.L.</t>
  </si>
  <si>
    <t>UNIÓN ELÉCTRICA DE CANARIAS GENERACIÓN, S.A.U.</t>
  </si>
  <si>
    <t>BIZKAIA ENERGÍA, S.L.U.</t>
  </si>
  <si>
    <t>GAS Y ELECTRICIDAD GENERACIÓN, S.A.U</t>
  </si>
  <si>
    <t>ENGIE CARTAGENA, S.L.</t>
  </si>
  <si>
    <t>ENGIE CASTELNOU, S.L.U.</t>
  </si>
  <si>
    <t>ALPIQ ENERGÍA ESPAÑA, S.A.U.</t>
  </si>
  <si>
    <t>Ignis Generación S.L.</t>
  </si>
  <si>
    <t>CENTRAL TÉRMICA CICLO COMBINADO GRUPO 4, S.L.</t>
  </si>
  <si>
    <t>ELECTRA ENERGÍA, S.A.U.</t>
  </si>
  <si>
    <t>ENERGÍA ELÉCTRICA DEL EBRO, S.A.</t>
  </si>
  <si>
    <t>UNELCO</t>
  </si>
  <si>
    <t>ANSELMO LEÓN, S.A.</t>
  </si>
  <si>
    <t>ENERGUIX, S.L.</t>
  </si>
  <si>
    <t>FELIZ GONZALEZ PRODUCCIÓN DE ENERGÍA ELÉCTRICA, S.A.U</t>
  </si>
  <si>
    <t>COMUNIDAD MOLINO VIEJO DE BOSSOST</t>
  </si>
  <si>
    <t>HIDROELÉCTRICA DE LUMYMEY, S.L.</t>
  </si>
  <si>
    <t>AES</t>
  </si>
  <si>
    <t>Calon Energy</t>
  </si>
  <si>
    <t>Centrica</t>
  </si>
  <si>
    <t>Drax Power</t>
  </si>
  <si>
    <t>E.On UK</t>
  </si>
  <si>
    <t>EDF Energy</t>
  </si>
  <si>
    <t>Energy Capital Partners</t>
  </si>
  <si>
    <t>Engie Power</t>
  </si>
  <si>
    <t>EPR</t>
  </si>
  <si>
    <t>EPUKi</t>
  </si>
  <si>
    <t>ESB</t>
  </si>
  <si>
    <t>Fellside Heat and Power</t>
  </si>
  <si>
    <t>Ferrybridge Mulitfuel Energy</t>
  </si>
  <si>
    <t>Intergen</t>
  </si>
  <si>
    <t>LondonEnergy</t>
  </si>
  <si>
    <t>Magnox Electric</t>
  </si>
  <si>
    <t>Marchwood Power</t>
  </si>
  <si>
    <t>Riverside Resource Recovery</t>
  </si>
  <si>
    <t>RWE Npower</t>
  </si>
  <si>
    <t>Seabank Power</t>
  </si>
  <si>
    <t>Sembcorp Utilities</t>
  </si>
  <si>
    <t>SSE</t>
  </si>
  <si>
    <t>Statkraft</t>
  </si>
  <si>
    <t>Temporis Capital</t>
  </si>
  <si>
    <t>Third Energy UK Gas</t>
  </si>
  <si>
    <t>Uniper UK</t>
  </si>
  <si>
    <t>Veolia</t>
  </si>
  <si>
    <t>Viridor Waste Management</t>
  </si>
  <si>
    <t>Vitol</t>
  </si>
  <si>
    <t>RINGERIKSKRAFT PRODUKSJON AS</t>
  </si>
  <si>
    <t>FITJAR KRAFTLAG SA</t>
  </si>
  <si>
    <t>LØVENSKIOLD FOSSUM KRAFT</t>
  </si>
  <si>
    <t>STATKRAFT ENERGI AS</t>
  </si>
  <si>
    <t>AKSLANDSELVA KRAFTVERK AS</t>
  </si>
  <si>
    <t>GISKE KOMMUNE</t>
  </si>
  <si>
    <t>ALSAKER KRAFT AS</t>
  </si>
  <si>
    <t>HELGELAND KRAFT VANNKRAFT AS</t>
  </si>
  <si>
    <t>ANGA KRAFT AS</t>
  </si>
  <si>
    <t>ISTAD KRAFT AS</t>
  </si>
  <si>
    <t>SMÅKRAFT AS</t>
  </si>
  <si>
    <t>ARNA KRAFTSELSKAP AS</t>
  </si>
  <si>
    <t>BALLANGEN UTVIKLING HOLDING AS</t>
  </si>
  <si>
    <t>ARSTADFOSSEN KRAFTVERK AS</t>
  </si>
  <si>
    <t>ASK Opstvedt</t>
  </si>
  <si>
    <t>VIUL KRAFT AS</t>
  </si>
  <si>
    <t>ASPENES MIKROKRAFT J,M. Aspenes</t>
  </si>
  <si>
    <t>INGE KVAAL</t>
  </si>
  <si>
    <t>NTE ENERGI AS</t>
  </si>
  <si>
    <t>E-CO ENERGI AS</t>
  </si>
  <si>
    <t>AUSTDØLA KRAFT AS</t>
  </si>
  <si>
    <t>AUSTVASSKRAFT AS</t>
  </si>
  <si>
    <t>BAGGFOSSEN MIKROKRAFT AS</t>
  </si>
  <si>
    <t>SKAGERAK KRAFT AS</t>
  </si>
  <si>
    <t>TROLLEKRAFT AS</t>
  </si>
  <si>
    <t>GJERLAND NILS</t>
  </si>
  <si>
    <t>BEFRING KRAFT AS</t>
  </si>
  <si>
    <t>GLITRE ENERGI PRODUKSJON AS</t>
  </si>
  <si>
    <t>BELE KRAFT AS</t>
  </si>
  <si>
    <t>BELE KRAFTVERK DA</t>
  </si>
  <si>
    <t>BENTSJORD KRAFT AS</t>
  </si>
  <si>
    <t>BERDALSKRAFT AS</t>
  </si>
  <si>
    <t>FJÆRLAND KRAFT AS</t>
  </si>
  <si>
    <t>BERGELVA KRAFT AS</t>
  </si>
  <si>
    <t>AS RANDSFJORD TREMASSE- &amp; PAPIRFABRIKK</t>
  </si>
  <si>
    <t>BERGESLI KRAFTVERK AS</t>
  </si>
  <si>
    <t>TROMS KRAFT PRODUKSJON AS</t>
  </si>
  <si>
    <t>NORDIC POWER AS</t>
  </si>
  <si>
    <t>YMBER PRODUKSJON AS</t>
  </si>
  <si>
    <t>RAUMA ENERGI AS</t>
  </si>
  <si>
    <t>AGDER ENERGI VANNKRAFT AS</t>
  </si>
  <si>
    <t>LØVENSKIOLD-FOSSUM KRAFT AS</t>
  </si>
  <si>
    <t>GLOMMA KRAFTPRODUKSJON AS</t>
  </si>
  <si>
    <t>BØSTRAND AUTOMASKIN</t>
  </si>
  <si>
    <t>BJELLAND &amp; MUSLAND KRAFT AS</t>
  </si>
  <si>
    <t>BJERGAELVA KRAFT AS</t>
  </si>
  <si>
    <t>JENS DOMINICUS NAGELL BJORDAL</t>
  </si>
  <si>
    <t>NORDBØ OLAV S</t>
  </si>
  <si>
    <t>TUSSA ENERGI AS</t>
  </si>
  <si>
    <t>KAMBO ENERGI AS</t>
  </si>
  <si>
    <t>BJØRHEIMSBYGD KRAFTVERK AS</t>
  </si>
  <si>
    <t>BALLANGEN ENERGI AS</t>
  </si>
  <si>
    <t>SFE PRODUKSJON AS</t>
  </si>
  <si>
    <t>BJØRNDALEN KRAFT AS</t>
  </si>
  <si>
    <t>SOLØR MILJØ KRAFT AS</t>
  </si>
  <si>
    <t>NORWEGIAN PRESERVING KRAFTVERK AS</t>
  </si>
  <si>
    <t>NILS AUN OKSTAD</t>
  </si>
  <si>
    <t>HANS JOHAN AARNES</t>
  </si>
  <si>
    <t>BLIKRAÅNA KRAFTVERK AS</t>
  </si>
  <si>
    <t>BLOKKEN SKIPSVERFT AS</t>
  </si>
  <si>
    <t>SUNNHORDLAND KRAFTLAG AS</t>
  </si>
  <si>
    <t>BLÅLID KRAFT AS</t>
  </si>
  <si>
    <t>BOG KRAFT AS</t>
  </si>
  <si>
    <t>BOGE KRAFT AS</t>
  </si>
  <si>
    <t>VESTFOLDMØLLENE AS</t>
  </si>
  <si>
    <t>ØSTFOLD ENERGI AS</t>
  </si>
  <si>
    <t>BORGÅNA KRAFT AS</t>
  </si>
  <si>
    <t>SARPSFOSS LIMITED</t>
  </si>
  <si>
    <t>BOTNABAKKEN KRAFT AS</t>
  </si>
  <si>
    <t>BOTNAELVA KRAFTVERK AS</t>
  </si>
  <si>
    <t>SØRDALSKRAFT AS</t>
  </si>
  <si>
    <t>SVORKA PRODUKSJON AS</t>
  </si>
  <si>
    <t>BRATTHUS KRAFTVERK AS</t>
  </si>
  <si>
    <t>KRAFTVERKENE I ORKLA DA</t>
  </si>
  <si>
    <t>BRATTVÅG KRAFTVERK AS</t>
  </si>
  <si>
    <t>LYSE PRODUKSJON AS</t>
  </si>
  <si>
    <t>MOANE KRAFT AS</t>
  </si>
  <si>
    <t>VOKKS KRAFT AS</t>
  </si>
  <si>
    <t>OTTERAAENS BRUGSEIERFORENING</t>
  </si>
  <si>
    <t>HAMMERFEST ENERGI AS</t>
  </si>
  <si>
    <t>BREIVOLD ENERGI AS</t>
  </si>
  <si>
    <t>ERLEND SAMSLÅTT</t>
  </si>
  <si>
    <t>HOPE ENERGI AS</t>
  </si>
  <si>
    <t>BREKKEFOSSEN KRAFTVERK AS</t>
  </si>
  <si>
    <t>BREKKESTØL KRAFTVERK AS</t>
  </si>
  <si>
    <t>BRIKSDAL MINIKRAFT AS</t>
  </si>
  <si>
    <t>OTRA KRAFT DA</t>
  </si>
  <si>
    <t>BRUFJELL ENERGI OG EIENDOM AS</t>
  </si>
  <si>
    <t>SUNNFJORD ENERGI AS</t>
  </si>
  <si>
    <t>BRUNSTAD KRAFT AS</t>
  </si>
  <si>
    <t>BRÅBERG KRAFT AS</t>
  </si>
  <si>
    <t>MODALEN KRAFTLAG SA</t>
  </si>
  <si>
    <t>BUDALSELVA KRAFT AS</t>
  </si>
  <si>
    <t>BULKO KRAFT AS</t>
  </si>
  <si>
    <t>BUSET KRAFT AS</t>
  </si>
  <si>
    <t>BYAKRAFT AS</t>
  </si>
  <si>
    <t>BYRKJEDAL KRAFTVERK AS</t>
  </si>
  <si>
    <t>BYRKJELO KRAFT AS</t>
  </si>
  <si>
    <t>BØEN KRAFT AS</t>
  </si>
  <si>
    <t>BØRTER E VERK ANS</t>
  </si>
  <si>
    <t>ARENDALS FOSSEKOMPANI ASA</t>
  </si>
  <si>
    <t>CERMAQ NORWAY AS</t>
  </si>
  <si>
    <t>KVÆNANGEN KRAFTVERK AS</t>
  </si>
  <si>
    <t>SKS PRODUKSJON AS</t>
  </si>
  <si>
    <t>OLE PETTER ESTENSTAD</t>
  </si>
  <si>
    <t>STRYN ENERGI AS</t>
  </si>
  <si>
    <t>DALE KRAFT AS</t>
  </si>
  <si>
    <t>BKK PRODUKSJON AS</t>
  </si>
  <si>
    <t>MYKLEBUST ENERGI AS</t>
  </si>
  <si>
    <t>DALELVO KRAFT AS</t>
  </si>
  <si>
    <t>DALELVA KRAFT AS</t>
  </si>
  <si>
    <t>JØRPELAND KRAFT AS</t>
  </si>
  <si>
    <t>MYKLEBUSTDALEN ENERGI AS</t>
  </si>
  <si>
    <t>DALBYGDA KRAFTSENTER AS</t>
  </si>
  <si>
    <t>Aktieselskabet Saudefaldene</t>
  </si>
  <si>
    <t>DEVEGGÅE KRAFT AS</t>
  </si>
  <si>
    <t>DIRDAL KRAFT AS</t>
  </si>
  <si>
    <t>VESTERÅLSKRAFT PRODUKSJON AS</t>
  </si>
  <si>
    <t>DJUPÅ EINAR</t>
  </si>
  <si>
    <t>DRAGEFOSSEN AS</t>
  </si>
  <si>
    <t>DRAVLAUS KRAFT AS</t>
  </si>
  <si>
    <t>TRØNDERENERGI KRAFT AS</t>
  </si>
  <si>
    <t>DALANE KRAFT AS</t>
  </si>
  <si>
    <t>VELLE KRAFT AS</t>
  </si>
  <si>
    <t>SIRA KVINA KRAFTSELSKAP</t>
  </si>
  <si>
    <t>DVERGSDALSDALEN KRAFTVERK AS</t>
  </si>
  <si>
    <t>MODUM KRAFTPRODUKSJON KF</t>
  </si>
  <si>
    <t>DYRHOVDEN ENERGI</t>
  </si>
  <si>
    <t>TAFJORD KRAFTPRODUKSJON AS</t>
  </si>
  <si>
    <t>VADHEIM KRAFT AS</t>
  </si>
  <si>
    <t>DYRSTAD KRAFT DA</t>
  </si>
  <si>
    <t>CHR SALVESEN &amp; CHR THAMS'S COMMUNICATIONS AKTIESELSKAB</t>
  </si>
  <si>
    <t>DØVIK KRAFT AS</t>
  </si>
  <si>
    <t>EFTESTØL Ole Tom</t>
  </si>
  <si>
    <t>EGGE KRAFT AS</t>
  </si>
  <si>
    <t>EIRIK M EIDE</t>
  </si>
  <si>
    <t>AS EIDEFOSS</t>
  </si>
  <si>
    <t>HARDANGER ENERGI AS</t>
  </si>
  <si>
    <t>EIDSDAL KRAFT AS</t>
  </si>
  <si>
    <t>NORSJØKRAFT AS</t>
  </si>
  <si>
    <t>VANG ENERGIVERK KF</t>
  </si>
  <si>
    <t>Aktieselskapet Eidsfos Verk</t>
  </si>
  <si>
    <t>GLOPPEN ENERGI AS</t>
  </si>
  <si>
    <t>EIDSLAND ENERGI AS</t>
  </si>
  <si>
    <t>EITRO KRAFTVERK AS</t>
  </si>
  <si>
    <t>ELDAO KRAFTVERK AS</t>
  </si>
  <si>
    <t>KIÆR MYKLEBY Anders Kiær</t>
  </si>
  <si>
    <t>EMBLA KRAFT AS</t>
  </si>
  <si>
    <t>EMBRETSFOSSKRAFTVERKENE DA</t>
  </si>
  <si>
    <t>ENGESET KRAFT AS</t>
  </si>
  <si>
    <t>ALF DYBING</t>
  </si>
  <si>
    <t>ERDAL MINIKRAFT AS</t>
  </si>
  <si>
    <t>ERFJORD MIKROKRAFTVERK</t>
  </si>
  <si>
    <t>ESPEELVI KRAFT AS</t>
  </si>
  <si>
    <t>BERGEN KOMMUNE</t>
  </si>
  <si>
    <t>ESPELAND MINIKRAFTVERK AS</t>
  </si>
  <si>
    <t>FAGERDALEN KRAFTVERK AS</t>
  </si>
  <si>
    <t>FAGERLID MINIKRAFTVERK AS</t>
  </si>
  <si>
    <t>FATLAND KRAFT AS</t>
  </si>
  <si>
    <t>STRANDA ENERGI AS</t>
  </si>
  <si>
    <t>FINNESETBEKKEN KRAFTVERK AS</t>
  </si>
  <si>
    <t>TROLLFJORD KRAFT AS</t>
  </si>
  <si>
    <t>SMÅKRAFT GREEN BOND 1 AS</t>
  </si>
  <si>
    <t>NORSK HYDRO RJUKAN NÆRINGSPARK</t>
  </si>
  <si>
    <t>FJELLANGER KRAFTVERK AS</t>
  </si>
  <si>
    <t>FJELLHAUGEN SKISENTER AS</t>
  </si>
  <si>
    <t>VRÅDAL KRAFT AS</t>
  </si>
  <si>
    <t>JAN KÅRE FLØTRE</t>
  </si>
  <si>
    <t>FOLKESTAD KRAFTVERK AS</t>
  </si>
  <si>
    <t>FOLLEBU BRUK AS</t>
  </si>
  <si>
    <t>FOLLSJÅ KRAFT AS</t>
  </si>
  <si>
    <t>NORD-SALTEN KRAFT AS</t>
  </si>
  <si>
    <t>FOSS KRAFT JOHAN HJORTELAND</t>
  </si>
  <si>
    <t>GJERDE JAKOB</t>
  </si>
  <si>
    <t>HÅLOGALAND KRAFT PRODUKSJON AS</t>
  </si>
  <si>
    <t>FOSSANE MIKROKRAFTVERK AS</t>
  </si>
  <si>
    <t>FOSSBRÅTEN KRAFTVERK AS</t>
  </si>
  <si>
    <t>FOSSHEIM KURT</t>
  </si>
  <si>
    <t>SVELGEN KRAFT AS</t>
  </si>
  <si>
    <t>FOSSEKALLEN ENERGI AS</t>
  </si>
  <si>
    <t>FOSSHEIM ENERGIVERK AS</t>
  </si>
  <si>
    <t>FOSSHEIMGARDANE MIKROKRAFTVERK AS</t>
  </si>
  <si>
    <t>FOSSMARK KRAFT AS</t>
  </si>
  <si>
    <t>FOSSTUN MINIKRAFT Sigbjørn Garborg Sande</t>
  </si>
  <si>
    <t>FOSSUM MØLLE OG ELEKTRISITETSVERK ANS</t>
  </si>
  <si>
    <t>FOSSÅNO KRAFTVERK AS</t>
  </si>
  <si>
    <t>FRAMMARSVIK KRAFT AS</t>
  </si>
  <si>
    <t>FREIM KRAFT AS</t>
  </si>
  <si>
    <t>VIKHEIM HANS ARNE</t>
  </si>
  <si>
    <t>KURT EIVIND MILJETEIG</t>
  </si>
  <si>
    <t>FRITZØE SKOGER M S TRESCHOW</t>
  </si>
  <si>
    <t>JON ANDERS FUGLESTEIN</t>
  </si>
  <si>
    <t>FURA KRAFT AS</t>
  </si>
  <si>
    <t>FØNHUS KRAFT AS</t>
  </si>
  <si>
    <t>FØSSA KRAFTVERK AS</t>
  </si>
  <si>
    <t>PASVIK KRAFT AS</t>
  </si>
  <si>
    <t>ØRTFJELL KRAFT DA</t>
  </si>
  <si>
    <t>GAUDALSKRAFT AS</t>
  </si>
  <si>
    <t>MIDT ENERGI AS</t>
  </si>
  <si>
    <t>SKAFSÅ KRAFTVERK ANS</t>
  </si>
  <si>
    <t>GAUTVELLA KRAFTVERK AS</t>
  </si>
  <si>
    <t>GEISDØLA KRAFTVERK AS</t>
  </si>
  <si>
    <t>GEITÅNI KRAFTVERK AS</t>
  </si>
  <si>
    <t>GILJA KRAFTVERK AS</t>
  </si>
  <si>
    <t>GIRE KRAFT AS</t>
  </si>
  <si>
    <t>GISNAFALLET KRAFTVERK AS</t>
  </si>
  <si>
    <t>GJEDREM &amp; HOLMEN ELVERK DA</t>
  </si>
  <si>
    <t>GJERSVIK KRAFT AS</t>
  </si>
  <si>
    <t>GJESDAL KRAFT AS</t>
  </si>
  <si>
    <t>GJETINGSDALEN KRAFT AS</t>
  </si>
  <si>
    <t>GJØNAELVA KRAFTVERK AS</t>
  </si>
  <si>
    <t>STEIN HELGE LASSEMO</t>
  </si>
  <si>
    <t>NORDRE LØSSET AS</t>
  </si>
  <si>
    <t>GLOMNES KRAFT AS</t>
  </si>
  <si>
    <t>GLUTRA KRAFT AS</t>
  </si>
  <si>
    <t>GOSLAND KRAFT AS</t>
  </si>
  <si>
    <t>KRAFTKAMERATANE AS</t>
  </si>
  <si>
    <t>GRAVBRØTFOSS KRAFT AS</t>
  </si>
  <si>
    <t>GRAVVOLD MIKROKRAFT DA</t>
  </si>
  <si>
    <t>GRIMOKRAFT AS</t>
  </si>
  <si>
    <t>GROVANE KRAFTVERK AS</t>
  </si>
  <si>
    <t>VISTEKLEIVEN DA</t>
  </si>
  <si>
    <t>GRUNNÅI KRAFTVERK AS</t>
  </si>
  <si>
    <t>GRYTA KRAFT AS</t>
  </si>
  <si>
    <t>GRYTE KRAFT AS</t>
  </si>
  <si>
    <t>MYKLEBY MASKIN AS</t>
  </si>
  <si>
    <t>GRYTENDAL KRAFTVERK AS</t>
  </si>
  <si>
    <t>LANGFJORDKRAFT AS</t>
  </si>
  <si>
    <t>GRYTO KRAFT AS</t>
  </si>
  <si>
    <t>GRYTTEN ARILD</t>
  </si>
  <si>
    <t>GRYTÅGA SETTEFISK AS</t>
  </si>
  <si>
    <t>RUDLENDE OLAV</t>
  </si>
  <si>
    <t>NEAS AS</t>
  </si>
  <si>
    <t>J E EKORNES AS</t>
  </si>
  <si>
    <t>GRØNENG KRAFTVERK AS</t>
  </si>
  <si>
    <t>GRØNHAUG KRAFTVERK A/S</t>
  </si>
  <si>
    <t>ANDERS BJØRNSRUD</t>
  </si>
  <si>
    <t>GRØNLIELVA KRAFTVERK AS</t>
  </si>
  <si>
    <t>MOKRAFT AS</t>
  </si>
  <si>
    <t>GRØTTE KRAFTVERK Thea Mørk</t>
  </si>
  <si>
    <t>GRØVLA KRAFT AS</t>
  </si>
  <si>
    <t>GRÅKLUBBEN KRAFTVERK AS</t>
  </si>
  <si>
    <t>GUNNAR JAN GJERLAND</t>
  </si>
  <si>
    <t>GUREBO OLE GUSTAV</t>
  </si>
  <si>
    <t>GURSLI MINIKRAFTVERK AS</t>
  </si>
  <si>
    <t>GYL KRAFT AS</t>
  </si>
  <si>
    <t>LIFJELLKRAFT AS</t>
  </si>
  <si>
    <t>HAGAELVA ENERGI AS</t>
  </si>
  <si>
    <t>ALTA KRAFTLAG SA</t>
  </si>
  <si>
    <t>BRUNLANES HISTORIELAG</t>
  </si>
  <si>
    <t>HALVDAGSÅA KRAFT AS</t>
  </si>
  <si>
    <t>RANA KOMMUNE TEKNISKE TJENESTER</t>
  </si>
  <si>
    <t>HAVREVOLL SVEINUNG</t>
  </si>
  <si>
    <t>ØVERGAARD ENERGI AS</t>
  </si>
  <si>
    <t>HARASTØLEN HOLDING AS</t>
  </si>
  <si>
    <t>HARSTVEITBEKKEN KRAFT AS</t>
  </si>
  <si>
    <t>RISSA KRAFTLAG SA</t>
  </si>
  <si>
    <t>SYKKYLVEN PRODUKTER John Kåre Aarsnes</t>
  </si>
  <si>
    <t>KVINNHERAD ENERGI AS</t>
  </si>
  <si>
    <t>FORSØGET HAUGAELVA SMÅKRAFTVERK AS</t>
  </si>
  <si>
    <t>HAUGE MINIKRAFTVERK AS</t>
  </si>
  <si>
    <t>SKRUDSARKRAFT AS</t>
  </si>
  <si>
    <t>HAUKVIK KRAFT AS</t>
  </si>
  <si>
    <t>AARAM GARD VENDEL HAUSKEN</t>
  </si>
  <si>
    <t>KOLBEIN HAVREVOLL</t>
  </si>
  <si>
    <t>HEGGEMSELVA MIKROKRAFTVERK AS</t>
  </si>
  <si>
    <t>SKRÆI &amp; SKREDE KRAFT AS</t>
  </si>
  <si>
    <t>HEIDELVA KRAFTVERK AS</t>
  </si>
  <si>
    <t>SKJÆRDALEN EIENDOM AS</t>
  </si>
  <si>
    <t>BRULAND ENERGI AS</t>
  </si>
  <si>
    <t>LOFOTKRAFT PRODUKSJON AS</t>
  </si>
  <si>
    <t>HEIMSETA KRAFT AS</t>
  </si>
  <si>
    <t>HEINA KRAFT AS</t>
  </si>
  <si>
    <t>HEIKRAFT AS</t>
  </si>
  <si>
    <t>HELGANES KRAFTVERK Tore Eide</t>
  </si>
  <si>
    <t>NYDALSELVA KRAFT AS</t>
  </si>
  <si>
    <t>HELGØY ENERGI AS</t>
  </si>
  <si>
    <t>RØFSDALSKRAFT AS</t>
  </si>
  <si>
    <t>HELLE KRAFTVERK DA</t>
  </si>
  <si>
    <t>HELLE BRUK AS</t>
  </si>
  <si>
    <t>HELLEFOSS KRAFT AS</t>
  </si>
  <si>
    <t>SÆTER BJØRN</t>
  </si>
  <si>
    <t>HERAD KRAFT DA</t>
  </si>
  <si>
    <t>HERJÅA KRAFT AS</t>
  </si>
  <si>
    <t>HESTDAL E-VERK AS</t>
  </si>
  <si>
    <t>HESTENES KRAFT AS</t>
  </si>
  <si>
    <t>HETLAND KRAFT AS</t>
  </si>
  <si>
    <t>SØRSIDA KRAFT AS</t>
  </si>
  <si>
    <t>HISVATN KRAFTLAG AS</t>
  </si>
  <si>
    <t>HJELLE KRAFTVERK AS</t>
  </si>
  <si>
    <t>HJELLEDALEN KRAFTLAG AS</t>
  </si>
  <si>
    <t>HJORTELAND KRAFT AS</t>
  </si>
  <si>
    <t>VOSS ENERGI PRODUKSJON AS</t>
  </si>
  <si>
    <t>HOELSFOSSEN ELVERK AS</t>
  </si>
  <si>
    <t>HOFKVERN KRAFTVERK AS</t>
  </si>
  <si>
    <t>HOLDALBEKK KRAFT AS</t>
  </si>
  <si>
    <t>HOLE KRAFT AS</t>
  </si>
  <si>
    <t>LUSTER SMÅKRAFT AS</t>
  </si>
  <si>
    <t>HOLMANE KRAFTVERK ANS</t>
  </si>
  <si>
    <t>HOLMEM KRAFT AS</t>
  </si>
  <si>
    <t>HOLMEN KRAFT AS</t>
  </si>
  <si>
    <t>HOLSEN KRAFT NORDDØLA AS</t>
  </si>
  <si>
    <t>HESKESTAD KRAFT AS</t>
  </si>
  <si>
    <t>HAGEN ODD</t>
  </si>
  <si>
    <t>HOPLAND KRAFT AS</t>
  </si>
  <si>
    <t>HOPSELVA KRAFTVERK AS</t>
  </si>
  <si>
    <t>HOPSFOSSEN AS</t>
  </si>
  <si>
    <t>SIGDAL ENERGI</t>
  </si>
  <si>
    <t>AKERSHUS MILJØKRAFT AS</t>
  </si>
  <si>
    <t>HORPEDAL KRAFT AS</t>
  </si>
  <si>
    <t>HOVLAND KRAFT AS</t>
  </si>
  <si>
    <t>HOVUDUK KRAFTVERK AS</t>
  </si>
  <si>
    <t>HUGLA KRAFT AS</t>
  </si>
  <si>
    <t>HUMBERSET OLAV</t>
  </si>
  <si>
    <t>JENS M HUNDSEID</t>
  </si>
  <si>
    <t>HURUNDA KRAFT AS</t>
  </si>
  <si>
    <t>NORDVOLL ERNST HENRY</t>
  </si>
  <si>
    <t>OTTO ULLEVÅLSETER</t>
  </si>
  <si>
    <t>HUSSTØL KRAFTVERK AS</t>
  </si>
  <si>
    <t>PER BAKKEDAL</t>
  </si>
  <si>
    <t>O DRAGE AS</t>
  </si>
  <si>
    <t>HYNNA KRAFT AS</t>
  </si>
  <si>
    <t>HØYDAL KRAFTVERK AS</t>
  </si>
  <si>
    <t>HÅGJØLA MIKROKRAFTVERK DA</t>
  </si>
  <si>
    <t>NORDKRAFT MAGASIN AS</t>
  </si>
  <si>
    <t>HÅRA KRAFT AS</t>
  </si>
  <si>
    <t>HÅVIK LARS</t>
  </si>
  <si>
    <t>ILAGET ENERGI AS</t>
  </si>
  <si>
    <t>MAGNE NORDDAL</t>
  </si>
  <si>
    <t>INDREITSELVA MINIKRAFTVERK AS</t>
  </si>
  <si>
    <t>INGSTAD KRAFT AS</t>
  </si>
  <si>
    <t>INNVIK KRAFTVERK AS</t>
  </si>
  <si>
    <t>DEN NORSKE TURISTFORENING</t>
  </si>
  <si>
    <t>JARDØLA KRAFT AS</t>
  </si>
  <si>
    <t>JOKA KRAFT AS</t>
  </si>
  <si>
    <t>JORA KRAFTVERK AS</t>
  </si>
  <si>
    <t>JORDA KRAFT AS</t>
  </si>
  <si>
    <t>JORDALSKRAFT AS</t>
  </si>
  <si>
    <t>JORDALEN KRAFTLAG AS</t>
  </si>
  <si>
    <t>JULFOSS KRAFT AS</t>
  </si>
  <si>
    <t>SELBU ENERGIVERK AS</t>
  </si>
  <si>
    <t>JUVET KRAFT AS</t>
  </si>
  <si>
    <t>STEIN HARTVIK FLAATA</t>
  </si>
  <si>
    <t>JØLÅNA KRAFT AS</t>
  </si>
  <si>
    <t>TITANIA AS</t>
  </si>
  <si>
    <t>JÅSTADKRAFT AS</t>
  </si>
  <si>
    <t>KVAM KRAFTVERK AS</t>
  </si>
  <si>
    <t>AURORA BYGG OG ANLEGG AS</t>
  </si>
  <si>
    <t>KALDÅNA KRAFT AS</t>
  </si>
  <si>
    <t>MÅKESTAD LARS</t>
  </si>
  <si>
    <t>TORSTEIN MIKAL BRATLAND</t>
  </si>
  <si>
    <t>KAMBE KRAFT ANS</t>
  </si>
  <si>
    <t>KANDAL KRAFT AS</t>
  </si>
  <si>
    <t>KARSTAD MINIKRAFTVERK AS</t>
  </si>
  <si>
    <t>KAUPANGER ENERGI AS</t>
  </si>
  <si>
    <t>KINNALI KRAFT AS</t>
  </si>
  <si>
    <t>KITTILSVIKEN KRAFTVERK AS</t>
  </si>
  <si>
    <t>NIPO KRAFT AS</t>
  </si>
  <si>
    <t>KJELDÅGA MINIKRAFTVERK STIAN KREKLING</t>
  </si>
  <si>
    <t>KJETLAND KRAFT AS</t>
  </si>
  <si>
    <t>BANE NOR SF</t>
  </si>
  <si>
    <t>RUSTAD ENERGI AS</t>
  </si>
  <si>
    <t>JOHANNES KJØLVIK</t>
  </si>
  <si>
    <t>KJØRSTAD KRAFT AS</t>
  </si>
  <si>
    <t>KJØSNESFJORDEN KRAFTVERK AS</t>
  </si>
  <si>
    <t>MIKROKRAFT AS</t>
  </si>
  <si>
    <t>MJØLFJELL UNGDOMSHERBERGE AS</t>
  </si>
  <si>
    <t>KLEIVANE KRAFT AS</t>
  </si>
  <si>
    <t>KLEIVANE ENERGI DA</t>
  </si>
  <si>
    <t>SKIEN KRAFTPRODUKSJON AS</t>
  </si>
  <si>
    <t>KLØVKRAFT AS</t>
  </si>
  <si>
    <t>TINFOS AS</t>
  </si>
  <si>
    <t>KOPARVIKE KRAFT AS</t>
  </si>
  <si>
    <t>ODDBJØRN KROKA</t>
  </si>
  <si>
    <t>KRÅKENES KRAFT AS</t>
  </si>
  <si>
    <t>KULU KRAFTVERK AS</t>
  </si>
  <si>
    <t>KUPE KRAFTVERK AS</t>
  </si>
  <si>
    <t>REN RØROS STRØM AS</t>
  </si>
  <si>
    <t>KVALVAAG VANN OG KRAFT AS</t>
  </si>
  <si>
    <t>KVAMSELVA KRAFTVERK AS</t>
  </si>
  <si>
    <t>KVANGREELVA KRAFTVERK AS</t>
  </si>
  <si>
    <t>SAGELVA MINIKRAFTVERK AS</t>
  </si>
  <si>
    <t>ISE PRODUKSJON AS</t>
  </si>
  <si>
    <t>KVEMMA KRAFT AS</t>
  </si>
  <si>
    <t>KVENNHUSÅI KRAFTVERK AS</t>
  </si>
  <si>
    <t>KONGSBERG ENERGISELSKAP AS</t>
  </si>
  <si>
    <t>GRØNNMYRA AS</t>
  </si>
  <si>
    <t>MYKLAND OLE ALBERT</t>
  </si>
  <si>
    <t>KVERNHUSFOSS KRAFTVERK AS</t>
  </si>
  <si>
    <t>KVERNINGA KRAFTVERK AS</t>
  </si>
  <si>
    <t>KVERNSTAD KRAFT AS</t>
  </si>
  <si>
    <t>MK HELGELAND AS</t>
  </si>
  <si>
    <t>KVITEFELLA KRAFT AS</t>
  </si>
  <si>
    <t>PELTON AS</t>
  </si>
  <si>
    <t>MIDT-TELEMARK ENERGI AS</t>
  </si>
  <si>
    <t>KVITNO KRAFT AS</t>
  </si>
  <si>
    <t>KVITVELLA ELECTRISITETSVERK AS</t>
  </si>
  <si>
    <t>KVIVEN KRAFT AS</t>
  </si>
  <si>
    <t>KYLLAND KRAFT AS</t>
  </si>
  <si>
    <t>KYRKJEVOLLGROVA SMÅSTØYT DA</t>
  </si>
  <si>
    <t>KYSINGA KRAFT AS</t>
  </si>
  <si>
    <t>SISO ENERGI AS</t>
  </si>
  <si>
    <t>LANDAKRAFT AS</t>
  </si>
  <si>
    <t>LANGEDAL KRAFT AS</t>
  </si>
  <si>
    <t>TRYGGESTAD KRAFT AS</t>
  </si>
  <si>
    <t>LANGEDALSELVA KRAFT AS</t>
  </si>
  <si>
    <t>O A DEVOLDS SØNNER AS</t>
  </si>
  <si>
    <t>STORFORSHEI NATURKRAFT AS</t>
  </si>
  <si>
    <t>LAUGALAND KRAFT AS</t>
  </si>
  <si>
    <t>LAUKI OG MELEI KRAFTLAG SA</t>
  </si>
  <si>
    <t>LAUVLIELVA KRAFT AS</t>
  </si>
  <si>
    <t>ORKLAND ENERGI PRODUKSJON AS</t>
  </si>
  <si>
    <t>ALBERT COLLETT</t>
  </si>
  <si>
    <t>NITO AS</t>
  </si>
  <si>
    <t>LINDÅNA KRAFT AS</t>
  </si>
  <si>
    <t>LITJ-HENA KRAFTVERK AS</t>
  </si>
  <si>
    <t>ULVIG KIÆR AS</t>
  </si>
  <si>
    <t>MYGLAND KRAFT AS</t>
  </si>
  <si>
    <t>LJOTÅ KRAFTVERK AS</t>
  </si>
  <si>
    <t>ANDREAS LOMSDAL</t>
  </si>
  <si>
    <t>SJUR LOTHE</t>
  </si>
  <si>
    <t>LOTSBERG KRAFT AS</t>
  </si>
  <si>
    <t>ANDØY ENERGI AS</t>
  </si>
  <si>
    <t>LUNDSFOSS KRAFTSTASJON AS</t>
  </si>
  <si>
    <t>LUOSTEJOK KRAFTLAG SA</t>
  </si>
  <si>
    <t>MELØY ENERGI AS</t>
  </si>
  <si>
    <t>PER SJØLIE</t>
  </si>
  <si>
    <t>MADALEN MIKROKRAFTVERK AS</t>
  </si>
  <si>
    <t>MADLAND KRAFT AS</t>
  </si>
  <si>
    <t>MALMO ELEKTRISITETSVERK AS</t>
  </si>
  <si>
    <t>GUNNAR OSLAND</t>
  </si>
  <si>
    <t>NORDMARK TORBJØRN TØMMERMANN</t>
  </si>
  <si>
    <t>FOSSEKALLEN KRAFT AS</t>
  </si>
  <si>
    <t>MEDÅE KRAFT AS</t>
  </si>
  <si>
    <t>MEIERIFOSSEN KRAFTVERK AS</t>
  </si>
  <si>
    <t>NESSET KRAFT AS</t>
  </si>
  <si>
    <t>OLA RONNY MELHEIM</t>
  </si>
  <si>
    <t>ÅSMUND GUTTORMSEN</t>
  </si>
  <si>
    <t>MEMURUBU TURISTHYTTE AS</t>
  </si>
  <si>
    <t>MIDTUNKRAFT AS</t>
  </si>
  <si>
    <t>OLSETH MAGNE</t>
  </si>
  <si>
    <t>MISFJORD KRAFT AS</t>
  </si>
  <si>
    <t>BREKKE GÅRD Line Berget Hedegart</t>
  </si>
  <si>
    <t>OLE-KRISTIAN MOBÆK</t>
  </si>
  <si>
    <t>MOI ELVERK AS</t>
  </si>
  <si>
    <t>GUDBRANDSDAL ENERGI PRODUKSJON AS</t>
  </si>
  <si>
    <t>MOMRAK KRAFTLAG AS</t>
  </si>
  <si>
    <t>SVEIN GILJE</t>
  </si>
  <si>
    <t>MOSBAKKA KRAFT AS</t>
  </si>
  <si>
    <t>MOSSEFOSSEN ANS</t>
  </si>
  <si>
    <t>MULVIK KRAFT AS</t>
  </si>
  <si>
    <t>MUOIDEJOHKA KRAFT AS</t>
  </si>
  <si>
    <t>MYDLAND KRAFTVERK AS</t>
  </si>
  <si>
    <t>MYKLEBOST KRAFT AS</t>
  </si>
  <si>
    <t>MYKLEBUST KRAFT AS</t>
  </si>
  <si>
    <t>ARILD VAAGE</t>
  </si>
  <si>
    <t>NORDVEST ENERGI AS</t>
  </si>
  <si>
    <t>SANDVIK ENERGI AS</t>
  </si>
  <si>
    <t>MÅGE NATURKRAFT AS</t>
  </si>
  <si>
    <t>NORDKYN KRAFTLAG SA</t>
  </si>
  <si>
    <t>NAPE KRAFT AS</t>
  </si>
  <si>
    <t>NASVATN KRAFTVERK AS</t>
  </si>
  <si>
    <t>NAURAK KRAFTVERK AS</t>
  </si>
  <si>
    <t>NESET KRAFT AS</t>
  </si>
  <si>
    <t>PORSA KRAFTLAG AS</t>
  </si>
  <si>
    <t>NEDRE URDALEN MINIKRAFTVERK AS</t>
  </si>
  <si>
    <t>NEDREBØ KRAFTVERK AS</t>
  </si>
  <si>
    <t>YTRE KANDAL KRAFT AS</t>
  </si>
  <si>
    <t>NESELVA KRAFTVERK AS</t>
  </si>
  <si>
    <t>NIVLA KRAFT AS</t>
  </si>
  <si>
    <t>NORDBØÅNA KRAFT AS</t>
  </si>
  <si>
    <t>OPTIK SPESIALBUTIKKEN I NORD Roald Skogvik</t>
  </si>
  <si>
    <t>EGIL HERMANN JOHANSEN</t>
  </si>
  <si>
    <t>N MANGEN GÅRD Bjørn Toverud</t>
  </si>
  <si>
    <t>NORDVIK KRAFT AS</t>
  </si>
  <si>
    <t>NORDÅNA KRAFT AS</t>
  </si>
  <si>
    <t>EINAR SOFIENLUND</t>
  </si>
  <si>
    <t>NYDAL KRAFT AS</t>
  </si>
  <si>
    <t>DRANGEDAL EVERK KF</t>
  </si>
  <si>
    <t>ENERVA AS</t>
  </si>
  <si>
    <t>NØRSTETEIG KRAFTVERK AS</t>
  </si>
  <si>
    <t>NØRSTÅE KRAFT AS</t>
  </si>
  <si>
    <t>MELEFALLET AS</t>
  </si>
  <si>
    <t>ODBERG KRAFTLAG SA</t>
  </si>
  <si>
    <t>OKSARELVA KRAFT AS</t>
  </si>
  <si>
    <t>OKSEKRAFT AS</t>
  </si>
  <si>
    <t>SOLBERG GÅRD OLE KRISTIAN SYLLING</t>
  </si>
  <si>
    <t>OMA KRAFT AS</t>
  </si>
  <si>
    <t>OSLAND KRAFT AS</t>
  </si>
  <si>
    <t>SOLBU TERJE</t>
  </si>
  <si>
    <t>KARLSEN EIVIND</t>
  </si>
  <si>
    <t>PORKEGJEL KRAFT AS</t>
  </si>
  <si>
    <t>WATTS UP ? AS</t>
  </si>
  <si>
    <t>RAFDAL ENERGI AS</t>
  </si>
  <si>
    <t>RAMFOSS KRAFTLAG</t>
  </si>
  <si>
    <t>SYKKYLVEN ENERGI AS</t>
  </si>
  <si>
    <t>GLOMMENS OG LAAGENS BRUKSEIERFORENING</t>
  </si>
  <si>
    <t>MIP MILJØKRAFT AS</t>
  </si>
  <si>
    <t>NOREM OLAV</t>
  </si>
  <si>
    <t>REINLI KRAFT AS</t>
  </si>
  <si>
    <t>REINSTAUL KRAFT AS</t>
  </si>
  <si>
    <t>REISÆTER KRAFTVERK AS</t>
  </si>
  <si>
    <t>REKÅA KRAFTVERK AS</t>
  </si>
  <si>
    <t>REN ENERGI RAMSLAND AS</t>
  </si>
  <si>
    <t>RENDALSELVA KRAFTVERK AS</t>
  </si>
  <si>
    <t>RØDØY-LURØY KRAFTVERK AS</t>
  </si>
  <si>
    <t>REPVÅG KRAFTLAG SA</t>
  </si>
  <si>
    <t>RIDØLA KRAFT AS</t>
  </si>
  <si>
    <t>RIME KRAFT AS</t>
  </si>
  <si>
    <t>RINGDAL KRAFTVERK AS</t>
  </si>
  <si>
    <t>KRISTIAN RINGHEIM</t>
  </si>
  <si>
    <t>RIVEDAL KRAFTVERK AS</t>
  </si>
  <si>
    <t>RODAL KRAFT AS</t>
  </si>
  <si>
    <t>RONGKLEIV KRAFT AS</t>
  </si>
  <si>
    <t>ROSENDAL ELEKTRISITETSVERK AS</t>
  </si>
  <si>
    <t>ROTNES BRUK AS</t>
  </si>
  <si>
    <t>RUI KRAFTVERK AS</t>
  </si>
  <si>
    <t>RUSDALSÅNI KRAFT AS</t>
  </si>
  <si>
    <t>INGE ASKELAND</t>
  </si>
  <si>
    <t>RYDDØLA KRAFTVERK AS</t>
  </si>
  <si>
    <t>RYSSDAL KRAFT AS</t>
  </si>
  <si>
    <t>RYÅNDA KRAFTVERK AS</t>
  </si>
  <si>
    <t>JOSTEIN RØNNESTAD</t>
  </si>
  <si>
    <t>ARNE RØRHEIM</t>
  </si>
  <si>
    <t>HAUGSLAND JOHAN</t>
  </si>
  <si>
    <t>SØRKRAFT AS</t>
  </si>
  <si>
    <t>ISE PRODUKSJON RØYRVATN AS</t>
  </si>
  <si>
    <t>RÅSSÅFOSS KRAFT AS</t>
  </si>
  <si>
    <t>LUSTER ENERGIVERK AS</t>
  </si>
  <si>
    <t>PER STUEFLOTTEN</t>
  </si>
  <si>
    <t>SAGELVA ENERGI AS</t>
  </si>
  <si>
    <t>SAGELVA KRAFTVERK AS</t>
  </si>
  <si>
    <t>SAGEVIKELV KRAFT AS</t>
  </si>
  <si>
    <t>LØVENSKIOLD-VÆKERØ Carl Otto Løvenskiold</t>
  </si>
  <si>
    <t>SAJÅ KRAFT AS</t>
  </si>
  <si>
    <t>SAKSENVIK KRAFT AS</t>
  </si>
  <si>
    <t>SALTÅNO KRAFT AS</t>
  </si>
  <si>
    <t>SANDAL &amp; FOSSHEIM KRAFT AS</t>
  </si>
  <si>
    <t>SANDDAL KRAFT AS</t>
  </si>
  <si>
    <t>SANDVIK KRAFTVERK AS</t>
  </si>
  <si>
    <t>SEIMSDAL KRAFT AS</t>
  </si>
  <si>
    <t>SEKKELVA KRAFTVERK AS</t>
  </si>
  <si>
    <t>SVEINUNG MEDÅS SELLAND</t>
  </si>
  <si>
    <t>SELSELVA KRAFT AS</t>
  </si>
  <si>
    <t>SESSKRAFT AS</t>
  </si>
  <si>
    <t>SETERKRAFT AS</t>
  </si>
  <si>
    <t>SETERÅA KRAFT AS</t>
  </si>
  <si>
    <t>SETREDALEN KRAFT AS</t>
  </si>
  <si>
    <t>SEVRE KRAFTVERK AS</t>
  </si>
  <si>
    <t>SIGDESTAD KRAFTVERK AS</t>
  </si>
  <si>
    <t>NORDLAKS SMOLT AS</t>
  </si>
  <si>
    <t>TROMSØ KOMMUNE</t>
  </si>
  <si>
    <t>SIREÅNE KRAFT DA</t>
  </si>
  <si>
    <t>AS SJØLINGSTAD ULDVAREFABRIK</t>
  </si>
  <si>
    <t>SJØLSETKRAFT AS</t>
  </si>
  <si>
    <t>KVIKNE-RENNEBU KRAFTLAG AS</t>
  </si>
  <si>
    <t>SKINVIK KRAFTVERK AS</t>
  </si>
  <si>
    <t>SKIPELVA KRAFTVERK AS</t>
  </si>
  <si>
    <t>ØSTERDALEN KRAFTPRODUKSJON AS</t>
  </si>
  <si>
    <t>SKJELFOSS ENERGI AS</t>
  </si>
  <si>
    <t>SKJERDAL KRAFT AS</t>
  </si>
  <si>
    <t>SKJÅSTAD KRAFTVERK AS</t>
  </si>
  <si>
    <t>SKOGELVA KRAFTVERK AS</t>
  </si>
  <si>
    <t>ØYSTRE SLIDRE KOMMUNE</t>
  </si>
  <si>
    <t>SKOLTEN KRAFT AS</t>
  </si>
  <si>
    <t>HALDEN KRAFTPRODUKSJON AS</t>
  </si>
  <si>
    <t>SKORGA KRAFTVERK AS</t>
  </si>
  <si>
    <t>SKOROVASKRAFT AS</t>
  </si>
  <si>
    <t>ØVRE EIKER ENERGI AS</t>
  </si>
  <si>
    <t>SKRIPELANDSFOSSEN KRAFT AS</t>
  </si>
  <si>
    <t>SKYGGEELVA KRAFT AS</t>
  </si>
  <si>
    <t>SKÅLHEIM KRAFTVERK AS</t>
  </si>
  <si>
    <t>NÆRHEIM KJELL OVE</t>
  </si>
  <si>
    <t>SLEMMÅ KRAFT AS</t>
  </si>
  <si>
    <t>SLEVEÅNE KRAFT AS</t>
  </si>
  <si>
    <t>SMØRKLEPP KRAFTVERK AS</t>
  </si>
  <si>
    <t>SMÅDØLA KRAFT AS</t>
  </si>
  <si>
    <t>SNEFJELLÅKRAFT AS</t>
  </si>
  <si>
    <t>SOKS KRAFTVERK AS</t>
  </si>
  <si>
    <t>BÆRUM KOMMUNALE EIENDOMSSELSKAP AS</t>
  </si>
  <si>
    <t>SPILLING KRAFT AS</t>
  </si>
  <si>
    <t>STEDJEÅNA KRAFTVERK AS</t>
  </si>
  <si>
    <t>TINN ENERGI AS</t>
  </si>
  <si>
    <t>Bjørn Egil Hansen</t>
  </si>
  <si>
    <t>STEINDAL KRAFTVERK AS</t>
  </si>
  <si>
    <t>STEINDØLA KRAFT AS</t>
  </si>
  <si>
    <t>STEINE KRAFT AS</t>
  </si>
  <si>
    <t>STEINSVIK KRAFT AS</t>
  </si>
  <si>
    <t>AS EGELANDS VERK</t>
  </si>
  <si>
    <t>STOREBEKK KRAFTVERK AS</t>
  </si>
  <si>
    <t>STOREDALEN KRAFTVERK AS</t>
  </si>
  <si>
    <t>STORELVA KRAFTVERK AS</t>
  </si>
  <si>
    <t>STORELVI KRAFTVERK AS</t>
  </si>
  <si>
    <t>STORRØVATNET KRAFTVERK AS</t>
  </si>
  <si>
    <t>SMISTO KRAFT AS</t>
  </si>
  <si>
    <t>JONN RINDEN</t>
  </si>
  <si>
    <t>STRANDOS KRAFT AS</t>
  </si>
  <si>
    <t>STRAUME KRAFTVERK AS</t>
  </si>
  <si>
    <t>JON LINDESTAD BAKKEN</t>
  </si>
  <si>
    <t>STRUPEN ENERGI AS</t>
  </si>
  <si>
    <t>STRUPEN KRAFT AS</t>
  </si>
  <si>
    <t>NORDSIDEN KRAFT AS</t>
  </si>
  <si>
    <t>STRÅPA KRAFT AS</t>
  </si>
  <si>
    <t>STUTTGONGFOSSEN KRAFTVERK AS</t>
  </si>
  <si>
    <t>OKKEN KRAFT AS</t>
  </si>
  <si>
    <t>STØLSDALSELVA KRAFTVERK AS</t>
  </si>
  <si>
    <t>STØLSKRAFT AS</t>
  </si>
  <si>
    <t>STØLSLIA KRAFT AS</t>
  </si>
  <si>
    <t>SUNDAL KRAFTVERK AS</t>
  </si>
  <si>
    <t>SUNDLIKRAFT AS</t>
  </si>
  <si>
    <t>MO INDUSTRIPARK AS</t>
  </si>
  <si>
    <t>DESCONDA AS</t>
  </si>
  <si>
    <t>SVARDØLA KRAFT AS</t>
  </si>
  <si>
    <t>SVARTDALEN KRAFT AS</t>
  </si>
  <si>
    <t>UNIKRAFT AS</t>
  </si>
  <si>
    <t>SVATSUM ELEKTRISITETSVERK AS</t>
  </si>
  <si>
    <t>SYA KRAFT AS</t>
  </si>
  <si>
    <t>SYRIKRAFT AS</t>
  </si>
  <si>
    <t>SYVERSÆTRE FOSS KRAFTVERK AS</t>
  </si>
  <si>
    <t>KASTNES KNUT</t>
  </si>
  <si>
    <t>SÆVAREID KRAFT AS</t>
  </si>
  <si>
    <t>SØKKUNDA KRAFTVERK AS</t>
  </si>
  <si>
    <t>SØRDALEN KRAFT AS</t>
  </si>
  <si>
    <t>SØRÅNI KRAFT AS</t>
  </si>
  <si>
    <t>TAPSTAD KRAFTVERK Jantti</t>
  </si>
  <si>
    <t>TEITAFOSSEN KRAFT AS</t>
  </si>
  <si>
    <t>FOSENKRAFT ENERGI AS</t>
  </si>
  <si>
    <t>TESGJOLO KRAFT AS</t>
  </si>
  <si>
    <t>TESRA KRAFT SA</t>
  </si>
  <si>
    <t>KNUT U, THUE</t>
  </si>
  <si>
    <t>TINNKRAFT AS</t>
  </si>
  <si>
    <t>EIDSVOLL KOMMUNE</t>
  </si>
  <si>
    <t>KNUT ESPENES</t>
  </si>
  <si>
    <t>TJØSTHEIM KRAFT AS</t>
  </si>
  <si>
    <t>TODØLA KRAFTVERK AS</t>
  </si>
  <si>
    <t>SØRHEIM KRISTIN MARIE</t>
  </si>
  <si>
    <t>NORDIC POWER TORSNES AS</t>
  </si>
  <si>
    <t>HADELAND KRAFTPRODUKSJON AS</t>
  </si>
  <si>
    <t>TRAUDALEN KRAFTVERK AS</t>
  </si>
  <si>
    <t>LANDE EIENDOM INVEST AS</t>
  </si>
  <si>
    <t>VALAKER KRAFT AS</t>
  </si>
  <si>
    <t>TROLLKRAFT AS</t>
  </si>
  <si>
    <t>VEST-TELEMARK KRAFTLAG AS</t>
  </si>
  <si>
    <t>TRÆLANDSFOS AS</t>
  </si>
  <si>
    <t>TUDDAL KRAFT AS</t>
  </si>
  <si>
    <t>KÅRE DAGFINN NATLAND SOLTVEIT</t>
  </si>
  <si>
    <t>TVEITELVA KRAFTVERK AS</t>
  </si>
  <si>
    <t>EIVIND TVEDT</t>
  </si>
  <si>
    <t>TVEITEN KRAFT AS</t>
  </si>
  <si>
    <t>TVEITEÅNO KRAFTVERK AS</t>
  </si>
  <si>
    <t>TVERRELVA KRAFTVERK AS</t>
  </si>
  <si>
    <t>TVERRÅA KRAFT AS</t>
  </si>
  <si>
    <t>ULLESTAD KRAFT AS</t>
  </si>
  <si>
    <t>TVERÅKRAFT AS</t>
  </si>
  <si>
    <t>TYNNA KRAFTVERK SA</t>
  </si>
  <si>
    <t>TYSSELAND KRAFTLAG AS</t>
  </si>
  <si>
    <t>TØRRBEKKEN PRODUCTION ØYVIND BRATTLAND</t>
  </si>
  <si>
    <t>UFYSJA KRAFTVERK AS</t>
  </si>
  <si>
    <t>UGEDAL ENERGI AS</t>
  </si>
  <si>
    <t>ULEFOSS KRAFTVERK DA</t>
  </si>
  <si>
    <t>UNHJEMKRAFT AS</t>
  </si>
  <si>
    <t>FRIKULT AS</t>
  </si>
  <si>
    <t>USMA KRAFT AS</t>
  </si>
  <si>
    <t>USTEKVEIKJA KRAFTVERK DA</t>
  </si>
  <si>
    <t>UTIGARDSELVA DA</t>
  </si>
  <si>
    <t>JAN ASBJØRN UTNE</t>
  </si>
  <si>
    <t>VAAGE KRAFT AS</t>
  </si>
  <si>
    <t>VADAKRAFT DA</t>
  </si>
  <si>
    <t>VAKA KRAFTVERK AS</t>
  </si>
  <si>
    <t>CK KRAFTHOLDING MIDT-NORGE AS</t>
  </si>
  <si>
    <t>VALEN KRAFTVERK AS</t>
  </si>
  <si>
    <t>VALGERMO/GISKEMO KRAFT AS</t>
  </si>
  <si>
    <t>VALLESTADFOSSEN KRAFTVERK AS</t>
  </si>
  <si>
    <t>VANGJOLO KRAFT AS</t>
  </si>
  <si>
    <t>VANVIK KRAFTLAG</t>
  </si>
  <si>
    <t>VASSDALSKRAFT AS</t>
  </si>
  <si>
    <t>RISDAL ENERGI AS</t>
  </si>
  <si>
    <t>VASSTAKET KRAFTVERK AS</t>
  </si>
  <si>
    <t>SVELGEN KRAFT HOLDING AS</t>
  </si>
  <si>
    <t>VEITEBERG KRAFTVERK AS</t>
  </si>
  <si>
    <t>VEIÅNI MINIKRAFTVERK AS</t>
  </si>
  <si>
    <t>VEKA KRAFT AS</t>
  </si>
  <si>
    <t>VENGÅKRAFT AS</t>
  </si>
  <si>
    <t>VENNA KRAFT AS</t>
  </si>
  <si>
    <t>VERJA KRAFT SA</t>
  </si>
  <si>
    <t>VESLEFALLET KRAFTVERK AS</t>
  </si>
  <si>
    <t>VESLEÅNI KRAFT AS</t>
  </si>
  <si>
    <t>HYDRO VIGELANDSFOSS AS</t>
  </si>
  <si>
    <t>VIGGA KRAFT DA</t>
  </si>
  <si>
    <t>VIK KRAFT AS</t>
  </si>
  <si>
    <t>ØYVIND STORM</t>
  </si>
  <si>
    <t>VIKA KRAFT AS</t>
  </si>
  <si>
    <t>VIKAELVA KRAFTVERK AS</t>
  </si>
  <si>
    <t>VIKAÅNE KRAFTVERK AS</t>
  </si>
  <si>
    <t>VIKDALSKRAFT AS</t>
  </si>
  <si>
    <t>VIKEN KRAFT AS</t>
  </si>
  <si>
    <t>VIKESÅ KRAFTVERK AS</t>
  </si>
  <si>
    <t>VINDEDAL KRAFTVERK AS</t>
  </si>
  <si>
    <t>OPPHEIM KRAFT AS</t>
  </si>
  <si>
    <t>VIRAK KRAFT AS</t>
  </si>
  <si>
    <t>VOLDSETELVA KRAFTVERK AS</t>
  </si>
  <si>
    <t>VOLLAKRAFT AS</t>
  </si>
  <si>
    <t>VOLLAKVERNFALLET AS</t>
  </si>
  <si>
    <t>VOSSEDALSELVI KRAFT AS</t>
  </si>
  <si>
    <t>JOHAN VUTTUDAL</t>
  </si>
  <si>
    <t>VÆLA KRAFT AS</t>
  </si>
  <si>
    <t>VÅGEN KRAFT AS</t>
  </si>
  <si>
    <t>VÅGEN MINIKRAFT AS</t>
  </si>
  <si>
    <t>YTRE MATRE ENERGI AS</t>
  </si>
  <si>
    <t>YTTERÅA KRAFTVERK AS</t>
  </si>
  <si>
    <t>ØKSLANDSELV KRAFTVERK AS</t>
  </si>
  <si>
    <t>ØKSTRA KRAFT AS</t>
  </si>
  <si>
    <t>ØLMEDAL KRAFT AS</t>
  </si>
  <si>
    <t>ØLSELVA KRAFTVERK AS</t>
  </si>
  <si>
    <t>ØRTEREN KRAFTVERK HOL KF</t>
  </si>
  <si>
    <t>ASBJØRN VANVIK</t>
  </si>
  <si>
    <t>ØSTLI MINIKRAFT AS</t>
  </si>
  <si>
    <t>ØVERDAL KRAFTVERK AS</t>
  </si>
  <si>
    <t>ØVSTEDAL KRAFT AS</t>
  </si>
  <si>
    <t>ØYADALEN KRAFTVERK AS</t>
  </si>
  <si>
    <t>ØYNAN KRAFTVERK AS</t>
  </si>
  <si>
    <t>ÅGJØLET KRAFTVERK AS</t>
  </si>
  <si>
    <t>ÅGSKARKRAFT AS</t>
  </si>
  <si>
    <t>ÅKRAELVA KRAFTVERK AS</t>
  </si>
  <si>
    <t>ÅL KRAFTVERK KF</t>
  </si>
  <si>
    <t>GJESDAL KOMMUNE</t>
  </si>
  <si>
    <t>ÅLMO ENERGI AS</t>
  </si>
  <si>
    <t>ÅRDAL KRAFT AS</t>
  </si>
  <si>
    <t>HESTAD KARSTEN</t>
  </si>
  <si>
    <t>SOGNEKRAFT AS</t>
  </si>
  <si>
    <t>ÅSEDØLA KRAFT AS</t>
  </si>
  <si>
    <t>ÅSELVA KRAFT AS</t>
  </si>
  <si>
    <t>Soške elektrarne Nova Gorica (SENG)</t>
  </si>
  <si>
    <t>Hidroelektrarne na Spodnji Savi (HESS)</t>
  </si>
  <si>
    <t>Termoelektrarna Brestanica (TEB)</t>
  </si>
  <si>
    <t>Dravske elektrarne Maribor (DEM)</t>
  </si>
  <si>
    <t>Nuklearna Elektrarna Krško  (NEK)</t>
  </si>
  <si>
    <t>ENERGETIKA LJUBLJANA</t>
  </si>
  <si>
    <t>Savske elektrarne Ljubljana (SEL)</t>
  </si>
  <si>
    <t>Termoelektrarna Šoštanj (TEŠ )</t>
  </si>
  <si>
    <t>VERBUND Thermal Power GmbH &amp; Co KG</t>
  </si>
  <si>
    <t>EVN AG</t>
  </si>
  <si>
    <t>Wien Energie GmbH</t>
  </si>
  <si>
    <t>Energie AG OberÃ¶sterreich Kraftwerke GmbH</t>
  </si>
  <si>
    <t>LINZ AG</t>
  </si>
  <si>
    <t>Salzburg AG</t>
  </si>
  <si>
    <t>eww ag</t>
  </si>
  <si>
    <t>HOFOR</t>
  </si>
  <si>
    <t>Orsted</t>
  </si>
  <si>
    <t>Vattenfall</t>
  </si>
  <si>
    <t>Vordingborg Forsyning</t>
  </si>
  <si>
    <t>Aalborg Kommune</t>
  </si>
  <si>
    <t>Sappi Alfeld GmbH</t>
  </si>
  <si>
    <t>Heizkraftwerk Altenstadt GmbH &amp; Co. KG</t>
  </si>
  <si>
    <t>Zellstoff Stendal GmbH</t>
  </si>
  <si>
    <t>Pfleiderer Baruth GmbH</t>
  </si>
  <si>
    <t>Sonae Arauco Beeskow GmbH</t>
  </si>
  <si>
    <t>Innogy SE</t>
  </si>
  <si>
    <t>innogy SE</t>
  </si>
  <si>
    <t>ENERTRAG Aktiengesellschaft</t>
  </si>
  <si>
    <t>Stadtwerke Leipzig GmbH</t>
  </si>
  <si>
    <t>Egger Holzwerkstoffe Brilon GmbH &amp; Co. KG</t>
  </si>
  <si>
    <t>Sappi Ehingen GmbH</t>
  </si>
  <si>
    <t>Statkraft Markets GmbH</t>
  </si>
  <si>
    <t>MVV Energie AG</t>
  </si>
  <si>
    <t>Mainova AG</t>
  </si>
  <si>
    <t>Pfleiderer Gütersloh GmbH</t>
  </si>
  <si>
    <t>Mark-E AG</t>
  </si>
  <si>
    <t>Müllverwertung Borsigstraße GmbH</t>
  </si>
  <si>
    <t>Enertec Hameln GmbH</t>
  </si>
  <si>
    <t>Stora Enso Maxau GmbH</t>
  </si>
  <si>
    <t>BinderHolz Deutschland GmbH</t>
  </si>
  <si>
    <t>STEAG New Energies GmbH</t>
  </si>
  <si>
    <t>envia THERM GmbH</t>
  </si>
  <si>
    <t>Essity Operations Mannheim GmbH</t>
  </si>
  <si>
    <t>Pfleiderer Neumarkt GmbH</t>
  </si>
  <si>
    <t>B+S Papenburg Energie GmbH</t>
  </si>
  <si>
    <t>Heizkraftwerk Pforzheim GmbH</t>
  </si>
  <si>
    <t>Ökotech Ingenieurgesellschaft mbh</t>
  </si>
  <si>
    <t>Sappi Stockstadt GmbH</t>
  </si>
  <si>
    <t>InfraServ GmbH &amp; Co. Wiesbaden KG</t>
  </si>
  <si>
    <t>ENGIE Deutschland AG</t>
  </si>
  <si>
    <t>LEIPA Georg Leinfelder GmbH</t>
  </si>
  <si>
    <t>Papier- u. Kartonfabrik Varel GmbH &amp; Co. KG</t>
  </si>
  <si>
    <t>DS Smith Paper Deutschland GmbH</t>
  </si>
  <si>
    <t>SWISS KRONO GmbH</t>
  </si>
  <si>
    <t>Fernwärme Ulm GmbH</t>
  </si>
  <si>
    <t>Biomasse-Heizkraftwerk-Herbrechtingen GmbH</t>
  </si>
  <si>
    <t>Geno Bioenergie Leasingfonds Erste GmbH &amp; Co. KG</t>
  </si>
  <si>
    <t>Papierfabrik Albbruck GmbH</t>
  </si>
  <si>
    <t>EnBW Energie Baden-Württemberg AG</t>
  </si>
  <si>
    <t>STEAG GmbH</t>
  </si>
  <si>
    <t>Vattenfall Wärme Berlin AG</t>
  </si>
  <si>
    <t>Braunschweiger Versorgungs-AG &amp; Co. KG</t>
  </si>
  <si>
    <t>swb Erzeugung AG &amp; Co. KG</t>
  </si>
  <si>
    <t>swb Erzeugung GmbH &amp; Co. KG</t>
  </si>
  <si>
    <t xml:space="preserve">Uniper Kraftwerke GmbH </t>
  </si>
  <si>
    <t>Stadtwerke Duisburg AG</t>
  </si>
  <si>
    <t>Steag GmbH</t>
  </si>
  <si>
    <t>STEAG-EVN Walsum 10 Kraftwerksgesellsellschaft mbH</t>
  </si>
  <si>
    <t>Gemeinschaft nach Bruchteilen der Saarstahl AG (SAG) und Saarschmiede GmbH Freiformschmiede (SSF)</t>
  </si>
  <si>
    <t>VSE AG, Kraftwerk Ensdorf</t>
  </si>
  <si>
    <t>Erlanger Stadtwerke AG</t>
  </si>
  <si>
    <t>Stadtwerke Flensburg GmbH</t>
  </si>
  <si>
    <t>Wärme Hamburg GmbH</t>
  </si>
  <si>
    <t>RWE Generation SE</t>
  </si>
  <si>
    <t>enercity AG</t>
  </si>
  <si>
    <t>Kraftwerk Mehrum GmbH</t>
  </si>
  <si>
    <t>Infraserv GmbH &amp; Co. Höchst KG</t>
  </si>
  <si>
    <t>SWK Stadtwerke Kaiserslautern, Versorgungs-AG</t>
  </si>
  <si>
    <t>Gemeinschaftskraftwerk Kiel GmbH</t>
  </si>
  <si>
    <t>Currenta GmbH &amp; Co. OHG</t>
  </si>
  <si>
    <t>Grosskraftwerk Mannheim AG</t>
  </si>
  <si>
    <t>Evonik Degussa GmbH</t>
  </si>
  <si>
    <t>Energieversorgung Offenbach AG</t>
  </si>
  <si>
    <t>Gemeinschaftskraftwerk Veltheim GmbH</t>
  </si>
  <si>
    <t>Energie SaarLorLux AG</t>
  </si>
  <si>
    <t>SWM Services GmbH</t>
  </si>
  <si>
    <t>Volkswagen AG</t>
  </si>
  <si>
    <t>WSW Energie &amp; Wasser AG</t>
  </si>
  <si>
    <t>R.D.M. Arnsberg GmbH</t>
  </si>
  <si>
    <t>Nordzucker AG</t>
  </si>
  <si>
    <t>Trianel Kohlekraftwerk Lünen GmbH &amp; Co. KG</t>
  </si>
  <si>
    <t>Vattenfall Heizkraftwerk Moorburg GmbH</t>
  </si>
  <si>
    <t>Rheinkraftwerk Albbruck-Dogern AG</t>
  </si>
  <si>
    <t>TIWAG-Tiroler Wasserkraft AG</t>
  </si>
  <si>
    <t>Innwerk AG</t>
  </si>
  <si>
    <t>Schluchseewerk Aktiengesellschaft</t>
  </si>
  <si>
    <t>Donau-Wasserkraft AG</t>
  </si>
  <si>
    <t>Alzwerke GmbH</t>
  </si>
  <si>
    <t>VERBUND-Innkraftwerke GmbH</t>
  </si>
  <si>
    <t>Vattenfall Wasserkraft GmbH</t>
  </si>
  <si>
    <t>Energiedienst AG</t>
  </si>
  <si>
    <t>RWE Power AG</t>
  </si>
  <si>
    <t>Rheinkraftwerk Iffezheim GmbH</t>
  </si>
  <si>
    <t>Energiedienst Holding AG</t>
  </si>
  <si>
    <t>Rhein-Main-Donau GmbH</t>
  </si>
  <si>
    <t>Stadtwerke München GmbH</t>
  </si>
  <si>
    <t>Société Electrique de l'Our S.A.</t>
  </si>
  <si>
    <t>Weserkraftwerk Bremen GmbH &amp; Co. KG</t>
  </si>
  <si>
    <t>Bigge Energie GmbH &amp; Co. KG</t>
  </si>
  <si>
    <t>Kernkraftwerk Obrigheim GmbH</t>
  </si>
  <si>
    <t>Bayerische Elektrizitätswerke GmbH</t>
  </si>
  <si>
    <t>Obere Donau Kraftwerke AG</t>
  </si>
  <si>
    <t>UPM GmbH</t>
  </si>
  <si>
    <t>Alzkraftwerke Heider GmbH</t>
  </si>
  <si>
    <t>Lausitz Energie Kraftwerke AG</t>
  </si>
  <si>
    <t>eins - energie in sachsen GmbH &amp; Co. KG</t>
  </si>
  <si>
    <t>Stadtwerke Cottbus mbH</t>
  </si>
  <si>
    <t>Mitteldeutsche Braunkohlengesellschaft mbH</t>
  </si>
  <si>
    <t>Helmstedter Revier GmbH</t>
  </si>
  <si>
    <t>Städtische Werke Energie + Wärme GmbH</t>
  </si>
  <si>
    <t>RheinEnergie AG</t>
  </si>
  <si>
    <t>Smurfit Kappa Zülpich Papier GmbH</t>
  </si>
  <si>
    <t>Pfeifer &amp; Langen GmbH &amp; Co. KG</t>
  </si>
  <si>
    <t>Martinswerk GmbH</t>
  </si>
  <si>
    <t>Südzucker AG, Werk Zeitz</t>
  </si>
  <si>
    <t>Venator Germany GmbH</t>
  </si>
  <si>
    <t>ROMONTA GmbH</t>
  </si>
  <si>
    <t>Papierfabrik Schoellershammer H. A. Schoeller Söhne GmbH &amp; Co KG</t>
  </si>
  <si>
    <t>Suiker Unie GmbH &amp; Co. KG</t>
  </si>
  <si>
    <t>Stadtwerke Augsburg Energie GmbH</t>
  </si>
  <si>
    <t>Cargill Deutschland GmbH</t>
  </si>
  <si>
    <t>Vattenfall Europe Wärme AG</t>
  </si>
  <si>
    <t>Solvay Chemicals GmbH</t>
  </si>
  <si>
    <t>Stadtwerke Bielefeld GmbH</t>
  </si>
  <si>
    <t>Stadtwerke Bochum Holding GmbH</t>
  </si>
  <si>
    <t>Energie- und Wasserversorgung Bonn/Rhein-Sieg GmbH</t>
  </si>
  <si>
    <t>StWB Stadtwerke Brandenburg an der Havel GmbH &amp; Co. KG</t>
  </si>
  <si>
    <t>Wacker Chemie AG</t>
  </si>
  <si>
    <t>InfraServ GmbH &amp; Co. Gendorf KG</t>
  </si>
  <si>
    <t>Fernwärmeversorgungs-GmbH Dessau</t>
  </si>
  <si>
    <t>DREWAG Stadtwerke Dresden GmbH</t>
  </si>
  <si>
    <t>Stadtwerke Düsseldorf AG</t>
  </si>
  <si>
    <t>Stora Enso Sachsen GmbH</t>
  </si>
  <si>
    <t>Palm Power GmbH &amp; Co. KG</t>
  </si>
  <si>
    <t>SWE Energie GmbH</t>
  </si>
  <si>
    <t>Stadtwerke Frankfurt (Oder) GmbH</t>
  </si>
  <si>
    <t>Rhodia Acetow GmbH</t>
  </si>
  <si>
    <t>Energieversorgung Gera GmbH</t>
  </si>
  <si>
    <t>Georg-August-Universität Göttingen Stiftung Öffentlichen Rechts</t>
  </si>
  <si>
    <t>Stadtwerke Greifswald GmbH</t>
  </si>
  <si>
    <t>KGW - Kraftwerk Grenzach-Wyhlen GmbH</t>
  </si>
  <si>
    <t>Mohn Media Mohndruck GmbH</t>
  </si>
  <si>
    <t>EVH GmbH</t>
  </si>
  <si>
    <t>Heizkraftwerk Halle-Trotha GmbH</t>
  </si>
  <si>
    <t>ADM Hamburg Aktiengesellschaft</t>
  </si>
  <si>
    <t xml:space="preserve">Trianel Gaskraftwerk Hamm GmbH &amp; Co. KG </t>
  </si>
  <si>
    <t>Mark-E AG / Statkraft Markets</t>
  </si>
  <si>
    <t>K+S AG</t>
  </si>
  <si>
    <t>TEAG Thüringer Energie AG</t>
  </si>
  <si>
    <t>Stadtwerke Karlsruhe GmbH</t>
  </si>
  <si>
    <t>Stadtwerke Kiel AG</t>
  </si>
  <si>
    <t>Energieservice Westfalen Weser GmbH</t>
  </si>
  <si>
    <t>Knapsack Power GmbH &amp; Co. KG</t>
  </si>
  <si>
    <t>InfraLeuna GmbH</t>
  </si>
  <si>
    <t>TOTAL Raffinerie Mitteldeutschland GmbH</t>
  </si>
  <si>
    <t>BASF SE</t>
  </si>
  <si>
    <t>Kraftwerke Mainz-Wiesbaden AG</t>
  </si>
  <si>
    <t>Stadtwerke Münster GmbH</t>
  </si>
  <si>
    <t>Neubrandenburger Stadtwerke GmbH</t>
  </si>
  <si>
    <t>Bayernoil Raffineriegesellschaft mbH</t>
  </si>
  <si>
    <t>N-ERGIE AG</t>
  </si>
  <si>
    <t>Energieversorgung Oberhausen AG</t>
  </si>
  <si>
    <t>Kraftwerk Obernburg GmbH</t>
  </si>
  <si>
    <t>Kraftwerk Platting GmbH</t>
  </si>
  <si>
    <t>Energie und Wasser Potsdam GmbH</t>
  </si>
  <si>
    <t>FairEnergie GmbH</t>
  </si>
  <si>
    <t>Stadtwerke Rosenheim GmbH &amp; Co. KG</t>
  </si>
  <si>
    <t>Stadtwerke Rostock AG</t>
  </si>
  <si>
    <t>TWS Thüringer Wärme Service GmbH</t>
  </si>
  <si>
    <t xml:space="preserve">Opel Automobile GmbH </t>
  </si>
  <si>
    <t>BASF Schwarzheide GmbH</t>
  </si>
  <si>
    <t>Energieversorgung Schwerin GmbH &amp; Co. Erzeugung KG</t>
  </si>
  <si>
    <t>Alpiq Spreetal GmbH</t>
  </si>
  <si>
    <t>Dow Deutschland Anlagengesellschaft mbH</t>
  </si>
  <si>
    <t>CIECH Energy Deutschland GmbH</t>
  </si>
  <si>
    <t>Stadtwerke Tübingen GmbH</t>
  </si>
  <si>
    <t>Gemeinschaftskraftwerk Irsching GmbH</t>
  </si>
  <si>
    <t>Heizkraftwerk Würzburg GmbH</t>
  </si>
  <si>
    <t>UPM GmbH Werk Augsburg</t>
  </si>
  <si>
    <t>Pirelli Deutschland GmbH</t>
  </si>
  <si>
    <t>RÜTGERS Germany GmbH</t>
  </si>
  <si>
    <t>Merck KGaA</t>
  </si>
  <si>
    <t>GHD Bayernwerk Natur GmbH &amp; Co. KG</t>
  </si>
  <si>
    <t>Metsä Tissue GmbH (Werk Düren)</t>
  </si>
  <si>
    <t>Stadtwerke Erkrath GmbH</t>
  </si>
  <si>
    <t>Stadtwerke Lemgo GmbH</t>
  </si>
  <si>
    <t>Energie- und Medienversorgung Sandhofer Straße GmbH &amp; Co. KG</t>
  </si>
  <si>
    <t>Peißenberger Wärmegesellschaft mbH</t>
  </si>
  <si>
    <t>Molkerei MEGGLE Wasserburg GmbH &amp; Co. KG</t>
  </si>
  <si>
    <t>Daimler AG</t>
  </si>
  <si>
    <t>Stadtwerke Suhl/Zella-Mehlis GmbH</t>
  </si>
  <si>
    <t>Basell Polyolefine GmbH</t>
  </si>
  <si>
    <t>Grace GmbH</t>
  </si>
  <si>
    <t>Sales &amp; Solutions GmbH</t>
  </si>
  <si>
    <t>Universitätsklinikum Freiburg AdöR</t>
  </si>
  <si>
    <t>Flughafen München GmbH</t>
  </si>
  <si>
    <t>Terminal 2 Gesellschaft mbH &amp; Co oHG</t>
  </si>
  <si>
    <t>HBB Heizkraftwerk Bauernfeind Betreibergesellschaft mbh</t>
  </si>
  <si>
    <t>Kübler &amp; Niethammer Papierfabrik Kriebstein AG</t>
  </si>
  <si>
    <t>INEOS Solvents Germany GmbH</t>
  </si>
  <si>
    <t>Universität Stuttgart</t>
  </si>
  <si>
    <t>CR3-Kaffeeveredelung M. Hermsen GmbH</t>
  </si>
  <si>
    <t>Henkel AG &amp; Co. KGaA</t>
  </si>
  <si>
    <t>Energieversorgungscenter Dresden-Wilschdorf GmbH &amp; Co. KG</t>
  </si>
  <si>
    <t>Delkeskamp Verpackungswerke GmbH</t>
  </si>
  <si>
    <t>Neptune Energy Deutschland GmbH</t>
  </si>
  <si>
    <t>FS-Karton GmbH</t>
  </si>
  <si>
    <t>Schoeller Technocell GmbH &amp; Co. KG</t>
  </si>
  <si>
    <t>Aluminium Oxid Stade GmbH</t>
  </si>
  <si>
    <t>Prinovis GmbH &amp; Co. KG</t>
  </si>
  <si>
    <t>DREWSEN SPEZIALPAPIERE GmbH &amp; Co. KG</t>
  </si>
  <si>
    <t>ZF Friedrichshafen AG</t>
  </si>
  <si>
    <t>Entega AG</t>
  </si>
  <si>
    <t>Stadtwerke - Altmärkische Gas-, Wasser- u. E-Werke Stendal GmbH</t>
  </si>
  <si>
    <t>Papierfabrik Adolf Jass GmbH &amp; Co. KG</t>
  </si>
  <si>
    <t>Nordzucker AG, Werk Nordstemmen</t>
  </si>
  <si>
    <t>Nordzucker AG, Werk Clauen</t>
  </si>
  <si>
    <t>SWK ENERGIE GmbH</t>
  </si>
  <si>
    <t>Opel Automobile GmbH</t>
  </si>
  <si>
    <t>BP Europa SE</t>
  </si>
  <si>
    <t>Südzucker AG Mannheim</t>
  </si>
  <si>
    <t>Moritz J. Weig GmbH &amp; Co KG</t>
  </si>
  <si>
    <t>Industriekraftwerk Greifswald GmbH</t>
  </si>
  <si>
    <t>Freiberger Erdgas GmbH</t>
  </si>
  <si>
    <t>Gemeinschaftskraftwerk Bremen GmbH und Co. KG</t>
  </si>
  <si>
    <t>Bayer AG</t>
  </si>
  <si>
    <t>Ford-Werke GmbH</t>
  </si>
  <si>
    <t>BMW AG</t>
  </si>
  <si>
    <t>Fresenius Medical Care Deutschland GmbH</t>
  </si>
  <si>
    <t>ENGIE Deutschland GmbH</t>
  </si>
  <si>
    <t>Papierfabrik Palm GmbH &amp; Co. KG</t>
  </si>
  <si>
    <t>Preussen Elektra GmbH</t>
  </si>
  <si>
    <t>E.ON Kernkraft GmbH</t>
  </si>
  <si>
    <t>Vattenfall Europe Nuclear Energy GmbH</t>
  </si>
  <si>
    <t>RhönEnergie Fulda GmbH</t>
  </si>
  <si>
    <t>Peissenberger Kraftwerksgesellschaft mbH</t>
  </si>
  <si>
    <t>MiRO Mineraloelraffinerie Oberrhein GmbH &amp; Co. KG</t>
  </si>
  <si>
    <t>Shell Deutschland Oil GmbH</t>
  </si>
  <si>
    <t>PCK Raffinerie GmbH</t>
  </si>
  <si>
    <t>Allgäuer Überlandwerk GmbH</t>
  </si>
  <si>
    <t>Vattenfall Hamburg Wärme GmbH</t>
  </si>
  <si>
    <t>Kreis Weseler Abfallgesellschaft mbH &amp; Co. KG (KWA)</t>
  </si>
  <si>
    <t>Vereinigte Wertach-Elektrizitätswerke GmbH</t>
  </si>
  <si>
    <t xml:space="preserve">Nynas GmbH &amp; Co KG </t>
  </si>
  <si>
    <t>Eurowatt Spitzenkraft GmbH</t>
  </si>
  <si>
    <t>ArcelorMittal Bremen GmbH</t>
  </si>
  <si>
    <t>ThyssenKrupp Steel Europe AG</t>
  </si>
  <si>
    <t>Progroup Power 1 GmbH</t>
  </si>
  <si>
    <t>ArcelorMittal Eisenhüttenstadt GmbH</t>
  </si>
  <si>
    <t>Hüttenwerke Krupp Mannesmann GmbH</t>
  </si>
  <si>
    <t>SWN Stadtwerke Neumünster GmbH</t>
  </si>
  <si>
    <t>Salzgitter Flachstahl GmbH</t>
  </si>
  <si>
    <t>Aktien-Gesellschaft der Dillinger Hüttenwerke, ROGESA Roheisengesellschaft Saar mbH und Zentralkokerei Saar GmbH, als Bruchteilsgemeinschaft</t>
  </si>
  <si>
    <t>Ineos Manufacturing Deutschland GmbH</t>
  </si>
  <si>
    <t>OXEA Produktion GmbH &amp; Co.KG</t>
  </si>
  <si>
    <t>DK Recycling und Roheisen GmbH</t>
  </si>
  <si>
    <t>B+T Energie GmbH</t>
  </si>
  <si>
    <t>Raffinerie Heide GmbH</t>
  </si>
  <si>
    <t>STEAG Battery System GmbH</t>
  </si>
  <si>
    <t>Batteriespeicher Schwerin GmbH &amp; Co. KG</t>
  </si>
  <si>
    <t>Orion Engineered Carbons GmbH</t>
  </si>
  <si>
    <t>EnspireME GmbH</t>
  </si>
  <si>
    <t>MVA Bielefeld-Herford GmbH</t>
  </si>
  <si>
    <t>swb Entsorgung GmbH &amp; Co. KG</t>
  </si>
  <si>
    <t>EEW Energy from Waste Großräschen GmbH</t>
  </si>
  <si>
    <t>MVR Müllverwertung Rugenberger Damm GmbH &amp; Co. KG</t>
  </si>
  <si>
    <t>EEW Energy from Waste Hannover GmbH</t>
  </si>
  <si>
    <t>EEW Energy from Waste Helmstedt GmbH</t>
  </si>
  <si>
    <t>Müllheizkraftwerk Rothensee GmbH</t>
  </si>
  <si>
    <t>GMVA Gemeinschafts-Müll-Verbrennungsanlage Niederrhein GmbH</t>
  </si>
  <si>
    <t>GKS Gemeinschaftskraftwerk Schweinfurt GmbH</t>
  </si>
  <si>
    <t>PD energy GmbH</t>
  </si>
  <si>
    <t>Zweckverband Restmüllheizkraftwerk Böblingen</t>
  </si>
  <si>
    <t>Bremerhavener Entsorgungsgesellschaft mbH</t>
  </si>
  <si>
    <t>Zweckverband Abfallverwertung Südostbayern</t>
  </si>
  <si>
    <t>EEW Energy from Waste Saarbrücken GmbH</t>
  </si>
  <si>
    <t>EEW Energy from Waste Göppingen GmbH</t>
  </si>
  <si>
    <t>MHB Hamm Betriebsführungsgesellschaft mbH</t>
  </si>
  <si>
    <t>AGR Abfallentsorgungsgesellschaft Ruhrgebiet mbH</t>
  </si>
  <si>
    <t>Zweckverband Müllverwertungsanlage Ingolstadt (MVA Ingolstadt)</t>
  </si>
  <si>
    <t>Müllheizkraftwerk Kassel GmbH</t>
  </si>
  <si>
    <t>AVG Köln mbH</t>
  </si>
  <si>
    <t>EGK Entsorgungsgesellschaft Krefeld GmbH &amp; Co.KG</t>
  </si>
  <si>
    <t>Technische Werke Ludwigshafen AG</t>
  </si>
  <si>
    <t>SUEZ Energie und Verwertung GmbH</t>
  </si>
  <si>
    <t>Entsorgungsgesellschaft Mainz mbH</t>
  </si>
  <si>
    <t>EEW Energy from Waste Premnitz GmbH</t>
  </si>
  <si>
    <t>Vattenfall Europe New Energy Ecopower GmbH</t>
  </si>
  <si>
    <t>AVA Velsen GmbH</t>
  </si>
  <si>
    <t>Zweckverband Müllverwertung Schwandorf</t>
  </si>
  <si>
    <t>Kraftwerk Schwedt GmbH &amp; Co. KG</t>
  </si>
  <si>
    <t>REMONDIS Thermische Abfallverwertung GmbH</t>
  </si>
  <si>
    <t>Zweckverband für Abfallwirtschaft Südwestthüringen (ZASt)</t>
  </si>
  <si>
    <t>AMK - Abfallentsorgungsgesellschaft des Märkischen Kreises mbH</t>
  </si>
  <si>
    <t>IHKW Industrieheizkraftwerk Andernach GmbH</t>
  </si>
  <si>
    <t>AVA Abfallverwertung Augsburg GmbH</t>
  </si>
  <si>
    <t>EKOCity GmbH</t>
  </si>
  <si>
    <t>Steinbeis Energie GmbH</t>
  </si>
  <si>
    <t>Zweckverband Abfallwirtschaft Raum Würzburg</t>
  </si>
  <si>
    <t>EBS - Kraftwerk GmbH</t>
  </si>
  <si>
    <t>Spreestromerzeugungs GmbH</t>
  </si>
  <si>
    <t>ESWE BioEnergie GmbH</t>
  </si>
  <si>
    <t>RAG Anthrazit Ibbenbüren GmbH</t>
  </si>
  <si>
    <t>KÄMMERER Energie GmbH</t>
  </si>
  <si>
    <t>Marketkant 12-10</t>
  </si>
  <si>
    <t>Markerkant 12-10</t>
  </si>
  <si>
    <t>Amerweg .</t>
  </si>
  <si>
    <t>Lagedijk 5</t>
  </si>
  <si>
    <t>Moervaart 1</t>
  </si>
  <si>
    <t>Zeedijk 32</t>
  </si>
  <si>
    <t>Lange Ooijen 31</t>
  </si>
  <si>
    <t>Koumarwei 2</t>
  </si>
  <si>
    <t>Overdiemerweg 35</t>
  </si>
  <si>
    <t>Galileistraat 15</t>
  </si>
  <si>
    <t>Weurtseweg 460</t>
  </si>
  <si>
    <t>IJsselcentraleweg 6</t>
  </si>
  <si>
    <t>Petroliumhavenweg 1</t>
  </si>
  <si>
    <t>Nieuwe Hemweg 25</t>
  </si>
  <si>
    <t>Hoflaan 1</t>
  </si>
  <si>
    <t>Atoomweg 7-9</t>
  </si>
  <si>
    <t>Coloradoweg 10</t>
  </si>
  <si>
    <t>Europaweg 911</t>
  </si>
  <si>
    <t>Keulsekade 181</t>
  </si>
  <si>
    <t>Capelseweg 400</t>
  </si>
  <si>
    <t>Kampstraat 101</t>
  </si>
  <si>
    <t>Voortstraat 19</t>
  </si>
  <si>
    <t>Oosterhorn 4</t>
  </si>
  <si>
    <t>Centraleweg 12</t>
  </si>
  <si>
    <t>De Constant Rebecqueplein 20</t>
  </si>
  <si>
    <t>Beukenlaan 2A</t>
  </si>
  <si>
    <t>Herbert H. Dowweg 5D</t>
  </si>
  <si>
    <t>Marssteden 35</t>
  </si>
  <si>
    <t>Beekweg 12</t>
  </si>
  <si>
    <t>Robbenplaatweg 17</t>
  </si>
  <si>
    <t>Achterdijk 42</t>
  </si>
  <si>
    <t>Zandzuigerstraat 8A</t>
  </si>
  <si>
    <t>Zwet 20</t>
  </si>
  <si>
    <t>Langegracht 70</t>
  </si>
  <si>
    <t>Missouriweg 69</t>
  </si>
  <si>
    <t>Huibertgatweg 1</t>
  </si>
  <si>
    <t>IJsselmeerdijk 101</t>
  </si>
  <si>
    <t>Middenweg 36</t>
  </si>
  <si>
    <t>Hertzstraat 2</t>
  </si>
  <si>
    <t>Petroleumweg 44</t>
  </si>
  <si>
    <t>Petroleumweg/ Haven 3108 46</t>
  </si>
  <si>
    <t>Boortorenweg 27</t>
  </si>
  <si>
    <t>Albanieweg 10</t>
  </si>
  <si>
    <t>Roermondseweg 55</t>
  </si>
  <si>
    <t>Wenkebachstraat 1</t>
  </si>
  <si>
    <t>Sitikkalantie 189</t>
  </si>
  <si>
    <t>PL 9 (Radanvarsi 2)</t>
  </si>
  <si>
    <t>Keilaniementie 1</t>
  </si>
  <si>
    <t>PL166</t>
  </si>
  <si>
    <t>PB 250</t>
  </si>
  <si>
    <t>Anjalan tehtaat</t>
  </si>
  <si>
    <t>PL 8131</t>
  </si>
  <si>
    <t>Kotakennääntie 31</t>
  </si>
  <si>
    <t>PL 1024</t>
  </si>
  <si>
    <t>Storgatan 8</t>
  </si>
  <si>
    <t>PB 31, Kungsgatan 14</t>
  </si>
  <si>
    <t>PL 89</t>
  </si>
  <si>
    <t>PL 175</t>
  </si>
  <si>
    <t>PL 530</t>
  </si>
  <si>
    <t>Virkkulantie 207</t>
  </si>
  <si>
    <t>PL105</t>
  </si>
  <si>
    <t>PL 47, Turvetie 112</t>
  </si>
  <si>
    <t>PL 22</t>
  </si>
  <si>
    <t>PL 13</t>
  </si>
  <si>
    <t>Reutsinkatu 12</t>
  </si>
  <si>
    <t>Kampinkuja 2</t>
  </si>
  <si>
    <t>Maaistraatinportti 4 A</t>
  </si>
  <si>
    <t>Voimalaitoksentie 70</t>
  </si>
  <si>
    <t>Seinpottvägen 3</t>
  </si>
  <si>
    <t>c/o Prokon Wind Energy Finland Oy Företagaregatan 13</t>
  </si>
  <si>
    <t>Äyritie 18</t>
  </si>
  <si>
    <t>PL 5</t>
  </si>
  <si>
    <t>Paimenpolku 3</t>
  </si>
  <si>
    <t>Unioninkatu 8, PL 199</t>
  </si>
  <si>
    <t>Kotkantie 2</t>
  </si>
  <si>
    <t>PL 530 ( Arkadiakatu 23 B)</t>
  </si>
  <si>
    <t>Töölönkatu 4</t>
  </si>
  <si>
    <t>PL 12 /co Vatajankosken Sähkö Oy, vakka suomen voima</t>
  </si>
  <si>
    <t>Voimatie 32</t>
  </si>
  <si>
    <t>PL 1</t>
  </si>
  <si>
    <t>Karhumäenkatu 2</t>
  </si>
  <si>
    <t>PL 100</t>
  </si>
  <si>
    <t>Revontulentie 6</t>
  </si>
  <si>
    <t>PL  49</t>
  </si>
  <si>
    <t>PL35</t>
  </si>
  <si>
    <t>Tehdastie 2</t>
  </si>
  <si>
    <t>Myllytie 1</t>
  </si>
  <si>
    <t>PL 8013</t>
  </si>
  <si>
    <t>Ky-35</t>
  </si>
  <si>
    <t>Varastotie 5</t>
  </si>
  <si>
    <t>KY-35</t>
  </si>
  <si>
    <t>Vuohiniityntie 2</t>
  </si>
  <si>
    <t>PL 33</t>
  </si>
  <si>
    <t>Imatran tehtaat</t>
  </si>
  <si>
    <t>PL 162</t>
  </si>
  <si>
    <t>Tehdaskatu 17</t>
  </si>
  <si>
    <t>PL 4</t>
  </si>
  <si>
    <t>ky-35</t>
  </si>
  <si>
    <t>Vapaudenkatu 10-12 A 7</t>
  </si>
  <si>
    <t>PL 37</t>
  </si>
  <si>
    <t>(c/o Keravan Energia Oy) PL 37</t>
  </si>
  <si>
    <t>PL 25</t>
  </si>
  <si>
    <t>Sairaalantie 3</t>
  </si>
  <si>
    <t>Otto Mannisen katu 6, PL 3</t>
  </si>
  <si>
    <t>Kolsintie 230</t>
  </si>
  <si>
    <t>PL 165</t>
  </si>
  <si>
    <t>Voimalantie 17</t>
  </si>
  <si>
    <t>Naulatehtaantie 27</t>
  </si>
  <si>
    <t>Kauppakatu 1</t>
  </si>
  <si>
    <t>PL 62-63</t>
  </si>
  <si>
    <t>Frilundintie 7</t>
  </si>
  <si>
    <t>Hyryntie 40</t>
  </si>
  <si>
    <t>PL 43</t>
  </si>
  <si>
    <t>Rantakatu 29</t>
  </si>
  <si>
    <t>PL57  (Käyntiosoite Sorsasalo)</t>
  </si>
  <si>
    <t xml:space="preserve">Rantakatu 29 </t>
  </si>
  <si>
    <t>Selluntie 3</t>
  </si>
  <si>
    <t>Kaukaantie 16</t>
  </si>
  <si>
    <t>Makasiinintie 7</t>
  </si>
  <si>
    <t>Keilalahdentie 2-4</t>
  </si>
  <si>
    <t>Peltolantie 27</t>
  </si>
  <si>
    <t>Kasarmintie 6, PL 116</t>
  </si>
  <si>
    <t>PL 191</t>
  </si>
  <si>
    <t>Myllykoskentie 1</t>
  </si>
  <si>
    <t>Hatanpään Valtatie</t>
  </si>
  <si>
    <t>PL 26</t>
  </si>
  <si>
    <t>Lampilinnantie 4</t>
  </si>
  <si>
    <t>PL 547</t>
  </si>
  <si>
    <t>Hyttitie 5</t>
  </si>
  <si>
    <t>Eino Salmelaisen katu 23</t>
  </si>
  <si>
    <t>Olkiluoto</t>
  </si>
  <si>
    <t>PL 530 (Arkadiankatu 23 B)</t>
  </si>
  <si>
    <t>PL 196</t>
  </si>
  <si>
    <t>PL 191  (Typpitie)</t>
  </si>
  <si>
    <t>Tuohivaarantie 40</t>
  </si>
  <si>
    <t>PL 1001</t>
  </si>
  <si>
    <t>Kirkkotie 1</t>
  </si>
  <si>
    <t>Kanavakatu 2 (PL 166)</t>
  </si>
  <si>
    <t>Vuorikatu 19</t>
  </si>
  <si>
    <t>C/O Vattenfall Sähköntuotanto Oy, Maistraatinportti 4</t>
  </si>
  <si>
    <t>Ahontie 1</t>
  </si>
  <si>
    <t>PL 155</t>
  </si>
  <si>
    <t>PL 101</t>
  </si>
  <si>
    <t>Tikkalantie 1</t>
  </si>
  <si>
    <t>c/o Vapo Oy</t>
  </si>
  <si>
    <t>PL 181</t>
  </si>
  <si>
    <t>Riikinnevantie 153</t>
  </si>
  <si>
    <t>Jyrääntie 400</t>
  </si>
  <si>
    <t>Tornion Tehtaat</t>
  </si>
  <si>
    <t>Loimijoentie 65</t>
  </si>
  <si>
    <t>Kirkkopuistikko 0</t>
  </si>
  <si>
    <t>Nilsiäntie 501, PL 20</t>
  </si>
  <si>
    <t>Tiihalantie 194</t>
  </si>
  <si>
    <t>Kvarnvägen 20</t>
  </si>
  <si>
    <t>Sunilantie 1</t>
  </si>
  <si>
    <t>Koskikatu 27</t>
  </si>
  <si>
    <t>Voimakatu 17</t>
  </si>
  <si>
    <t>Vähikkäläntie 1</t>
  </si>
  <si>
    <t>Lampintie 5</t>
  </si>
  <si>
    <t>Mannerheiminkatu 24</t>
  </si>
  <si>
    <t>Palokorvenkatu 2</t>
  </si>
  <si>
    <t>c/o Etelä-Pohjanmaan Voima Oy, Frilundintie 7</t>
  </si>
  <si>
    <t>PL 2</t>
  </si>
  <si>
    <t>PL 5 Uusikaupunki</t>
  </si>
  <si>
    <t>Otto Mannisen katu 6</t>
  </si>
  <si>
    <t>PL 50</t>
  </si>
  <si>
    <t>Satakunnankatu 10</t>
  </si>
  <si>
    <t>Järvikatu 2-4</t>
  </si>
  <si>
    <t>PL 12</t>
  </si>
  <si>
    <t>Kalannintie 191</t>
  </si>
  <si>
    <t>Veitsiluodon tehdas</t>
  </si>
  <si>
    <t>PL 1100</t>
  </si>
  <si>
    <t>Isokatu 8</t>
  </si>
  <si>
    <t>PL 200</t>
  </si>
  <si>
    <t>Revontulenpuisto 2 C</t>
  </si>
  <si>
    <t>Cesta prvih borcev 18</t>
  </si>
  <si>
    <t>Cesta prvih borcev 19</t>
  </si>
  <si>
    <t>Cesta prvih borcev 20</t>
  </si>
  <si>
    <t>Cesta prvih borcev 21</t>
  </si>
  <si>
    <t>Cesta prvih borcev 22</t>
  </si>
  <si>
    <t>Vrbina 12</t>
  </si>
  <si>
    <t>Verovškova ulica 62</t>
  </si>
  <si>
    <t>Cesta Lole Ribarja 18</t>
  </si>
  <si>
    <t>WeiÃeneggweg 1</t>
  </si>
  <si>
    <t>Ludwig BrucknerstraÃe 1</t>
  </si>
  <si>
    <t>HaidequerstraÃe 1</t>
  </si>
  <si>
    <t>MÃ¼hlfeld 2</t>
  </si>
  <si>
    <t>Primavesigasse 1</t>
  </si>
  <si>
    <t>NebingerstraÃe 1</t>
  </si>
  <si>
    <t>LunzerstraÃe 90</t>
  </si>
  <si>
    <t>Am Kraftwerk 13</t>
  </si>
  <si>
    <t>SchwarzstraÃe 10</t>
  </si>
  <si>
    <t>Schillerstraße 5</t>
  </si>
  <si>
    <t>DurisolstraÃe 3</t>
  </si>
  <si>
    <t>WasserfeldstraÃe 30</t>
  </si>
  <si>
    <t>Mühlenmarsch 1</t>
  </si>
  <si>
    <t>Triebstraße 90</t>
  </si>
  <si>
    <t>Goldbecker Straße 1</t>
  </si>
  <si>
    <t>An der Birkenpfuhlheide 3</t>
  </si>
  <si>
    <t>Ernst-Schering-Straße 10</t>
  </si>
  <si>
    <t>Köpenicker Straße 32</t>
  </si>
  <si>
    <t>Im Kissen 19</t>
  </si>
  <si>
    <t>Kessel 5 - Turbine 5</t>
  </si>
  <si>
    <t>Kessel 4 - Turbine 3</t>
  </si>
  <si>
    <t>Neuerostraße 8</t>
  </si>
  <si>
    <t>Am Steinmühlenweg 5</t>
  </si>
  <si>
    <t>Alt Fechenheim 34</t>
  </si>
  <si>
    <t>Stadtring Nordhorn 61</t>
  </si>
  <si>
    <t>Borsigstraße 3</t>
  </si>
  <si>
    <t>Am Nordhafen 12</t>
  </si>
  <si>
    <t>Einsteinstraße 9</t>
  </si>
  <si>
    <t>Josef Rethmann Straße 4</t>
  </si>
  <si>
    <t>Otto-Hahn-Str. 1</t>
  </si>
  <si>
    <t>Sandhofer Straße 176</t>
  </si>
  <si>
    <t>Dreichlinger Str. 76</t>
  </si>
  <si>
    <t>Am Nordhafen 5</t>
  </si>
  <si>
    <t>Hohwiesenweg 15</t>
  </si>
  <si>
    <t>Maria-May-Straße 1</t>
  </si>
  <si>
    <t>Obernburger Straße 1-9</t>
  </si>
  <si>
    <t>Leininger Str. 1</t>
  </si>
  <si>
    <t>Kuhheide 1</t>
  </si>
  <si>
    <t>Dangaster Straße 38</t>
  </si>
  <si>
    <t>Weichertstr. 7</t>
  </si>
  <si>
    <t>Wittstocker Chaussee 1</t>
  </si>
  <si>
    <t>Magirusstr. 21</t>
  </si>
  <si>
    <t>Oskar-von-Miller-Weg 1</t>
  </si>
  <si>
    <t>Ernst-Röwer-Ring 2</t>
  </si>
  <si>
    <t>Industriestraße 11</t>
  </si>
  <si>
    <t>Otternbuchtstr. 11</t>
  </si>
  <si>
    <t>Friedrich-Krause-Ufer 10- 15</t>
  </si>
  <si>
    <t>Großer Spreering 5</t>
  </si>
  <si>
    <t>Grubenstraße</t>
  </si>
  <si>
    <t>Hastedter Osterdeich 255</t>
  </si>
  <si>
    <t>Otavistr. 7-9</t>
  </si>
  <si>
    <t>Wilhelmshavener Str. 6</t>
  </si>
  <si>
    <t>Zirkelstraße</t>
  </si>
  <si>
    <t>Dr. Wilhelm-Roelen-Str.129</t>
  </si>
  <si>
    <t>Kurt Kessler Str. 1</t>
  </si>
  <si>
    <t>Kurt-Kessler-Str.</t>
  </si>
  <si>
    <t xml:space="preserve"> Äußere Bruckerstr. 33</t>
  </si>
  <si>
    <t>Batteriestr. 48</t>
  </si>
  <si>
    <t>Gutleutstraße 231</t>
  </si>
  <si>
    <t>Andreas-Meyer-Straße 8</t>
  </si>
  <si>
    <t>Tinsdaler Weg 146</t>
  </si>
  <si>
    <t>Lichtenbergerstraße 23</t>
  </si>
  <si>
    <t>Hertener Str. 16</t>
  </si>
  <si>
    <t>Fettweisstraße 42</t>
  </si>
  <si>
    <t>CHEMPARK, Geb. L 57</t>
  </si>
  <si>
    <t>CHEMPARK, Geb. N 230</t>
  </si>
  <si>
    <t>CHEMPARK, Geb. G 22</t>
  </si>
  <si>
    <t>Moltkestr. 215</t>
  </si>
  <si>
    <t>Marguerrestraße 1</t>
  </si>
  <si>
    <t>Paul-Baumann-Str. 1</t>
  </si>
  <si>
    <t>Holzer Straße</t>
  </si>
  <si>
    <t>Am Kühlturm 1</t>
  </si>
  <si>
    <t>Langwiesenweg 23</t>
  </si>
  <si>
    <t>Voltastraße 45</t>
  </si>
  <si>
    <t>Frankfurter Str. 430</t>
  </si>
  <si>
    <t>Frankfurter Str 430</t>
  </si>
  <si>
    <t>Saarbrücker Straße 135-137</t>
  </si>
  <si>
    <t>Mühlstraße</t>
  </si>
  <si>
    <t>Hellefelderstr. 51</t>
  </si>
  <si>
    <t>An der Zuckerfabrik 1</t>
  </si>
  <si>
    <t>Frydagstr. 40</t>
  </si>
  <si>
    <t>Moorburger Schanze 2</t>
  </si>
  <si>
    <t>Niedersachsendamm</t>
  </si>
  <si>
    <t>Kraftwerkstrasse 34</t>
  </si>
  <si>
    <t>Zollstrasse</t>
  </si>
  <si>
    <t>Am Innwerk 13</t>
  </si>
  <si>
    <t>Murger Weg 2</t>
  </si>
  <si>
    <t>Stollenweg 2</t>
  </si>
  <si>
    <t>Johannes-Hess Straße 24</t>
  </si>
  <si>
    <t>Kraftwerkstraße 10</t>
  </si>
  <si>
    <t>Ederstraße</t>
  </si>
  <si>
    <t>Innwerkstraße 38</t>
  </si>
  <si>
    <t>Werkstraße 5</t>
  </si>
  <si>
    <t>Agg 4</t>
  </si>
  <si>
    <t>Elbuferstr. 49</t>
  </si>
  <si>
    <t>Am Rotseifenbach</t>
  </si>
  <si>
    <t>Am Kraftwerk 2</t>
  </si>
  <si>
    <t>Haupstraße 26</t>
  </si>
  <si>
    <t>Schwarzabruck 2</t>
  </si>
  <si>
    <t>Preßwitzer Str. 25</t>
  </si>
  <si>
    <t>An der Staustufe 27</t>
  </si>
  <si>
    <t>Ach 6</t>
  </si>
  <si>
    <t>Altjoch 21</t>
  </si>
  <si>
    <t>Oberbeckenstr. 8</t>
  </si>
  <si>
    <t>Unterer Hof 2</t>
  </si>
  <si>
    <t>Innstr. 11</t>
  </si>
  <si>
    <t>Am Fährhaus 4</t>
  </si>
  <si>
    <t>Am Inn 19</t>
  </si>
  <si>
    <t>Untere Innauen 1</t>
  </si>
  <si>
    <t>Schleusenweg 10</t>
  </si>
  <si>
    <t>Innstraße 121</t>
  </si>
  <si>
    <t>Niederperach</t>
  </si>
  <si>
    <t>Kraftwerkstraße 24</t>
  </si>
  <si>
    <t>Ahornstr. 10</t>
  </si>
  <si>
    <t>Forggenseestraße 100</t>
  </si>
  <si>
    <t>Oberwöhrn 100</t>
  </si>
  <si>
    <t>Postfach 1370</t>
  </si>
  <si>
    <t>Gräfenwarth</t>
  </si>
  <si>
    <t>Ponschabaustr. 25</t>
  </si>
  <si>
    <t>Badhöring 16</t>
  </si>
  <si>
    <t>Innstufenstr. 15</t>
  </si>
  <si>
    <t>Kagerser Hauptstraße 164</t>
  </si>
  <si>
    <t>Seestraße 6</t>
  </si>
  <si>
    <t>Werkstr. 18</t>
  </si>
  <si>
    <t>Latschauwerk</t>
  </si>
  <si>
    <t>B.P. 2</t>
  </si>
  <si>
    <t>Kraftwerkstraße 13</t>
  </si>
  <si>
    <t>Innwerkstr. 15</t>
  </si>
  <si>
    <t>Todtmooserstr. 150</t>
  </si>
  <si>
    <t>Hangstraße</t>
  </si>
  <si>
    <t>Schwarzatalstr.5</t>
  </si>
  <si>
    <t>In der Stesse 14</t>
  </si>
  <si>
    <t>Dessau</t>
  </si>
  <si>
    <t>Bayernwerkstraße 55</t>
  </si>
  <si>
    <t>Am Moosrain 10</t>
  </si>
  <si>
    <t>Kraftwerkstraße 22</t>
  </si>
  <si>
    <t>Lechfeldwiesen</t>
  </si>
  <si>
    <t>Via Claudia</t>
  </si>
  <si>
    <t>Am Premer Lechsee</t>
  </si>
  <si>
    <t>Friedenaustraße</t>
  </si>
  <si>
    <t>Am Kraftwerk 1</t>
  </si>
  <si>
    <t>Kraftwerkstraße 26</t>
  </si>
  <si>
    <t>Untere Au 60</t>
  </si>
  <si>
    <t>Bayernwerkstraße 1</t>
  </si>
  <si>
    <t>Stauseestraße 1</t>
  </si>
  <si>
    <t>An der Staustufe 1</t>
  </si>
  <si>
    <t>Lechstraße</t>
  </si>
  <si>
    <t>Zollhaus</t>
  </si>
  <si>
    <t>Lechau</t>
  </si>
  <si>
    <t>Lechfeldstraße</t>
  </si>
  <si>
    <t>Friedrich-Haindl-Strasse 10</t>
  </si>
  <si>
    <t>Lechuferstraße 21</t>
  </si>
  <si>
    <t>Mühltal 7</t>
  </si>
  <si>
    <t>Einsiedl</t>
  </si>
  <si>
    <t>Kraftwerkstraße 1</t>
  </si>
  <si>
    <t>Mühlthal 1</t>
  </si>
  <si>
    <t>Eichholz 1</t>
  </si>
  <si>
    <t>Werkstraße</t>
  </si>
  <si>
    <t>Kraftwerksstraße</t>
  </si>
  <si>
    <t>An der alten Ziegelei 1</t>
  </si>
  <si>
    <t>Bessenicher Weg</t>
  </si>
  <si>
    <t>Bonner Strasse 2</t>
  </si>
  <si>
    <t>Dürenerstr. 20</t>
  </si>
  <si>
    <t>An den Sieben Stücken</t>
  </si>
  <si>
    <t>Kölner Straße 110</t>
  </si>
  <si>
    <t>Albrechtstr. 54</t>
  </si>
  <si>
    <t>Energiestraße 101</t>
  </si>
  <si>
    <t>Chausseestraße 1</t>
  </si>
  <si>
    <t>Kreuzauer Str. 18</t>
  </si>
  <si>
    <t>Lindenberger Weg</t>
  </si>
  <si>
    <t>Bluthsluster Str. 24</t>
  </si>
  <si>
    <t>Beim Grenzgraben 10</t>
  </si>
  <si>
    <t>Monplaisirstr. 22</t>
  </si>
  <si>
    <t>Köpenicker Straße 60</t>
  </si>
  <si>
    <t>Am Spreebord 5</t>
  </si>
  <si>
    <t>Ostpreußendamm 61</t>
  </si>
  <si>
    <t xml:space="preserve">Köpenicker Chaussee 42 - 45 </t>
  </si>
  <si>
    <t>Oederaner Str. 21 - 25</t>
  </si>
  <si>
    <t>Wanheimer Straße 439-454</t>
  </si>
  <si>
    <t>Auf der Lausward 75</t>
  </si>
  <si>
    <t>Kessel 6 - Turbine 4</t>
  </si>
  <si>
    <t>Am Schanzberg 1</t>
  </si>
  <si>
    <t>Industriestraße 23</t>
  </si>
  <si>
    <t>Lyoner Straße  8</t>
  </si>
  <si>
    <t>Lyoner Straße  9</t>
  </si>
  <si>
    <t>Siemensstraße 45</t>
  </si>
  <si>
    <t>Rudolf-Diesel-Straße 1</t>
  </si>
  <si>
    <t>Carl Bertelsmann Straße 161</t>
  </si>
  <si>
    <t>Dieselstraße 141</t>
  </si>
  <si>
    <t>Brachwitzer Straße 23</t>
  </si>
  <si>
    <t>Nippoldstr. 117</t>
  </si>
  <si>
    <t>Trianelstraße 1</t>
  </si>
  <si>
    <t>Düsseldorfer Str. 191</t>
  </si>
  <si>
    <t>CHEMPARK, Geb. X 50</t>
  </si>
  <si>
    <t>A 855</t>
  </si>
  <si>
    <t>A 800</t>
  </si>
  <si>
    <t>C 200</t>
  </si>
  <si>
    <t>Postfach 1252</t>
  </si>
  <si>
    <t>Sandreuthstr. 51</t>
  </si>
  <si>
    <t>Hauffstraße 89 m</t>
  </si>
  <si>
    <t>Färberstraße 47</t>
  </si>
  <si>
    <t>Oberaustraße 12</t>
  </si>
  <si>
    <t>Schipkauer Str.1</t>
  </si>
  <si>
    <t>Südstraße</t>
  </si>
  <si>
    <t>Bützflethersand</t>
  </si>
  <si>
    <t>Athenslebener Weg 57</t>
  </si>
  <si>
    <t>Am Oberwald 2</t>
  </si>
  <si>
    <t>Veitshöchheimer Str. 1</t>
  </si>
  <si>
    <t>Georg-Heindl-Strasse 4</t>
  </si>
  <si>
    <t>Franziskanergasse 9</t>
  </si>
  <si>
    <t>Höchster Str. 48-60</t>
  </si>
  <si>
    <t>Kekulestraße 30</t>
  </si>
  <si>
    <t>Frankfurter Str. 250</t>
  </si>
  <si>
    <t>Landshuter Straße 56</t>
  </si>
  <si>
    <t>Veldener Strasse 121 - 131</t>
  </si>
  <si>
    <t>Klinkerweg 4</t>
  </si>
  <si>
    <t>Neuenheimer Feld 530</t>
  </si>
  <si>
    <t>Reeser Str 280-300</t>
  </si>
  <si>
    <t>Heidensche Str. 70</t>
  </si>
  <si>
    <t>Liemer Weg 71</t>
  </si>
  <si>
    <t>Giulinistraße 2</t>
  </si>
  <si>
    <t>Giulinistr. 2</t>
  </si>
  <si>
    <t>Megglestraße 6 - 12</t>
  </si>
  <si>
    <t>Fröhliche-Mann-Straße 2</t>
  </si>
  <si>
    <t>In der Hollerhecke 1</t>
  </si>
  <si>
    <t>Alexanderstr. 8</t>
  </si>
  <si>
    <t>Hartmannstrasse 1</t>
  </si>
  <si>
    <t>nicht öffentlicher Bereich (Btl. 145.01)</t>
  </si>
  <si>
    <t>Rosenheimer Str. 37</t>
  </si>
  <si>
    <t>Bauhofstr. 1</t>
  </si>
  <si>
    <t>Römerstr. 733</t>
  </si>
  <si>
    <t>Pfaffenwaldring 8</t>
  </si>
  <si>
    <t>Waterbergstraße 14</t>
  </si>
  <si>
    <t>Henkelstr. 67</t>
  </si>
  <si>
    <t>Boxdorf, Ringstr. 3</t>
  </si>
  <si>
    <t>Hauptstrasse 15</t>
  </si>
  <si>
    <t xml:space="preserve">Bobbenmärsche 11 </t>
  </si>
  <si>
    <t>Düsseldorfer Str. 182-184</t>
  </si>
  <si>
    <t>Fabrikstraße 1</t>
  </si>
  <si>
    <t>Untere Kanalstraße 3</t>
  </si>
  <si>
    <t>Johann- Rathje- Köser- Straße</t>
  </si>
  <si>
    <t>Breslauer Str. 300</t>
  </si>
  <si>
    <t>Georg-Drewsen-Weg 2</t>
  </si>
  <si>
    <t>Untertürkheimer Straße 5</t>
  </si>
  <si>
    <t>Kasseler Landstr. 23</t>
  </si>
  <si>
    <t>Frankfurter Str. 100</t>
  </si>
  <si>
    <t>Schillerstraße</t>
  </si>
  <si>
    <t>Hermann-Muth-Str. 6</t>
  </si>
  <si>
    <t>Calenberger Str. 36</t>
  </si>
  <si>
    <t>Zuckerfabrik 3</t>
  </si>
  <si>
    <t>Rather Str. 51</t>
  </si>
  <si>
    <t>Daimler Str. 1</t>
  </si>
  <si>
    <t>Adam-Opel-Str.</t>
  </si>
  <si>
    <t>Magdeburger Landstraße 1 bis 5</t>
  </si>
  <si>
    <t>Raffineriestrasse</t>
  </si>
  <si>
    <t>Wormser Straße 11</t>
  </si>
  <si>
    <t>Polcher Str. 113</t>
  </si>
  <si>
    <t>Industriepark Walsrode,  August-Wolff-Str. 13</t>
  </si>
  <si>
    <t>Bruchweg 24</t>
  </si>
  <si>
    <t>Berliner Ring</t>
  </si>
  <si>
    <t>Fennstr. 22</t>
  </si>
  <si>
    <t>Herbert-Quandt-Allee</t>
  </si>
  <si>
    <t>Frankfurter Straße 6-8</t>
  </si>
  <si>
    <t>Landshuter Strasse 56</t>
  </si>
  <si>
    <t>Hermann-Mende-Straße, 2</t>
  </si>
  <si>
    <t>Ohmstraße 2</t>
  </si>
  <si>
    <t>Hasselfelde 30</t>
  </si>
  <si>
    <t>Lerchennauerstraße 76</t>
  </si>
  <si>
    <t>Knorrstraße 147</t>
  </si>
  <si>
    <t>Im Steinbruch</t>
  </si>
  <si>
    <t>Rheinschanzinsel</t>
  </si>
  <si>
    <t>Forckenbeckstr. 3 - 6</t>
  </si>
  <si>
    <t>Auf den Delben 35</t>
  </si>
  <si>
    <t>Otto Hahn Str. 76</t>
  </si>
  <si>
    <t>Behrenstraße 85</t>
  </si>
  <si>
    <t>Godorfer Hauptstr. 150</t>
  </si>
  <si>
    <t>Thomas-Alva-Edison-Ring 6</t>
  </si>
  <si>
    <t>13</t>
  </si>
  <si>
    <t>Graftstr. 25</t>
  </si>
  <si>
    <t>Mindelmähderweg 10</t>
  </si>
  <si>
    <t>Hohe-Schaar-Straße 34</t>
  </si>
  <si>
    <t>Ruselbergstr. 87</t>
  </si>
  <si>
    <t>Werkstraße 1</t>
  </si>
  <si>
    <t>S 300</t>
  </si>
  <si>
    <t>Alte Strasse 201</t>
  </si>
  <si>
    <t>Otto-Roelen-Str.3</t>
  </si>
  <si>
    <t>Wörthstraße 175</t>
  </si>
  <si>
    <t>Meldorfer Str. 43</t>
  </si>
  <si>
    <t>Moltkestr. 15</t>
  </si>
  <si>
    <t>Holzer Str.</t>
  </si>
  <si>
    <t>Saarbrücker Str. 135-137</t>
  </si>
  <si>
    <t>Dr.-Wilhelm-Roelen Str. 129</t>
  </si>
  <si>
    <t>Grubenstr.</t>
  </si>
  <si>
    <t>Obotritenring 40</t>
  </si>
  <si>
    <t>Harry-Kloepfer-Straße 1</t>
  </si>
  <si>
    <t>Schelpmilser Weg 30</t>
  </si>
  <si>
    <t>Heddernheimer Landstraße 158</t>
  </si>
  <si>
    <t>Heddernheimer Landstraße 157</t>
  </si>
  <si>
    <t>Rugenberger Damm 1</t>
  </si>
  <si>
    <t>An der B91</t>
  </si>
  <si>
    <t>Z 564</t>
  </si>
  <si>
    <t>Otto-Hahn-Straße 1</t>
  </si>
  <si>
    <t>Liricher Straße 121</t>
  </si>
  <si>
    <t>Siedlerweg 11</t>
  </si>
  <si>
    <t>Hafenstraße 30</t>
  </si>
  <si>
    <t>Ostraße 1</t>
  </si>
  <si>
    <t>Musbergersträßle 11</t>
  </si>
  <si>
    <t>Oken 2</t>
  </si>
  <si>
    <t>Zur Hexenbrücke 16</t>
  </si>
  <si>
    <t>Bruck 110</t>
  </si>
  <si>
    <t>Heitersheimer Straße 2</t>
  </si>
  <si>
    <t>Am Lausbach 2</t>
  </si>
  <si>
    <t>Im Emscherbruch 11</t>
  </si>
  <si>
    <t>Am Mailinger Bach 141</t>
  </si>
  <si>
    <t>Geestemünder Str. 23</t>
  </si>
  <si>
    <t>Parkstr. 234</t>
  </si>
  <si>
    <t>Industrie- und Gewerbegebiet Lauta,  Straße B Nr. 5</t>
  </si>
  <si>
    <t xml:space="preserve">Industriestr. 3 </t>
  </si>
  <si>
    <t>Bayerische Str.20</t>
  </si>
  <si>
    <t>Kraftwerkallee 1</t>
  </si>
  <si>
    <t>Am Staffelberg 2-4</t>
  </si>
  <si>
    <t>Dr. Herbert-Rein-Straße 1</t>
  </si>
  <si>
    <t>Ost-West-Straße 25</t>
  </si>
  <si>
    <t>Alte Grube Velsen 16</t>
  </si>
  <si>
    <t>Alustraße 7</t>
  </si>
  <si>
    <t>Butterwecker Weg 6</t>
  </si>
  <si>
    <t>Giesestraße 10</t>
  </si>
  <si>
    <t>Koblenzer Straße 141</t>
  </si>
  <si>
    <t>Am Mittleren Moos 60</t>
  </si>
  <si>
    <t>Korzert 15</t>
  </si>
  <si>
    <t>Stadtstraße 20</t>
  </si>
  <si>
    <t>Am Blücherflöz 12</t>
  </si>
  <si>
    <t>Gattingerstr. 31</t>
  </si>
  <si>
    <t>Industriestr. 300</t>
  </si>
  <si>
    <t>An der Heide B5</t>
  </si>
  <si>
    <t>Deponiestraße 14</t>
  </si>
  <si>
    <t>Geestemünder Straße 23</t>
  </si>
  <si>
    <t>Römereschstrasse 33</t>
  </si>
  <si>
    <t>1341AK</t>
  </si>
  <si>
    <t>4931NC</t>
  </si>
  <si>
    <t>1541KA</t>
  </si>
  <si>
    <t>4622RR</t>
  </si>
  <si>
    <t>4454PM</t>
  </si>
  <si>
    <t>5433NG</t>
  </si>
  <si>
    <t>9251ML</t>
  </si>
  <si>
    <t>1111PP</t>
  </si>
  <si>
    <t>3029AL</t>
  </si>
  <si>
    <t>6541BE</t>
  </si>
  <si>
    <t>8015PA</t>
  </si>
  <si>
    <t>1041AB</t>
  </si>
  <si>
    <t>1041AA</t>
  </si>
  <si>
    <t>1951HJ</t>
  </si>
  <si>
    <t>3542AA</t>
  </si>
  <si>
    <t>3199LA</t>
  </si>
  <si>
    <t>3199LD</t>
  </si>
  <si>
    <t>3534AC</t>
  </si>
  <si>
    <t>3068AX</t>
  </si>
  <si>
    <t>6163HE</t>
  </si>
  <si>
    <t>6051JP</t>
  </si>
  <si>
    <t>9936HD</t>
  </si>
  <si>
    <t>4931NB</t>
  </si>
  <si>
    <t>2518RA</t>
  </si>
  <si>
    <t>5651CD</t>
  </si>
  <si>
    <t>4542NM</t>
  </si>
  <si>
    <t>7547TE</t>
  </si>
  <si>
    <t>7887TN</t>
  </si>
  <si>
    <t>9979XL</t>
  </si>
  <si>
    <t>5705CB</t>
  </si>
  <si>
    <t>5222AH</t>
  </si>
  <si>
    <t>7891XJ</t>
  </si>
  <si>
    <t>2312NV</t>
  </si>
  <si>
    <t>3199LB</t>
  </si>
  <si>
    <t>9979XZ</t>
  </si>
  <si>
    <t>2881RC</t>
  </si>
  <si>
    <t>8221RC</t>
  </si>
  <si>
    <t>4782PM</t>
  </si>
  <si>
    <t>1446TG</t>
  </si>
  <si>
    <t>3196KD</t>
  </si>
  <si>
    <t>7550BD</t>
  </si>
  <si>
    <t>4389PR</t>
  </si>
  <si>
    <t>6081NT</t>
  </si>
  <si>
    <t>1951JZ</t>
  </si>
  <si>
    <t>47400</t>
  </si>
  <si>
    <t>28101</t>
  </si>
  <si>
    <t>00048 Fortum</t>
  </si>
  <si>
    <t>50101</t>
  </si>
  <si>
    <t>68601</t>
  </si>
  <si>
    <t>46900</t>
  </si>
  <si>
    <t>96101</t>
  </si>
  <si>
    <t>44100</t>
  </si>
  <si>
    <t>70901</t>
  </si>
  <si>
    <t>10601</t>
  </si>
  <si>
    <t>37601</t>
  </si>
  <si>
    <t>33101</t>
  </si>
  <si>
    <t>101</t>
  </si>
  <si>
    <t>91100</t>
  </si>
  <si>
    <t>Kuopio</t>
  </si>
  <si>
    <t>86600</t>
  </si>
  <si>
    <t>40101</t>
  </si>
  <si>
    <t>69101</t>
  </si>
  <si>
    <t>48810</t>
  </si>
  <si>
    <t>90</t>
  </si>
  <si>
    <t>240</t>
  </si>
  <si>
    <t>6100</t>
  </si>
  <si>
    <t>29200</t>
  </si>
  <si>
    <t>68820</t>
  </si>
  <si>
    <t>65380</t>
  </si>
  <si>
    <t>1510</t>
  </si>
  <si>
    <t>18101</t>
  </si>
  <si>
    <t>45100</t>
  </si>
  <si>
    <t>131</t>
  </si>
  <si>
    <t>48100</t>
  </si>
  <si>
    <t>100</t>
  </si>
  <si>
    <t>38701</t>
  </si>
  <si>
    <t>13110</t>
  </si>
  <si>
    <t>39501</t>
  </si>
  <si>
    <t>55120</t>
  </si>
  <si>
    <t>48</t>
  </si>
  <si>
    <t>2100</t>
  </si>
  <si>
    <t>98101</t>
  </si>
  <si>
    <t>42301</t>
  </si>
  <si>
    <t>16600</t>
  </si>
  <si>
    <t>95700</t>
  </si>
  <si>
    <t>45700</t>
  </si>
  <si>
    <t>60100</t>
  </si>
  <si>
    <t>21101</t>
  </si>
  <si>
    <t>55800</t>
  </si>
  <si>
    <t>1511</t>
  </si>
  <si>
    <t>87101 Kajaani</t>
  </si>
  <si>
    <t>98100</t>
  </si>
  <si>
    <t>4201</t>
  </si>
  <si>
    <t>34801</t>
  </si>
  <si>
    <t>99800</t>
  </si>
  <si>
    <t>8800</t>
  </si>
  <si>
    <t>32800</t>
  </si>
  <si>
    <t>67101</t>
  </si>
  <si>
    <t>67900</t>
  </si>
  <si>
    <t>15141</t>
  </si>
  <si>
    <t>41920</t>
  </si>
  <si>
    <t>62900</t>
  </si>
  <si>
    <t>48101</t>
  </si>
  <si>
    <t>65170</t>
  </si>
  <si>
    <t>88900</t>
  </si>
  <si>
    <t>44201</t>
  </si>
  <si>
    <t>80100</t>
  </si>
  <si>
    <t>70101</t>
  </si>
  <si>
    <t>53200</t>
  </si>
  <si>
    <t>62100</t>
  </si>
  <si>
    <t>1300</t>
  </si>
  <si>
    <t>90101</t>
  </si>
  <si>
    <t>53101</t>
  </si>
  <si>
    <t>46800</t>
  </si>
  <si>
    <t>65101</t>
  </si>
  <si>
    <t>35800</t>
  </si>
  <si>
    <t>85500</t>
  </si>
  <si>
    <t>27160</t>
  </si>
  <si>
    <t>81330</t>
  </si>
  <si>
    <t>6401</t>
  </si>
  <si>
    <t>97900</t>
  </si>
  <si>
    <t>50100</t>
  </si>
  <si>
    <t>87101</t>
  </si>
  <si>
    <t>92101</t>
  </si>
  <si>
    <t>21201</t>
  </si>
  <si>
    <t>PL 95</t>
  </si>
  <si>
    <t>11101</t>
  </si>
  <si>
    <t>78210</t>
  </si>
  <si>
    <t>95400</t>
  </si>
  <si>
    <t>32440</t>
  </si>
  <si>
    <t>65100</t>
  </si>
  <si>
    <t>71801</t>
  </si>
  <si>
    <t>36270</t>
  </si>
  <si>
    <t>66900</t>
  </si>
  <si>
    <t>48900</t>
  </si>
  <si>
    <t>96100</t>
  </si>
  <si>
    <t>33100</t>
  </si>
  <si>
    <t>12400</t>
  </si>
  <si>
    <t>69300</t>
  </si>
  <si>
    <t>4261</t>
  </si>
  <si>
    <t>81281</t>
  </si>
  <si>
    <t>23501</t>
  </si>
  <si>
    <t>1610</t>
  </si>
  <si>
    <t>42701</t>
  </si>
  <si>
    <t>78201</t>
  </si>
  <si>
    <t>23200</t>
  </si>
  <si>
    <t>94800</t>
  </si>
  <si>
    <t>99</t>
  </si>
  <si>
    <t>66</t>
  </si>
  <si>
    <t>44101</t>
  </si>
  <si>
    <t>33007.0</t>
  </si>
  <si>
    <t>28033.0</t>
  </si>
  <si>
    <t>41004.0</t>
  </si>
  <si>
    <t>48009.0</t>
  </si>
  <si>
    <t>48014.0</t>
  </si>
  <si>
    <t>46023.0</t>
  </si>
  <si>
    <t>10001.0</t>
  </si>
  <si>
    <t>28009.0</t>
  </si>
  <si>
    <t>28015.0</t>
  </si>
  <si>
    <t>20305.0</t>
  </si>
  <si>
    <t>47071.0</t>
  </si>
  <si>
    <t>39011.0</t>
  </si>
  <si>
    <t>17534.0</t>
  </si>
  <si>
    <t>28108.0</t>
  </si>
  <si>
    <t>15701.0</t>
  </si>
  <si>
    <t>50008.0</t>
  </si>
  <si>
    <t>48001.0</t>
  </si>
  <si>
    <t>28036.0</t>
  </si>
  <si>
    <t>28046.0</t>
  </si>
  <si>
    <t>43006.0</t>
  </si>
  <si>
    <t>48008.0</t>
  </si>
  <si>
    <t>30390.0</t>
  </si>
  <si>
    <t>28006.0</t>
  </si>
  <si>
    <t>35008.0</t>
  </si>
  <si>
    <t>48340.0</t>
  </si>
  <si>
    <t>7006.0</t>
  </si>
  <si>
    <t>28043.0</t>
  </si>
  <si>
    <t>8008.0</t>
  </si>
  <si>
    <t>28016.0</t>
  </si>
  <si>
    <t>12002.0</t>
  </si>
  <si>
    <t>43895.0</t>
  </si>
  <si>
    <t>35004.0</t>
  </si>
  <si>
    <t>47140.0</t>
  </si>
  <si>
    <t>25282.0</t>
  </si>
  <si>
    <t>6400.0</t>
  </si>
  <si>
    <t>25550.0</t>
  </si>
  <si>
    <t>15800.0</t>
  </si>
  <si>
    <t>16</t>
  </si>
  <si>
    <t>51</t>
  </si>
  <si>
    <t>15</t>
  </si>
  <si>
    <t>7</t>
  </si>
  <si>
    <t>38</t>
  </si>
  <si>
    <t>21</t>
  </si>
  <si>
    <t>20</t>
  </si>
  <si>
    <t>11</t>
  </si>
  <si>
    <t>32</t>
  </si>
  <si>
    <t>17</t>
  </si>
  <si>
    <t>3</t>
  </si>
  <si>
    <t>24</t>
  </si>
  <si>
    <t>47</t>
  </si>
  <si>
    <t>57</t>
  </si>
  <si>
    <t>28</t>
  </si>
  <si>
    <t>1</t>
  </si>
  <si>
    <t>6</t>
  </si>
  <si>
    <t>39</t>
  </si>
  <si>
    <t>60</t>
  </si>
  <si>
    <t>35</t>
  </si>
  <si>
    <t>45</t>
  </si>
  <si>
    <t>63</t>
  </si>
  <si>
    <t>41</t>
  </si>
  <si>
    <t>18</t>
  </si>
  <si>
    <t>14</t>
  </si>
  <si>
    <t>49</t>
  </si>
  <si>
    <t>25</t>
  </si>
  <si>
    <t>58</t>
  </si>
  <si>
    <t>40</t>
  </si>
  <si>
    <t>53</t>
  </si>
  <si>
    <t>27</t>
  </si>
  <si>
    <t>22</t>
  </si>
  <si>
    <t>30</t>
  </si>
  <si>
    <t>12</t>
  </si>
  <si>
    <t>5</t>
  </si>
  <si>
    <t>46</t>
  </si>
  <si>
    <t>34</t>
  </si>
  <si>
    <t>19</t>
  </si>
  <si>
    <t>23</t>
  </si>
  <si>
    <t>31</t>
  </si>
  <si>
    <t>54</t>
  </si>
  <si>
    <t>70</t>
  </si>
  <si>
    <t>4</t>
  </si>
  <si>
    <t>42</t>
  </si>
  <si>
    <t>61</t>
  </si>
  <si>
    <t>33</t>
  </si>
  <si>
    <t>50</t>
  </si>
  <si>
    <t>29</t>
  </si>
  <si>
    <t>2</t>
  </si>
  <si>
    <t>37</t>
  </si>
  <si>
    <t>77</t>
  </si>
  <si>
    <t>52</t>
  </si>
  <si>
    <t>56</t>
  </si>
  <si>
    <t>8</t>
  </si>
  <si>
    <t>78</t>
  </si>
  <si>
    <t>44</t>
  </si>
  <si>
    <t>55</t>
  </si>
  <si>
    <t>43</t>
  </si>
  <si>
    <t>59</t>
  </si>
  <si>
    <t>26</t>
  </si>
  <si>
    <t>36</t>
  </si>
  <si>
    <t>65</t>
  </si>
  <si>
    <t>74</t>
  </si>
  <si>
    <t>71</t>
  </si>
  <si>
    <t>75</t>
  </si>
  <si>
    <t>76</t>
  </si>
  <si>
    <t>3004</t>
  </si>
  <si>
    <t>4622</t>
  </si>
  <si>
    <t>1108</t>
  </si>
  <si>
    <t>1149</t>
  </si>
  <si>
    <t>4601</t>
  </si>
  <si>
    <t>5421</t>
  </si>
  <si>
    <t>1507</t>
  </si>
  <si>
    <t>301</t>
  </si>
  <si>
    <t>3005</t>
  </si>
  <si>
    <t>4626</t>
  </si>
  <si>
    <t>1146</t>
  </si>
  <si>
    <t>5406</t>
  </si>
  <si>
    <t>4621</t>
  </si>
  <si>
    <t>5037</t>
  </si>
  <si>
    <t>1547</t>
  </si>
  <si>
    <t>4204</t>
  </si>
  <si>
    <t>4635</t>
  </si>
  <si>
    <t>5059</t>
  </si>
  <si>
    <t>1576</t>
  </si>
  <si>
    <t>3403</t>
  </si>
  <si>
    <t>4227</t>
  </si>
  <si>
    <t>8280.0</t>
  </si>
  <si>
    <t>8270.0</t>
  </si>
  <si>
    <t>1000.0</t>
  </si>
  <si>
    <t>3325.0</t>
  </si>
  <si>
    <t>8410.0</t>
  </si>
  <si>
    <t>3494.0</t>
  </si>
  <si>
    <t>1110.0</t>
  </si>
  <si>
    <t>4850.0</t>
  </si>
  <si>
    <t>1220.0</t>
  </si>
  <si>
    <t>4020.0</t>
  </si>
  <si>
    <t>4030.0</t>
  </si>
  <si>
    <t>2103.0</t>
  </si>
  <si>
    <t>5020.0</t>
  </si>
  <si>
    <t>4663.0</t>
  </si>
  <si>
    <t>4600.0</t>
  </si>
  <si>
    <t>31061</t>
  </si>
  <si>
    <t>86972</t>
  </si>
  <si>
    <t>39596</t>
  </si>
  <si>
    <t>15837</t>
  </si>
  <si>
    <t>15848</t>
  </si>
  <si>
    <t>59192</t>
  </si>
  <si>
    <t>12355</t>
  </si>
  <si>
    <t>17291</t>
  </si>
  <si>
    <t>37345</t>
  </si>
  <si>
    <t>59929</t>
  </si>
  <si>
    <t>89584</t>
  </si>
  <si>
    <t>26725</t>
  </si>
  <si>
    <t>49824</t>
  </si>
  <si>
    <t>65439</t>
  </si>
  <si>
    <t>60382</t>
  </si>
  <si>
    <t>33332</t>
  </si>
  <si>
    <t>58099</t>
  </si>
  <si>
    <t>22113</t>
  </si>
  <si>
    <t>31789</t>
  </si>
  <si>
    <t>76187</t>
  </si>
  <si>
    <t>15711</t>
  </si>
  <si>
    <t>85092</t>
  </si>
  <si>
    <t>31628</t>
  </si>
  <si>
    <t>44536</t>
  </si>
  <si>
    <t>6886</t>
  </si>
  <si>
    <t>17139</t>
  </si>
  <si>
    <t>68169</t>
  </si>
  <si>
    <t>68305</t>
  </si>
  <si>
    <t>92318</t>
  </si>
  <si>
    <t>26871</t>
  </si>
  <si>
    <t>75175</t>
  </si>
  <si>
    <t>45665</t>
  </si>
  <si>
    <t>63811</t>
  </si>
  <si>
    <t>65203</t>
  </si>
  <si>
    <t>85406</t>
  </si>
  <si>
    <t>16306</t>
  </si>
  <si>
    <t>26316</t>
  </si>
  <si>
    <t>63741</t>
  </si>
  <si>
    <t>16909</t>
  </si>
  <si>
    <t>89077</t>
  </si>
  <si>
    <t>89542</t>
  </si>
  <si>
    <t>17329</t>
  </si>
  <si>
    <t>79774</t>
  </si>
  <si>
    <t>73776</t>
  </si>
  <si>
    <t>13599</t>
  </si>
  <si>
    <t>13353</t>
  </si>
  <si>
    <t>66450</t>
  </si>
  <si>
    <t>38106</t>
  </si>
  <si>
    <t>28207</t>
  </si>
  <si>
    <t>28237</t>
  </si>
  <si>
    <t>28777</t>
  </si>
  <si>
    <t>45711</t>
  </si>
  <si>
    <t>44357</t>
  </si>
  <si>
    <t>47053</t>
  </si>
  <si>
    <t>47179</t>
  </si>
  <si>
    <t>47180</t>
  </si>
  <si>
    <t>66806</t>
  </si>
  <si>
    <t>91052</t>
  </si>
  <si>
    <t>24939</t>
  </si>
  <si>
    <t>60627</t>
  </si>
  <si>
    <t>45896</t>
  </si>
  <si>
    <t>63538</t>
  </si>
  <si>
    <t>22880</t>
  </si>
  <si>
    <t>59071</t>
  </si>
  <si>
    <t>30419</t>
  </si>
  <si>
    <t>74076</t>
  </si>
  <si>
    <t>44653</t>
  </si>
  <si>
    <t>44652</t>
  </si>
  <si>
    <t>44654</t>
  </si>
  <si>
    <t>A-44655</t>
  </si>
  <si>
    <t>31249</t>
  </si>
  <si>
    <t>49479</t>
  </si>
  <si>
    <t>65926</t>
  </si>
  <si>
    <t>67655</t>
  </si>
  <si>
    <t>76189</t>
  </si>
  <si>
    <t>24149</t>
  </si>
  <si>
    <t>47812</t>
  </si>
  <si>
    <t>51368</t>
  </si>
  <si>
    <t>44537</t>
  </si>
  <si>
    <t>68199</t>
  </si>
  <si>
    <t>45772</t>
  </si>
  <si>
    <t>63067</t>
  </si>
  <si>
    <t>32469</t>
  </si>
  <si>
    <t>32457</t>
  </si>
  <si>
    <t>66287</t>
  </si>
  <si>
    <t>18147</t>
  </si>
  <si>
    <t>66121</t>
  </si>
  <si>
    <t>70376</t>
  </si>
  <si>
    <t>85774</t>
  </si>
  <si>
    <t>46563</t>
  </si>
  <si>
    <t>46562</t>
  </si>
  <si>
    <t>66333</t>
  </si>
  <si>
    <t>74399</t>
  </si>
  <si>
    <t>58791</t>
  </si>
  <si>
    <t>59368</t>
  </si>
  <si>
    <t>26386</t>
  </si>
  <si>
    <t>38436</t>
  </si>
  <si>
    <t>42117</t>
  </si>
  <si>
    <t>59821</t>
  </si>
  <si>
    <t>29525</t>
  </si>
  <si>
    <t>21079</t>
  </si>
  <si>
    <t>79804</t>
  </si>
  <si>
    <t>A-9900</t>
  </si>
  <si>
    <t>94072</t>
  </si>
  <si>
    <t>79713</t>
  </si>
  <si>
    <t>86673</t>
  </si>
  <si>
    <t>84489</t>
  </si>
  <si>
    <t>34549</t>
  </si>
  <si>
    <t>94140</t>
  </si>
  <si>
    <t>57413</t>
  </si>
  <si>
    <t>76596</t>
  </si>
  <si>
    <t>83536</t>
  </si>
  <si>
    <t>21502</t>
  </si>
  <si>
    <t>97737</t>
  </si>
  <si>
    <t>98746</t>
  </si>
  <si>
    <t>79639</t>
  </si>
  <si>
    <t>94107</t>
  </si>
  <si>
    <t>91230</t>
  </si>
  <si>
    <t>79837</t>
  </si>
  <si>
    <t>A-58313</t>
  </si>
  <si>
    <t>7338</t>
  </si>
  <si>
    <t>76473</t>
  </si>
  <si>
    <t>A-6491</t>
  </si>
  <si>
    <t>A-6200</t>
  </si>
  <si>
    <t>84375</t>
  </si>
  <si>
    <t>82431</t>
  </si>
  <si>
    <t>37547</t>
  </si>
  <si>
    <t>A-6183</t>
  </si>
  <si>
    <t>CH-5080</t>
  </si>
  <si>
    <t>8352</t>
  </si>
  <si>
    <t>72555</t>
  </si>
  <si>
    <t>86633</t>
  </si>
  <si>
    <t>84524</t>
  </si>
  <si>
    <t>56332</t>
  </si>
  <si>
    <t>1462</t>
  </si>
  <si>
    <t>83131</t>
  </si>
  <si>
    <t>83080</t>
  </si>
  <si>
    <t>A-6794</t>
  </si>
  <si>
    <t>94034</t>
  </si>
  <si>
    <t>94036</t>
  </si>
  <si>
    <t>84567</t>
  </si>
  <si>
    <t>93102</t>
  </si>
  <si>
    <t>A-6522</t>
  </si>
  <si>
    <t>79790</t>
  </si>
  <si>
    <t>79618</t>
  </si>
  <si>
    <t>83101</t>
  </si>
  <si>
    <t>87672</t>
  </si>
  <si>
    <t>83543</t>
  </si>
  <si>
    <t>79603</t>
  </si>
  <si>
    <t>54340</t>
  </si>
  <si>
    <t>7907</t>
  </si>
  <si>
    <t>A-6424</t>
  </si>
  <si>
    <t>83564</t>
  </si>
  <si>
    <t>A-4782</t>
  </si>
  <si>
    <t>84533</t>
  </si>
  <si>
    <t>94315</t>
  </si>
  <si>
    <t>92555</t>
  </si>
  <si>
    <t>84513</t>
  </si>
  <si>
    <t>A-6774</t>
  </si>
  <si>
    <t>83620</t>
  </si>
  <si>
    <t>A-6773</t>
  </si>
  <si>
    <t>L -9401</t>
  </si>
  <si>
    <t>85088</t>
  </si>
  <si>
    <t>79761</t>
  </si>
  <si>
    <t>85368</t>
  </si>
  <si>
    <t>83512</t>
  </si>
  <si>
    <t>79664</t>
  </si>
  <si>
    <t>38889</t>
  </si>
  <si>
    <t>54487</t>
  </si>
  <si>
    <t>79777</t>
  </si>
  <si>
    <t>57439</t>
  </si>
  <si>
    <t>86977</t>
  </si>
  <si>
    <t>88451</t>
  </si>
  <si>
    <t>84130</t>
  </si>
  <si>
    <t>85462</t>
  </si>
  <si>
    <t>56821</t>
  </si>
  <si>
    <t>86679</t>
  </si>
  <si>
    <t>56850</t>
  </si>
  <si>
    <t>84051</t>
  </si>
  <si>
    <t>54450</t>
  </si>
  <si>
    <t>52396</t>
  </si>
  <si>
    <t>89420</t>
  </si>
  <si>
    <t>85049</t>
  </si>
  <si>
    <t>86916</t>
  </si>
  <si>
    <t>88457</t>
  </si>
  <si>
    <t>56073</t>
  </si>
  <si>
    <t>89415</t>
  </si>
  <si>
    <t>86983</t>
  </si>
  <si>
    <t>86405</t>
  </si>
  <si>
    <t>86504</t>
  </si>
  <si>
    <t>56254</t>
  </si>
  <si>
    <t>56858</t>
  </si>
  <si>
    <t>84100</t>
  </si>
  <si>
    <t>84183</t>
  </si>
  <si>
    <t>85445</t>
  </si>
  <si>
    <t>86698</t>
  </si>
  <si>
    <t>94431</t>
  </si>
  <si>
    <t>94447</t>
  </si>
  <si>
    <t>86931</t>
  </si>
  <si>
    <t>86641</t>
  </si>
  <si>
    <t>86643</t>
  </si>
  <si>
    <t>86937</t>
  </si>
  <si>
    <t>86511</t>
  </si>
  <si>
    <t>86956</t>
  </si>
  <si>
    <t>82064</t>
  </si>
  <si>
    <t>88459</t>
  </si>
  <si>
    <t>84184</t>
  </si>
  <si>
    <t>54234</t>
  </si>
  <si>
    <t>82432</t>
  </si>
  <si>
    <t>94522</t>
  </si>
  <si>
    <t>54492</t>
  </si>
  <si>
    <t>84579</t>
  </si>
  <si>
    <t>A-06710</t>
  </si>
  <si>
    <t>AT-6794</t>
  </si>
  <si>
    <t>4007</t>
  </si>
  <si>
    <t>4564</t>
  </si>
  <si>
    <t>2943</t>
  </si>
  <si>
    <t>9115</t>
  </si>
  <si>
    <t>9116</t>
  </si>
  <si>
    <t>3052</t>
  </si>
  <si>
    <t>6682</t>
  </si>
  <si>
    <t>50226</t>
  </si>
  <si>
    <t>41517</t>
  </si>
  <si>
    <t>38350</t>
  </si>
  <si>
    <t>50354</t>
  </si>
  <si>
    <t>34134</t>
  </si>
  <si>
    <t>50769</t>
  </si>
  <si>
    <t>4613</t>
  </si>
  <si>
    <t>50129</t>
  </si>
  <si>
    <t>3185</t>
  </si>
  <si>
    <t>6258</t>
  </si>
  <si>
    <t>3130</t>
  </si>
  <si>
    <t>6679</t>
  </si>
  <si>
    <t>52249</t>
  </si>
  <si>
    <t>53909</t>
  </si>
  <si>
    <t>53879</t>
  </si>
  <si>
    <t>52428</t>
  </si>
  <si>
    <t>6420</t>
  </si>
  <si>
    <t>50127</t>
  </si>
  <si>
    <t>6712</t>
  </si>
  <si>
    <t>47198</t>
  </si>
  <si>
    <t>6317</t>
  </si>
  <si>
    <t>52355</t>
  </si>
  <si>
    <t>16356</t>
  </si>
  <si>
    <t>17389</t>
  </si>
  <si>
    <t>86167</t>
  </si>
  <si>
    <t>39249</t>
  </si>
  <si>
    <t>34225</t>
  </si>
  <si>
    <t>10179</t>
  </si>
  <si>
    <t>10589</t>
  </si>
  <si>
    <t>12207</t>
  </si>
  <si>
    <t>10317</t>
  </si>
  <si>
    <t>6406</t>
  </si>
  <si>
    <t>33611</t>
  </si>
  <si>
    <t>33649</t>
  </si>
  <si>
    <t>33697</t>
  </si>
  <si>
    <t>6749</t>
  </si>
  <si>
    <t>44799</t>
  </si>
  <si>
    <t>44805</t>
  </si>
  <si>
    <t>53115</t>
  </si>
  <si>
    <t>53121</t>
  </si>
  <si>
    <t>14772</t>
  </si>
  <si>
    <t>14774</t>
  </si>
  <si>
    <t>38112</t>
  </si>
  <si>
    <t>84508</t>
  </si>
  <si>
    <t>9114</t>
  </si>
  <si>
    <t>6842</t>
  </si>
  <si>
    <t>41539</t>
  </si>
  <si>
    <t>44143</t>
  </si>
  <si>
    <t>1169</t>
  </si>
  <si>
    <t>47249</t>
  </si>
  <si>
    <t>40221</t>
  </si>
  <si>
    <t>4838</t>
  </si>
  <si>
    <t>26931</t>
  </si>
  <si>
    <t>97483</t>
  </si>
  <si>
    <t>99085</t>
  </si>
  <si>
    <t>99087</t>
  </si>
  <si>
    <t>A-91052</t>
  </si>
  <si>
    <t>15236</t>
  </si>
  <si>
    <t>60528</t>
  </si>
  <si>
    <t>79108</t>
  </si>
  <si>
    <t>7546</t>
  </si>
  <si>
    <t>37075</t>
  </si>
  <si>
    <t>17489</t>
  </si>
  <si>
    <t>33334</t>
  </si>
  <si>
    <t>6130</t>
  </si>
  <si>
    <t>21107</t>
  </si>
  <si>
    <t>30169</t>
  </si>
  <si>
    <t>58313</t>
  </si>
  <si>
    <t>A-36266</t>
  </si>
  <si>
    <t>7749</t>
  </si>
  <si>
    <t>24116</t>
  </si>
  <si>
    <t>32278</t>
  </si>
  <si>
    <t>50677</t>
  </si>
  <si>
    <t>50735</t>
  </si>
  <si>
    <t>50351</t>
  </si>
  <si>
    <t>47809</t>
  </si>
  <si>
    <t>4105</t>
  </si>
  <si>
    <t>6237</t>
  </si>
  <si>
    <t>49811</t>
  </si>
  <si>
    <t>67056</t>
  </si>
  <si>
    <t>80807</t>
  </si>
  <si>
    <t>81371</t>
  </si>
  <si>
    <t>48145</t>
  </si>
  <si>
    <t>17034</t>
  </si>
  <si>
    <t>93328</t>
  </si>
  <si>
    <t>15806</t>
  </si>
  <si>
    <t>90441</t>
  </si>
  <si>
    <t>90449</t>
  </si>
  <si>
    <t>46045</t>
  </si>
  <si>
    <t>46147</t>
  </si>
  <si>
    <t>63784</t>
  </si>
  <si>
    <t>36269</t>
  </si>
  <si>
    <t>14478</t>
  </si>
  <si>
    <t>72762</t>
  </si>
  <si>
    <t>47495</t>
  </si>
  <si>
    <t>83022</t>
  </si>
  <si>
    <t>83026</t>
  </si>
  <si>
    <t>18069</t>
  </si>
  <si>
    <t>7407</t>
  </si>
  <si>
    <t>65429</t>
  </si>
  <si>
    <t>1987</t>
  </si>
  <si>
    <t>19061</t>
  </si>
  <si>
    <t>19057</t>
  </si>
  <si>
    <t>2979</t>
  </si>
  <si>
    <t>21683</t>
  </si>
  <si>
    <t>39418</t>
  </si>
  <si>
    <t>72072</t>
  </si>
  <si>
    <t>6766</t>
  </si>
  <si>
    <t>76744</t>
  </si>
  <si>
    <t>42275</t>
  </si>
  <si>
    <t>97080</t>
  </si>
  <si>
    <t>39326</t>
  </si>
  <si>
    <t>53910</t>
  </si>
  <si>
    <t>86153</t>
  </si>
  <si>
    <t>86152</t>
  </si>
  <si>
    <t>36433</t>
  </si>
  <si>
    <t>64747</t>
  </si>
  <si>
    <t>44579</t>
  </si>
  <si>
    <t>64293</t>
  </si>
  <si>
    <t>52349</t>
  </si>
  <si>
    <t>A-40699</t>
  </si>
  <si>
    <t>69120</t>
  </si>
  <si>
    <t>47546</t>
  </si>
  <si>
    <t>51109</t>
  </si>
  <si>
    <t>32791</t>
  </si>
  <si>
    <t>32657</t>
  </si>
  <si>
    <t>67065</t>
  </si>
  <si>
    <t>82380</t>
  </si>
  <si>
    <t>71059</t>
  </si>
  <si>
    <t>98528</t>
  </si>
  <si>
    <t>36414</t>
  </si>
  <si>
    <t>50389</t>
  </si>
  <si>
    <t>67547</t>
  </si>
  <si>
    <t>31515</t>
  </si>
  <si>
    <t>89522</t>
  </si>
  <si>
    <t>79106</t>
  </si>
  <si>
    <t>85326</t>
  </si>
  <si>
    <t>83064</t>
  </si>
  <si>
    <t>9648</t>
  </si>
  <si>
    <t>47443</t>
  </si>
  <si>
    <t>70569</t>
  </si>
  <si>
    <t>40589</t>
  </si>
  <si>
    <t>1468</t>
  </si>
  <si>
    <t>49638</t>
  </si>
  <si>
    <t>29416</t>
  </si>
  <si>
    <t>41460</t>
  </si>
  <si>
    <t>9600</t>
  </si>
  <si>
    <t>90471</t>
  </si>
  <si>
    <t>29331</t>
  </si>
  <si>
    <t>66117</t>
  </si>
  <si>
    <t>37213</t>
  </si>
  <si>
    <t>39576</t>
  </si>
  <si>
    <t>36039</t>
  </si>
  <si>
    <t>31171</t>
  </si>
  <si>
    <t>47804</t>
  </si>
  <si>
    <t>40476</t>
  </si>
  <si>
    <t>76742</t>
  </si>
  <si>
    <t>99817</t>
  </si>
  <si>
    <t>39164</t>
  </si>
  <si>
    <t>49808</t>
  </si>
  <si>
    <t>67283</t>
  </si>
  <si>
    <t>56727</t>
  </si>
  <si>
    <t>29699</t>
  </si>
  <si>
    <t>17509</t>
  </si>
  <si>
    <t>9599</t>
  </si>
  <si>
    <t>66740</t>
  </si>
  <si>
    <t>93055</t>
  </si>
  <si>
    <t>66606</t>
  </si>
  <si>
    <t>60327</t>
  </si>
  <si>
    <t>70188</t>
  </si>
  <si>
    <t>1099</t>
  </si>
  <si>
    <t>7549</t>
  </si>
  <si>
    <t>84030</t>
  </si>
  <si>
    <t>73432</t>
  </si>
  <si>
    <t>80809</t>
  </si>
  <si>
    <t>80937</t>
  </si>
  <si>
    <t>25576</t>
  </si>
  <si>
    <t>31857</t>
  </si>
  <si>
    <t>97506</t>
  </si>
  <si>
    <t>89355</t>
  </si>
  <si>
    <t>74382</t>
  </si>
  <si>
    <t>76661</t>
  </si>
  <si>
    <t>14199</t>
  </si>
  <si>
    <t>25541</t>
  </si>
  <si>
    <t>40233</t>
  </si>
  <si>
    <t>36043</t>
  </si>
  <si>
    <t>4668</t>
  </si>
  <si>
    <t>6242</t>
  </si>
  <si>
    <t>85098</t>
  </si>
  <si>
    <t>83734</t>
  </si>
  <si>
    <t>50997</t>
  </si>
  <si>
    <t>71672</t>
  </si>
  <si>
    <t>25588</t>
  </si>
  <si>
    <t>24783</t>
  </si>
  <si>
    <t>16303</t>
  </si>
  <si>
    <t>87448</t>
  </si>
  <si>
    <t>47475</t>
  </si>
  <si>
    <t>87719</t>
  </si>
  <si>
    <t>87666</t>
  </si>
  <si>
    <t>94469</t>
  </si>
  <si>
    <t>47166</t>
  </si>
  <si>
    <t>15890</t>
  </si>
  <si>
    <t>47259</t>
  </si>
  <si>
    <t>24534</t>
  </si>
  <si>
    <t>38239</t>
  </si>
  <si>
    <t>66763</t>
  </si>
  <si>
    <t>25770</t>
  </si>
  <si>
    <t>19053</t>
  </si>
  <si>
    <t>4349</t>
  </si>
  <si>
    <t>87477</t>
  </si>
  <si>
    <t>33609</t>
  </si>
  <si>
    <t>60440</t>
  </si>
  <si>
    <t>60439</t>
  </si>
  <si>
    <t>1983</t>
  </si>
  <si>
    <t>21129</t>
  </si>
  <si>
    <t>30659</t>
  </si>
  <si>
    <t>45329</t>
  </si>
  <si>
    <t>39126</t>
  </si>
  <si>
    <t>46049</t>
  </si>
  <si>
    <t>15562</t>
  </si>
  <si>
    <t>97424</t>
  </si>
  <si>
    <t>71032</t>
  </si>
  <si>
    <t>28219</t>
  </si>
  <si>
    <t>27570</t>
  </si>
  <si>
    <t>79427</t>
  </si>
  <si>
    <t>73037</t>
  </si>
  <si>
    <t>59075</t>
  </si>
  <si>
    <t>A-45699</t>
  </si>
  <si>
    <t>45699</t>
  </si>
  <si>
    <t>85055</t>
  </si>
  <si>
    <t>34123</t>
  </si>
  <si>
    <t>47829</t>
  </si>
  <si>
    <t>2991</t>
  </si>
  <si>
    <t>67063</t>
  </si>
  <si>
    <t>6686</t>
  </si>
  <si>
    <t>63069</t>
  </si>
  <si>
    <t>66954</t>
  </si>
  <si>
    <t>14727</t>
  </si>
  <si>
    <t>66127</t>
  </si>
  <si>
    <t>92421</t>
  </si>
  <si>
    <t>98544</t>
  </si>
  <si>
    <t>58636</t>
  </si>
  <si>
    <t>56626</t>
  </si>
  <si>
    <t>42349</t>
  </si>
  <si>
    <t>25348</t>
  </si>
  <si>
    <t>66538</t>
  </si>
  <si>
    <t>97076</t>
  </si>
  <si>
    <t>65205</t>
  </si>
  <si>
    <t>49477</t>
  </si>
  <si>
    <t>49084</t>
  </si>
  <si>
    <t>Almere</t>
  </si>
  <si>
    <t>Geertruidenberg</t>
  </si>
  <si>
    <t>Koog aan de Zaan</t>
  </si>
  <si>
    <t>Bergen op Zoom</t>
  </si>
  <si>
    <t>Borssele</t>
  </si>
  <si>
    <t>Katwijk (NB)</t>
  </si>
  <si>
    <t>Bergum</t>
  </si>
  <si>
    <t>Diemen</t>
  </si>
  <si>
    <t>Rotterdam</t>
  </si>
  <si>
    <t>Nijmegen</t>
  </si>
  <si>
    <t>Zwolle</t>
  </si>
  <si>
    <t>Amsterdam</t>
  </si>
  <si>
    <t>Velsen</t>
  </si>
  <si>
    <t>Utrecht</t>
  </si>
  <si>
    <t>Rotterdam Maasvlakte</t>
  </si>
  <si>
    <t>Maasvlakte Rotterdam</t>
  </si>
  <si>
    <t>Geleen</t>
  </si>
  <si>
    <t>Maasbracht</t>
  </si>
  <si>
    <t>Farmsum</t>
  </si>
  <si>
    <t>Den Haag</t>
  </si>
  <si>
    <t>Eindhoven</t>
  </si>
  <si>
    <t>Hoek</t>
  </si>
  <si>
    <t>Enschede</t>
  </si>
  <si>
    <t>Erica</t>
  </si>
  <si>
    <t>Eemshaven</t>
  </si>
  <si>
    <t>Helmond</t>
  </si>
  <si>
    <t>'s Hertogenbosch</t>
  </si>
  <si>
    <t>Klazienaveen</t>
  </si>
  <si>
    <t>Leiden</t>
  </si>
  <si>
    <t>Lelystad</t>
  </si>
  <si>
    <t>Moerdijk</t>
  </si>
  <si>
    <t>Purmerend</t>
  </si>
  <si>
    <t>Vondelingenplaat-R'dam</t>
  </si>
  <si>
    <t>Hengelo (O)</t>
  </si>
  <si>
    <t>Ritthem</t>
  </si>
  <si>
    <t>Haelen</t>
  </si>
  <si>
    <t>Velsen-Noord</t>
  </si>
  <si>
    <t>Rueras</t>
  </si>
  <si>
    <t>Sedrun</t>
  </si>
  <si>
    <t>Tavanasa</t>
  </si>
  <si>
    <t>Somvix</t>
  </si>
  <si>
    <t>Dardin, Casut</t>
  </si>
  <si>
    <t>Obersaxen, St. Joseph</t>
  </si>
  <si>
    <t>Waltensburg</t>
  </si>
  <si>
    <t>Ilanz</t>
  </si>
  <si>
    <t>Vals, Staumauer Zervreila</t>
  </si>
  <si>
    <t>St. Martin, Lunschania</t>
  </si>
  <si>
    <t>Sagogn</t>
  </si>
  <si>
    <t>Flims</t>
  </si>
  <si>
    <t>Trin Mulin</t>
  </si>
  <si>
    <t>Trin</t>
  </si>
  <si>
    <t>Ausserferrera</t>
  </si>
  <si>
    <t>Splügen</t>
  </si>
  <si>
    <t>Sufers</t>
  </si>
  <si>
    <t>Andeer</t>
  </si>
  <si>
    <t>Sils, Nisellas</t>
  </si>
  <si>
    <t>Davos, Frauenkirch</t>
  </si>
  <si>
    <t>Davos, Glaris</t>
  </si>
  <si>
    <t>Tiefencastel</t>
  </si>
  <si>
    <t>Bivio</t>
  </si>
  <si>
    <t>Tinizong-Rona</t>
  </si>
  <si>
    <t>Riom - Parsonz</t>
  </si>
  <si>
    <t>Vaz/Obervaz</t>
  </si>
  <si>
    <t>Sils im Domleschg</t>
  </si>
  <si>
    <t>Domat-Ems</t>
  </si>
  <si>
    <t>Litzirüti</t>
  </si>
  <si>
    <t>Lüen, Tewald</t>
  </si>
  <si>
    <t>Chur, Sand</t>
  </si>
  <si>
    <t>Klosters-Dorf</t>
  </si>
  <si>
    <t>Seewis</t>
  </si>
  <si>
    <t>Landquart-Fabriken</t>
  </si>
  <si>
    <t>Vadura</t>
  </si>
  <si>
    <t>Bad Ragaz</t>
  </si>
  <si>
    <t>Vilters</t>
  </si>
  <si>
    <t>Wangs, Gaschiels</t>
  </si>
  <si>
    <t>Buchs, Waldrand</t>
  </si>
  <si>
    <t>Buchs, Steig - Aspenhölzli</t>
  </si>
  <si>
    <t>Buchs, Altendorf</t>
  </si>
  <si>
    <t>Grabs, Bannwald</t>
  </si>
  <si>
    <t>Grabs, Löchli</t>
  </si>
  <si>
    <t>Oberriet, Blatten</t>
  </si>
  <si>
    <t>Heiden, Hinterlochen</t>
  </si>
  <si>
    <t>Untereggen, Lochmüli</t>
  </si>
  <si>
    <t>Steinach</t>
  </si>
  <si>
    <t>Nesslau, unterer Giessenfall</t>
  </si>
  <si>
    <t>Nesslau, Schneit</t>
  </si>
  <si>
    <t>Krummenau</t>
  </si>
  <si>
    <t>Trempel, Ebnat-Kappel</t>
  </si>
  <si>
    <t>Ebnat - Kappel</t>
  </si>
  <si>
    <t>Lichtensteig</t>
  </si>
  <si>
    <t>Bütschwil</t>
  </si>
  <si>
    <t>Mülau bei Bazenheid Kirchberg</t>
  </si>
  <si>
    <t>Glattmüli</t>
  </si>
  <si>
    <t>Rässenaueli</t>
  </si>
  <si>
    <t>Urnäsch</t>
  </si>
  <si>
    <t>St. Gallen</t>
  </si>
  <si>
    <t>St. Gallen, Sittertal</t>
  </si>
  <si>
    <t>St. Gallen, Grafenau</t>
  </si>
  <si>
    <t>Wittenbach</t>
  </si>
  <si>
    <t>Schönenberg</t>
  </si>
  <si>
    <t>Schönenberg an der Thur</t>
  </si>
  <si>
    <t>Bürglen</t>
  </si>
  <si>
    <t>Weinfelden</t>
  </si>
  <si>
    <t>Weinfelden, untere Widen</t>
  </si>
  <si>
    <t>Matzingen</t>
  </si>
  <si>
    <t>Frauenfeld, Schlossmühlestr.</t>
  </si>
  <si>
    <t>Kollbrunn, Gmde. Zell</t>
  </si>
  <si>
    <t>Sennhof, Illnau-Effretikon</t>
  </si>
  <si>
    <t>Neftenbach</t>
  </si>
  <si>
    <t>Hard, Wülflingen in Winterthur</t>
  </si>
  <si>
    <t>Oberuster</t>
  </si>
  <si>
    <t>Zweidlen</t>
  </si>
  <si>
    <t>Hallau</t>
  </si>
  <si>
    <t>Bad Säckingen</t>
  </si>
  <si>
    <t>Schwörstadt</t>
  </si>
  <si>
    <t>Schwörstaddt, KW Ryburg-Schw.</t>
  </si>
  <si>
    <t>Grenzach-Wyhlen</t>
  </si>
  <si>
    <t>Gorges de Court</t>
  </si>
  <si>
    <t>Undervelier, Blanches-Fontaine</t>
  </si>
  <si>
    <t>Chez Theurillat, Haute-Sorne</t>
  </si>
  <si>
    <t>Soyhières</t>
  </si>
  <si>
    <t>Laufen</t>
  </si>
  <si>
    <t>Zwingen</t>
  </si>
  <si>
    <t>Grellingen</t>
  </si>
  <si>
    <t>Dornach</t>
  </si>
  <si>
    <t>Münchenstein</t>
  </si>
  <si>
    <t>Barrage de Kembs</t>
  </si>
  <si>
    <t>Kembs, Loechle</t>
  </si>
  <si>
    <t>Grimsel, Chessituren</t>
  </si>
  <si>
    <t>Guttannen, Spitelnollen</t>
  </si>
  <si>
    <t>Grimsel, Sommerloch u.Hospiz</t>
  </si>
  <si>
    <t>Grimsel, Sommerloch, u.Hospiz</t>
  </si>
  <si>
    <t>Handegg</t>
  </si>
  <si>
    <t>Guttannen, Blatti</t>
  </si>
  <si>
    <t>Innertkirchen, Underürbach</t>
  </si>
  <si>
    <t>Innertkirchen</t>
  </si>
  <si>
    <t>Underi-Furen, Innertkirchen</t>
  </si>
  <si>
    <t>Hopflauenen</t>
  </si>
  <si>
    <t>Meiringen, Haselholz</t>
  </si>
  <si>
    <t>Meiringen</t>
  </si>
  <si>
    <t>Schattenhalb</t>
  </si>
  <si>
    <t>Brienz</t>
  </si>
  <si>
    <t>Lütschental</t>
  </si>
  <si>
    <t>Lauterbrunnen, Stechelberg</t>
  </si>
  <si>
    <t>Saxeten</t>
  </si>
  <si>
    <t>Wilderswil</t>
  </si>
  <si>
    <t>Interlaken, Kanal</t>
  </si>
  <si>
    <t>Unterseen</t>
  </si>
  <si>
    <t>Kandersteg, Eggeschwand</t>
  </si>
  <si>
    <t>Kandersteg, Zilfuri</t>
  </si>
  <si>
    <t>Kandersteg, Dorf</t>
  </si>
  <si>
    <t>Inner-Kandergrund</t>
  </si>
  <si>
    <t>Adelboden, Engstligenalp</t>
  </si>
  <si>
    <t>Reichenbach, Losplatte</t>
  </si>
  <si>
    <t>Adelboden, Moosweid</t>
  </si>
  <si>
    <t>Adelboden</t>
  </si>
  <si>
    <t>Längmad am Thunersee</t>
  </si>
  <si>
    <t>St. Stephan, Matten</t>
  </si>
  <si>
    <t>St. Stephan</t>
  </si>
  <si>
    <t>Boltigen, Garstatt</t>
  </si>
  <si>
    <t>Weissenburg</t>
  </si>
  <si>
    <t>Simmenfluh (Wimmis)</t>
  </si>
  <si>
    <t>Thun</t>
  </si>
  <si>
    <t>Thun, Kanal (Uttigenstr.)</t>
  </si>
  <si>
    <t>Bern, Matte</t>
  </si>
  <si>
    <t>Engehalde</t>
  </si>
  <si>
    <t>Buttenried</t>
  </si>
  <si>
    <t>Innergsteig</t>
  </si>
  <si>
    <t>Lauenen bei Gstaad</t>
  </si>
  <si>
    <t>Gsteig b.Gstaad</t>
  </si>
  <si>
    <t>Château d'Oex, Gérignoz</t>
  </si>
  <si>
    <t>Grandvillard</t>
  </si>
  <si>
    <t>Charmey, La Tzintre</t>
  </si>
  <si>
    <t>Charmey, Le Perré</t>
  </si>
  <si>
    <t>Rossens</t>
  </si>
  <si>
    <t>Fribourg, Maigrauge</t>
  </si>
  <si>
    <t>Fribourg, Oelberg</t>
  </si>
  <si>
    <t>Niederried, Radelfingen</t>
  </si>
  <si>
    <t>Hagneck</t>
  </si>
  <si>
    <t>Vallorbe</t>
  </si>
  <si>
    <t>Orbe</t>
  </si>
  <si>
    <t>Noiraigue, Le Furcil</t>
  </si>
  <si>
    <t>Brot-Dessous, Les Moyats</t>
  </si>
  <si>
    <t>Boudry, Combe-Garot</t>
  </si>
  <si>
    <t>Boudry</t>
  </si>
  <si>
    <t>La Serrière, Neuchâtel</t>
  </si>
  <si>
    <t>Sonceboz</t>
  </si>
  <si>
    <t>Péry, Rondchâtel</t>
  </si>
  <si>
    <t>Biel-Bözingen</t>
  </si>
  <si>
    <t>Rüderswil</t>
  </si>
  <si>
    <t>Gohlhusbrügg, Lützelflüh</t>
  </si>
  <si>
    <t>Wiler bei Utzenstorf</t>
  </si>
  <si>
    <t>Derendingen</t>
  </si>
  <si>
    <t>Riedholz</t>
  </si>
  <si>
    <t>Oberwynau</t>
  </si>
  <si>
    <t>Schwarzhäusern</t>
  </si>
  <si>
    <t>Boningen</t>
  </si>
  <si>
    <t>Olten</t>
  </si>
  <si>
    <t>Niedergösgen</t>
  </si>
  <si>
    <t>Aarau</t>
  </si>
  <si>
    <t>Auenstein</t>
  </si>
  <si>
    <t>Rupperswil</t>
  </si>
  <si>
    <t>Schinznach-Dorf</t>
  </si>
  <si>
    <t>Villnachern</t>
  </si>
  <si>
    <t>Döttingen</t>
  </si>
  <si>
    <t>Klingnau, Gippingen</t>
  </si>
  <si>
    <t>Andermatt</t>
  </si>
  <si>
    <t>Göschenen</t>
  </si>
  <si>
    <t>Pfaffensprung</t>
  </si>
  <si>
    <t>Wassen, Pfaffensprung</t>
  </si>
  <si>
    <t>Gurtnellen</t>
  </si>
  <si>
    <t>Bristen</t>
  </si>
  <si>
    <t>Erstfeld, Ripshusen</t>
  </si>
  <si>
    <t>Unterschächen</t>
  </si>
  <si>
    <t>Altdorf</t>
  </si>
  <si>
    <t>Isenthal</t>
  </si>
  <si>
    <t>Seedorf</t>
  </si>
  <si>
    <t>Bisisthal, Sahli</t>
  </si>
  <si>
    <t>Muotathal</t>
  </si>
  <si>
    <t>Steinen, Müliacher</t>
  </si>
  <si>
    <t>Beckenried</t>
  </si>
  <si>
    <t>Engelberg, Stalden</t>
  </si>
  <si>
    <t>Engelberg</t>
  </si>
  <si>
    <t>Grafenort</t>
  </si>
  <si>
    <t>Wolfenschiessen, Flüglisloo</t>
  </si>
  <si>
    <t>Oberrickenbach</t>
  </si>
  <si>
    <t>Lungern</t>
  </si>
  <si>
    <t>Giswil</t>
  </si>
  <si>
    <t>Sachseln, Obflue</t>
  </si>
  <si>
    <t>Kerns, Stöckalp</t>
  </si>
  <si>
    <t>Kerns, Wisserlen</t>
  </si>
  <si>
    <t>Alpnach, Eichibrücke</t>
  </si>
  <si>
    <t>Stansstad, Rotzloch</t>
  </si>
  <si>
    <t>Luzern</t>
  </si>
  <si>
    <t>Wolhusen</t>
  </si>
  <si>
    <t>Malters</t>
  </si>
  <si>
    <t>Kriens/Obernau</t>
  </si>
  <si>
    <t>Littau</t>
  </si>
  <si>
    <t>Emmenbrücke</t>
  </si>
  <si>
    <t>Emmen</t>
  </si>
  <si>
    <t>Perlen, Buchrain</t>
  </si>
  <si>
    <t>Perlen, Root</t>
  </si>
  <si>
    <t>Unterägeri</t>
  </si>
  <si>
    <t>Neuägeri, Gmde Menzingen</t>
  </si>
  <si>
    <t>Lorzentobel, Nidfuren</t>
  </si>
  <si>
    <t>Lorzentobel</t>
  </si>
  <si>
    <t>Baar</t>
  </si>
  <si>
    <t>Friesencham, Cham</t>
  </si>
  <si>
    <t>Bremgarten</t>
  </si>
  <si>
    <t>Linthal, Ochsenstafel</t>
  </si>
  <si>
    <t>Linthal, Tierfehd</t>
  </si>
  <si>
    <t>Linthal, Stachelberg</t>
  </si>
  <si>
    <t>Braunwald</t>
  </si>
  <si>
    <t>Rüti, Gmde Glarus Süd</t>
  </si>
  <si>
    <t>Diesbach</t>
  </si>
  <si>
    <t>Hätzingen</t>
  </si>
  <si>
    <t>Schwanden</t>
  </si>
  <si>
    <t>Elm</t>
  </si>
  <si>
    <t>Matt</t>
  </si>
  <si>
    <t>Engi (Glarus Süd)</t>
  </si>
  <si>
    <t>Engi, Vorderdorf (Glarus Süd)</t>
  </si>
  <si>
    <t>Engi, Unter Engi</t>
  </si>
  <si>
    <t>Mitlödi (Glarus Süd)</t>
  </si>
  <si>
    <t>Ennenda</t>
  </si>
  <si>
    <t>Mitlödi, Gmde. Glarus Süd</t>
  </si>
  <si>
    <t>Ennenda, Alpenbrüggli</t>
  </si>
  <si>
    <t>Netstal</t>
  </si>
  <si>
    <t>Mels</t>
  </si>
  <si>
    <t>Mels, Steigs</t>
  </si>
  <si>
    <t>Mels, Plons</t>
  </si>
  <si>
    <t>Flums</t>
  </si>
  <si>
    <t>Flums, Rüfi</t>
  </si>
  <si>
    <t>Mols, Tal</t>
  </si>
  <si>
    <t>Murgtal, Unter Plätz</t>
  </si>
  <si>
    <t>Murg, unterhalb Gödis</t>
  </si>
  <si>
    <t>Murg</t>
  </si>
  <si>
    <t>Amden, Muslen</t>
  </si>
  <si>
    <t>Rütiberg / Näfels</t>
  </si>
  <si>
    <t>Näfels</t>
  </si>
  <si>
    <t>Uznach</t>
  </si>
  <si>
    <t>Vorderthal, Rempen</t>
  </si>
  <si>
    <t>Siebnen</t>
  </si>
  <si>
    <t>Galgenen, Vorauen</t>
  </si>
  <si>
    <t>Rüti</t>
  </si>
  <si>
    <t>Altendorf</t>
  </si>
  <si>
    <t>Schindellegi</t>
  </si>
  <si>
    <t>Wollerau</t>
  </si>
  <si>
    <t>Zürich</t>
  </si>
  <si>
    <t>Baden</t>
  </si>
  <si>
    <t>Baden, Chappelerhof</t>
  </si>
  <si>
    <t>Untersiggenthal, Schiffmüli</t>
  </si>
  <si>
    <t>Untersiggenthal</t>
  </si>
  <si>
    <t>Ulrichen, Altstafel</t>
  </si>
  <si>
    <t>Oberwald, St. Niklaus</t>
  </si>
  <si>
    <t>Ulrichen, zum Loch</t>
  </si>
  <si>
    <t xml:space="preserve">Münster, Moos </t>
  </si>
  <si>
    <t>Wiler, Münster-Geschinen</t>
  </si>
  <si>
    <t>Grafschaft</t>
  </si>
  <si>
    <t>Niederernen</t>
  </si>
  <si>
    <t>Heiligkreuz, Längtal</t>
  </si>
  <si>
    <t>Bitsch, Biel</t>
  </si>
  <si>
    <t>Mund, In de Fäldu (Gem.Naters)</t>
  </si>
  <si>
    <t>Ried-Brig</t>
  </si>
  <si>
    <t>Brig-Glis</t>
  </si>
  <si>
    <t>Badhalte, Brig-Glis</t>
  </si>
  <si>
    <t>Saas Almagell, Zermeiggern</t>
  </si>
  <si>
    <t>Saas-Fee, Wichulti</t>
  </si>
  <si>
    <t>Mossjesee, Zermatt</t>
  </si>
  <si>
    <t>Zermatt</t>
  </si>
  <si>
    <t>Täsch</t>
  </si>
  <si>
    <t>St. Niklaus</t>
  </si>
  <si>
    <t>Eisten, VS</t>
  </si>
  <si>
    <t>Törbel, Gappil</t>
  </si>
  <si>
    <t>Stalden, Ackersand</t>
  </si>
  <si>
    <t>Visperterminen, Chrizji</t>
  </si>
  <si>
    <t>Vispenterminen, Stundhüs</t>
  </si>
  <si>
    <t>Tscherggen</t>
  </si>
  <si>
    <t>Eischoll</t>
  </si>
  <si>
    <t>Raron</t>
  </si>
  <si>
    <t>Niedergesteln, Turtig</t>
  </si>
  <si>
    <t>Wiler (Lötschen)</t>
  </si>
  <si>
    <t>Ferden</t>
  </si>
  <si>
    <t>Steg-Hohtenn</t>
  </si>
  <si>
    <t>Oberems</t>
  </si>
  <si>
    <t>Oberems, Meretschialp</t>
  </si>
  <si>
    <t>Turtmann, Müllacheren</t>
  </si>
  <si>
    <t>Dalaloch, Leuk-Stadt</t>
  </si>
  <si>
    <t>Chippis</t>
  </si>
  <si>
    <t>Grimentz-Lona, Val de Moiry</t>
  </si>
  <si>
    <t>Ayer, Mottec</t>
  </si>
  <si>
    <t>Ayer, Vissoie</t>
  </si>
  <si>
    <t>Croix / Ayent</t>
  </si>
  <si>
    <t>Chamarin / Ayent</t>
  </si>
  <si>
    <t>Icogne</t>
  </si>
  <si>
    <t>St-Léonard, Mangol</t>
  </si>
  <si>
    <t>St. Léonard</t>
  </si>
  <si>
    <t>Hérémence, Sauterot</t>
  </si>
  <si>
    <t>Hérémence</t>
  </si>
  <si>
    <t>Bramois</t>
  </si>
  <si>
    <t>Siviez, Cleuson</t>
  </si>
  <si>
    <t>Savièse</t>
  </si>
  <si>
    <t>Arbaz</t>
  </si>
  <si>
    <t>Vétroz, Péteille</t>
  </si>
  <si>
    <t>Balavaud / Ardon</t>
  </si>
  <si>
    <t>Stafel</t>
  </si>
  <si>
    <t>Z'Mutt</t>
  </si>
  <si>
    <t>Ferpècle</t>
  </si>
  <si>
    <t>Arolla</t>
  </si>
  <si>
    <t>Fionnay</t>
  </si>
  <si>
    <t>Isérables</t>
  </si>
  <si>
    <t>Les Pontets, Riddes</t>
  </si>
  <si>
    <t>Riddes, Pied du Mont</t>
  </si>
  <si>
    <t>Fionnay, Mauvoisin</t>
  </si>
  <si>
    <t>Riddes, Ecône</t>
  </si>
  <si>
    <t>Leytron</t>
  </si>
  <si>
    <t>Fully</t>
  </si>
  <si>
    <t>Fully, Les Garettes</t>
  </si>
  <si>
    <t>Le Châble, Bagnes</t>
  </si>
  <si>
    <t>Le Châble, Profray, Com.Bagnes</t>
  </si>
  <si>
    <t>Pas-du Lein</t>
  </si>
  <si>
    <t>Vollèges</t>
  </si>
  <si>
    <t>L'Hospitalet</t>
  </si>
  <si>
    <t>Bourg-St-Pierre, La Delise</t>
  </si>
  <si>
    <t>Liddes</t>
  </si>
  <si>
    <t>Le Niollet, Champex</t>
  </si>
  <si>
    <t>Pt. de la Tsi / Liddes</t>
  </si>
  <si>
    <t>Sembrancher, Les Moulins</t>
  </si>
  <si>
    <t>Martigny-Combe</t>
  </si>
  <si>
    <t>Le Châtelard</t>
  </si>
  <si>
    <t>Vallorcine</t>
  </si>
  <si>
    <t>Salvan, Alpage de Barberine</t>
  </si>
  <si>
    <t>Vernayaz</t>
  </si>
  <si>
    <t>Martigny</t>
  </si>
  <si>
    <t>Vernayaz, Miéville</t>
  </si>
  <si>
    <t>Giétroz du Fond</t>
  </si>
  <si>
    <t>Clusanfe</t>
  </si>
  <si>
    <t>Collonges</t>
  </si>
  <si>
    <t>Evionnaz, La Rasse</t>
  </si>
  <si>
    <t>Bex</t>
  </si>
  <si>
    <t>Le Bévieux</t>
  </si>
  <si>
    <t>Etrivouez, Grand Paradis</t>
  </si>
  <si>
    <t>La Frassenaye, Val d'Jlliez</t>
  </si>
  <si>
    <t>Monthey</t>
  </si>
  <si>
    <t>Monthey, Les Nants</t>
  </si>
  <si>
    <t>Vionnaz, Beffeux</t>
  </si>
  <si>
    <t>Les Diablerets, Le Plan</t>
  </si>
  <si>
    <t>Ormont-Dessous, Le Pont</t>
  </si>
  <si>
    <t>Ormont - Dessous, Le Pont</t>
  </si>
  <si>
    <t>Aigle, En la Douve</t>
  </si>
  <si>
    <t>Fontanney, Les Farettes</t>
  </si>
  <si>
    <t>Les Farettes, Aigle</t>
  </si>
  <si>
    <t>Vouvry</t>
  </si>
  <si>
    <t>Saint-Gingolph, Vignolles</t>
  </si>
  <si>
    <t>Veytaux, Chillon</t>
  </si>
  <si>
    <t>Montreux, Sonzier</t>
  </si>
  <si>
    <t>Les Planches, Taulan</t>
  </si>
  <si>
    <t>Rivaz</t>
  </si>
  <si>
    <t>Aubonne</t>
  </si>
  <si>
    <t>Lavigny</t>
  </si>
  <si>
    <t>Genève</t>
  </si>
  <si>
    <t>Veyrier, Iles de Vessy</t>
  </si>
  <si>
    <t>Russin</t>
  </si>
  <si>
    <t>Avully / Chancy</t>
  </si>
  <si>
    <t>Challex</t>
  </si>
  <si>
    <t>Les Brenets, La Rançonnière</t>
  </si>
  <si>
    <t>Les Planchettes</t>
  </si>
  <si>
    <t>Echelles de la Mort</t>
  </si>
  <si>
    <t>Le Noirmont</t>
  </si>
  <si>
    <t>Bedretto, Ossasco</t>
  </si>
  <si>
    <t>Motti della Bolla</t>
  </si>
  <si>
    <t>Airolo</t>
  </si>
  <si>
    <t>Cap.dei Morti</t>
  </si>
  <si>
    <t>Airolo, Launc</t>
  </si>
  <si>
    <t>Piotta</t>
  </si>
  <si>
    <t>Rodi-Fiesso</t>
  </si>
  <si>
    <t xml:space="preserve"> Prato Leventina, P. di Masc.</t>
  </si>
  <si>
    <t>Faido</t>
  </si>
  <si>
    <t>Dalpe</t>
  </si>
  <si>
    <t>Lavorgo, Nivo di Chironico</t>
  </si>
  <si>
    <t>Chironico</t>
  </si>
  <si>
    <t>Personico</t>
  </si>
  <si>
    <t>Ghirone</t>
  </si>
  <si>
    <t>Mesocco, Spina</t>
  </si>
  <si>
    <t>Mesocco, Camou</t>
  </si>
  <si>
    <t>Lostallo, Rura</t>
  </si>
  <si>
    <t>Piani di Verdabbio</t>
  </si>
  <si>
    <t>Grono, Oltra</t>
  </si>
  <si>
    <t>Roveredo</t>
  </si>
  <si>
    <t>Giubiasco</t>
  </si>
  <si>
    <t>Gordola</t>
  </si>
  <si>
    <t>Tenero</t>
  </si>
  <si>
    <t>Piano di Peccia</t>
  </si>
  <si>
    <t>San Carlo</t>
  </si>
  <si>
    <t>Broglio, Corsgèla in Lavizarra</t>
  </si>
  <si>
    <t>Brissago</t>
  </si>
  <si>
    <t>Cerentino, Collinasca</t>
  </si>
  <si>
    <t>Someo, Giumaglio</t>
  </si>
  <si>
    <t>Palagnedra</t>
  </si>
  <si>
    <t>Tegna, Ponte Brolla</t>
  </si>
  <si>
    <t>Sonvico</t>
  </si>
  <si>
    <t>Maroggia</t>
  </si>
  <si>
    <t>Gondo, San Marco</t>
  </si>
  <si>
    <t>Gondo, Tannuwald</t>
  </si>
  <si>
    <t>Poschiavo, Alpe Palü</t>
  </si>
  <si>
    <t>Poschiavo, Bernina</t>
  </si>
  <si>
    <t>Poschiavo, Cavaglia</t>
  </si>
  <si>
    <t>S. Carlo, Robbia</t>
  </si>
  <si>
    <t>San Carlo, Pedecosta</t>
  </si>
  <si>
    <t>Campocologno</t>
  </si>
  <si>
    <t>Casaccia</t>
  </si>
  <si>
    <t>Murtaira</t>
  </si>
  <si>
    <t>Promontogno, Gmde. Bregaglia</t>
  </si>
  <si>
    <t>Scuol</t>
  </si>
  <si>
    <t>Celerina</t>
  </si>
  <si>
    <t>Pontresina, Morteratsch</t>
  </si>
  <si>
    <t>Samedan</t>
  </si>
  <si>
    <t>Susch</t>
  </si>
  <si>
    <t>Lavin</t>
  </si>
  <si>
    <t>Guarda-Giarsun Gmd. Scuol</t>
  </si>
  <si>
    <t>Ardez</t>
  </si>
  <si>
    <t>Tarasp</t>
  </si>
  <si>
    <t>Strada</t>
  </si>
  <si>
    <t>Samnaun-Compatch</t>
  </si>
  <si>
    <t>Samnaun-Compatsch</t>
  </si>
  <si>
    <t>Zernez</t>
  </si>
  <si>
    <t>Martina</t>
  </si>
  <si>
    <t>Sta.Maria</t>
  </si>
  <si>
    <t>Müstair/Chasseras</t>
  </si>
  <si>
    <t>Däniken</t>
  </si>
  <si>
    <t>TORINO</t>
  </si>
  <si>
    <t>APRILIA</t>
  </si>
  <si>
    <t>TARANTO</t>
  </si>
  <si>
    <t>ENTRACQUE</t>
  </si>
  <si>
    <t>LIVORNO FERRARIS</t>
  </si>
  <si>
    <t>LEINI'</t>
  </si>
  <si>
    <t>LOCANA</t>
  </si>
  <si>
    <t>CASSANO D'ADDA</t>
  </si>
  <si>
    <t>PONTI SUL MINCIO</t>
  </si>
  <si>
    <t>TERRANOVA DEI PASSERINI</t>
  </si>
  <si>
    <t>BRESCIA</t>
  </si>
  <si>
    <t>DALMINE</t>
  </si>
  <si>
    <t>MANTOVA</t>
  </si>
  <si>
    <t>FERRERA ERBOGNONE</t>
  </si>
  <si>
    <t>MACCAGNO CON PINO E VEDDASCA</t>
  </si>
  <si>
    <t>SELLERO</t>
  </si>
  <si>
    <t>MILANO</t>
  </si>
  <si>
    <t>MONTANASO LOMBARDO</t>
  </si>
  <si>
    <t>CORNEDO ALL'ISARCO</t>
  </si>
  <si>
    <t>MALLES VENOSTA</t>
  </si>
  <si>
    <t>NATURNO</t>
  </si>
  <si>
    <t>RIVA DEL GARDA</t>
  </si>
  <si>
    <t>EGNA</t>
  </si>
  <si>
    <t>NAGO-TORBOLE</t>
  </si>
  <si>
    <t>VENEZIA</t>
  </si>
  <si>
    <t>VITTORIO VENETO</t>
  </si>
  <si>
    <t>TRIESTE</t>
  </si>
  <si>
    <t>CAVAZZO CARNICO</t>
  </si>
  <si>
    <t>GENOVA</t>
  </si>
  <si>
    <t>LA SPEZIA</t>
  </si>
  <si>
    <t>QUILIANO</t>
  </si>
  <si>
    <t>CAMUGNANO</t>
  </si>
  <si>
    <t>FERRARA</t>
  </si>
  <si>
    <t>CARPI</t>
  </si>
  <si>
    <t>RAVENNA</t>
  </si>
  <si>
    <t>PARMA</t>
  </si>
  <si>
    <t>CASTEL SAN GIOVANNI</t>
  </si>
  <si>
    <t>COLLESALVETTI</t>
  </si>
  <si>
    <t>PIOMBINO</t>
  </si>
  <si>
    <t>LIVORNO</t>
  </si>
  <si>
    <t>ROSIGNANO MARITTIMO</t>
  </si>
  <si>
    <t>CAVRIGLIA</t>
  </si>
  <si>
    <t>GUALDO CATTANEO</t>
  </si>
  <si>
    <t>TERNI</t>
  </si>
  <si>
    <t>PIEGARO</t>
  </si>
  <si>
    <t>FALCONARA MARITTIMA</t>
  </si>
  <si>
    <t>ROMA</t>
  </si>
  <si>
    <t>MONTALTO DI CASTRO</t>
  </si>
  <si>
    <t>CIVITAVECCHIA</t>
  </si>
  <si>
    <t>BUSSI SUL TIRINO</t>
  </si>
  <si>
    <t>ORTONA</t>
  </si>
  <si>
    <t>TERAMO</t>
  </si>
  <si>
    <t>L'AQUILA</t>
  </si>
  <si>
    <t>FANO ADRIANO</t>
  </si>
  <si>
    <t>URURI</t>
  </si>
  <si>
    <t>TERMOLI</t>
  </si>
  <si>
    <t>CAPRIATI A VOLTURNO</t>
  </si>
  <si>
    <t>GIUGLIANO IN CAMPANIA</t>
  </si>
  <si>
    <t>MADDALONI</t>
  </si>
  <si>
    <t>NAPOLI</t>
  </si>
  <si>
    <t>SPARANISE</t>
  </si>
  <si>
    <t>TEVEROLA</t>
  </si>
  <si>
    <t>BRINDISI</t>
  </si>
  <si>
    <t>MODUGNO</t>
  </si>
  <si>
    <t>SAN SEVERO</t>
  </si>
  <si>
    <t>MONOPOLI</t>
  </si>
  <si>
    <t>COSENZA</t>
  </si>
  <si>
    <t>ACRI</t>
  </si>
  <si>
    <t>SAN GIOVANNI IN FIORE</t>
  </si>
  <si>
    <t>ROSSANO</t>
  </si>
  <si>
    <t>SCANDALE</t>
  </si>
  <si>
    <t>COTRONEI</t>
  </si>
  <si>
    <t>AUGUSTA</t>
  </si>
  <si>
    <t>GELA</t>
  </si>
  <si>
    <t>PRIOLO GARGALLO</t>
  </si>
  <si>
    <t>SIRACUSA</t>
  </si>
  <si>
    <t>PORTO EMPEDOCLE</t>
  </si>
  <si>
    <t>SAN FILIPPO DEL MELA</t>
  </si>
  <si>
    <t>TERMINI IMERESE</t>
  </si>
  <si>
    <t>TRAPANI</t>
  </si>
  <si>
    <t>SASSARI</t>
  </si>
  <si>
    <t>PORTOSCUSO</t>
  </si>
  <si>
    <t>SARROCH</t>
  </si>
  <si>
    <t>OVODDA</t>
  </si>
  <si>
    <t>-</t>
  </si>
  <si>
    <t>KAUSALA</t>
  </si>
  <si>
    <t>PORI</t>
  </si>
  <si>
    <t xml:space="preserve"> Mikkeli</t>
  </si>
  <si>
    <t>JAKOBSTAD</t>
  </si>
  <si>
    <t>Inkeroinen</t>
  </si>
  <si>
    <t>ROVANIEMI</t>
  </si>
  <si>
    <t>Äänekoski</t>
  </si>
  <si>
    <t>Toivala</t>
  </si>
  <si>
    <t>68600 Jakobstad</t>
  </si>
  <si>
    <t>Ekenäs</t>
  </si>
  <si>
    <t>Valkeakoski</t>
  </si>
  <si>
    <t>TAMPERE</t>
  </si>
  <si>
    <t>Helsinki</t>
  </si>
  <si>
    <t>91100 Ii</t>
  </si>
  <si>
    <t>Jyväskylä</t>
  </si>
  <si>
    <t>Kannus</t>
  </si>
  <si>
    <t>Hamina</t>
  </si>
  <si>
    <t>HELEN</t>
  </si>
  <si>
    <t>Esse</t>
  </si>
  <si>
    <t>Vantaa</t>
  </si>
  <si>
    <t>Kouvola</t>
  </si>
  <si>
    <t>FORTUM</t>
  </si>
  <si>
    <t>Espoo</t>
  </si>
  <si>
    <t>Jämsänkoski</t>
  </si>
  <si>
    <t>JÄRVELÄ</t>
  </si>
  <si>
    <t>Fortum</t>
  </si>
  <si>
    <t>Pello</t>
  </si>
  <si>
    <t>Rovaniemi</t>
  </si>
  <si>
    <t>Kuusankoski</t>
  </si>
  <si>
    <t>Seinäjoki</t>
  </si>
  <si>
    <t>PL 302</t>
  </si>
  <si>
    <t>Virrat</t>
  </si>
  <si>
    <t>Ivalo</t>
  </si>
  <si>
    <t>Lohja</t>
  </si>
  <si>
    <t>Mikkeli</t>
  </si>
  <si>
    <t>KOKEMÄKI</t>
  </si>
  <si>
    <t>KINTAUS</t>
  </si>
  <si>
    <t>Alajärvi</t>
  </si>
  <si>
    <t>Kuhmo</t>
  </si>
  <si>
    <t>Suolahti</t>
  </si>
  <si>
    <t>KUOPIO</t>
  </si>
  <si>
    <t>Lappeenranta</t>
  </si>
  <si>
    <t xml:space="preserve">Oulu </t>
  </si>
  <si>
    <t>Tampere</t>
  </si>
  <si>
    <t>Mänttä</t>
  </si>
  <si>
    <t xml:space="preserve">Nivala </t>
  </si>
  <si>
    <t>Luhtapohja</t>
  </si>
  <si>
    <t>00101 Helsinki</t>
  </si>
  <si>
    <t xml:space="preserve"> POSIO</t>
  </si>
  <si>
    <t>MIKKELI</t>
  </si>
  <si>
    <t>Kajaani</t>
  </si>
  <si>
    <t>RAISIO</t>
  </si>
  <si>
    <t>26101 RAUMA</t>
  </si>
  <si>
    <t>RIIHIMÄKI</t>
  </si>
  <si>
    <t>Varkaus</t>
  </si>
  <si>
    <t>45100   Kouvola</t>
  </si>
  <si>
    <t>Alastaro</t>
  </si>
  <si>
    <t>Siilinjärvi</t>
  </si>
  <si>
    <t>Kangasala</t>
  </si>
  <si>
    <t>Nykarleby</t>
  </si>
  <si>
    <t>96101 ROVANIEMI</t>
  </si>
  <si>
    <t>Tervakoski</t>
  </si>
  <si>
    <t xml:space="preserve"> Porvoo</t>
  </si>
  <si>
    <t>Uimaharju</t>
  </si>
  <si>
    <t xml:space="preserve">Vantaa </t>
  </si>
  <si>
    <t>Keuruu</t>
  </si>
  <si>
    <t xml:space="preserve">Vaasa </t>
  </si>
  <si>
    <t>Helsingin kaupunki</t>
  </si>
  <si>
    <t xml:space="preserve"> Valkeakoski</t>
  </si>
  <si>
    <t>68600 Pietarsaari</t>
  </si>
  <si>
    <t>HSY</t>
  </si>
  <si>
    <t>ÄÄNEKOSKI</t>
  </si>
  <si>
    <t>Carreño</t>
  </si>
  <si>
    <t>Ribera de Arriba</t>
  </si>
  <si>
    <t>Trillo</t>
  </si>
  <si>
    <t>Tineo</t>
  </si>
  <si>
    <t>Laviana</t>
  </si>
  <si>
    <t>Somiedo</t>
  </si>
  <si>
    <t>Belmonte de Miranda</t>
  </si>
  <si>
    <t>Oviedo</t>
  </si>
  <si>
    <t>Proaza</t>
  </si>
  <si>
    <t>Grandas de Salime</t>
  </si>
  <si>
    <t>Sobrescobio</t>
  </si>
  <si>
    <t>Almaraz</t>
  </si>
  <si>
    <t>Ascó</t>
  </si>
  <si>
    <t>Cofrentes</t>
  </si>
  <si>
    <t>Cartagena</t>
  </si>
  <si>
    <t>Velilla del Río Carrión</t>
  </si>
  <si>
    <t>Langreo</t>
  </si>
  <si>
    <t>Santurtzi</t>
  </si>
  <si>
    <t>Vandellòs i l'Hospitalet de l'Infant</t>
  </si>
  <si>
    <t>Abarán</t>
  </si>
  <si>
    <t>Villaseca de la Sagra</t>
  </si>
  <si>
    <t>Fresno del Río</t>
  </si>
  <si>
    <t>Calzadilla de Tera</t>
  </si>
  <si>
    <t>Ezcaray</t>
  </si>
  <si>
    <t>Alcalá del Júcar</t>
  </si>
  <si>
    <t>Aldeadávila de la Ribera</t>
  </si>
  <si>
    <t>Valle de Yerri/Deierri</t>
  </si>
  <si>
    <t>Cieza</t>
  </si>
  <si>
    <t>Santa Colomba de Curueño</t>
  </si>
  <si>
    <t>Anguiano</t>
  </si>
  <si>
    <t>Campezo/Kanpezu</t>
  </si>
  <si>
    <t>Archena</t>
  </si>
  <si>
    <t>Arenzana de Abajo</t>
  </si>
  <si>
    <t>Markina-Xemein</t>
  </si>
  <si>
    <t>Arano</t>
  </si>
  <si>
    <t>Aoiz/Agoitz</t>
  </si>
  <si>
    <t>Alcolea de Tajo</t>
  </si>
  <si>
    <t>Zeanuri</t>
  </si>
  <si>
    <t>Plasencia</t>
  </si>
  <si>
    <t>Enguídanos</t>
  </si>
  <si>
    <t>Benagéber</t>
  </si>
  <si>
    <t>Zambrana</t>
  </si>
  <si>
    <t>Mahora</t>
  </si>
  <si>
    <t>Santibáñez el Alto</t>
  </si>
  <si>
    <t>Casas de Ves</t>
  </si>
  <si>
    <t>Bugarra</t>
  </si>
  <si>
    <t>Miranda de Ebro</t>
  </si>
  <si>
    <t>Calasparra</t>
  </si>
  <si>
    <t>Puebla de Arenoso</t>
  </si>
  <si>
    <t>Cáseda</t>
  </si>
  <si>
    <t>Viandar de la Vera</t>
  </si>
  <si>
    <t>Fonfría</t>
  </si>
  <si>
    <t>Cedillo</t>
  </si>
  <si>
    <t>Cernadilla</t>
  </si>
  <si>
    <t>Manzaneda</t>
  </si>
  <si>
    <t>Chandrexa de Queixa</t>
  </si>
  <si>
    <t>Luzaide/Valcarlos</t>
  </si>
  <si>
    <t>Béjar</t>
  </si>
  <si>
    <t>Chulilla</t>
  </si>
  <si>
    <t>Cirat</t>
  </si>
  <si>
    <t>Onda</t>
  </si>
  <si>
    <t>Vilariño de Conso</t>
  </si>
  <si>
    <t>Villargordo del Cabriel</t>
  </si>
  <si>
    <t>Cortes de Pallás</t>
  </si>
  <si>
    <t>Logroño</t>
  </si>
  <si>
    <t>Vinuesa</t>
  </si>
  <si>
    <t>Recueja (La)</t>
  </si>
  <si>
    <t>Ollo</t>
  </si>
  <si>
    <t>Cuenca</t>
  </si>
  <si>
    <t>Valladolid</t>
  </si>
  <si>
    <t>Fresneda de Altarejos</t>
  </si>
  <si>
    <t>Motilleja</t>
  </si>
  <si>
    <t>Bera/Vera de Bidasoa</t>
  </si>
  <si>
    <t>Muelas del Pan</t>
  </si>
  <si>
    <t>Peñafiel</t>
  </si>
  <si>
    <t>Guijo de Granadilla</t>
  </si>
  <si>
    <t>Gallipienzo</t>
  </si>
  <si>
    <t>Gavilanes</t>
  </si>
  <si>
    <t>Gestalgar</t>
  </si>
  <si>
    <t>Pola de Gordón (La)</t>
  </si>
  <si>
    <t>Pobra de Trives (A)</t>
  </si>
  <si>
    <t>Guriezo</t>
  </si>
  <si>
    <t>Liétor</t>
  </si>
  <si>
    <t>Alcántara</t>
  </si>
  <si>
    <t>Casas de Benítez</t>
  </si>
  <si>
    <t>Fuensanta</t>
  </si>
  <si>
    <t>Gineta (La)</t>
  </si>
  <si>
    <t>Leitza</t>
  </si>
  <si>
    <t>Andoain</t>
  </si>
  <si>
    <t>Lorcha/Orxa (l')</t>
  </si>
  <si>
    <t>Villalgordo del Júcar</t>
  </si>
  <si>
    <t>Sisante</t>
  </si>
  <si>
    <t>Beintza-Labaien</t>
  </si>
  <si>
    <t>Vegaquemada</t>
  </si>
  <si>
    <t>Mañeru</t>
  </si>
  <si>
    <t>Manises</t>
  </si>
  <si>
    <t>Mansilla de la Sierra</t>
  </si>
  <si>
    <t>Errenteria</t>
  </si>
  <si>
    <t>Talavera de la Reina</t>
  </si>
  <si>
    <t>Santiago-Pontones</t>
  </si>
  <si>
    <t>Minglanilla</t>
  </si>
  <si>
    <t>Quiroga</t>
  </si>
  <si>
    <t>Albacete</t>
  </si>
  <si>
    <t>Goizueta</t>
  </si>
  <si>
    <t>Aberin</t>
  </si>
  <si>
    <t>Baztan</t>
  </si>
  <si>
    <t>Viguera</t>
  </si>
  <si>
    <t>Pedralba</t>
  </si>
  <si>
    <t>Oiartzun</t>
  </si>
  <si>
    <t>Simancas</t>
  </si>
  <si>
    <t>Picazo (El)</t>
  </si>
  <si>
    <t>Hernani</t>
  </si>
  <si>
    <t>Puente del Congosto</t>
  </si>
  <si>
    <t>Lantarón</t>
  </si>
  <si>
    <t>Puerto Seguro</t>
  </si>
  <si>
    <t>Vozmediano</t>
  </si>
  <si>
    <t>Fayos (Los)</t>
  </si>
  <si>
    <t>Valle de Tobalina</t>
  </si>
  <si>
    <t>Viana</t>
  </si>
  <si>
    <t>Villalonga</t>
  </si>
  <si>
    <t>Brieva de Cameros</t>
  </si>
  <si>
    <t>Ribesalbes</t>
  </si>
  <si>
    <t>Toril</t>
  </si>
  <si>
    <t>San Agustín</t>
  </si>
  <si>
    <t>Elgoibar</t>
  </si>
  <si>
    <t>Ribas de Sil</t>
  </si>
  <si>
    <t>Nogueira de Ramuín</t>
  </si>
  <si>
    <t>Haro</t>
  </si>
  <si>
    <t>Pereruela</t>
  </si>
  <si>
    <t>Sunbilla</t>
  </si>
  <si>
    <t>Sangüesa/Zangoza</t>
  </si>
  <si>
    <t>Pelayos</t>
  </si>
  <si>
    <t>Vilamartín de Valdeorras</t>
  </si>
  <si>
    <t>Saucelle</t>
  </si>
  <si>
    <t>Carballeda de Avia</t>
  </si>
  <si>
    <t>Ojós</t>
  </si>
  <si>
    <t>Villamuriel de Cerrato</t>
  </si>
  <si>
    <t>Trespaderne</t>
  </si>
  <si>
    <t>Arrazua-Ubarrundia</t>
  </si>
  <si>
    <t>Urroz-Villa</t>
  </si>
  <si>
    <t>Valdecañas de Tajo</t>
  </si>
  <si>
    <t>Valdeobispo</t>
  </si>
  <si>
    <t>Vallat</t>
  </si>
  <si>
    <t>Mombuey</t>
  </si>
  <si>
    <t>Matallana de Torío</t>
  </si>
  <si>
    <t>Igantzi</t>
  </si>
  <si>
    <t>Villagonzalo de Tormes</t>
  </si>
  <si>
    <t>Villalba de Guardo</t>
  </si>
  <si>
    <t>Villalcampo</t>
  </si>
  <si>
    <t>Olba</t>
  </si>
  <si>
    <t>Vila-real</t>
  </si>
  <si>
    <t>Villarino de los Aires</t>
  </si>
  <si>
    <t>Yesa</t>
  </si>
  <si>
    <t>Solana de Ávila</t>
  </si>
  <si>
    <t>Zubieta</t>
  </si>
  <si>
    <t>Ezkurra</t>
  </si>
  <si>
    <t>Barrios (Los)</t>
  </si>
  <si>
    <t>Cubillos del Sil</t>
  </si>
  <si>
    <t>Escatrón</t>
  </si>
  <si>
    <t>Carboneras</t>
  </si>
  <si>
    <t>Espiel</t>
  </si>
  <si>
    <t>Pontes de García Rodríguez (As)</t>
  </si>
  <si>
    <t>Andorra</t>
  </si>
  <si>
    <t>Ponferrada</t>
  </si>
  <si>
    <t>Rubiá</t>
  </si>
  <si>
    <t>Capela (A)</t>
  </si>
  <si>
    <t>Páramo del Sil</t>
  </si>
  <si>
    <t>Porto</t>
  </si>
  <si>
    <t>Veiga (A)</t>
  </si>
  <si>
    <t>Crémenes</t>
  </si>
  <si>
    <t>Galende</t>
  </si>
  <si>
    <t>Villablino</t>
  </si>
  <si>
    <t>Viana do Bolo</t>
  </si>
  <si>
    <t>Pías</t>
  </si>
  <si>
    <t>Toreno</t>
  </si>
  <si>
    <t>Vilallonga de Ter</t>
  </si>
  <si>
    <t>Cabrales</t>
  </si>
  <si>
    <t>Alcalá del Río</t>
  </si>
  <si>
    <t>Hornachuelos</t>
  </si>
  <si>
    <t>Cortes de la Frontera</t>
  </si>
  <si>
    <t>Guillena</t>
  </si>
  <si>
    <t>Pinos Genil</t>
  </si>
  <si>
    <t>Cantillana</t>
  </si>
  <si>
    <t>Carpio (El)</t>
  </si>
  <si>
    <t>Otívar</t>
  </si>
  <si>
    <t>Nerja</t>
  </si>
  <si>
    <t>Herrera del Duque</t>
  </si>
  <si>
    <t>Alía</t>
  </si>
  <si>
    <t>Gaucín</t>
  </si>
  <si>
    <t>Puente Genil</t>
  </si>
  <si>
    <t>Dílar</t>
  </si>
  <si>
    <t>Úbeda</t>
  </si>
  <si>
    <t>Pampaneira</t>
  </si>
  <si>
    <t>Dúrcal</t>
  </si>
  <si>
    <t>Andújar</t>
  </si>
  <si>
    <t>Ardales</t>
  </si>
  <si>
    <t>Vilches</t>
  </si>
  <si>
    <t>Adamuz</t>
  </si>
  <si>
    <t>Chiclana de Segura</t>
  </si>
  <si>
    <t>Cuevas de San Marcos</t>
  </si>
  <si>
    <t>Lucena</t>
  </si>
  <si>
    <t>Castuera</t>
  </si>
  <si>
    <t>Marmolejo</t>
  </si>
  <si>
    <t>Jabalquinto</t>
  </si>
  <si>
    <t>Castril</t>
  </si>
  <si>
    <t>Freila</t>
  </si>
  <si>
    <t>Güejar Sierra</t>
  </si>
  <si>
    <t>Álora</t>
  </si>
  <si>
    <t>Orellana la Vieja</t>
  </si>
  <si>
    <t>Baeza</t>
  </si>
  <si>
    <t>Cazalla de la Sierra</t>
  </si>
  <si>
    <t>Capileira</t>
  </si>
  <si>
    <t>Talarrubias</t>
  </si>
  <si>
    <t>Jaén</t>
  </si>
  <si>
    <t>Ronda</t>
  </si>
  <si>
    <t>Tolox</t>
  </si>
  <si>
    <t>Écija</t>
  </si>
  <si>
    <t>Yunquera</t>
  </si>
  <si>
    <t>Hornos</t>
  </si>
  <si>
    <t>Montoro</t>
  </si>
  <si>
    <t>Villafranca de Córdoba</t>
  </si>
  <si>
    <t>Naut Aran</t>
  </si>
  <si>
    <t>Térmens</t>
  </si>
  <si>
    <t>Bòrdes (Es)</t>
  </si>
  <si>
    <t>Bossòst</t>
  </si>
  <si>
    <t>Torre de Cabdella (La)</t>
  </si>
  <si>
    <t>Camarasa</t>
  </si>
  <si>
    <t>Flix</t>
  </si>
  <si>
    <t>Gavet de la Conca</t>
  </si>
  <si>
    <t>Berga</t>
  </si>
  <si>
    <t>Lleida</t>
  </si>
  <si>
    <t>Llavorsí</t>
  </si>
  <si>
    <t>Lladorre</t>
  </si>
  <si>
    <t>Oliana</t>
  </si>
  <si>
    <t>Pobla de Segur (La)</t>
  </si>
  <si>
    <t>Canejan</t>
  </si>
  <si>
    <t>Aitona</t>
  </si>
  <si>
    <t>Talarn</t>
  </si>
  <si>
    <t>Vilanova de la Barca</t>
  </si>
  <si>
    <t>Llimiana</t>
  </si>
  <si>
    <t>Vielha e Mijaran</t>
  </si>
  <si>
    <t>Vilaller</t>
  </si>
  <si>
    <t>Darnius</t>
  </si>
  <si>
    <t>Vall de Boí (La)</t>
  </si>
  <si>
    <t>Montanuy</t>
  </si>
  <si>
    <t>Bàscara</t>
  </si>
  <si>
    <t>Os de Balaguer</t>
  </si>
  <si>
    <t>Sopeira</t>
  </si>
  <si>
    <t>Grado (El)</t>
  </si>
  <si>
    <t>Sant Quirze de Besora</t>
  </si>
  <si>
    <t>Pont de Suert (El)</t>
  </si>
  <si>
    <t>Palo</t>
  </si>
  <si>
    <t>Mequinenza</t>
  </si>
  <si>
    <t>Orís</t>
  </si>
  <si>
    <t>Montesquiu</t>
  </si>
  <si>
    <t>Vilademuls</t>
  </si>
  <si>
    <t>Sant Esteve de la Sarga</t>
  </si>
  <si>
    <t>Riba-roja d'Ebre</t>
  </si>
  <si>
    <t>Castillonroy</t>
  </si>
  <si>
    <t>San Miguel de Aguayo</t>
  </si>
  <si>
    <t>Aguilar de Campoo</t>
  </si>
  <si>
    <t>Villayón</t>
  </si>
  <si>
    <t>Bárcena de Pie de Concha</t>
  </si>
  <si>
    <t>Vicedo (O)</t>
  </si>
  <si>
    <t>Ourol</t>
  </si>
  <si>
    <t>Viveiro</t>
  </si>
  <si>
    <t>Boal</t>
  </si>
  <si>
    <t>Aller</t>
  </si>
  <si>
    <t>Outeiro de Rei</t>
  </si>
  <si>
    <t>Peñarrubia</t>
  </si>
  <si>
    <t>Robla (La)</t>
  </si>
  <si>
    <t>Cerceda</t>
  </si>
  <si>
    <t>Boborás</t>
  </si>
  <si>
    <t>Cimanes del Tejar</t>
  </si>
  <si>
    <t>Almoguera</t>
  </si>
  <si>
    <t>Chantada</t>
  </si>
  <si>
    <t>Pastrana</t>
  </si>
  <si>
    <t>Almonacid de Zorita</t>
  </si>
  <si>
    <t>Villamanrique de Tajo</t>
  </si>
  <si>
    <t>Buendía</t>
  </si>
  <si>
    <t>Carrascal del Río</t>
  </si>
  <si>
    <t>Tiemblo (El)</t>
  </si>
  <si>
    <t>Carballiño (O)</t>
  </si>
  <si>
    <t>Carpio de Tajo (El)</t>
  </si>
  <si>
    <t>Castrelo de Miño</t>
  </si>
  <si>
    <t>Lobios</t>
  </si>
  <si>
    <t>Auñón</t>
  </si>
  <si>
    <t>Rioseco de Tapia</t>
  </si>
  <si>
    <t>Mondoñedo</t>
  </si>
  <si>
    <t>Narón</t>
  </si>
  <si>
    <t>Padrenda</t>
  </si>
  <si>
    <t>Vilarmaior</t>
  </si>
  <si>
    <t>Uña</t>
  </si>
  <si>
    <t>Sena de Luna</t>
  </si>
  <si>
    <t>Montederramo</t>
  </si>
  <si>
    <t>Maderuelo</t>
  </si>
  <si>
    <t>Vilasantar</t>
  </si>
  <si>
    <t>Carballedo</t>
  </si>
  <si>
    <t>Villadecanes</t>
  </si>
  <si>
    <t>Navas del Rey</t>
  </si>
  <si>
    <t>Vila de Cruces</t>
  </si>
  <si>
    <t>Cebreros</t>
  </si>
  <si>
    <t>Parada de Sil</t>
  </si>
  <si>
    <t>Muíños</t>
  </si>
  <si>
    <t>Barrios de Luna (Los)</t>
  </si>
  <si>
    <t>San Martín de Valdeiglesias</t>
  </si>
  <si>
    <t>Noia</t>
  </si>
  <si>
    <t>Ourense</t>
  </si>
  <si>
    <t>Fuentidueña</t>
  </si>
  <si>
    <t>Villalba de la Sierra</t>
  </si>
  <si>
    <t>Zorita de los Canes</t>
  </si>
  <si>
    <t>Caldearenas</t>
  </si>
  <si>
    <t>Castiello de Jaca</t>
  </si>
  <si>
    <t>Bielsa</t>
  </si>
  <si>
    <t>Canfranc</t>
  </si>
  <si>
    <t>Peñas de Riglos (Las)</t>
  </si>
  <si>
    <t>Zaragoza</t>
  </si>
  <si>
    <t>Castielfabib</t>
  </si>
  <si>
    <t>Cabanillas</t>
  </si>
  <si>
    <t>Calatayud</t>
  </si>
  <si>
    <t>Sabiñánigo</t>
  </si>
  <si>
    <t>Jaca</t>
  </si>
  <si>
    <t>Añón de Moncayo</t>
  </si>
  <si>
    <t>Tella-Sin</t>
  </si>
  <si>
    <t>Laspuña</t>
  </si>
  <si>
    <t>Marracos</t>
  </si>
  <si>
    <t>Morés</t>
  </si>
  <si>
    <t>Rábanos (Los)</t>
  </si>
  <si>
    <t>Albalate del Arzobispo</t>
  </si>
  <si>
    <t>San Mateo de Gállego</t>
  </si>
  <si>
    <t>Villanúa</t>
  </si>
  <si>
    <t>Foradada del Toscar</t>
  </si>
  <si>
    <t>Espot</t>
  </si>
  <si>
    <t>Esterri d'Àneu</t>
  </si>
  <si>
    <t>Amer</t>
  </si>
  <si>
    <t>Cellera de Ter (La)</t>
  </si>
  <si>
    <t>Vilanova de Sau</t>
  </si>
  <si>
    <t>Seira</t>
  </si>
  <si>
    <t>Susqueda</t>
  </si>
  <si>
    <t>San Roque</t>
  </si>
  <si>
    <t>Castellón de la Plana/Castelló de la Plana</t>
  </si>
  <si>
    <t>Sant Adrià de Besòs</t>
  </si>
  <si>
    <t>Castejón</t>
  </si>
  <si>
    <t>Zierbena</t>
  </si>
  <si>
    <t>Torrelavega</t>
  </si>
  <si>
    <t>Morell (El)</t>
  </si>
  <si>
    <t>Marina de Cudeyo</t>
  </si>
  <si>
    <t>Puertollano</t>
  </si>
  <si>
    <t>Pobla de Mafumet (La)</t>
  </si>
  <si>
    <t>Arteixo</t>
  </si>
  <si>
    <t>Tarragona</t>
  </si>
  <si>
    <t>Bilbao</t>
  </si>
  <si>
    <t>Palos de la Frontera</t>
  </si>
  <si>
    <t>Arcos de la Frontera</t>
  </si>
  <si>
    <t>Arrúbal</t>
  </si>
  <si>
    <t>Palmas de Gran Canaria (Las)</t>
  </si>
  <si>
    <t>San Bartolomé de Tirajana</t>
  </si>
  <si>
    <t>Granadilla de Abona</t>
  </si>
  <si>
    <t>Amorebieta-Etxano</t>
  </si>
  <si>
    <t>Alcúdia</t>
  </si>
  <si>
    <t>Palma</t>
  </si>
  <si>
    <t>Maó</t>
  </si>
  <si>
    <t>Huelva</t>
  </si>
  <si>
    <t>Castelnou</t>
  </si>
  <si>
    <t>Sagunto/Sagunt</t>
  </si>
  <si>
    <t>Málaga</t>
  </si>
  <si>
    <t>Barcelona</t>
  </si>
  <si>
    <t>Morella</t>
  </si>
  <si>
    <t>Biescas</t>
  </si>
  <si>
    <t>Sahún</t>
  </si>
  <si>
    <t>Panticosa</t>
  </si>
  <si>
    <t>Ceuta</t>
  </si>
  <si>
    <t>Deltebre</t>
  </si>
  <si>
    <t>Melilla</t>
  </si>
  <si>
    <t>Eivissa</t>
  </si>
  <si>
    <t>Formentera</t>
  </si>
  <si>
    <t>Millares</t>
  </si>
  <si>
    <t>Ciutadella de Menorca</t>
  </si>
  <si>
    <t>Candelaria</t>
  </si>
  <si>
    <t>Arona</t>
  </si>
  <si>
    <t>Arrecife</t>
  </si>
  <si>
    <t>Puerto del Rosario</t>
  </si>
  <si>
    <t>Breña Alta</t>
  </si>
  <si>
    <t>San Sebastián de la Gomera</t>
  </si>
  <si>
    <t>Valverde</t>
  </si>
  <si>
    <t>Guía de Isora</t>
  </si>
  <si>
    <t>Parres</t>
  </si>
  <si>
    <t>Dueñas</t>
  </si>
  <si>
    <t>Sant Llorenç de Morunys</t>
  </si>
  <si>
    <t>Don Benito</t>
  </si>
  <si>
    <t>Barreiros</t>
  </si>
  <si>
    <t>San Andrés y Sauces</t>
  </si>
  <si>
    <t>Santiso</t>
  </si>
  <si>
    <t>Melide</t>
  </si>
  <si>
    <t>Nome</t>
  </si>
  <si>
    <t>Stryn</t>
  </si>
  <si>
    <t>Fitjar</t>
  </si>
  <si>
    <t>Skien</t>
  </si>
  <si>
    <t>Lebesby</t>
  </si>
  <si>
    <t>Voss</t>
  </si>
  <si>
    <t>Ørsta</t>
  </si>
  <si>
    <t>Etne</t>
  </si>
  <si>
    <t>Giske</t>
  </si>
  <si>
    <t>Kvinnherad</t>
  </si>
  <si>
    <t>Vefsn</t>
  </si>
  <si>
    <t>Sunnfjord</t>
  </si>
  <si>
    <t>Gjemnes</t>
  </si>
  <si>
    <t>Vaksdal</t>
  </si>
  <si>
    <t>Bergen</t>
  </si>
  <si>
    <t>Narvik</t>
  </si>
  <si>
    <t>Beiarn</t>
  </si>
  <si>
    <t>Vindafjord</t>
  </si>
  <si>
    <t>Ringerike</t>
  </si>
  <si>
    <t>Bjørnafjorden</t>
  </si>
  <si>
    <t>Stjørdal</t>
  </si>
  <si>
    <t>Grong</t>
  </si>
  <si>
    <t>Sunndal</t>
  </si>
  <si>
    <t>Aurland</t>
  </si>
  <si>
    <t>Ullensvang</t>
  </si>
  <si>
    <t>Nord-Odal</t>
  </si>
  <si>
    <t>Sørfold</t>
  </si>
  <si>
    <t>Sør-Aurdal</t>
  </si>
  <si>
    <t>Askvoll</t>
  </si>
  <si>
    <t>Målselv</t>
  </si>
  <si>
    <t>Surnadal</t>
  </si>
  <si>
    <t>Storfjord-Omasvuotna-Omasvuono</t>
  </si>
  <si>
    <t>Åfjord</t>
  </si>
  <si>
    <t>Molde</t>
  </si>
  <si>
    <t>Sogndal</t>
  </si>
  <si>
    <t>Ålesund</t>
  </si>
  <si>
    <t>Jevnaker</t>
  </si>
  <si>
    <t>Senja</t>
  </si>
  <si>
    <t>Loppa</t>
  </si>
  <si>
    <t>Nissedal</t>
  </si>
  <si>
    <t>Vågå</t>
  </si>
  <si>
    <t>Lillestrøm</t>
  </si>
  <si>
    <t>Vanylven</t>
  </si>
  <si>
    <t>Høyanger</t>
  </si>
  <si>
    <t>Lund</t>
  </si>
  <si>
    <t>Lindesnes</t>
  </si>
  <si>
    <t>Tysvær</t>
  </si>
  <si>
    <t>Suldal</t>
  </si>
  <si>
    <t>Hemnes</t>
  </si>
  <si>
    <t>Hjartdal</t>
  </si>
  <si>
    <t>Fyresdal</t>
  </si>
  <si>
    <t>Kvam</t>
  </si>
  <si>
    <t>Valle</t>
  </si>
  <si>
    <t>Strand</t>
  </si>
  <si>
    <t>Bremanger</t>
  </si>
  <si>
    <t>Åsnes</t>
  </si>
  <si>
    <t>Brønnøy</t>
  </si>
  <si>
    <t>Alver</t>
  </si>
  <si>
    <t>Høylandet</t>
  </si>
  <si>
    <t>Indre Fosen</t>
  </si>
  <si>
    <t>Sortland %u2013 Suortá</t>
  </si>
  <si>
    <t>Masfjorden</t>
  </si>
  <si>
    <t>Snåase %u2013 Snåsa</t>
  </si>
  <si>
    <t>Sandefjord</t>
  </si>
  <si>
    <t>Lærdal</t>
  </si>
  <si>
    <t>Sarpsborg</t>
  </si>
  <si>
    <t>Rindal</t>
  </si>
  <si>
    <t>Våler (Innlandet)</t>
  </si>
  <si>
    <t xml:space="preserve">Trondheim </t>
  </si>
  <si>
    <t>Steinkjer</t>
  </si>
  <si>
    <t>Rennebu</t>
  </si>
  <si>
    <t>Gloppen</t>
  </si>
  <si>
    <t>Gjøvik</t>
  </si>
  <si>
    <t>Bykle</t>
  </si>
  <si>
    <t>Hasvik</t>
  </si>
  <si>
    <t>Rakkestad</t>
  </si>
  <si>
    <t>Halden</t>
  </si>
  <si>
    <t>Sirdal</t>
  </si>
  <si>
    <t>Hemsedal</t>
  </si>
  <si>
    <t>Fjaler</t>
  </si>
  <si>
    <t>Namsos</t>
  </si>
  <si>
    <t>Sykkylven</t>
  </si>
  <si>
    <t>Modalen</t>
  </si>
  <si>
    <t>Kinn</t>
  </si>
  <si>
    <t>Midtre Gauldal</t>
  </si>
  <si>
    <t>Levanger</t>
  </si>
  <si>
    <t>Vang</t>
  </si>
  <si>
    <t>Eidsvoll</t>
  </si>
  <si>
    <t>Enebakk</t>
  </si>
  <si>
    <t>Stord</t>
  </si>
  <si>
    <t>Froland</t>
  </si>
  <si>
    <t>Guovdageaidnu-Kautokeino</t>
  </si>
  <si>
    <t>Steigen</t>
  </si>
  <si>
    <t>Kvænangen</t>
  </si>
  <si>
    <t>Flatanger</t>
  </si>
  <si>
    <t>Fauske %u2013 Fuossko</t>
  </si>
  <si>
    <t>Melhus</t>
  </si>
  <si>
    <t>Volda</t>
  </si>
  <si>
    <t>Kragerø</t>
  </si>
  <si>
    <t>Sauda</t>
  </si>
  <si>
    <t>Drangedal</t>
  </si>
  <si>
    <t>Nore og Uvdal</t>
  </si>
  <si>
    <t>Bardu</t>
  </si>
  <si>
    <t>Rollag</t>
  </si>
  <si>
    <t>Hitra</t>
  </si>
  <si>
    <t>Søndre Land</t>
  </si>
  <si>
    <t>Saltdal</t>
  </si>
  <si>
    <t>Sandnes</t>
  </si>
  <si>
    <t>Modum</t>
  </si>
  <si>
    <t>Samnanger</t>
  </si>
  <si>
    <t>Fjord</t>
  </si>
  <si>
    <t>Luster</t>
  </si>
  <si>
    <t>Holmestrand</t>
  </si>
  <si>
    <t>Heim</t>
  </si>
  <si>
    <t>Folldal</t>
  </si>
  <si>
    <t>Tromsø</t>
  </si>
  <si>
    <t>Stor-Elvdal</t>
  </si>
  <si>
    <t>Stranda</t>
  </si>
  <si>
    <t>Eigersund</t>
  </si>
  <si>
    <t>Eidfjord</t>
  </si>
  <si>
    <t>Hyllestad</t>
  </si>
  <si>
    <t>Bodø</t>
  </si>
  <si>
    <t>Stad</t>
  </si>
  <si>
    <t>Nord-Aurdal</t>
  </si>
  <si>
    <t>Indre Østfold</t>
  </si>
  <si>
    <t>Nesbyen</t>
  </si>
  <si>
    <t>Hadsel</t>
  </si>
  <si>
    <t>Lierne</t>
  </si>
  <si>
    <t>Hurdal</t>
  </si>
  <si>
    <t>Åmli</t>
  </si>
  <si>
    <t>Kviteseid</t>
  </si>
  <si>
    <t>Tysnes</t>
  </si>
  <si>
    <t>Gausdal</t>
  </si>
  <si>
    <t>Notodden</t>
  </si>
  <si>
    <t>Leirfjord</t>
  </si>
  <si>
    <t>Gildeskål</t>
  </si>
  <si>
    <t>Tydal</t>
  </si>
  <si>
    <t>Gratangen</t>
  </si>
  <si>
    <t>Årdal</t>
  </si>
  <si>
    <t>Vestre Slidre</t>
  </si>
  <si>
    <t>Tvedestrand</t>
  </si>
  <si>
    <t>Skjåk</t>
  </si>
  <si>
    <t>Orkland</t>
  </si>
  <si>
    <t>Larvik</t>
  </si>
  <si>
    <t>Tinn</t>
  </si>
  <si>
    <t>Meløy</t>
  </si>
  <si>
    <t>Kongsberg</t>
  </si>
  <si>
    <t>Unjárga-Nesseby</t>
  </si>
  <si>
    <t>Holtålen</t>
  </si>
  <si>
    <t>Harstad - Hárstták</t>
  </si>
  <si>
    <t>Oppdal</t>
  </si>
  <si>
    <t>Bjerkreim</t>
  </si>
  <si>
    <t>Sande</t>
  </si>
  <si>
    <t>Raarvikhe %u2013 Røyrvik</t>
  </si>
  <si>
    <t>Ulvik</t>
  </si>
  <si>
    <t>Seljord</t>
  </si>
  <si>
    <t>Lier</t>
  </si>
  <si>
    <t>Bindal</t>
  </si>
  <si>
    <t>Nordre Land</t>
  </si>
  <si>
    <t>Hægebostad</t>
  </si>
  <si>
    <t>Sigdal</t>
  </si>
  <si>
    <t>Salangen</t>
  </si>
  <si>
    <t>Flå</t>
  </si>
  <si>
    <t>Gáivuotna-Kåfjord-Kaivuono</t>
  </si>
  <si>
    <t>Grimstad</t>
  </si>
  <si>
    <t>Tingvoll</t>
  </si>
  <si>
    <t>Vennesla</t>
  </si>
  <si>
    <t>Birkenes</t>
  </si>
  <si>
    <t>Øvre Eiker</t>
  </si>
  <si>
    <t>Selbu</t>
  </si>
  <si>
    <t>Skaun</t>
  </si>
  <si>
    <t>Oslo</t>
  </si>
  <si>
    <t>Sør-Fron</t>
  </si>
  <si>
    <t>Gulen</t>
  </si>
  <si>
    <t>Vestvågøy</t>
  </si>
  <si>
    <t>Bygland</t>
  </si>
  <si>
    <t>Lyngdal</t>
  </si>
  <si>
    <t>Tjeldsund</t>
  </si>
  <si>
    <t>Gol</t>
  </si>
  <si>
    <t>Osterøy</t>
  </si>
  <si>
    <t>Hå</t>
  </si>
  <si>
    <t>Inderøy</t>
  </si>
  <si>
    <t>Siljan</t>
  </si>
  <si>
    <t>Hol</t>
  </si>
  <si>
    <t>Gjerdrum</t>
  </si>
  <si>
    <t>Lillehammer</t>
  </si>
  <si>
    <t>Nesna</t>
  </si>
  <si>
    <t>Engerdal</t>
  </si>
  <si>
    <t>Flesberg</t>
  </si>
  <si>
    <t>Åseral</t>
  </si>
  <si>
    <t>Nord-Fron</t>
  </si>
  <si>
    <t>Sokndal</t>
  </si>
  <si>
    <t>Nordreisa</t>
  </si>
  <si>
    <t>Rødøy</t>
  </si>
  <si>
    <t>Sør-Varanger</t>
  </si>
  <si>
    <t>Berlevåg</t>
  </si>
  <si>
    <t>Vågan</t>
  </si>
  <si>
    <t>Moskenes</t>
  </si>
  <si>
    <t>Hattfjelldal</t>
  </si>
  <si>
    <t>Røros</t>
  </si>
  <si>
    <t>Lesja</t>
  </si>
  <si>
    <t>Lurøy</t>
  </si>
  <si>
    <t>Midt-Telemark</t>
  </si>
  <si>
    <t>Sula</t>
  </si>
  <si>
    <t>Nærøysund</t>
  </si>
  <si>
    <t>Evje og Hornnes</t>
  </si>
  <si>
    <t>Tynset</t>
  </si>
  <si>
    <t>Namsskogan</t>
  </si>
  <si>
    <t>Andøy</t>
  </si>
  <si>
    <t>Aurskog-Høland</t>
  </si>
  <si>
    <t>Porsanger-Porsá?gu-Porsanki </t>
  </si>
  <si>
    <t>Trysil</t>
  </si>
  <si>
    <t>Lom</t>
  </si>
  <si>
    <t>Balsfjord</t>
  </si>
  <si>
    <t>Vestnes</t>
  </si>
  <si>
    <t>Bamble</t>
  </si>
  <si>
    <t>Ringsaker</t>
  </si>
  <si>
    <t>Øyer</t>
  </si>
  <si>
    <t>Moss</t>
  </si>
  <si>
    <t>Dyrøy</t>
  </si>
  <si>
    <t>Grane</t>
  </si>
  <si>
    <t>Kárá%u0161johka-Karasjok</t>
  </si>
  <si>
    <t>Hareid</t>
  </si>
  <si>
    <t>Evenes</t>
  </si>
  <si>
    <t>Ibestad</t>
  </si>
  <si>
    <t>Hamarøy</t>
  </si>
  <si>
    <t>Nordkapp</t>
  </si>
  <si>
    <t>Stavanger</t>
  </si>
  <si>
    <t>Sel</t>
  </si>
  <si>
    <t>Nittedal</t>
  </si>
  <si>
    <t>Lyngen</t>
  </si>
  <si>
    <t>Dovre</t>
  </si>
  <si>
    <t>Os</t>
  </si>
  <si>
    <t>Alvdal</t>
  </si>
  <si>
    <t>Elverum</t>
  </si>
  <si>
    <t>Øystre Slidre</t>
  </si>
  <si>
    <t>Flakstad</t>
  </si>
  <si>
    <t>Bærum</t>
  </si>
  <si>
    <t>Risør</t>
  </si>
  <si>
    <t>Aremark</t>
  </si>
  <si>
    <t>Ørland</t>
  </si>
  <si>
    <t>Gran</t>
  </si>
  <si>
    <t>Ulstein</t>
  </si>
  <si>
    <t>Verdal</t>
  </si>
  <si>
    <t>Overhalla</t>
  </si>
  <si>
    <t>Gjerstad</t>
  </si>
  <si>
    <t>Vestre Toten</t>
  </si>
  <si>
    <t>Ringebu</t>
  </si>
  <si>
    <t>Marker</t>
  </si>
  <si>
    <t>Aure</t>
  </si>
  <si>
    <t>Flekkefjord</t>
  </si>
  <si>
    <t>Fredrikstad</t>
  </si>
  <si>
    <t>Karmøy</t>
  </si>
  <si>
    <t>Drammen</t>
  </si>
  <si>
    <t>Øygarden</t>
  </si>
  <si>
    <t>Aukra</t>
  </si>
  <si>
    <t>Kristiansand</t>
  </si>
  <si>
    <t>Hamar</t>
  </si>
  <si>
    <t>Brestanica</t>
  </si>
  <si>
    <t>Ljubljana</t>
  </si>
  <si>
    <t>Šoštanj</t>
  </si>
  <si>
    <t>Oberösterreich</t>
  </si>
  <si>
    <t>Steiermark</t>
  </si>
  <si>
    <t>Niederösterreich</t>
  </si>
  <si>
    <t>Kärnten</t>
  </si>
  <si>
    <t>Salzburg</t>
  </si>
  <si>
    <t>Tirol</t>
  </si>
  <si>
    <t>Wien</t>
  </si>
  <si>
    <t>Neudorf ob Wildon</t>
  </si>
  <si>
    <t>Wien-Simmering</t>
  </si>
  <si>
    <t>TimelkamÂ </t>
  </si>
  <si>
    <t>Wien-Donaustadt</t>
  </si>
  <si>
    <t>Linz</t>
  </si>
  <si>
    <t>Langenzersdorf</t>
  </si>
  <si>
    <t>Wels</t>
  </si>
  <si>
    <t>Copenhagen</t>
  </si>
  <si>
    <t>Kalundborg</t>
  </si>
  <si>
    <t>Avedøre</t>
  </si>
  <si>
    <t>Esbjerg</t>
  </si>
  <si>
    <t>Odense</t>
  </si>
  <si>
    <t>Herning</t>
  </si>
  <si>
    <t>Hornsherred</t>
  </si>
  <si>
    <t>Masnedø</t>
  </si>
  <si>
    <t>Vodskov</t>
  </si>
  <si>
    <t>Bornholm</t>
  </si>
  <si>
    <t>Fredericia</t>
  </si>
  <si>
    <t>Studstrup</t>
  </si>
  <si>
    <t>Alfeld</t>
  </si>
  <si>
    <t>Altenstadt</t>
  </si>
  <si>
    <t>Arneburg</t>
  </si>
  <si>
    <t>Baruth/Mark</t>
  </si>
  <si>
    <t>Beeskow</t>
  </si>
  <si>
    <t>Bergkamen</t>
  </si>
  <si>
    <t>Berlin</t>
  </si>
  <si>
    <t>Bertikow</t>
  </si>
  <si>
    <t>Bischofferode</t>
  </si>
  <si>
    <t xml:space="preserve">Brilon </t>
  </si>
  <si>
    <t>Ehingen</t>
  </si>
  <si>
    <t>Emden</t>
  </si>
  <si>
    <t>Emlichheim</t>
  </si>
  <si>
    <t>Flörsheim Wicker</t>
  </si>
  <si>
    <t>Frankfurt am Main</t>
  </si>
  <si>
    <t>Gütersloh</t>
  </si>
  <si>
    <t>Hagen</t>
  </si>
  <si>
    <t>Hamburg</t>
  </si>
  <si>
    <t>Hameln</t>
  </si>
  <si>
    <t>Karlsruhe</t>
  </si>
  <si>
    <t>Königs Wusterhausen</t>
  </si>
  <si>
    <t>Kösching</t>
  </si>
  <si>
    <t>Landesbergen</t>
  </si>
  <si>
    <t>Lünen</t>
  </si>
  <si>
    <t>Wittenberg/ Piesteritz</t>
  </si>
  <si>
    <t>Malchin</t>
  </si>
  <si>
    <t>Mannheim</t>
  </si>
  <si>
    <t>Neumarkt i.d. Oberpfalz</t>
  </si>
  <si>
    <t>Papenburg</t>
  </si>
  <si>
    <t>Pforzheim</t>
  </si>
  <si>
    <t>Recklinghausen</t>
  </si>
  <si>
    <t>Stockstadt</t>
  </si>
  <si>
    <t>Wiesbaden</t>
  </si>
  <si>
    <t>Zolling</t>
  </si>
  <si>
    <t>Schwedt</t>
  </si>
  <si>
    <t>Varel</t>
  </si>
  <si>
    <t>Aschaffenburg</t>
  </si>
  <si>
    <t>Heiligengrabe</t>
  </si>
  <si>
    <t>Ulm</t>
  </si>
  <si>
    <t>Herbrechtingen</t>
  </si>
  <si>
    <t>Krackow</t>
  </si>
  <si>
    <t>Albbruck</t>
  </si>
  <si>
    <t>Altbach</t>
  </si>
  <si>
    <t>Bexbach</t>
  </si>
  <si>
    <t>Braunschweig</t>
  </si>
  <si>
    <t>Bremen</t>
  </si>
  <si>
    <t>Datteln</t>
  </si>
  <si>
    <t>Dortmund</t>
  </si>
  <si>
    <t>Duisburg</t>
  </si>
  <si>
    <t>Ensdorf</t>
  </si>
  <si>
    <t>Erlangen</t>
  </si>
  <si>
    <t>Flensburg</t>
  </si>
  <si>
    <t>Gelsenkirchen</t>
  </si>
  <si>
    <t>Großkrotzenburg</t>
  </si>
  <si>
    <t>Wedel</t>
  </si>
  <si>
    <t>Hamm-Uentrop</t>
  </si>
  <si>
    <t>Hannover</t>
  </si>
  <si>
    <t>Heilbronn</t>
  </si>
  <si>
    <t>Herne</t>
  </si>
  <si>
    <t>Hohenhameln OT Mehrum</t>
  </si>
  <si>
    <t>Ibbenbüren</t>
  </si>
  <si>
    <t>Industriepark Höchst</t>
  </si>
  <si>
    <t>Kaiserslautern</t>
  </si>
  <si>
    <t>Kiel</t>
  </si>
  <si>
    <t>Krefeld-Uerdingen</t>
  </si>
  <si>
    <t>Leverkusen</t>
  </si>
  <si>
    <t>Marl</t>
  </si>
  <si>
    <t>Offenbach</t>
  </si>
  <si>
    <t>Petershagen</t>
  </si>
  <si>
    <t>Porta Westfalica</t>
  </si>
  <si>
    <t>Quierschied</t>
  </si>
  <si>
    <t>Rostock</t>
  </si>
  <si>
    <t>Saarbrücken</t>
  </si>
  <si>
    <t>Stuttgart</t>
  </si>
  <si>
    <t>Unterföhring</t>
  </si>
  <si>
    <t>Voerde</t>
  </si>
  <si>
    <t>Völklingen-Fenne</t>
  </si>
  <si>
    <t>Walheim</t>
  </si>
  <si>
    <t>Werdohl</t>
  </si>
  <si>
    <t>Werne</t>
  </si>
  <si>
    <t>Wilhelmshaven</t>
  </si>
  <si>
    <t>Wolfsburg</t>
  </si>
  <si>
    <t>Wuppertal</t>
  </si>
  <si>
    <t>Arnsberg</t>
  </si>
  <si>
    <t>Uelzen</t>
  </si>
  <si>
    <t>Dogern</t>
  </si>
  <si>
    <t>Amlach</t>
  </si>
  <si>
    <t>Bad Füssing</t>
  </si>
  <si>
    <t>Bergheim</t>
  </si>
  <si>
    <t>Burghausen</t>
  </si>
  <si>
    <t>Edertal Hemfurth-Edersee</t>
  </si>
  <si>
    <t>Ering</t>
  </si>
  <si>
    <t>Finnentrop</t>
  </si>
  <si>
    <t>Forbach</t>
  </si>
  <si>
    <t>Gars</t>
  </si>
  <si>
    <t>Geesthacht</t>
  </si>
  <si>
    <t>Gemünden</t>
  </si>
  <si>
    <t>Goldisthal</t>
  </si>
  <si>
    <t>Griesbach</t>
  </si>
  <si>
    <t>Happurg</t>
  </si>
  <si>
    <t>Häusern</t>
  </si>
  <si>
    <t>Herdecke</t>
  </si>
  <si>
    <t>Hohenwarte</t>
  </si>
  <si>
    <t>Iffezheim</t>
  </si>
  <si>
    <t>Imsterberg</t>
  </si>
  <si>
    <t>Jenbach</t>
  </si>
  <si>
    <t>Kirchdorf</t>
  </si>
  <si>
    <t>Kochel am See</t>
  </si>
  <si>
    <t>Kreiensen</t>
  </si>
  <si>
    <t>Kühtai</t>
  </si>
  <si>
    <t>Markersbach</t>
  </si>
  <si>
    <t>Metzingen-Glems</t>
  </si>
  <si>
    <t>Neuburg an der Donau</t>
  </si>
  <si>
    <t>Neuötting</t>
  </si>
  <si>
    <t>Lehmen</t>
  </si>
  <si>
    <t>Niederwartha</t>
  </si>
  <si>
    <t>Nußdorf</t>
  </si>
  <si>
    <t>Oberaudorf</t>
  </si>
  <si>
    <t>Partenen</t>
  </si>
  <si>
    <t>Passau</t>
  </si>
  <si>
    <t>Perach</t>
  </si>
  <si>
    <t>Pfatter</t>
  </si>
  <si>
    <t>Prutz</t>
  </si>
  <si>
    <t>Küssaberg</t>
  </si>
  <si>
    <t>Rohrdorf</t>
  </si>
  <si>
    <t>Roßhaupten</t>
  </si>
  <si>
    <t>Rott</t>
  </si>
  <si>
    <t>Schleich</t>
  </si>
  <si>
    <t>Schleiz</t>
  </si>
  <si>
    <t>Silz</t>
  </si>
  <si>
    <t>Soyen</t>
  </si>
  <si>
    <t>St. Florian am Inn</t>
  </si>
  <si>
    <t>Stammham</t>
  </si>
  <si>
    <t>Straubing</t>
  </si>
  <si>
    <t>Trausnitz</t>
  </si>
  <si>
    <t>Töging</t>
  </si>
  <si>
    <t>Tschagguns</t>
  </si>
  <si>
    <t>Vagen</t>
  </si>
  <si>
    <t>Vandans</t>
  </si>
  <si>
    <t>Vianden</t>
  </si>
  <si>
    <t>Vohburg</t>
  </si>
  <si>
    <t>Waldshut-Tiengen</t>
  </si>
  <si>
    <t>Wang</t>
  </si>
  <si>
    <t>Wasserburg</t>
  </si>
  <si>
    <t>Wehr</t>
  </si>
  <si>
    <t>Wendefurth</t>
  </si>
  <si>
    <t>Wintrich</t>
  </si>
  <si>
    <t>Witznau</t>
  </si>
  <si>
    <t>Bremen (Hastedt)</t>
  </si>
  <si>
    <t>Attendorn</t>
  </si>
  <si>
    <t>Burggen</t>
  </si>
  <si>
    <t>Dettingen</t>
  </si>
  <si>
    <t>Dingolfing</t>
  </si>
  <si>
    <t>Eitting</t>
  </si>
  <si>
    <t>Ellenz-Poltersdorf</t>
  </si>
  <si>
    <t>Ellgau</t>
  </si>
  <si>
    <t>Enkirch</t>
  </si>
  <si>
    <t>Essenbach</t>
  </si>
  <si>
    <t>Freudenburg</t>
  </si>
  <si>
    <t>Heimbach</t>
  </si>
  <si>
    <t>Höchstädt</t>
  </si>
  <si>
    <t>Ingolstadt</t>
  </si>
  <si>
    <t>Kaufering</t>
  </si>
  <si>
    <t>Koblenz</t>
  </si>
  <si>
    <t>Lauingen</t>
  </si>
  <si>
    <t>Lechbruck</t>
  </si>
  <si>
    <t>Meitingen</t>
  </si>
  <si>
    <t>Merching</t>
  </si>
  <si>
    <t>Moosburg-Pfrombach</t>
  </si>
  <si>
    <t>Müden</t>
  </si>
  <si>
    <t>Neef</t>
  </si>
  <si>
    <t>Niederaichbach</t>
  </si>
  <si>
    <t>Niederviehbach</t>
  </si>
  <si>
    <t>Oberding</t>
  </si>
  <si>
    <t>Oberndorf</t>
  </si>
  <si>
    <t>Pilsting-Harburg</t>
  </si>
  <si>
    <t>Plattling</t>
  </si>
  <si>
    <t>Prittriching</t>
  </si>
  <si>
    <t>Rain</t>
  </si>
  <si>
    <t>Rennertshofen</t>
  </si>
  <si>
    <t>Scheuring</t>
  </si>
  <si>
    <t>Schmiechen-Unterbergen</t>
  </si>
  <si>
    <t>Schongau</t>
  </si>
  <si>
    <t>Straßlach</t>
  </si>
  <si>
    <t>Tannheim</t>
  </si>
  <si>
    <t>Tiefenbach</t>
  </si>
  <si>
    <t>Trier</t>
  </si>
  <si>
    <t>Walchensee</t>
  </si>
  <si>
    <t>Wallersorf/Ettling</t>
  </si>
  <si>
    <t>Zeltingen</t>
  </si>
  <si>
    <t>Unterneukirchen</t>
  </si>
  <si>
    <t>Nenzing</t>
  </si>
  <si>
    <t>Böhlen</t>
  </si>
  <si>
    <t>Boxberg</t>
  </si>
  <si>
    <t>Chemnitz</t>
  </si>
  <si>
    <t>Cottbus</t>
  </si>
  <si>
    <t>Teuchern</t>
  </si>
  <si>
    <t>Frechen</t>
  </si>
  <si>
    <t>Frimmersdorf</t>
  </si>
  <si>
    <t>Grevenbroich-Frimmersdorf</t>
  </si>
  <si>
    <t>Helmstedt</t>
  </si>
  <si>
    <t>Hürth</t>
  </si>
  <si>
    <t>Kassel</t>
  </si>
  <si>
    <t>Köln</t>
  </si>
  <si>
    <t>Mumsdorf</t>
  </si>
  <si>
    <t>Grevenbroich-Neurath</t>
  </si>
  <si>
    <t>Peitz</t>
  </si>
  <si>
    <t>Schkopau</t>
  </si>
  <si>
    <t>Spremberg</t>
  </si>
  <si>
    <t>Wählitz</t>
  </si>
  <si>
    <t>Eschweiler-Weisweiler</t>
  </si>
  <si>
    <t>Zülpich</t>
  </si>
  <si>
    <t>Euskirchen</t>
  </si>
  <si>
    <t>Jülich</t>
  </si>
  <si>
    <t>Könnern</t>
  </si>
  <si>
    <t>Zeitz</t>
  </si>
  <si>
    <t>Grevenbroich</t>
  </si>
  <si>
    <t>Seegebiet Mansfelder Land</t>
  </si>
  <si>
    <t>Düren</t>
  </si>
  <si>
    <t>Ahrensfelde</t>
  </si>
  <si>
    <t>Anklam</t>
  </si>
  <si>
    <t xml:space="preserve">Augsburg </t>
  </si>
  <si>
    <t>Barby</t>
  </si>
  <si>
    <t>Baunatal</t>
  </si>
  <si>
    <t>Bernburg</t>
  </si>
  <si>
    <t>Bielefeld</t>
  </si>
  <si>
    <t>Bitterfeld</t>
  </si>
  <si>
    <t>Bochum</t>
  </si>
  <si>
    <t>Bonn</t>
  </si>
  <si>
    <t>Brandenburg</t>
  </si>
  <si>
    <t>Burgkirchen</t>
  </si>
  <si>
    <t>Dessau-Roßlau</t>
  </si>
  <si>
    <t>Dormagen</t>
  </si>
  <si>
    <t xml:space="preserve">Dresden </t>
  </si>
  <si>
    <t>Düsseldorf</t>
  </si>
  <si>
    <t>Eilenburg</t>
  </si>
  <si>
    <t>Elsfleth</t>
  </si>
  <si>
    <t>Eltmann</t>
  </si>
  <si>
    <t>Erfurt</t>
  </si>
  <si>
    <t>Frankfurt Oder</t>
  </si>
  <si>
    <t>Freiburg</t>
  </si>
  <si>
    <t>Gera</t>
  </si>
  <si>
    <t>Göttingen</t>
  </si>
  <si>
    <t>Greifswald</t>
  </si>
  <si>
    <t>Hamm</t>
  </si>
  <si>
    <t>Heringen</t>
  </si>
  <si>
    <t>Jena</t>
  </si>
  <si>
    <t>Kirchlengern</t>
  </si>
  <si>
    <t>Hürth-Knapsack</t>
  </si>
  <si>
    <t>Krefeld</t>
  </si>
  <si>
    <t>Leipzig</t>
  </si>
  <si>
    <t>Leuna</t>
  </si>
  <si>
    <t>Lingen</t>
  </si>
  <si>
    <t>Ludwigshafen</t>
  </si>
  <si>
    <t>Mainz</t>
  </si>
  <si>
    <t>München</t>
  </si>
  <si>
    <t>Münster</t>
  </si>
  <si>
    <t>Neubrandenburg</t>
  </si>
  <si>
    <t>Neustadt</t>
  </si>
  <si>
    <t>Nunsdorf</t>
  </si>
  <si>
    <t>Nürnberg</t>
  </si>
  <si>
    <t>Oberhausen</t>
  </si>
  <si>
    <t>Obernburg</t>
  </si>
  <si>
    <t>Philippsthal</t>
  </si>
  <si>
    <t>Potsdam</t>
  </si>
  <si>
    <t>Reutlingen</t>
  </si>
  <si>
    <t>Rheinberg</t>
  </si>
  <si>
    <t>Rosenheim</t>
  </si>
  <si>
    <t>Rudolstadt</t>
  </si>
  <si>
    <t>Rüsselheim</t>
  </si>
  <si>
    <t>Schwarzheide</t>
  </si>
  <si>
    <t>Schwerin</t>
  </si>
  <si>
    <t>Spreetal</t>
  </si>
  <si>
    <t>Stade</t>
  </si>
  <si>
    <t>Staßfurt</t>
  </si>
  <si>
    <t>Tübingen</t>
  </si>
  <si>
    <t>Wolfen</t>
  </si>
  <si>
    <t>Wörth</t>
  </si>
  <si>
    <t>Würzburg</t>
  </si>
  <si>
    <t>Zielitz</t>
  </si>
  <si>
    <t>Augsburg</t>
  </si>
  <si>
    <t>Bad Salzungen</t>
  </si>
  <si>
    <t>Breuberg</t>
  </si>
  <si>
    <t>Castrop-Rauxel</t>
  </si>
  <si>
    <t xml:space="preserve">Darmstadt </t>
  </si>
  <si>
    <t>Erkrath</t>
  </si>
  <si>
    <t>Heidelberg</t>
  </si>
  <si>
    <t>Kalkar</t>
  </si>
  <si>
    <t>Lage</t>
  </si>
  <si>
    <t xml:space="preserve">Lemgo </t>
  </si>
  <si>
    <t>Peißenberg</t>
  </si>
  <si>
    <t>Reitmehring</t>
  </si>
  <si>
    <t>Sindelfingen</t>
  </si>
  <si>
    <t>Suhl</t>
  </si>
  <si>
    <t>Unterbreizbach</t>
  </si>
  <si>
    <t>Wesseling</t>
  </si>
  <si>
    <t>Worms</t>
  </si>
  <si>
    <t>Wunstorf</t>
  </si>
  <si>
    <t>Heidenheim</t>
  </si>
  <si>
    <t>Raubling</t>
  </si>
  <si>
    <t>Kriebstein</t>
  </si>
  <si>
    <t>Moers</t>
  </si>
  <si>
    <t>Moritzburg</t>
  </si>
  <si>
    <t>Nortrup</t>
  </si>
  <si>
    <t>Steinitz</t>
  </si>
  <si>
    <t>Neuss</t>
  </si>
  <si>
    <t>Weißenborn</t>
  </si>
  <si>
    <t>Stade- Bützfleth</t>
  </si>
  <si>
    <t>Lachendorf</t>
  </si>
  <si>
    <t>Witzenhausen</t>
  </si>
  <si>
    <t>Darmstadt</t>
  </si>
  <si>
    <t>Stendal</t>
  </si>
  <si>
    <t>Fulda</t>
  </si>
  <si>
    <t>Nordstemmen</t>
  </si>
  <si>
    <t>Hohenhameln</t>
  </si>
  <si>
    <t>Woerth</t>
  </si>
  <si>
    <t>Eisenach</t>
  </si>
  <si>
    <t>Klein Wanzleben</t>
  </si>
  <si>
    <t>Obrigheim</t>
  </si>
  <si>
    <t>Mayen</t>
  </si>
  <si>
    <t>Bomlitz</t>
  </si>
  <si>
    <t>Lubmin</t>
  </si>
  <si>
    <t>Freiberg</t>
  </si>
  <si>
    <t>Lemgo</t>
  </si>
  <si>
    <t>Saarlouis</t>
  </si>
  <si>
    <t>Regensburg</t>
  </si>
  <si>
    <t>St. Wendel</t>
  </si>
  <si>
    <t>Landshut</t>
  </si>
  <si>
    <t>Aalen</t>
  </si>
  <si>
    <t>Brokdorf</t>
  </si>
  <si>
    <t>Emmerthal</t>
  </si>
  <si>
    <t>Grafenrheinfeld</t>
  </si>
  <si>
    <t>Gundremmingen</t>
  </si>
  <si>
    <t>Neckarwestheim</t>
  </si>
  <si>
    <t>Philippsburg</t>
  </si>
  <si>
    <t>Brunsbüttel</t>
  </si>
  <si>
    <t>Großbothen</t>
  </si>
  <si>
    <t>Großkayna</t>
  </si>
  <si>
    <t>Großmehring</t>
  </si>
  <si>
    <t>Hausham</t>
  </si>
  <si>
    <t>Marbach</t>
  </si>
  <si>
    <t>Oldendorf</t>
  </si>
  <si>
    <t>Osterrönfeld</t>
  </si>
  <si>
    <t>PCK Schwedt</t>
  </si>
  <si>
    <t>Waltenhofen-Veits</t>
  </si>
  <si>
    <t>Kamp-Lintfort</t>
  </si>
  <si>
    <t>Mindelheim</t>
  </si>
  <si>
    <t>Pforzen</t>
  </si>
  <si>
    <t>Deggendorf</t>
  </si>
  <si>
    <t>Duisburg - Ruhrort</t>
  </si>
  <si>
    <t>Eisenhüttenstadt</t>
  </si>
  <si>
    <t>Hamborn</t>
  </si>
  <si>
    <t>Duisburg-Huckingen</t>
  </si>
  <si>
    <t>Neumünster</t>
  </si>
  <si>
    <t>Salzgitter</t>
  </si>
  <si>
    <t>Dillingen/Saar</t>
  </si>
  <si>
    <t>Hemminstedt</t>
  </si>
  <si>
    <t>Völklingen</t>
  </si>
  <si>
    <t>Duisburg-Walsum</t>
  </si>
  <si>
    <t>Sulzberg-Graben / AU 5</t>
  </si>
  <si>
    <t>Großräschen</t>
  </si>
  <si>
    <t>Essen</t>
  </si>
  <si>
    <t>Magdeburg</t>
  </si>
  <si>
    <t>Rüdersdorf bei Berlin</t>
  </si>
  <si>
    <t>Schweinfurt</t>
  </si>
  <si>
    <t>Weisweiler</t>
  </si>
  <si>
    <t>Bitterfeld - Wolfen</t>
  </si>
  <si>
    <t>Böblingen</t>
  </si>
  <si>
    <t>Bremerhaven</t>
  </si>
  <si>
    <t>Eschbach</t>
  </si>
  <si>
    <t>Göppingen</t>
  </si>
  <si>
    <t>Herten</t>
  </si>
  <si>
    <t>Lauta</t>
  </si>
  <si>
    <t>Lützen OT Zorbau</t>
  </si>
  <si>
    <t>Pirmasens</t>
  </si>
  <si>
    <t>Premnitz</t>
  </si>
  <si>
    <t>Saarbrücken-Velsen</t>
  </si>
  <si>
    <t>Schwandorf</t>
  </si>
  <si>
    <t>Zella-Mehlis</t>
  </si>
  <si>
    <t>Iserlohn</t>
  </si>
  <si>
    <t>Andernach</t>
  </si>
  <si>
    <t>Glückstadt</t>
  </si>
  <si>
    <t>Neunkirchen</t>
  </si>
  <si>
    <t>Osnabrück</t>
  </si>
  <si>
    <t>BE</t>
  </si>
  <si>
    <t>NL</t>
  </si>
  <si>
    <t>FR</t>
  </si>
  <si>
    <t>PL</t>
  </si>
  <si>
    <t>CZ</t>
  </si>
  <si>
    <t>CH</t>
  </si>
  <si>
    <t>IT</t>
  </si>
  <si>
    <t>FI</t>
  </si>
  <si>
    <t>ES</t>
  </si>
  <si>
    <t>UK</t>
  </si>
  <si>
    <t>NO</t>
  </si>
  <si>
    <t>SE</t>
  </si>
  <si>
    <t>SK</t>
  </si>
  <si>
    <t>SI</t>
  </si>
  <si>
    <t>AT</t>
  </si>
  <si>
    <t xml:space="preserve">DK </t>
  </si>
  <si>
    <t>DE</t>
  </si>
  <si>
    <t>LU</t>
  </si>
  <si>
    <t>Natural gas</t>
  </si>
  <si>
    <t>Oil</t>
  </si>
  <si>
    <t>Biomass and biogas</t>
  </si>
  <si>
    <t>Hydro</t>
  </si>
  <si>
    <t>Nuclear</t>
  </si>
  <si>
    <t>Non-renewable waste</t>
  </si>
  <si>
    <t>Mixed fossil fuels</t>
  </si>
  <si>
    <t>Hard coal</t>
  </si>
  <si>
    <t>Other or unspecified energy sources</t>
  </si>
  <si>
    <t>Lignite</t>
  </si>
  <si>
    <t>Bioenergy</t>
  </si>
  <si>
    <t>Other fossil fuels</t>
  </si>
  <si>
    <t>Other fuels</t>
  </si>
  <si>
    <t>Waste</t>
  </si>
  <si>
    <t>Combined cycle</t>
  </si>
  <si>
    <t>Gas turbine</t>
  </si>
  <si>
    <t>Steam turbine</t>
  </si>
  <si>
    <t>Pumped storage</t>
  </si>
  <si>
    <t>Run-of-river</t>
  </si>
  <si>
    <t>Reservoir</t>
  </si>
  <si>
    <t>Pumped storage with natural inflow</t>
  </si>
  <si>
    <t>Combustion Engine</t>
  </si>
  <si>
    <t>RES</t>
  </si>
  <si>
    <t>Storage technologies</t>
  </si>
  <si>
    <t>Yes</t>
  </si>
  <si>
    <t>yes</t>
  </si>
  <si>
    <t>no</t>
  </si>
  <si>
    <t>CHP/IPP</t>
  </si>
  <si>
    <t>IPP</t>
  </si>
  <si>
    <t>CHP</t>
  </si>
  <si>
    <t>22WMARCIN000179H</t>
  </si>
  <si>
    <t>22WAMERCO000010Y</t>
  </si>
  <si>
    <t>22WCOOXIX000067T</t>
  </si>
  <si>
    <t>22WCOOXII000070C</t>
  </si>
  <si>
    <t>22WDOELX1000076X</t>
  </si>
  <si>
    <t>22WDOELX2000077N</t>
  </si>
  <si>
    <t>22WDOELX3000078D</t>
  </si>
  <si>
    <t>22WDOELX40000793</t>
  </si>
  <si>
    <t>22WHERDER0001288</t>
  </si>
  <si>
    <t>22WRODENH000213L</t>
  </si>
  <si>
    <t>22WSAINT-000221B</t>
  </si>
  <si>
    <t>22WSCHELD0002261</t>
  </si>
  <si>
    <t>22WTIHANG000239G</t>
  </si>
  <si>
    <t>22WTIHANG000240V</t>
  </si>
  <si>
    <t>22WTIHANG000241T</t>
  </si>
  <si>
    <t>22WTIHANG000242R</t>
  </si>
  <si>
    <t>22WZANDVL000255D</t>
  </si>
  <si>
    <t>22WZELZAT0002618</t>
  </si>
  <si>
    <t>22WPLATEX000208N</t>
  </si>
  <si>
    <t>22WRINGVA000209C</t>
  </si>
  <si>
    <t>22WINESCO000149P</t>
  </si>
  <si>
    <t>22WT-POWE000244W</t>
  </si>
  <si>
    <t>49W000000000070Z</t>
  </si>
  <si>
    <t>49W000000000054X</t>
  </si>
  <si>
    <t>49W0000000000431</t>
  </si>
  <si>
    <t>49W000000000076N</t>
  </si>
  <si>
    <t>49W000000000045Y</t>
  </si>
  <si>
    <t>49W000000000047U</t>
  </si>
  <si>
    <t>49W000000000101D</t>
  </si>
  <si>
    <t>49W000000000100F</t>
  </si>
  <si>
    <t>49W000000000102B</t>
  </si>
  <si>
    <t>49W000000000091R</t>
  </si>
  <si>
    <t>49W0000000001047</t>
  </si>
  <si>
    <t>49W000000000061-</t>
  </si>
  <si>
    <t>49W000000000046W</t>
  </si>
  <si>
    <t>49W000000000069K</t>
  </si>
  <si>
    <t>49W0000000000342</t>
  </si>
  <si>
    <t>49W000000000048S</t>
  </si>
  <si>
    <t>49W000000000096H</t>
  </si>
  <si>
    <t>49W000000000088G</t>
  </si>
  <si>
    <t>49W000000000086K</t>
  </si>
  <si>
    <t>49W000000000084O</t>
  </si>
  <si>
    <t>49W000000000082S</t>
  </si>
  <si>
    <t>49W000000000080W</t>
  </si>
  <si>
    <t>49W000000000078J</t>
  </si>
  <si>
    <t>49W000000000044-</t>
  </si>
  <si>
    <t>49W000000000072V</t>
  </si>
  <si>
    <t>49W000000000074R</t>
  </si>
  <si>
    <t>49W000000000063W</t>
  </si>
  <si>
    <t>49W000000000108-</t>
  </si>
  <si>
    <t>49W0000000000512</t>
  </si>
  <si>
    <t>17W100P100P03647</t>
  </si>
  <si>
    <t>17W100P100P0353C</t>
  </si>
  <si>
    <t>17W100P100P03493</t>
  </si>
  <si>
    <t>17W100P100P0243J</t>
  </si>
  <si>
    <t>17W100P100P0244H</t>
  </si>
  <si>
    <t>17W100P100P0337A</t>
  </si>
  <si>
    <t>17W100P100P0351G</t>
  </si>
  <si>
    <t>17W100P100P0340L</t>
  </si>
  <si>
    <t>17W100P100P0350I</t>
  </si>
  <si>
    <t>17W100P100P0344D</t>
  </si>
  <si>
    <t>17W100P100P0345B</t>
  </si>
  <si>
    <t>17W100P100P0318E</t>
  </si>
  <si>
    <t>17W100P100P02667</t>
  </si>
  <si>
    <t>17W100P100P0245F</t>
  </si>
  <si>
    <t>17W100P100P0246D</t>
  </si>
  <si>
    <t>17W100P100P0341J</t>
  </si>
  <si>
    <t>17W100P100P0334G</t>
  </si>
  <si>
    <t>17W100P100P0236G</t>
  </si>
  <si>
    <t>17W100P100P0237E</t>
  </si>
  <si>
    <t>17W100P100P0343F</t>
  </si>
  <si>
    <t>17W100P100P0238C</t>
  </si>
  <si>
    <t>17W100P100P03469</t>
  </si>
  <si>
    <t>17W100P100P0255C</t>
  </si>
  <si>
    <t>17W100P100P0256A</t>
  </si>
  <si>
    <t>17W100P100P02586</t>
  </si>
  <si>
    <t>17W100P100P0260J</t>
  </si>
  <si>
    <t>17W100P100P0261H</t>
  </si>
  <si>
    <t>17W100P100P0263D</t>
  </si>
  <si>
    <t>17W100P100P02659</t>
  </si>
  <si>
    <t>17W100P100P0270G</t>
  </si>
  <si>
    <t>17W100P100P0271E</t>
  </si>
  <si>
    <t>17W100P100P02675</t>
  </si>
  <si>
    <t>17W100P100P02683</t>
  </si>
  <si>
    <t>17W100P100P02691</t>
  </si>
  <si>
    <t>17W100P100P0273A</t>
  </si>
  <si>
    <t>17W100P100P02748</t>
  </si>
  <si>
    <t>17W100P100P02756</t>
  </si>
  <si>
    <t>17W100P100P02772</t>
  </si>
  <si>
    <t>17W100P100P02780</t>
  </si>
  <si>
    <t>17W100P100P02764</t>
  </si>
  <si>
    <t>17W100P100P0315K</t>
  </si>
  <si>
    <t>17W100P100P0326F</t>
  </si>
  <si>
    <t>17W100P100P0322N</t>
  </si>
  <si>
    <t>17W100P100P0321P</t>
  </si>
  <si>
    <t>17W100P100P0320R</t>
  </si>
  <si>
    <t>17W100P100P0325H</t>
  </si>
  <si>
    <t>17W100P100P0302T</t>
  </si>
  <si>
    <t>17W100P100P0313O</t>
  </si>
  <si>
    <t>17W100P100P0324J</t>
  </si>
  <si>
    <t>17W100P100P0303R</t>
  </si>
  <si>
    <t>17W100P100P0319C</t>
  </si>
  <si>
    <t>17W100P100P0310U</t>
  </si>
  <si>
    <t>17W100P100P0314M</t>
  </si>
  <si>
    <t>17W100P100P0307J</t>
  </si>
  <si>
    <t>17W100P100P0305N</t>
  </si>
  <si>
    <t>17W100P100P0323L</t>
  </si>
  <si>
    <t>17W100P100P0306L</t>
  </si>
  <si>
    <t>17W100P100P0316I</t>
  </si>
  <si>
    <t>17W100P100P0312Q</t>
  </si>
  <si>
    <t>17W100P100P0304P</t>
  </si>
  <si>
    <t>17W100P100P0317G</t>
  </si>
  <si>
    <t>17W100P100P0309F</t>
  </si>
  <si>
    <t>17W100P100P0308H</t>
  </si>
  <si>
    <t>17W100P100P0327D</t>
  </si>
  <si>
    <t>17W100P100P0311S</t>
  </si>
  <si>
    <t>17W100P100P0279Z</t>
  </si>
  <si>
    <t>17W100P100P0280D</t>
  </si>
  <si>
    <t>17W100P100P0281B</t>
  </si>
  <si>
    <t>17W100P100P02829</t>
  </si>
  <si>
    <t>17W100P100P02837</t>
  </si>
  <si>
    <t>17W100P100P02845</t>
  </si>
  <si>
    <t>17W100P100P02853</t>
  </si>
  <si>
    <t>17W100P100P02861</t>
  </si>
  <si>
    <t>17W100B100P0287S</t>
  </si>
  <si>
    <t>17W100P100P0288Y</t>
  </si>
  <si>
    <t>17W100P100P0289W</t>
  </si>
  <si>
    <t>17W100P100P0290A</t>
  </si>
  <si>
    <t>17W100P100P02918</t>
  </si>
  <si>
    <t>17W100P100P0296Z</t>
  </si>
  <si>
    <t>17W100P100P0298V</t>
  </si>
  <si>
    <t>17W100P100P0299T</t>
  </si>
  <si>
    <t>17W100P100P0297X</t>
  </si>
  <si>
    <t>17W100P100P02934</t>
  </si>
  <si>
    <t>17W100P100P02926</t>
  </si>
  <si>
    <t>17W100P100P02942</t>
  </si>
  <si>
    <t>17W100P100P02950</t>
  </si>
  <si>
    <t>17W100P100P0300X</t>
  </si>
  <si>
    <t>17W100P100P0301V</t>
  </si>
  <si>
    <t>17W100P100P01857</t>
  </si>
  <si>
    <t>17W100P100P01865</t>
  </si>
  <si>
    <t>17W100P100P01776</t>
  </si>
  <si>
    <t>17W100P100P01784</t>
  </si>
  <si>
    <t>17W100P100P01792</t>
  </si>
  <si>
    <t>17W100P100P0180H</t>
  </si>
  <si>
    <t>17W100P100P0181F</t>
  </si>
  <si>
    <t>17W100P100P0182D</t>
  </si>
  <si>
    <t>17W100P100P0183B</t>
  </si>
  <si>
    <t>17W100P100P01849</t>
  </si>
  <si>
    <t>17W100P100P01873</t>
  </si>
  <si>
    <t>17W100P100P01881</t>
  </si>
  <si>
    <t>17W100B100P0189S</t>
  </si>
  <si>
    <t>17W100P100P0190E</t>
  </si>
  <si>
    <t>17W100P100P0191C</t>
  </si>
  <si>
    <t>17W100P100P0192A</t>
  </si>
  <si>
    <t>17W100P100P01938</t>
  </si>
  <si>
    <t>17W100P100P01946</t>
  </si>
  <si>
    <t>17W100P100P01954</t>
  </si>
  <si>
    <t>17W100P100P01962</t>
  </si>
  <si>
    <t>17W100P100P01970</t>
  </si>
  <si>
    <t>17W100P100P0198Z</t>
  </si>
  <si>
    <t>17W100P100P0199X</t>
  </si>
  <si>
    <t>17W100P100P02000</t>
  </si>
  <si>
    <t>17W100P100P0201Z</t>
  </si>
  <si>
    <t>17W100P100P0202X</t>
  </si>
  <si>
    <t>17W100P100P0203V</t>
  </si>
  <si>
    <t>17W100P100P0204T</t>
  </si>
  <si>
    <t>17W100P100P0205R</t>
  </si>
  <si>
    <t>17W100P100P0206P</t>
  </si>
  <si>
    <t>17W100P100P0207N</t>
  </si>
  <si>
    <t>17W100P100P0208L</t>
  </si>
  <si>
    <t>17W100P100P0209J</t>
  </si>
  <si>
    <t>17W100P100P0210Y</t>
  </si>
  <si>
    <t>17W100P100P0211W</t>
  </si>
  <si>
    <t>17W100P100P0212U</t>
  </si>
  <si>
    <t>17W100P100P0213S</t>
  </si>
  <si>
    <t>17W100P100P0214Q</t>
  </si>
  <si>
    <t>17W100P100P0215O</t>
  </si>
  <si>
    <t>17W100P100P0216M</t>
  </si>
  <si>
    <t>17W100P100P0217K</t>
  </si>
  <si>
    <t>17W100P100P0218I</t>
  </si>
  <si>
    <t>17W100P100P0219G</t>
  </si>
  <si>
    <t>17W100P100P0220V</t>
  </si>
  <si>
    <t>17W100P100P0221T</t>
  </si>
  <si>
    <t>17W100P100P0222R</t>
  </si>
  <si>
    <t>17W100P100P0223P</t>
  </si>
  <si>
    <t>17W100P100P0224N</t>
  </si>
  <si>
    <t>17W100P100P0225L</t>
  </si>
  <si>
    <t>17W100P100P0226J</t>
  </si>
  <si>
    <t>17W100P100P0227H</t>
  </si>
  <si>
    <t>17W100P100P0228F</t>
  </si>
  <si>
    <t>17W100P100P0229D</t>
  </si>
  <si>
    <t>17W100P100P0230S</t>
  </si>
  <si>
    <t>17W100P100P0231Q</t>
  </si>
  <si>
    <t>17W100P100P0232O</t>
  </si>
  <si>
    <t>17W100P100P0233M</t>
  </si>
  <si>
    <t>17W100P100P0234K</t>
  </si>
  <si>
    <t>17W100P100P0352E</t>
  </si>
  <si>
    <t>19W000000000016F</t>
  </si>
  <si>
    <t>19W000000000043C</t>
  </si>
  <si>
    <t>19W000000000272Y</t>
  </si>
  <si>
    <t>19W0000000000636</t>
  </si>
  <si>
    <t>19W000000000095U</t>
  </si>
  <si>
    <t>19W000000000104I</t>
  </si>
  <si>
    <t>19W000000000111L</t>
  </si>
  <si>
    <t>19W000000000116B</t>
  </si>
  <si>
    <t>19W0000000001195</t>
  </si>
  <si>
    <t>19W0000000001292</t>
  </si>
  <si>
    <t>19W0000000001349</t>
  </si>
  <si>
    <t>19W000000000142A</t>
  </si>
  <si>
    <t>19W000000000149X</t>
  </si>
  <si>
    <t>19W0000000001519</t>
  </si>
  <si>
    <t>19W000000000247X</t>
  </si>
  <si>
    <t>19W0000000001713</t>
  </si>
  <si>
    <t>19W0000000002361</t>
  </si>
  <si>
    <t>19W000000000193U</t>
  </si>
  <si>
    <t>19W000000000199I</t>
  </si>
  <si>
    <t>19W0000000002418</t>
  </si>
  <si>
    <t>19W0000000002426</t>
  </si>
  <si>
    <t>12W-0000000021-S</t>
  </si>
  <si>
    <t>12W-0000000016-H</t>
  </si>
  <si>
    <t>12W-0000000011-W</t>
  </si>
  <si>
    <t>12W-0000000064-3</t>
  </si>
  <si>
    <t>12W-0000000917-6</t>
  </si>
  <si>
    <t>12W-0000000080-7</t>
  </si>
  <si>
    <t>12W-0000000031-O</t>
  </si>
  <si>
    <t>12W-0000000018-B</t>
  </si>
  <si>
    <t>12W-0000000013-Q</t>
  </si>
  <si>
    <t>12W-0000000105-J</t>
  </si>
  <si>
    <t>12W-0000000033-I</t>
  </si>
  <si>
    <t>12W-0000000902-P</t>
  </si>
  <si>
    <t>12W-0000000034-F</t>
  </si>
  <si>
    <t>12W-0000000060-F</t>
  </si>
  <si>
    <t>12W-0000000026-D</t>
  </si>
  <si>
    <t>12W-0000000925-8</t>
  </si>
  <si>
    <t>12W-0000000035-C</t>
  </si>
  <si>
    <t>26WIMPI-0066050X</t>
  </si>
  <si>
    <t>26WIMPI-0300653B</t>
  </si>
  <si>
    <t>26WIMPI-0420910Z</t>
  </si>
  <si>
    <t>26WIMPI-R01ENTRX</t>
  </si>
  <si>
    <t>26WIMZI-S01BVRG0</t>
  </si>
  <si>
    <t>26WIMPI-S01CHVSE</t>
  </si>
  <si>
    <t>26WIMPI-S01ECLF6</t>
  </si>
  <si>
    <t>26WIMPI-S01ENTRP</t>
  </si>
  <si>
    <t>26WIMPI-S01FMTRO</t>
  </si>
  <si>
    <t>26WIMPI-S01LNEIG</t>
  </si>
  <si>
    <t>26WIMPI-S01MNCLB</t>
  </si>
  <si>
    <t>26WIMPI-S01PVNTQ</t>
  </si>
  <si>
    <t>26WIMPI-S01RASNN</t>
  </si>
  <si>
    <t>26WIMPI-S01VNSE6</t>
  </si>
  <si>
    <t>26WIMPI-S02AVSIS</t>
  </si>
  <si>
    <t>26WIMPI-S02VLPL3</t>
  </si>
  <si>
    <t>26WIMPI-S03ACMNW</t>
  </si>
  <si>
    <t>26WIMPI-S03ACMSM</t>
  </si>
  <si>
    <t>26WIMPI-S03CDTL1</t>
  </si>
  <si>
    <t>26WIMPI-S03CLTCO</t>
  </si>
  <si>
    <t>26WIMPI-S03DBLMQ</t>
  </si>
  <si>
    <t>26WIMPI-S03EDLO9</t>
  </si>
  <si>
    <t>26WIMPI-S03EMC43</t>
  </si>
  <si>
    <t>26WIMPI-S03FERRD</t>
  </si>
  <si>
    <t>26WIMPI-S03GRGNY</t>
  </si>
  <si>
    <t>26WIMPI-S03LNZDP</t>
  </si>
  <si>
    <t>26WIMPI-S03OSTG2</t>
  </si>
  <si>
    <t>26WIMPI-S03RNCVS</t>
  </si>
  <si>
    <t>26WIMPI-S03SFRNQ</t>
  </si>
  <si>
    <t>26WIMPI-S03SNDOY</t>
  </si>
  <si>
    <t>26WIMPI-S03SRMDD</t>
  </si>
  <si>
    <t>26WIMPI-S03SSSN8</t>
  </si>
  <si>
    <t>26WIMPI-S03TRBGZ</t>
  </si>
  <si>
    <t>26WIMPI-S03TVZZK</t>
  </si>
  <si>
    <t>26WIMPI-S03VEGHN</t>
  </si>
  <si>
    <t>26WIMPI-S03XMCMK</t>
  </si>
  <si>
    <t>26WIMPI-S04CMGI4</t>
  </si>
  <si>
    <t>26WIMPI-S04CRDA9</t>
  </si>
  <si>
    <t>26WIMPI-S04GLRNJ</t>
  </si>
  <si>
    <t>26WIMPI-S04LNAAQ</t>
  </si>
  <si>
    <t>26WIMPI-S04NATRE</t>
  </si>
  <si>
    <t>26WIMPI-S04RDGLX</t>
  </si>
  <si>
    <t>26WIMPI-S04SFLVM</t>
  </si>
  <si>
    <t>26WIMPI-S04TRBLJ</t>
  </si>
  <si>
    <t>26WIMPI-S05AZTT6</t>
  </si>
  <si>
    <t>26WIMPI-S05CNTRB</t>
  </si>
  <si>
    <t>26WIMPI-S05FDLTJ</t>
  </si>
  <si>
    <t>26WIMPI-S05FTSNK</t>
  </si>
  <si>
    <t>26WIMPI-S05PMAR7</t>
  </si>
  <si>
    <t>26WIMPI-S05SVRZ0</t>
  </si>
  <si>
    <t>26WIMPI-S06ECLTM</t>
  </si>
  <si>
    <t>26WIMPI-S06MTNFA</t>
  </si>
  <si>
    <t>26WIMPIAMENTO-1T</t>
  </si>
  <si>
    <t>26WIMPI-S06TRVC2</t>
  </si>
  <si>
    <t>26WIMPI-S07GTNV2</t>
  </si>
  <si>
    <t>26WIMPI-S07SCPZX</t>
  </si>
  <si>
    <t>26WIMPI-S07VTDR2</t>
  </si>
  <si>
    <t>26WIMPI-S08BCRGX</t>
  </si>
  <si>
    <t>26WIMPI-S08EFNP0</t>
  </si>
  <si>
    <t>26WIMPI-S08ERNPQ</t>
  </si>
  <si>
    <t>26WIMPI-S08ESDS9</t>
  </si>
  <si>
    <t>26WIMPI-S08LCCS4</t>
  </si>
  <si>
    <t>26WIMPI-S08PCRTB</t>
  </si>
  <si>
    <t>26WIMPI-S08PLCNW</t>
  </si>
  <si>
    <t>26WIMPI-S08SERM2</t>
  </si>
  <si>
    <t>26WIMPI-S09AGPP4</t>
  </si>
  <si>
    <t>26WIMPI-S09CPLR3</t>
  </si>
  <si>
    <t>26WIMPI-S09IPYPC</t>
  </si>
  <si>
    <t>26WIMPI-S09RSLCK</t>
  </si>
  <si>
    <t>26WIMPI-S09RSNOR</t>
  </si>
  <si>
    <t>26WIMPI-S09SBRBU</t>
  </si>
  <si>
    <t>26WIMPI-S10BSTRJ</t>
  </si>
  <si>
    <t>26WIMPI-S10GLLT5</t>
  </si>
  <si>
    <t>26WIMPI-S10PTRFC</t>
  </si>
  <si>
    <t>26WIMPI-S11ACPNS</t>
  </si>
  <si>
    <t>26WIMZI-S11JSEI0</t>
  </si>
  <si>
    <t>26WIMPI-S12ATCRM</t>
  </si>
  <si>
    <t>26WIMPI-S12MCNTU</t>
  </si>
  <si>
    <t>26WIMPI-S12TRRLD</t>
  </si>
  <si>
    <t>26WIMPI-S12TRRVU</t>
  </si>
  <si>
    <t>26WIMPI-S13BSSUZ</t>
  </si>
  <si>
    <t>26WIMPI-S13CDGNT</t>
  </si>
  <si>
    <t>26WIMPI-S13CTTM2</t>
  </si>
  <si>
    <t>26WIMPI-S13MNTR3</t>
  </si>
  <si>
    <t>26WIMPI-S13PRVVW</t>
  </si>
  <si>
    <t>26WIMPI-S13S2GCF</t>
  </si>
  <si>
    <t>26WIMPI-S13SCNDQ</t>
  </si>
  <si>
    <t>26WIMPI-S14LTRNT</t>
  </si>
  <si>
    <t>26WIMPI-S14TERME</t>
  </si>
  <si>
    <t>26WIMPI-S15CPRTZ</t>
  </si>
  <si>
    <t>26WIMPI-S15MTDD6</t>
  </si>
  <si>
    <t>26WIMPI-S15NLPLI</t>
  </si>
  <si>
    <t>26WIMPI-S15PRSN8</t>
  </si>
  <si>
    <t>26WIMPI-S15SCPRH</t>
  </si>
  <si>
    <t>26WIMPI-S15SGTL1</t>
  </si>
  <si>
    <t>26WIMPI-S15STTV3</t>
  </si>
  <si>
    <t>26WIMPI-S16BNRNH</t>
  </si>
  <si>
    <t>26WIMPI-S16BSCRY</t>
  </si>
  <si>
    <t>26WIMPI-S16CDMNU</t>
  </si>
  <si>
    <t>26WIMPI-S16CNDLL</t>
  </si>
  <si>
    <t>26WIMPI-S16CSSCB</t>
  </si>
  <si>
    <t>26WIMPI-S16EBNPL</t>
  </si>
  <si>
    <t>26WIMPI-S16IGET0</t>
  </si>
  <si>
    <t>26WIMPI-S18EADS0</t>
  </si>
  <si>
    <t>26WIMPI-S18M1CN9</t>
  </si>
  <si>
    <t>26WIMPI-S18RCZZW</t>
  </si>
  <si>
    <t>26WIMPI-S18RTSN9</t>
  </si>
  <si>
    <t>26WIMPI-S18SCMR8</t>
  </si>
  <si>
    <t>26WIMPI-S18SCNDX</t>
  </si>
  <si>
    <t>26WIMPIORTICA-13</t>
  </si>
  <si>
    <t>26WIMPI-S19ACGSY</t>
  </si>
  <si>
    <t>26WIMYI-S19ANPAB</t>
  </si>
  <si>
    <t>26WIMPI-S19APGPP</t>
  </si>
  <si>
    <t>26WIMPI-S19IESBL</t>
  </si>
  <si>
    <t>26WIMPI-S19PCRLE</t>
  </si>
  <si>
    <t>26WIMPI-S19PERTR</t>
  </si>
  <si>
    <t>26WIMPI-S19SDMCS</t>
  </si>
  <si>
    <t>26WIMPI-S19TCRMT</t>
  </si>
  <si>
    <t>26WIMPI-S19TCRPN</t>
  </si>
  <si>
    <t>26WIMPI-S19TMRC9</t>
  </si>
  <si>
    <t>26WIMPI-S20ASSMU</t>
  </si>
  <si>
    <t>26WIMPI-S20FOMSR</t>
  </si>
  <si>
    <t>26WIMPI-S20PSRTI</t>
  </si>
  <si>
    <t>26WIMPI-S20SCLC8</t>
  </si>
  <si>
    <t>26WIMPI-S20SRLXH</t>
  </si>
  <si>
    <t>26WIMPI-T20TLRAJ</t>
  </si>
  <si>
    <t>26WIMPITOADDA-1T</t>
  </si>
  <si>
    <t>26WIMPII-LIRO-1L</t>
  </si>
  <si>
    <t>26WIMPII-NOCE-1C</t>
  </si>
  <si>
    <t>26WIMPIGROSIO-11</t>
  </si>
  <si>
    <t>26WIMPIASS-CL-1D</t>
  </si>
  <si>
    <t>26WIMPIMONICA-1D</t>
  </si>
  <si>
    <t>44W-T-YT-000000S</t>
  </si>
  <si>
    <t>44W-T-KT-000001I</t>
  </si>
  <si>
    <t>44W-K-LV-000000Q</t>
  </si>
  <si>
    <t>44W-T-YT-000001Q</t>
  </si>
  <si>
    <t>44W-T-KT-000002G</t>
  </si>
  <si>
    <t>44W-T-VV-000003Y</t>
  </si>
  <si>
    <t>44W-T-YT-000003M</t>
  </si>
  <si>
    <t>44W-T-YT-000014H</t>
  </si>
  <si>
    <t>44W-T-YT-000004K</t>
  </si>
  <si>
    <t>44W-T-YT-000002O</t>
  </si>
  <si>
    <t>44W-T-YT-000005I</t>
  </si>
  <si>
    <t>44W-T-YV-000000A</t>
  </si>
  <si>
    <t>44W-T-YV-0000018</t>
  </si>
  <si>
    <t>44W-T-LV-000003N</t>
  </si>
  <si>
    <t>44W-T-YT-000007E</t>
  </si>
  <si>
    <t>44W-T-YV-0000026</t>
  </si>
  <si>
    <t>44W-T-YV-0000034</t>
  </si>
  <si>
    <t>44W-T-YT-000008C</t>
  </si>
  <si>
    <t>44W-T-YT-000009A</t>
  </si>
  <si>
    <t>44W-T-YT-000010P</t>
  </si>
  <si>
    <t>44W-T-YT-000015F</t>
  </si>
  <si>
    <t>44W-T-YT-000012L</t>
  </si>
  <si>
    <t>44W-T-YT-000013J</t>
  </si>
  <si>
    <t>18WSRI3-12345-0N</t>
  </si>
  <si>
    <t>18WTRL1-12345-0Y</t>
  </si>
  <si>
    <t>18WALZ1-12345-0E</t>
  </si>
  <si>
    <t>18WALZ2-12345-04</t>
  </si>
  <si>
    <t>18WCOF1-12345-0O</t>
  </si>
  <si>
    <t>18WGUA1-12345-0T</t>
  </si>
  <si>
    <t>18WGUA2-12345-0J</t>
  </si>
  <si>
    <t>18WLAD4-12345-0U</t>
  </si>
  <si>
    <t>18WMUEL-12345-03</t>
  </si>
  <si>
    <t>18WBRR1-12345-0H</t>
  </si>
  <si>
    <t>18WCCO3-12345-0C</t>
  </si>
  <si>
    <t>18WCOM4-12345-0S</t>
  </si>
  <si>
    <t>18WCOM5-12345-0I</t>
  </si>
  <si>
    <t>18WPNN3-12345-0I</t>
  </si>
  <si>
    <t>18WPGR1-12345-04</t>
  </si>
  <si>
    <t>18WPGR2-12345-0V</t>
  </si>
  <si>
    <t>18WPGR3-12345-0L</t>
  </si>
  <si>
    <t>18WPGR4-12345-0B</t>
  </si>
  <si>
    <t>18WTER1-12345-0D</t>
  </si>
  <si>
    <t>18WTER2-12345-03</t>
  </si>
  <si>
    <t>18WTER3-12345-0U</t>
  </si>
  <si>
    <t>18WSLTG-12345-0T</t>
  </si>
  <si>
    <t>18WROB1-12345-0L</t>
  </si>
  <si>
    <t>18WROB2-12345-0B</t>
  </si>
  <si>
    <t>18WMEI1-12345-0I</t>
  </si>
  <si>
    <t>18WNRC2-12345-0G</t>
  </si>
  <si>
    <t>18WNRC3-12345-06</t>
  </si>
  <si>
    <t>18WSROQ1-1234-06</t>
  </si>
  <si>
    <t>18WSROQ2-1234-0Y</t>
  </si>
  <si>
    <t>18WBAHIAB-123-0X</t>
  </si>
  <si>
    <t>18WTAPOWER-12-0V</t>
  </si>
  <si>
    <t>18WCAMGI10-12-07</t>
  </si>
  <si>
    <t>18WCAMGI20--1-0D</t>
  </si>
  <si>
    <t>18WSTC4-12345-0I</t>
  </si>
  <si>
    <t>18WPALOS1-123-0Z</t>
  </si>
  <si>
    <t>18WARCOS2-123-06</t>
  </si>
  <si>
    <t>18WARCOS1-123-0E</t>
  </si>
  <si>
    <t>18WPALOS2-123-0R</t>
  </si>
  <si>
    <t>18WAMBIETA-12-0S</t>
  </si>
  <si>
    <t>18WPALOS3-123-0J</t>
  </si>
  <si>
    <t>18WACE3-12345-00</t>
  </si>
  <si>
    <t>18WESCCC1-123-0T</t>
  </si>
  <si>
    <t>18WESCCC2-123-0L</t>
  </si>
  <si>
    <t>18WESCCC3-123-0D</t>
  </si>
  <si>
    <t>18WARCOS3-123-0Z</t>
  </si>
  <si>
    <t>18WCTGN1-1234-0C</t>
  </si>
  <si>
    <t>18WCTGN2-1234-03</t>
  </si>
  <si>
    <t>18WCTGN3-1234-0V</t>
  </si>
  <si>
    <t>18WCOL4-12345-02</t>
  </si>
  <si>
    <t>18WACE4-12345-0R</t>
  </si>
  <si>
    <t>18WCTNU-12345-0U</t>
  </si>
  <si>
    <t>18WESC6-12345-07</t>
  </si>
  <si>
    <t>18WPVENT1--1234A</t>
  </si>
  <si>
    <t>18WSAGU1-123--0J</t>
  </si>
  <si>
    <t>18WPVENT2--12342</t>
  </si>
  <si>
    <t>18WSAGU2-123--0A</t>
  </si>
  <si>
    <t>18WSAGU3-123--01</t>
  </si>
  <si>
    <t>18WPGR5-123456-J</t>
  </si>
  <si>
    <t>18WSBO3-12345-01</t>
  </si>
  <si>
    <t>18W18WSRI4--123V</t>
  </si>
  <si>
    <t>18WMALA1-12345-L</t>
  </si>
  <si>
    <t>18WPBCN1-12345-D</t>
  </si>
  <si>
    <t>18WPBCN2-12345-4</t>
  </si>
  <si>
    <t>18WSRI5-123456-L</t>
  </si>
  <si>
    <t>47W000000000156I</t>
  </si>
  <si>
    <t>47W000000000154M</t>
  </si>
  <si>
    <t>48WSTN00000SVRP6</t>
  </si>
  <si>
    <t>48WSTN00000SUTBW</t>
  </si>
  <si>
    <t>48WSTN00000BRGGA</t>
  </si>
  <si>
    <t>48WSTN00000PETEV</t>
  </si>
  <si>
    <t>48WSTN0000DRAXXK</t>
  </si>
  <si>
    <t>48WSTN000DRAXXGK</t>
  </si>
  <si>
    <t>48WSTN00000DAMCL</t>
  </si>
  <si>
    <t>48WSTN0000RYHPSI</t>
  </si>
  <si>
    <t>48WSTN00000SHOSS</t>
  </si>
  <si>
    <t>48WSTN00000CRUAC</t>
  </si>
  <si>
    <t>48WSTN1000COTPSQ</t>
  </si>
  <si>
    <t>48WSTN0000WBUPSE</t>
  </si>
  <si>
    <t>48WSTN0000WBUGT2</t>
  </si>
  <si>
    <t>48WSTN0000WBURB5</t>
  </si>
  <si>
    <t>48WSTN00000DNGBQ</t>
  </si>
  <si>
    <t>48WSTN00000HRTL5</t>
  </si>
  <si>
    <t>48WSTN0000HEYM1P</t>
  </si>
  <si>
    <t>48WSTN0000HEYM2N</t>
  </si>
  <si>
    <t>48WSTN00000HINB5</t>
  </si>
  <si>
    <t>48WSTN00000HUNBV</t>
  </si>
  <si>
    <t>48WSTN00000SIZBP</t>
  </si>
  <si>
    <t>48WSTN00000TORNX</t>
  </si>
  <si>
    <t>48WSTN00000INDQH</t>
  </si>
  <si>
    <t>48WSTN10000DINOQ</t>
  </si>
  <si>
    <t>48WSTN00000FFESK</t>
  </si>
  <si>
    <t>48WSTN00000LAGA3</t>
  </si>
  <si>
    <t>48WSTN00000SHBAT</t>
  </si>
  <si>
    <t>47W000000000155K</t>
  </si>
  <si>
    <t>48WSTN00000CORBV</t>
  </si>
  <si>
    <t>48WSTN00000FELLH</t>
  </si>
  <si>
    <t>48WSTN000FERR-GE</t>
  </si>
  <si>
    <t>48WSTN00000COSO2</t>
  </si>
  <si>
    <t>48WSTN00000ROCKK</t>
  </si>
  <si>
    <t>48WSTN00000SPLNF</t>
  </si>
  <si>
    <t>48WSTN00000MRWDO</t>
  </si>
  <si>
    <t>48WSTN0000ABTHBN</t>
  </si>
  <si>
    <t>48WSTN000ABTHGTK</t>
  </si>
  <si>
    <t>48WSTN00000COWEA</t>
  </si>
  <si>
    <t>48WSTN000DIDCGTK</t>
  </si>
  <si>
    <t>48WSTN000LBAR-G1</t>
  </si>
  <si>
    <t>48WSTN0000DIDCBC</t>
  </si>
  <si>
    <t>48WSTN00000GYARR</t>
  </si>
  <si>
    <t>48WSTN00000LBARK</t>
  </si>
  <si>
    <t>48WSTN00000PEMBL</t>
  </si>
  <si>
    <t>48WSTN00000STAYA</t>
  </si>
  <si>
    <t>48WSTN00000FIDLP</t>
  </si>
  <si>
    <t>48WSTN000FIDL-GA</t>
  </si>
  <si>
    <t>48WSTN000KEADGT6</t>
  </si>
  <si>
    <t>48WSTN00000CASSD</t>
  </si>
  <si>
    <t>48WSTN00000CLACI</t>
  </si>
  <si>
    <t>48WSTN00000ERROK</t>
  </si>
  <si>
    <t>48WSTN00000FASN8</t>
  </si>
  <si>
    <t>48WSTN00000FINLW</t>
  </si>
  <si>
    <t>48WSTN00000FOYEQ</t>
  </si>
  <si>
    <t>48WSTN0000GLNDOL</t>
  </si>
  <si>
    <t>48WSTN00000GRUBR</t>
  </si>
  <si>
    <t>48WSTN00000INAWE</t>
  </si>
  <si>
    <t>48WSTN00000NANT8</t>
  </si>
  <si>
    <t>48WSTN00000RANN0</t>
  </si>
  <si>
    <t>48WSTN00000SHINJ</t>
  </si>
  <si>
    <t>48WSTN00000SLOY0</t>
  </si>
  <si>
    <t>48WSTN00000TUMBB</t>
  </si>
  <si>
    <t>48WSTN00000KEAD4</t>
  </si>
  <si>
    <t>48WSTN00000MEDPZ</t>
  </si>
  <si>
    <t>48WSTN00000PEHEU</t>
  </si>
  <si>
    <t>48WSTN00000RATS9</t>
  </si>
  <si>
    <t>48WSTN000GRAI-GD</t>
  </si>
  <si>
    <t>48WSTN000RATSGTB</t>
  </si>
  <si>
    <t>48WSTN000TAYL-G3</t>
  </si>
  <si>
    <t>48WSTN00000CDCLQ</t>
  </si>
  <si>
    <t>48WSTN00000EECLC</t>
  </si>
  <si>
    <t>48WSTN0000GRAINU</t>
  </si>
  <si>
    <t>48WSTN000KILLPG5</t>
  </si>
  <si>
    <t>48WSTN0000CNQPSG</t>
  </si>
  <si>
    <t>48WSTN00000HUMR2</t>
  </si>
  <si>
    <t>46WPU0000000063L</t>
  </si>
  <si>
    <t>46WPU0000000064J</t>
  </si>
  <si>
    <t>46WPU0000000038K</t>
  </si>
  <si>
    <t>46WPU0000000015W</t>
  </si>
  <si>
    <t>46WPU0000000016U</t>
  </si>
  <si>
    <t>46WPU0000000017S</t>
  </si>
  <si>
    <t>46WPU0000000055K</t>
  </si>
  <si>
    <t>46WPU0000000039I</t>
  </si>
  <si>
    <t>46WPU0000000029L</t>
  </si>
  <si>
    <t>46WPU0000000005Z</t>
  </si>
  <si>
    <t>46WPU0000000035Q</t>
  </si>
  <si>
    <t>46WPU0000000031Y</t>
  </si>
  <si>
    <t>46WPU0000000032W</t>
  </si>
  <si>
    <t>46WPU00000000040</t>
  </si>
  <si>
    <t>46WPU0000000059C</t>
  </si>
  <si>
    <t>46WPU0000000061P</t>
  </si>
  <si>
    <t>46WPU0000000028N</t>
  </si>
  <si>
    <t>46WPU0000000036O</t>
  </si>
  <si>
    <t>46WPU00000000105</t>
  </si>
  <si>
    <t>46WPU00000000113</t>
  </si>
  <si>
    <t>46WPU00000000121</t>
  </si>
  <si>
    <t>46WPU0000000014Y</t>
  </si>
  <si>
    <t>46WPU0000000026R</t>
  </si>
  <si>
    <t>46WPU0000000062N</t>
  </si>
  <si>
    <t>46WPU0000000033U</t>
  </si>
  <si>
    <t>46WPU0000000043R</t>
  </si>
  <si>
    <t>46WPU0000000056I</t>
  </si>
  <si>
    <t>46WPU0000000057G</t>
  </si>
  <si>
    <t>46WPU0000000042T</t>
  </si>
  <si>
    <t>46WPU0000000018Q</t>
  </si>
  <si>
    <t>46WPU0000000023X</t>
  </si>
  <si>
    <t>46WPU0000000027P</t>
  </si>
  <si>
    <t>24WV--EBO------8</t>
  </si>
  <si>
    <t>24WV--HCV------O</t>
  </si>
  <si>
    <t>24WV--HGA------8</t>
  </si>
  <si>
    <t>24WV--HLM------F</t>
  </si>
  <si>
    <t>24WV--EMO------K</t>
  </si>
  <si>
    <t>24WV--ENO------B</t>
  </si>
  <si>
    <t>24WV--EVO------D</t>
  </si>
  <si>
    <t>28W-G-0000000009</t>
  </si>
  <si>
    <t>28W-G-000000122W</t>
  </si>
  <si>
    <t>28W-G-000000091H</t>
  </si>
  <si>
    <t>28W-G-000000119L</t>
  </si>
  <si>
    <t>28W-G-000000082I</t>
  </si>
  <si>
    <t>28W-G-000000080M</t>
  </si>
  <si>
    <t>28W-G-000000090J</t>
  </si>
  <si>
    <t>14W-WGM-KW-----J</t>
  </si>
  <si>
    <t>14W-KW-THE-EVN-7</t>
  </si>
  <si>
    <t>14W-PROD-SIM---P</t>
  </si>
  <si>
    <t>14WENERGIE--WT02</t>
  </si>
  <si>
    <t>14W-PROD-DO----O</t>
  </si>
  <si>
    <t>14W-WML-KW-----0</t>
  </si>
  <si>
    <t>14WLSG-MITTE---U</t>
  </si>
  <si>
    <t>14WLSG-1SUED---5</t>
  </si>
  <si>
    <t>14W-KW-KO2-EVN-5</t>
  </si>
  <si>
    <t xml:space="preserve"> </t>
  </si>
  <si>
    <t>45V000000000012C</t>
  </si>
  <si>
    <t>45V000000000011E</t>
  </si>
  <si>
    <t>45V0000000000091</t>
  </si>
  <si>
    <t>45V0000000000164</t>
  </si>
  <si>
    <t>45V000000000013A</t>
  </si>
  <si>
    <t>45V0000000000083</t>
  </si>
  <si>
    <t>45V0000000000156</t>
  </si>
  <si>
    <t>45V000000000010G</t>
  </si>
  <si>
    <t>45V0000000000148</t>
  </si>
  <si>
    <t>11WD4AL1KU1-S--E</t>
  </si>
  <si>
    <t>11WD7BERG1S--KWB</t>
  </si>
  <si>
    <t>11WD8REUT5X----M</t>
  </si>
  <si>
    <t>11WD8REUW1C----4</t>
  </si>
  <si>
    <t>11WD7MITB1S--KWK</t>
  </si>
  <si>
    <t>11WD2BHAS000271O</t>
  </si>
  <si>
    <t>11WD2BHAF000272F</t>
  </si>
  <si>
    <t>11WD2FARK000287K</t>
  </si>
  <si>
    <t>11WD7WALS1S--KW0</t>
  </si>
  <si>
    <t>11WD7ENSD5SKW3-E</t>
  </si>
  <si>
    <t>11WD7ENSD2SKW1-4</t>
  </si>
  <si>
    <t>11WD7SCHO-S--KWW</t>
  </si>
  <si>
    <t>11WD2STAU0001800</t>
  </si>
  <si>
    <t>11WD8TIEF5X----V</t>
  </si>
  <si>
    <t>11WD8WED15C----Q</t>
  </si>
  <si>
    <t>11WD7WEST1S-KW-K</t>
  </si>
  <si>
    <t>11WD2HANN5C----0</t>
  </si>
  <si>
    <t>11WD4HLBR1CS---A</t>
  </si>
  <si>
    <t>11WD7HERN2S--KWU</t>
  </si>
  <si>
    <t>11WD2MEHR2CSWH-O</t>
  </si>
  <si>
    <t>11WD7IBBE2S--KW6</t>
  </si>
  <si>
    <t>11WD4DAXLA-S---T</t>
  </si>
  <si>
    <t>11WD2KIKW000301W</t>
  </si>
  <si>
    <t>11WD7LUNE2S--KW8</t>
  </si>
  <si>
    <t>11WD2HEKW000297X</t>
  </si>
  <si>
    <t>11WD7WEIH2S--KWV</t>
  </si>
  <si>
    <t>11WD8ROST1C---P5</t>
  </si>
  <si>
    <t>11WD7UCHT5XROSOK</t>
  </si>
  <si>
    <t>11WD4MUST5G----B</t>
  </si>
  <si>
    <t>11WD2NO2K000308Z</t>
  </si>
  <si>
    <t>11WD7GKWE2S--KW8</t>
  </si>
  <si>
    <t>11WD7VOER1S--KWG</t>
  </si>
  <si>
    <t>11WD7VOLK5S--KWI</t>
  </si>
  <si>
    <t>11WD7GARE5XELKWD</t>
  </si>
  <si>
    <t>11WD7GERS-X-KW-C</t>
  </si>
  <si>
    <t>11WD2WI1K000303F</t>
  </si>
  <si>
    <t>11WD2WBWK000317H</t>
  </si>
  <si>
    <t>11WD2ZOLL0002880</t>
  </si>
  <si>
    <t>11WD7KWHU----KW9</t>
  </si>
  <si>
    <t>11WD8MOOR1C----G</t>
  </si>
  <si>
    <t>11XGSKW-WHV----V</t>
  </si>
  <si>
    <t>11WD4SWSW5HD7--F</t>
  </si>
  <si>
    <t>11WD2W2--0002757</t>
  </si>
  <si>
    <t>11WD8GOLD1H----6</t>
  </si>
  <si>
    <t>11WD7KOEP2P--KWG</t>
  </si>
  <si>
    <t>11WD4IFFE5G----Z</t>
  </si>
  <si>
    <t>11WD2KUET000160J</t>
  </si>
  <si>
    <t>11WD8MARK1H----7</t>
  </si>
  <si>
    <t>11WD43VIWXHOILLM</t>
  </si>
  <si>
    <t>11WATKAUN2HRWEAB</t>
  </si>
  <si>
    <t>11WD2SILT000157E</t>
  </si>
  <si>
    <t>11WD72VIA2H-KW-0</t>
  </si>
  <si>
    <t>11WD8LIPD1L----P</t>
  </si>
  <si>
    <t>11WD8BOXB1L----J</t>
  </si>
  <si>
    <t>11WD7FRIM2B-KW-M</t>
  </si>
  <si>
    <t>11WD2BUSC0002637</t>
  </si>
  <si>
    <t>11WD7NEUR-B-KW-B</t>
  </si>
  <si>
    <t>11WD7NIED-B-KW-5</t>
  </si>
  <si>
    <t>11WD8JAEN1L----Z</t>
  </si>
  <si>
    <t>11WD8SCHK1L----O</t>
  </si>
  <si>
    <t>11WD8SWPU1L----5</t>
  </si>
  <si>
    <t>11WD7WEIS-B-KW-C</t>
  </si>
  <si>
    <t>11WD8MITT5G----0</t>
  </si>
  <si>
    <t>11WD8LICH5G----1</t>
  </si>
  <si>
    <t>11WD8KLIN5X----0</t>
  </si>
  <si>
    <t>11WD2BUKW000310A</t>
  </si>
  <si>
    <t>11WD7BRAU5G-KW-N</t>
  </si>
  <si>
    <t>11WD8DRES5X---PZ</t>
  </si>
  <si>
    <t>11WD7RHAU5G-3--3</t>
  </si>
  <si>
    <t>11WD7NORF5G--KWG</t>
  </si>
  <si>
    <t>11WD2HUKW000298J</t>
  </si>
  <si>
    <t>11WD7GARE5XHAKW5</t>
  </si>
  <si>
    <t>11WD7STUM----KW9</t>
  </si>
  <si>
    <t>11WD2HERR5GKW--1</t>
  </si>
  <si>
    <t>11WD7GARE5XHEKWQ</t>
  </si>
  <si>
    <t>11WD4DAXLA-2S--6</t>
  </si>
  <si>
    <t>11WD7BOLA--KWNIK</t>
  </si>
  <si>
    <t>11WD7FUEH5GMEKW7</t>
  </si>
  <si>
    <t>11WD7KWKN----KW1</t>
  </si>
  <si>
    <t>11WD7KWKN1GBL203</t>
  </si>
  <si>
    <t>11WD8LEIP5X----6</t>
  </si>
  <si>
    <t>11WD7EMSL-G-KW-T</t>
  </si>
  <si>
    <t>11WD7LUDW2GA800M</t>
  </si>
  <si>
    <t>11WD7LUDW5GSUEDE</t>
  </si>
  <si>
    <t>11WD7BISC5GKW23O</t>
  </si>
  <si>
    <t>11WD2SUE1000099L</t>
  </si>
  <si>
    <t>11WD2SUE2000103B</t>
  </si>
  <si>
    <t>11WD2GEBE000177K</t>
  </si>
  <si>
    <t>11WD2IRSC000179N</t>
  </si>
  <si>
    <t>11WD2BRKW000294C</t>
  </si>
  <si>
    <t>11WD2GHKW000296G</t>
  </si>
  <si>
    <t>11WD2ISKW000299Q</t>
  </si>
  <si>
    <t>11WD7KRBG1K-KW-V</t>
  </si>
  <si>
    <t>11WD7KKE-1K--KW5</t>
  </si>
  <si>
    <t>11WD4GKNK1S----S</t>
  </si>
  <si>
    <t>11WD4KKP21N-S--O</t>
  </si>
  <si>
    <t>11WD2INGO0001783</t>
  </si>
  <si>
    <t>11WD8SCHW5X----D</t>
  </si>
  <si>
    <t>11WD4WALK5G----E</t>
  </si>
  <si>
    <t>11WD2BMIT0002731</t>
  </si>
  <si>
    <t>11WD7BEEC5XRUKWN</t>
  </si>
  <si>
    <t>11WD7BEEC5XHAKW5</t>
  </si>
  <si>
    <t>11WD7HUCK2G--KWR</t>
  </si>
  <si>
    <t>Fossil fuels</t>
  </si>
  <si>
    <t>Renewable energy</t>
  </si>
  <si>
    <t>Other</t>
  </si>
  <si>
    <t>Zone: Nord</t>
  </si>
  <si>
    <t>Zone: Centro-Sud</t>
  </si>
  <si>
    <t>Zone: Sud</t>
  </si>
  <si>
    <t>Zone: Centro-Nord</t>
  </si>
  <si>
    <t>Zone: Sicilia</t>
  </si>
  <si>
    <t>Zone: Sardegna</t>
  </si>
  <si>
    <t>Zone: NO2</t>
  </si>
  <si>
    <t>Zone: NO3</t>
  </si>
  <si>
    <t>Zone: NO4</t>
  </si>
  <si>
    <t>Zone: NO5</t>
  </si>
  <si>
    <t>Zone: NO1</t>
  </si>
  <si>
    <t>Zone: SE-3</t>
  </si>
  <si>
    <t>Zone: SE-1</t>
  </si>
  <si>
    <t>Zone: SE-4</t>
  </si>
  <si>
    <t>Zone: SE-2</t>
  </si>
  <si>
    <t>Zone: East (DK2)</t>
  </si>
  <si>
    <t>Zone: West (DK1)</t>
  </si>
  <si>
    <t>Basin</t>
  </si>
  <si>
    <t>NoMetering</t>
  </si>
  <si>
    <t xml:space="preserve">- Zentralen Sedrun 1 und Sedrun 2 in einer Kaverne; </t>
  </si>
  <si>
    <t xml:space="preserve">#NAME?; </t>
  </si>
  <si>
    <t xml:space="preserve">- Ersatzenergie:	Abgabe an Repower AG als Realersatz für das stillgelegte Kraftwerk Waltensburg  ;                                    ; </t>
  </si>
  <si>
    <t xml:space="preserve">- Zentralen Ilanz 1 und Ilanz 2 in einem Gebäude              ; </t>
  </si>
  <si>
    <t xml:space="preserve">- Ampervreila und Peilerbach werden nur im Sommer genutzt (Zubringer-Pumpbetrieb)       ;                                          ; </t>
  </si>
  <si>
    <t xml:space="preserve">- Zentralen Punt Gronda (Segnas), Punt Gronda (Platt Alva) und Punt Gronda (Tarschlims) in einem Gebäude; </t>
  </si>
  <si>
    <t xml:space="preserve">- Zentrale Punt Gronda (Platt Alva), Punt Gronda (Segnas) und Punt Gronda (Tarschlims) in einem Gebäude;  ; </t>
  </si>
  <si>
    <t xml:space="preserve">- Zentrale Punt Gronda (Tarschlims), Punt Gronda (Platt Alva) und  Punt Gronda (Segnas) in einem Gebäude; #NAME?; </t>
  </si>
  <si>
    <t xml:space="preserve">- Zentrale Flims, Felsbach (Karstwasser) und Zentrale Flims, Felsbach (Bergwasser) sind in einem Gebäude Felsbach			;   			;  ; 			;  ; </t>
  </si>
  <si>
    <t xml:space="preserve">- Zentrale Flims, Felsbach (Bergwasser) und Zentrale Flims, Felsbach (Karstwasser) sind in einem Gebäude Felsbach		; </t>
  </si>
  <si>
    <t xml:space="preserve">- Zentralen Ferrera 1 und Ferrera 2 in einem Gebäude          ; </t>
  </si>
  <si>
    <t xml:space="preserve">- Dotieranlage wurde 1989 erbaut; - Erneuerung der Dotieranlage im Rahmen der Gesamterneuerung der KWH (2010 - 2017); </t>
  </si>
  <si>
    <t xml:space="preserve">#NAME?;                                                  ; </t>
  </si>
  <si>
    <t xml:space="preserve">- Zentralen Lüen (Sagenbach) und Lüen (Plessur, Clasaurer) in einem Gebäude; </t>
  </si>
  <si>
    <t xml:space="preserve">- Zentralen Lüen (Plessur, Clasaurer) und Lüen (Sagenbach) in einem Gebäude; </t>
  </si>
  <si>
    <t xml:space="preserve">#NAME?;  ; </t>
  </si>
  <si>
    <t xml:space="preserve">#NAME?; #NAME?; </t>
  </si>
  <si>
    <t xml:space="preserve">#NAME?;                                              ; </t>
  </si>
  <si>
    <t xml:space="preserve">- Ersatz alte Zentrale Mülau im Jahr 2010;  ; </t>
  </si>
  <si>
    <t xml:space="preserve">- Thur 1 und Thur 2 sind in der Zentrale Thur zusammengefasst.  ; - Rechtsgrundlagen:  Konzessionsablauf Thur 1 = 2036, Konzessionsablauf Thur 2 = 2027.            ;                     	             ; </t>
  </si>
  <si>
    <t xml:space="preserve">- Ersatz alte Zentrale Freienstein im Jahr 2004; </t>
  </si>
  <si>
    <t xml:space="preserve">- Ersatz alte Zentrale Rheinfelden im Jahr 2010;  ; </t>
  </si>
  <si>
    <t xml:space="preserve">- Nutzungsdauer:  Bezogen auf die Ausbauwassermenge von 13.0 m3/s (Zentralen Büttenen 1 und Büttenen 2);                        ; </t>
  </si>
  <si>
    <t xml:space="preserve">- Nutzungsdauer:  Bezogen auf die Ausbauwassermenge von 13.0 m3/s (Zentralen Büttenen 1 und Büttenen 2);                         ; </t>
  </si>
  <si>
    <t xml:space="preserve">- Zentrale Grimsel 2 praktiziert Umwälzbetrieb            ; </t>
  </si>
  <si>
    <t xml:space="preserve">- Zentralen Grimsel 1 (Oberaarsee) und Grimsel 1 (Grimselsee) in einer Kaverne;     ;                                                    ; </t>
  </si>
  <si>
    <t xml:space="preserve">- Zentralen Grimsel 1 (Oberaarsee) und Grimsel 1 (Grimselsee) in einer Kaverne;    ;                                                    ; </t>
  </si>
  <si>
    <t xml:space="preserve">- Zentrale Handeck 3: Pumpen-Turbinenbetrieb mit Isogyre-Maschine     ;   a) 	Im Turbinenbetrieb: Die Isogyre turbiniert das Wasser aus dem Räterichsbodensee. Dieses wird über das Ausgleichsbecken Handeck; 	entweder zur Zentrale Innertkirchen 1 oder über die Reservoirkammern Trift zur Zentrale Hopflauenen (Trift) geleitet ;   b) 	Im Pumpbetrieb: Die Isogyre pumpt das Wasser aus den Reservoirkammern Trift und/oder aus dem Ausgleichsbecken Handeck; 	in den Räterichsbodensee ; - Zentralen Handeck 3 (Isogyre) und Handeck 3 (Pumpzentrale) in einer Kaverne;                    ;       ;                                                     ;          </t>
  </si>
  <si>
    <t xml:space="preserve">#NAME?; #NAME?;                                                         ;   ; </t>
  </si>
  <si>
    <t xml:space="preserve">#NAME?;   a) Laufkraftwerkbetrieb:  Sommer, dh. Zufluss zur Reservoirkammer Trift gleich oder  grösser 14 m3/s                                      ;   b) Lauf- und Speicherkraftwerkbetrieb gemischt:  Frühling/Herbst, dh. natürlicher Zufluss zur Reservoirkammer Trift = 2 - 14 m3/s,    ;                                                			  Rest bis 21 m3/s Speicherwasser ab Zentrale Handeck 3 (Isogyre);   c) Speicherkraftwerkbetrieb: Winter, dh. Speicherwasser ab Zentrale Handeck 3 (Isogyre); #NAME?;       ;      ;                                          ;                                    </t>
  </si>
  <si>
    <t xml:space="preserve">#NAME?;                                                 ; </t>
  </si>
  <si>
    <t xml:space="preserve">#NAME?;   a) Laufkraftwerkbetrieb im Sommer;   b) Lauf- und Speicherkraftwerkbetrieb gemischt im Frühling und im Herbst;   c) Speicherkraftwerkbetrieb im Winter ;  ; </t>
  </si>
  <si>
    <t xml:space="preserve">- Schattenhalb 1 wurde ertsmals 1907 in Betrieb genommen; </t>
  </si>
  <si>
    <t xml:space="preserve">- Ausbauwassermenge:	Bezogen auf die Zuleitungskapazität ab Weiher Spiezmoos       ; - Nutzungsdauer: 		Bezogen auf die Zuleitungskapazität ab Simme- und Kanderwehr bis Weiher Spiezmoos;                                              ;         			12 m3/s + 14 m3/s = 26 m3/s;                          ;                               ; </t>
  </si>
  <si>
    <t xml:space="preserve">#NAME?; - Ersatz alte Zentrale Klusi im Jahr 1996                                        ; </t>
  </si>
  <si>
    <t xml:space="preserve">- Ersatz Zentrale Thun-Aare 1917 am Gewerbekanal im Jahr 1994                                ; </t>
  </si>
  <si>
    <t xml:space="preserve">- La centrale est hors fonction pendant l'hiver; </t>
  </si>
  <si>
    <t xml:space="preserve">- Nutzungsdauer: 	Bezogen auf die Ausbauwassermenge von 215 m3/s  (Zentralen Niederried und Kallnach); - Ersatzenergie: 	Siehe Zentrale Aarberg                            ;                          ; </t>
  </si>
  <si>
    <t xml:space="preserve">- Nutzungsdauer: 	Bezogen auf die Ausbauwassermenge von 215 m3/s (Zentralen Niederried, Aarberg und Kallnach); - Ersatzenergie: 	Die Angabe bezieht sich auf die Zentralen Niederried, Aarberg, Kallnach und Hagneck. Einzelwerte ;                      	der Zentralen nicht bekannt ; Das Dotierkraftwerk Aaberg erzeugt mit 210 kW Leistung und 3.5 m3/s Wasserdurchsatz eine Jahresproduktion von 1.5 GWh;; diese wird dem KW Aarberg zugerechnet. Mit einer Erneuerung des Dotierkraftwekes wird die 300 kW Leistung erreicht und; wird somit als eigene Anlage in der WASTA aufgenommen.;                   ;  ;                          	; </t>
  </si>
  <si>
    <t xml:space="preserve">- Die konzedierte Ausbauwassermenge beträgt 70 m3/s            ; - Ersatzenergie: 	Bezug von Forces Motrices Hongrin-Léman SA bereits unter Zentrale Aarberg aufgeführt    ;                      	Einzelwerte der Zentralen nicht bekannt;                         ; </t>
  </si>
  <si>
    <t xml:space="preserve">- Ersatzenergie: 	Bezug von Forces Motrices Hongrin-Léman SA  bereits unter Zentrale Aarberg aufgeführt    ;                     	Einzelwerte der Zentralen nicht bekannt; #NAME?;  ;  ;                  	        ; </t>
  </si>
  <si>
    <t xml:space="preserve">- Ersatzenergie: 	Bezug von Forces Motrices Hongrin-Léman SA  bereits unter Zentrale Aarberg aufgeführt    ;                     	Einzelwerte der Zentralen nicht bekannt;  ;  ; </t>
  </si>
  <si>
    <t xml:space="preserve">- La nouvelle centrale de St.Sulpice remplace entre autres la centrale de La Doux (205800);                                    ; </t>
  </si>
  <si>
    <t xml:space="preserve">- Nutzungsdauer:	Bezogen auf die Ausbauwassermenge von 420 m3/s  (Zentralen Wynau und Schwarzhäusern); - Die Konzession wird ab der Kollaudation im Sommer 2016 zu laufen beginnen und beträgt 80 Jahre;                        ;                                         ; </t>
  </si>
  <si>
    <t xml:space="preserve">- Nutzungsdauer: 	Bezogen auf die Ausbauwassermenge von 420 m3/s  (Zentralen Wynau und Schwarzhäusern); - Die Konzession wird ab der Kollaudation 2016 zu laufen beginnen und beträgt 80 Jahre;                           ; </t>
  </si>
  <si>
    <t xml:space="preserve">- Erste Zentrale Ruppoldingen stand seit 1896 in Betrieb und wurde 1925 erneuert; - Der Ersatz und Neubau der ersten Zentrale wurde im Jahre 2000 in Betrieb genommen;                                ; </t>
  </si>
  <si>
    <t xml:space="preserve">- Ein Synchrongenerator für Bahnstrom 16,7 Hertz; - Ein Synchrongenerator für 50 Hertz ; </t>
  </si>
  <si>
    <t xml:space="preserve">- Ersatz alte Zentrale Rupperswil-Dotierzentrale im Jahr 2010;  ; </t>
  </si>
  <si>
    <t xml:space="preserve">- Rechtsgrundlage: Das ehehafte Recht umfasst rd. 18% der Nutzung   ; </t>
  </si>
  <si>
    <t xml:space="preserve">#NAME?; - Zentrale Göschenen (Göscheneralp) produziert mit zwei Maschinen 16,7 Hertz Strom und mit zwei Maschinen;   Dreiphasendrehstrom ;                                                ; </t>
  </si>
  <si>
    <t xml:space="preserve">#NAME?;                                                ; </t>
  </si>
  <si>
    <t xml:space="preserve">- Ersatz alte Zentrale Amsteg im Jahr 1998; - Erzeugt Bahnstrom 16,7 Hertz                                        ; </t>
  </si>
  <si>
    <t xml:space="preserve">- Zentralen Bocki 1 und Bocki 2 in einem Gebäude              ; </t>
  </si>
  <si>
    <t xml:space="preserve">#NAME?;                                                   ; </t>
  </si>
  <si>
    <t xml:space="preserve">- Zentralen  Isenthal (Bolzbach) und Seedorf (Bolzbach)) in einem Gebäude; </t>
  </si>
  <si>
    <t xml:space="preserve">- Rechtsgrundlage: Eigenversorgungsgesetz vom 29.4.1934         ; </t>
  </si>
  <si>
    <t xml:space="preserve">- Ersatz alte Zentrale Unteraa im Jahr 1994; #NAME?; - Maschinengruppe 4 mit 6MW Leistung erzeugt Bahnstrom (SBB)                                       ; </t>
  </si>
  <si>
    <t xml:space="preserve">- Das Quellenrecht beinhaltet die Nutzung des Wasser für Trink- und Brauchzwecke, sowie der Turbinierung;   zur Stromproduktion.;  ; </t>
  </si>
  <si>
    <t xml:space="preserve">- Genutzte Gewässer:  Henglibach wird nur vom 16.Mai bis 31.Juli genutzt;                                                          ; </t>
  </si>
  <si>
    <t xml:space="preserve">- 2016: Maschinengruppe 3 und Kanaltore erneuert; - 1918/1919: Bau eines neuen Turbinenhauses; - 1927 Anbau Maschinenhaus und Einbau einer Propellerturbine; </t>
  </si>
  <si>
    <t xml:space="preserve">#NAME?;  ;  ; </t>
  </si>
  <si>
    <t xml:space="preserve">#NAME?; #NAME?;  ;                                     ; </t>
  </si>
  <si>
    <t xml:space="preserve">#NAME?; #NAME?;     ;   ; </t>
  </si>
  <si>
    <t xml:space="preserve">- Ehehaftes Wassernutzungsrecht. Die energierechtliche Bewilligung wurde vom Kanton für 80 Jahre erteilt.; </t>
  </si>
  <si>
    <t xml:space="preserve">- Zentrale Bergen mit 150 KW befindet sich auch in der Zentrale Engi, Vorderdorf (Mühlebach); </t>
  </si>
  <si>
    <t xml:space="preserve">- Zentralen Schwanden (Sernf), Schwanden (Niederenbach) und Schwanden (Gemeinde) in einem Gebäude      ;                           ;  ; </t>
  </si>
  <si>
    <t xml:space="preserve">- Zentralen Schwanden (Sernf), Schwanden (Niederenbach) und Schwanden (Gemeinde) in einem Gebäude; </t>
  </si>
  <si>
    <t xml:space="preserve">- Zentralen Schwanden (Sernf), Schwanden (Niederenbach) und Schwanden (Gemeinde) in einem Gebäude       ;                           ; </t>
  </si>
  <si>
    <t xml:space="preserve">#NAME?; #NAME?;  ;                               ; </t>
  </si>
  <si>
    <t xml:space="preserve">- Ersatzenergie:	Bezug wird in Franken abgegolten infolge  Wasserableitung der Seez durch KSL       ;                              ; </t>
  </si>
  <si>
    <t xml:space="preserve">#NAME?;                                              ;     ;                                                         ; </t>
  </si>
  <si>
    <t xml:space="preserve">#NAME?;                                               ;       ;                                                      ; </t>
  </si>
  <si>
    <t xml:space="preserve">- Ersatz Zentralen Plätz 1 (403100) und Plätz 2 (403200) im Jahr 1994       ; </t>
  </si>
  <si>
    <t xml:space="preserve">- Ersatz der Zentrale Ziegelbrücke 2 im Jahre 2011; </t>
  </si>
  <si>
    <t xml:space="preserve">#NAME?; - Wasserkraftanteile: Hoheitsanteile nicht festgelegt;;   Annahme: Verteilung wie für Wasserzins ; - Übergangskonzession bis 2022 ; - Erzeugt Bahnstrom 16,7 Hertz        ;       ; </t>
  </si>
  <si>
    <t xml:space="preserve">#NAME?;    Kantonsanteil an den Seitenzuflüssen der Rhone.; </t>
  </si>
  <si>
    <t xml:space="preserve">- Die Ausbauwassermenge von 7 m3/s wird aufgrund einer Teilungsregelung mit der Electra-Massa AG erst bei einem          ;   Massa-Dargebot von 16.25 m3/s erreicht       ;                           ; </t>
  </si>
  <si>
    <t xml:space="preserve">- Aufnahme des Normalbetriebs: Stromproduktion erst 1906 (Vorher Kompressoretrieb)        ;                                    ; </t>
  </si>
  <si>
    <t xml:space="preserve">#NAME?; - TWKW Nessel ging im 2013 in Betrieb; - TWKW Mittubäch ging im 2015 in Betrieb; #NAME?;  ; </t>
  </si>
  <si>
    <t xml:space="preserve">#NAME?;                                      ; </t>
  </si>
  <si>
    <t xml:space="preserve">- Nutzungsdauer:  Die Anlage ist auf eine hohe Leistung ausgelegt. Die Nutzungsdauer ist entsprechend kurz  (0 - 10 Tage im Jahr)  ;                    ;                                           ; </t>
  </si>
  <si>
    <t xml:space="preserve">#NAME?; #NAME?; #NAME?;                    ; </t>
  </si>
  <si>
    <t xml:space="preserve">- Base pour les données relatives aux machines de la centrale:  ;   Débit max.turbiné:	Palier Moiry-Mottec    = 12.00 m3/s; Palier Turtmann-Mottec    =  6.00 m3/s    ;   Débit max.refoulé: Palier Moiry-Mottec    =   3.90 m3/s; Palier Turtmann-Mottec    =  6.40 m3/s ;   Ces deux turbinage ne peuvent être assurés en même temps; les turbines offrent un débit d'équipement total de 12 m3/s)           	    ;   Puissance installée totale des pompes: Palier Mottec-Moiry    = 25.10 MW; Palier Turtmann-Mottec-Moiry   =  6.60 MW     ;   Puissance maximale absorbée par les moteurs:	Palier Mottec-Moiry	=  28.00 MW; Palier Turtmann-Mottec-Moiry   =  7.50 MW; - La centrale Mottec fait pompage-turbinage                   	    ;                           ;                      	      ;                      	     </t>
  </si>
  <si>
    <t xml:space="preserve">- Les centrales de Vissoie et Vissoie "groupe auxiliaire" se trouvent dans le même bâtiment    ;                                ; </t>
  </si>
  <si>
    <t xml:space="preserve">- Les centrales de Vissoie et Vissoie "groupe auxiliaire" se trouvent dans le même bâtiment; - La production de Vissoie "groupe auxiliaire" est y compris dans la production de la centrale Vissoie;  ; Production l'été:       1.621 GWh     ; Production l'hiver:    0.713 GWh     ; Production l'année:  2.334 GWh   ;                                  ; </t>
  </si>
  <si>
    <t xml:space="preserve">- Un groupe de réserve d'une puissance de 24.30 MW est installé (total 76.30 MW); - 11.50 m3/s limitation de la galerie Vissoi-Niouc;  ; </t>
  </si>
  <si>
    <t xml:space="preserve">- Turbinage de l'eau potable; </t>
  </si>
  <si>
    <t xml:space="preserve">- Turbinage de leau potable. Permission du 14.06.2010; </t>
  </si>
  <si>
    <t xml:space="preserve">-Turbinage de l'eau potable; </t>
  </si>
  <si>
    <t xml:space="preserve">- Energie restituée:	Voir la centrale de Nendaz                ; </t>
  </si>
  <si>
    <t xml:space="preserve">- Energie restituée: 	Voir la centrale de Nendaz; - Die Pumpzentrale Z'mutt ist für den Betrieb der Grande Dixence SA von Bedeutung, sie pumpt das Wasser aus;   dem Einzugsgebiet der Gornera und des Sammelstollens Schali bis in Richtung der Grande Dixence Staumauer. Das sind im;   mehrjährigen Durchschnitt 123 Mio. Kubikmeter Wasser.          ; </t>
  </si>
  <si>
    <t xml:space="preserve">- Energie restituée: 	Voir la centrale de Nendaz                 ; </t>
  </si>
  <si>
    <t xml:space="preserve">- Production moyenne: 	 L'exploitation des 3 centrales Bieudron, Fionnay(Dixence) et Nendaz alimentées par les eaux du lac; 			 des Dix a pour objectif d'obtenir le meilleur rendement possible; - Mise en fonction fin 2009, après réhabilitation du puits blindé de Cleuson-Dixence.; #NAME?;  ;                                                 ;                          ;                           ;                                             ;           </t>
  </si>
  <si>
    <t xml:space="preserve">- Production moyenne: 	L'exploitation des 3 centrales Bieudron, Fionnay(Dixence) et Nendaz alimentées par les eaux ;                             		du lac des Dix a pour objectif d'obtenir le meilleur rendement possible; - Cours d'eau utilisés:  	En plus 27 cours d'eau de glacier:; 			Vallée de Zermatt est et sud; 			Val d'Arolla sud et ouest; 			Val Ferpècle est; #NAME?;                          ;                           ;                                              </t>
  </si>
  <si>
    <t xml:space="preserve">- Production moyenne: 	L'exploitation des 3 centrales  Bieudron, Fionnay(Dixence) et Nendaz alimentées par les eaux ;                            		du lac des Dix a pour objectif d'obtenir le meilleur rendement possible; - Cours d'eau utilisés:  	En plus 27 cours d'eau de glacier:; 			Vallée de Zermatt est et sud; 			Val d'Arolla sud et ouest; 			Val Ferpècle est; #NAME?;                          ;                           ;                                              </t>
  </si>
  <si>
    <t xml:space="preserve">- 2ème Palier Isérables - microcentrale du Pied du Mont; #NAME?; </t>
  </si>
  <si>
    <t xml:space="preserve">- Turbinage l'eau potable, permission du 16 septembre 2009; </t>
  </si>
  <si>
    <t xml:space="preserve">- Type d'utilisation: La centrale fait partie d'eaux potables et d'irrigation ; </t>
  </si>
  <si>
    <t xml:space="preserve">- Turbinage d'eau d'irrigation; </t>
  </si>
  <si>
    <t xml:space="preserve">- Les centrales Orsières et Niollet 2 se trouvent dans le même bâtiment  ;                                                       ; </t>
  </si>
  <si>
    <t xml:space="preserve">- Les centrales Orsières et Niollet 2 se trouvent dans le même bâtiment  ;                                                         ; </t>
  </si>
  <si>
    <t xml:space="preserve">- Turbinage de l'eau potable     ; </t>
  </si>
  <si>
    <t xml:space="preserve">#NAME?; - Autorisation provisoire d'exploitation (Duldungsverfügung) bis 2022 während Konzessionserneuerung  ; </t>
  </si>
  <si>
    <t>- Cote du plancher de la salle des machines de Châtelard-Barberine 2 = 1122.00       ; - Débit maximale turbiné: 	Châtelard-Barberine 1 =  8 m3/s                                           ;        			Châtelard-Barberine 2 = 12 m3/s; - Puissance maximale disponible aux bornes des alternateurs:                                 ;     			Châtelard-Barberine 1 = 46 MW;                           		Châtelard-Barberine 2 = 82 MW          ; - Pour la production moyenne escomptée aux bornes des alternateurs on suppose une exploitation normale de Châtelard-Barberine 1;   et Châtelard-Barberine 2; - La centrale Châtelard-Barberine 2 fait pompage-turbinage ; #NAME?</t>
  </si>
  <si>
    <t xml:space="preserve">- Données relatives aux machines de la centrale Châtelard-Vallorcine, groupes 1 à 3 à axe vertical:     ;     Haute chute: 		Débit max.turbiné 		    	=   35.0 m3/s;     (Lac d'Emosson)      	Puissance inst.des turb.Pelton Gr.1-3	= 210.0 MW  ;                			Puissance max.disponible       Gr.1-3	= 210.0 MW  ;     Basse chute: 		Débit max.turbiné                    		=  15.0 m3/s;     (Bassin des Esserts)  	Puiss.inst.des turb.Francis axe Gr.1 	=  50.5 MW  ;                			Puissance max.disponible        Gr.1 	=  48.5 MW                    ; - Les équipements haute chute, basse chute et Centrale de pompage de Châtelard-Vallorcine se trouvent dans le même bâtiment et leur;   fonctionnement est étroitement lié;        </t>
  </si>
  <si>
    <t xml:space="preserve">- Les équipements haute chute, basse chute et Centrale de pompage de Châtelard-Vallorcine se trouvent dans le même       ;   bâtiment et leur fonctionnement est étroitement lié        ;             ; </t>
  </si>
  <si>
    <t xml:space="preserve">- 435.73 m.s.m. (= cote des injecteurs); </t>
  </si>
  <si>
    <t xml:space="preserve">- Bases juridiques: Année d'échéance des concessions VD = 2030; VS = 2030            ;                                            ; </t>
  </si>
  <si>
    <t xml:space="preserve">- Les centrales Sublin 1 et Sublin 2 se trouvent dans le même bâtiment  ;                                                        ; </t>
  </si>
  <si>
    <t xml:space="preserve">- Les centrales Sublin 1 et Sublin 2 se trouvent dans le même bâtiment  ; #NAME?; - Turbinage de l'eau potable                                                        ;                                  ; </t>
  </si>
  <si>
    <t xml:space="preserve">- Cours d'eau utilisés: La centrale utilise le trop plein du réservoir d'eau potable d'Aigle et partiellement les eaux du torrent de Fontanney; </t>
  </si>
  <si>
    <t xml:space="preserve">#NAME?; #NAME?; - Un groupe de réserve d'une puissance de 60 MW est installé (total 480 MW); - Veytaux I: 4 machine à 60 MW (turbinage / pompage)  ; - Veytaux II: 2 machine à 120 MW (turbinage / pompage); - La production total, d'environ 969,7 GWh/a, dont 159,7 GWh proviennent des apport naturel;  ;  ;  ;  </t>
  </si>
  <si>
    <t xml:space="preserve">Fonctions de l'ouvrage du Seujet:	- Régulariser le niveau du Lac Léman; 			     	- Moduler le débit du Rhône pour l'usine de Verbois; 			        	 ; </t>
  </si>
  <si>
    <t xml:space="preserve">- Cote du plancher de la salle de la machine 3 = 824.20        ; </t>
  </si>
  <si>
    <t xml:space="preserve">- Cote du plancher de la salle de la machine 3 = 513.37        ;  ; </t>
  </si>
  <si>
    <t xml:space="preserve">- Fine della concessione per l'Unteralpreuss ed il Medelserrhein 2043      ; - Die Inbetriebnahme von Ritom II ist im Jahre 2023 vorgesehen. das KW Ritom II ersetzt Ritom I;                                ; </t>
  </si>
  <si>
    <t xml:space="preserve">- Energia restituita:	 I vari beneficiari sono Stalvedro, Tremorgio, Piottino e Personico                   ;                                                        ;                                                        ;                                                         ;                                                        ; </t>
  </si>
  <si>
    <t xml:space="preserve">#NAME?;     ;                                                      ; </t>
  </si>
  <si>
    <t xml:space="preserve">- 2016 Laufrad Erneuerung; </t>
  </si>
  <si>
    <t xml:space="preserve">- Zentralen Löbbia (Albigna); Löbbia (Forno); Löbbia, Pumpe Maira (Pumpzentrale) und Löbbia, Pumpe Forno (Pumpzentrale);    in einem Gebäudekomplex; - Maschinendaten unter der Voraussetzung, dass Gruppe 2 für das Albignawerk Löbbia in Betrieb steht     ;                                             ;  ;                             ; </t>
  </si>
  <si>
    <t xml:space="preserve">- Zentralen Löbbia (Albigna); Löbbia (Forno); Löbbia, Pumpe Maira (Pumpzentrale) und Löbbia, Pumpe Forno (Pumpzentrale);    in einem Gebäudekomplex  ; - Bei zugeschalteter Gruppe 2 beträgt die Ausbauwassermenge 6.10 m3/s; - Bei zugeschalteter Gruppe 2 beträgt die installierte Leistung 33 MW und die maximal mögliche Leistung 33 MW;        ;  ;       ; </t>
  </si>
  <si>
    <t xml:space="preserve">- Zentralen Löbbia (Albigna); Löbbia (Forno); Löbbia, Pumpe Maira (Pumpzentrale) und Löbbia, Pumpe Forno (Pumpzentrale) ;   in einem Gebäudekomplex   ; - Löbbia, Pumpe Maira = Zubringerpumpe zu Albignasee, um Wasser der Maira zu speichern                                                ;   ;             ; </t>
  </si>
  <si>
    <t xml:space="preserve">- Seit den 80er Jahren wird das Wasser nicht mehr als Trinkwasser genutzt. ; </t>
  </si>
  <si>
    <t>Pump only</t>
  </si>
  <si>
    <t>Energy source not in original data</t>
  </si>
  <si>
    <t>Gassturbinen på 145 MW skal etter planen legges ned 1.1.2020</t>
  </si>
  <si>
    <t>Skal legges ned innen 31.12.2019</t>
  </si>
  <si>
    <t>Skal legges ned innen 31.12.2020</t>
  </si>
  <si>
    <t>will be replaced by GT 6 &amp; 7</t>
  </si>
  <si>
    <t>reconstructed: 2008</t>
  </si>
  <si>
    <t>Under construction</t>
  </si>
  <si>
    <t>will be replaced by Šoštanj 6</t>
  </si>
  <si>
    <t>In reserve</t>
  </si>
  <si>
    <t>Not updated</t>
  </si>
  <si>
    <t>https://www.elia.be/en/grid-data/power-generation/generating-facilities#</t>
  </si>
  <si>
    <t>https://www.tennet.org/english/operational_management/export_data.aspx</t>
  </si>
  <si>
    <t>https://www.services-rte.com/en/view-data-published-by-rte/production-installed-capacity.html</t>
  </si>
  <si>
    <t>http://gpi.tge.pl/en/wykaz-jednostek</t>
  </si>
  <si>
    <t>https://www.ceps.cz/cs/priprava-provozu</t>
  </si>
  <si>
    <t>https://www.bfe.admin.ch/bfe/de/home/versorgung/statistik-und-geodaten/geoinformation/geodaten/wasser/statistik-der-wasserkraftanlagen.html</t>
  </si>
  <si>
    <t>Schweizerische Eidgenossenschaft</t>
  </si>
  <si>
    <t>http://www2018.terna.it/it-it/sistemaelettrico/transparencyreport/generation/installedgenerationcapacity.aspx</t>
  </si>
  <si>
    <t>https://energiavirasto.fi/toimitusvarmuus</t>
  </si>
  <si>
    <t>https://sede.minetur.gob.es/en-US/datosabiertos/catalogo/registro-productores-electrica</t>
  </si>
  <si>
    <t>https://www.gov.uk/government/statistics/electricity-chapter-5-digest-of-united-kingdom-energy-statistics-dukes#content</t>
  </si>
  <si>
    <t>https://www.nve.no/energiforsyning/kraftproduksjon/vannkraft/vannkraftdatabase/#</t>
  </si>
  <si>
    <t>https://www.nve.no/media/8967/termiske-kraftverk-i-norge-2019.xlsx</t>
  </si>
  <si>
    <t>Nordpool</t>
  </si>
  <si>
    <t>SEAS</t>
  </si>
  <si>
    <t>VVB</t>
  </si>
  <si>
    <t>https://www.seng.si/en/hydropower-plants/small-hydropower-plants/</t>
  </si>
  <si>
    <t>http://www.he-ss.si/eng/he-blanca-general-info.html</t>
  </si>
  <si>
    <t>https://www.seng.si/en/hydropower-plants/pumped-storage-hydropower-plant/</t>
  </si>
  <si>
    <t>http://www.he-ss.si/eng/he-bostanj-general-info.html</t>
  </si>
  <si>
    <t>http://www.teb.si/en/production-units</t>
  </si>
  <si>
    <t>http://www.he-ss.si/eng/he-brezice-general-info.html</t>
  </si>
  <si>
    <t>http://www.dem.si/en-gb/Power-plants-and-generation/General-data</t>
  </si>
  <si>
    <t>https://www.seng.si/en/hydropower-plants/large-hydropower-plants/</t>
  </si>
  <si>
    <t>https://www.nek.si/en/about-nuclear-technology/technical-data</t>
  </si>
  <si>
    <t>http://www.he-ss.si/eng/he-krsko-general-info.html</t>
  </si>
  <si>
    <t>https://www.energetika-lj.si/sites/www.jhl.si/files/dokumenti/energetika-id-brosura-ang-web.pdf</t>
  </si>
  <si>
    <t>https://www.sel.si/HE-mavcice</t>
  </si>
  <si>
    <t>https://www.sel.si/HE-medvode</t>
  </si>
  <si>
    <t>http://www.he-ss.si/eng/he-mokrice-specifications.html</t>
  </si>
  <si>
    <t>https://www.sel.si/HE-moste</t>
  </si>
  <si>
    <t>https://www.icis.com/explore/resources/news/2015/02/17/9861364/giant-unit-will-lower-slovenia-electricity-prices-from-mid-april-traders/</t>
  </si>
  <si>
    <t>http://www.hse.si/en/group-hse/companies-in-slovenia/termoelektrarna-sostanj</t>
  </si>
  <si>
    <t>https://www.sel.si/HE-vrhovo</t>
  </si>
  <si>
    <t>https://www.verbund.com/de-at/ueber-verbund/kraftwerke/unsere-kraftwerke</t>
  </si>
  <si>
    <t>https://www.verbund.com/de-de/ueber-verbund/kraftwerke/unsere-kraftwerke</t>
  </si>
  <si>
    <t>https://www.evn.at/EVN-Group/Energie-Zukunft/Energie-aus-Niederosterreich/Gas-und-Kohle.aspx</t>
  </si>
  <si>
    <t>https://umwelterklaerung.wienenergie.at/downloads/WienEnergie_Umwelterkl%C3%A4rung_2019_screen.pdf</t>
  </si>
  <si>
    <t>https://www.energieag.at/Themen/Energie-fuer-Sie/Kraftwerke/Thermische-Kraftwerke/</t>
  </si>
  <si>
    <t>https://www.linzag.at/portal/de/ueber_die_linzag/konzern/gesellschaften/linz_strom_gas_waerme_gmbh/energieerzeugung/fernheizkraftwerk_linz_mitte#</t>
  </si>
  <si>
    <t>http://www.linzag.at/portal/portal/linzag/linzag/linzstrom/kraftwerke/linzsd/centerWindow?plaginit=1&amp;action=1</t>
  </si>
  <si>
    <t>https://www.salzburg-ag.at/herkunft/unsere-kraftwerke/heizkraftwerk-salzburg-mitte-2604/</t>
  </si>
  <si>
    <t>https://www.energieag.at/Themen/Energie-fuer-Sie/Kraftwerke/Thermische-Kraftwerke</t>
  </si>
  <si>
    <t>https://www.eww.at/fileadmin/user_upload/downloads/strom/EMAS/EMAS_2018.pdf</t>
  </si>
  <si>
    <t>https://www.salzburg-ag.at/herkunft/unsere-kraftwerke/heizkraftwerk-salzburg-nord-2611/</t>
  </si>
  <si>
    <t>https://www.gem.wiki/Amager_power_station</t>
  </si>
  <si>
    <t>https://www.nsenergybusiness.com/projects/asnaes-power</t>
  </si>
  <si>
    <t>https://orsted.com/en/Media/Newsroom/News/2017/10/Denmarks-largest-power-station-replaces-coal-with-wood-pellets</t>
  </si>
  <si>
    <t>https://www.gem.wiki/Esbjerg_power_station</t>
  </si>
  <si>
    <t>https://www.gem.wiki/Fyns_power_station</t>
  </si>
  <si>
    <t>Energinet DK</t>
  </si>
  <si>
    <t>https://www.bwsc.com/references/herning-power-plant</t>
  </si>
  <si>
    <t>http://ipaper.ipapercms.dk/DONGENERGY/Internet/DK/ThermalPower/KYVbrochure2012DK/?page=12</t>
  </si>
  <si>
    <t>https://www.bwsc.com/references/masnedoe-power-plant</t>
  </si>
  <si>
    <t>https://www.bwsc.com/references/nordjylland-power-plant</t>
  </si>
  <si>
    <t>http://globalenergyobservatory.org/geoid/44220</t>
  </si>
  <si>
    <t>BNetzA/UBA</t>
  </si>
  <si>
    <t>Source</t>
  </si>
  <si>
    <t>sum capacity</t>
  </si>
  <si>
    <t>Variable O&amp;M (*total) [EUR/MWh_e]</t>
  </si>
  <si>
    <t>Fixed O&amp;M (*total) [EUR/MW_e/y]</t>
  </si>
  <si>
    <t>Technology</t>
  </si>
  <si>
    <t>01 Coal CHP</t>
  </si>
  <si>
    <t>52 OCGT - Light fuel oil</t>
  </si>
  <si>
    <t>50 Diesel engine farm</t>
  </si>
  <si>
    <t>04 Gas turb. simple cycle, L</t>
  </si>
  <si>
    <t>04 Gas turb. simple cycle Sm-Me</t>
  </si>
  <si>
    <t>04 Gas turb. simple cycle Micro</t>
  </si>
  <si>
    <t>06 Gas engines, natural gas</t>
  </si>
  <si>
    <t>51 Natural gas engine plant</t>
  </si>
  <si>
    <t>52 OCGT - Natural gas</t>
  </si>
  <si>
    <t>Not really shure what technologies to link mixed fossil fuels up to</t>
  </si>
  <si>
    <t>Years on horizontal</t>
  </si>
  <si>
    <t>Final Table</t>
  </si>
  <si>
    <t>Are these technologies covering denmarks current state of none renewables?</t>
  </si>
  <si>
    <t>Or should we assume that these sources are sufficient?</t>
  </si>
  <si>
    <t>How do we derive marginal cost from fixed and variable operating costs?</t>
  </si>
  <si>
    <t>Questuions:</t>
  </si>
  <si>
    <t>Need marginal fuel prices?</t>
  </si>
  <si>
    <t>Add co2 emisisons? How would we include this in the model if we want to track co2 emission?</t>
  </si>
  <si>
    <t>We can also include start up time, but it might not be relevant in our context?</t>
  </si>
  <si>
    <t>How to hanlde mixed fossil fuels?</t>
  </si>
  <si>
    <t>cap on biomass and onshore wind</t>
  </si>
  <si>
    <t>&gt; use variable cost</t>
  </si>
  <si>
    <t>Fixed = annual mainteinance</t>
  </si>
  <si>
    <t>401.b Post comb - Large biomass</t>
  </si>
  <si>
    <t>Capture</t>
  </si>
  <si>
    <t>tCO2/MWhour</t>
  </si>
  <si>
    <t>Variable O&amp;M [€/tCO2] (CO2 output)</t>
  </si>
  <si>
    <t>Fixed O&amp;M [mill €/[tCO2/hour]] (CO2 output)</t>
  </si>
  <si>
    <t>Specific investment [mill €/[tCO2/hour]] (CO2 output)</t>
  </si>
  <si>
    <t>Nominal investment (*total) [MEUR/MW_e]</t>
  </si>
  <si>
    <t>421 co2 pipeline</t>
  </si>
  <si>
    <t>Lifetime</t>
  </si>
  <si>
    <t>Transport</t>
  </si>
  <si>
    <t>Investment costs; onshore pipeline, dense phase, 120 t CO₂/h [EUR/(tCO2/h)/m]</t>
  </si>
  <si>
    <t>Col of interest:</t>
  </si>
  <si>
    <t>Nominal investment (*total) [MEUR/MW_e/m]</t>
  </si>
  <si>
    <t>Fixed O&amp;M (*total) [EUR/MW_e/y/m]</t>
  </si>
  <si>
    <t>Fixed O&amp;M [EUR/(tCO2/h)/year/km]</t>
  </si>
  <si>
    <t>451.1a 1 MTA Onshore</t>
  </si>
  <si>
    <t>Storage</t>
  </si>
  <si>
    <t>sum CCS</t>
  </si>
  <si>
    <t>Annuity</t>
  </si>
  <si>
    <t>Dispachable</t>
  </si>
  <si>
    <t>CCS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</si>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</sst>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4" borderId="0" applyBorder="0">
      <alignment horizont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0" fillId="3" borderId="0" xfId="0" applyFill="1"/>
    <xf numFmtId="164" fontId="0" fillId="0" borderId="1" xfId="0" applyNumberFormat="1" applyBorder="1" applyAlignment="1">
      <alignment horizontal="center"/>
    </xf>
    <xf numFmtId="0" fontId="0" fillId="0" borderId="2" xfId="0" applyBorder="1"/>
    <xf numFmtId="0" fontId="1" fillId="2" borderId="2" xfId="0" applyFont="1" applyFill="1" applyBorder="1"/>
    <xf numFmtId="2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/>
  </cellXfs>
  <cellStyles count="3">
    <cellStyle name="Hyperlink" xfId="1" builtinId="8"/>
    <cellStyle name="Normal" xfId="0" builtinId="0"/>
    <cellStyle name="Normal 3" xfId="2" xr:uid="{9632A7C3-499D-46F1-A3C1-1A3E8BBEAD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366700</xdr:colOff>
      <xdr:row>4</xdr:row>
      <xdr:rowOff>210097</xdr:rowOff>
    </xdr:from>
    <xdr:to>
      <xdr:col>9</xdr:col>
      <xdr:colOff>750837</xdr:colOff>
      <xdr:row>18</xdr:row>
      <xdr:rowOff>168481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51FFE-D332-67B1-0B31-86427C7D5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793" y="936746"/>
          <a:ext cx="11951611" cy="255075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11</xdr:col>
      <xdr:colOff>156747</xdr:colOff>
      <xdr:row>26</xdr:row>
      <xdr:rowOff>146111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CD7742-0241-1E43-16D0-7C4BC374E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6340" y="4114407"/>
          <a:ext cx="5115639" cy="6763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hias dalene fossen" id="{C620E911-95B3-49CF-99D3-FDDCD86B5218}" userId="d75493cf1d32fa4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119" dT="2025-11-24T09:37:42.42" personId="{C620E911-95B3-49CF-99D3-FDDCD86B5218}" id="{13F84E92-201A-4905-BE77-B3B665C8DFBE}">
    <text>Multiplied by 365 to get Fixed cost on yearly basis, assuming that the cell reflected day to day operations</text>
  </threadedComment>
</ThreadedComment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de.minetur.gob.es/en-US/datosabiertos/catalogo/registro-productores-electrica" TargetMode="External"/><Relationship Id="rId3182" Type="http://schemas.openxmlformats.org/officeDocument/2006/relationships/hyperlink" Target="https://www.nve.no/energiforsyning/kraftproduksjon/vannkraft/vannkraftdatabase/" TargetMode="External"/><Relationship Id="rId4233" Type="http://schemas.openxmlformats.org/officeDocument/2006/relationships/hyperlink" Target="https://www.nve.no/energiforsyning/kraftproduksjon/vannkraft/vannkraftdatabase/" TargetMode="External"/><Relationship Id="rId3999" Type="http://schemas.openxmlformats.org/officeDocument/2006/relationships/hyperlink" Target="https://www.nve.no/energiforsyning/kraftproduksjon/vannkraft/vannkraftdatabase/" TargetMode="External"/><Relationship Id="rId4300" Type="http://schemas.openxmlformats.org/officeDocument/2006/relationships/hyperlink" Target="https://www.nve.no/energiforsyning/kraftproduksjon/vannkraft/vannkraftdatabase/" TargetMode="External"/><Relationship Id="rId170" Type="http://schemas.openxmlformats.org/officeDocument/2006/relationships/hyperlink" Target="https://www.services-rte.com/en/view-data-published-by-rte/production-installed-capacity.html" TargetMode="External"/><Relationship Id="rId9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8" Type="http://schemas.openxmlformats.org/officeDocument/2006/relationships/hyperlink" Target="https://sede.minetur.gob.es/en-US/datosabiertos/catalogo/registro-productores-electrica" TargetMode="External"/><Relationship Id="rId3719" Type="http://schemas.openxmlformats.org/officeDocument/2006/relationships/hyperlink" Target="https://www.nve.no/energiforsyning/kraftproduksjon/vannkraft/vannkraftdatabase/" TargetMode="External"/><Relationship Id="rId4090" Type="http://schemas.openxmlformats.org/officeDocument/2006/relationships/hyperlink" Target="https://www.nve.no/energiforsyning/kraftproduksjon/vannkraft/vannkraftdatabase/" TargetMode="External"/><Relationship Id="rId1684" Type="http://schemas.openxmlformats.org/officeDocument/2006/relationships/hyperlink" Target="https://energiavirasto.fi/toimitusvarmuus" TargetMode="External"/><Relationship Id="rId2735" Type="http://schemas.openxmlformats.org/officeDocument/2006/relationships/hyperlink" Target="https://sede.minetur.gob.es/en-US/datosabiertos/catalogo/registro-productores-electrica" TargetMode="External"/><Relationship Id="rId7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7" Type="http://schemas.openxmlformats.org/officeDocument/2006/relationships/hyperlink" Target="http://www2018.terna.it/it-it/sistemaelettrico/transparencyreport/generation/installedgenerationcapacity.aspx" TargetMode="External"/><Relationship Id="rId1751" Type="http://schemas.openxmlformats.org/officeDocument/2006/relationships/hyperlink" Target="https://sede.minetur.gob.es/en-US/datosabiertos/catalogo/registro-productores-electrica" TargetMode="External"/><Relationship Id="rId2802" Type="http://schemas.openxmlformats.org/officeDocument/2006/relationships/hyperlink" Target="https://sede.minetur.gob.es/en-US/datosabiertos/catalogo/registro-productores-electrica" TargetMode="External"/><Relationship Id="rId43" Type="http://schemas.openxmlformats.org/officeDocument/2006/relationships/hyperlink" Target="https://www.elia.be/en/grid-data/power-generation/generating-facilities" TargetMode="External"/><Relationship Id="rId1404" Type="http://schemas.openxmlformats.org/officeDocument/2006/relationships/hyperlink" Target="https://energiavirasto.fi/toimitusvarmuus" TargetMode="External"/><Relationship Id="rId3576" Type="http://schemas.openxmlformats.org/officeDocument/2006/relationships/hyperlink" Target="https://www.nve.no/energiforsyning/kraftproduksjon/vannkraft/vannkraftdatabase/" TargetMode="External"/><Relationship Id="rId4627" Type="http://schemas.openxmlformats.org/officeDocument/2006/relationships/hyperlink" Target="https://www.nve.no/energiforsyning/kraftproduksjon/vannkraft/vannkraftdatabase/" TargetMode="External"/><Relationship Id="rId4974" Type="http://schemas.openxmlformats.org/officeDocument/2006/relationships/hyperlink" Target="https://www.verbund.com/de-at/ueber-verbund/kraftwerke/unsere-kraftwerke" TargetMode="External"/><Relationship Id="rId497" Type="http://schemas.openxmlformats.org/officeDocument/2006/relationships/hyperlink" Target="https://www.ceps.cz/cs/priprava-provozu" TargetMode="External"/><Relationship Id="rId2178" Type="http://schemas.openxmlformats.org/officeDocument/2006/relationships/hyperlink" Target="https://sede.minetur.gob.es/en-US/datosabiertos/catalogo/registro-productores-electrica" TargetMode="External"/><Relationship Id="rId3229" Type="http://schemas.openxmlformats.org/officeDocument/2006/relationships/hyperlink" Target="https://www.nve.no/energiforsyning/kraftproduksjon/vannkraft/vannkraftdatabase/" TargetMode="External"/><Relationship Id="rId3990" Type="http://schemas.openxmlformats.org/officeDocument/2006/relationships/hyperlink" Target="https://www.nve.no/energiforsyning/kraftproduksjon/vannkraft/vannkraftdatabase/" TargetMode="External"/><Relationship Id="rId11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92" Type="http://schemas.openxmlformats.org/officeDocument/2006/relationships/hyperlink" Target="https://sede.minetur.gob.es/en-US/datosabiertos/catalogo/registro-productores-electrica" TargetMode="External"/><Relationship Id="rId3643" Type="http://schemas.openxmlformats.org/officeDocument/2006/relationships/hyperlink" Target="https://www.nve.no/energiforsyning/kraftproduksjon/vannkraft/vannkraftdatabase/" TargetMode="External"/><Relationship Id="rId217" Type="http://schemas.openxmlformats.org/officeDocument/2006/relationships/hyperlink" Target="https://www.services-rte.com/en/view-data-published-by-rte/production-installed-capacity.html" TargetMode="External"/><Relationship Id="rId564" Type="http://schemas.openxmlformats.org/officeDocument/2006/relationships/hyperlink" Target="https://www.ceps.cz/cs/priprava-provozu" TargetMode="External"/><Relationship Id="rId2245" Type="http://schemas.openxmlformats.org/officeDocument/2006/relationships/hyperlink" Target="https://sede.minetur.gob.es/en-US/datosabiertos/catalogo/registro-productores-electrica" TargetMode="External"/><Relationship Id="rId3710" Type="http://schemas.openxmlformats.org/officeDocument/2006/relationships/hyperlink" Target="https://www.nve.no/energiforsyning/kraftproduksjon/vannkraft/vannkraftdatabase/" TargetMode="External"/><Relationship Id="rId6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1" Type="http://schemas.openxmlformats.org/officeDocument/2006/relationships/hyperlink" Target="http://www2018.terna.it/it-it/sistemaelettrico/transparencyreport/generation/installedgenerationcapacity.aspx" TargetMode="External"/><Relationship Id="rId2312" Type="http://schemas.openxmlformats.org/officeDocument/2006/relationships/hyperlink" Target="https://sede.minetur.gob.es/en-US/datosabiertos/catalogo/registro-productores-electrica" TargetMode="External"/><Relationship Id="rId4484" Type="http://schemas.openxmlformats.org/officeDocument/2006/relationships/hyperlink" Target="https://www.nve.no/energiforsyning/kraftproduksjon/vannkraft/vannkraftdatabase/" TargetMode="External"/><Relationship Id="rId3086" Type="http://schemas.openxmlformats.org/officeDocument/2006/relationships/hyperlink" Target="https://www.gov.uk/government/statistics/electricity-chapter-5-digest-of-united-kingdom-energy-statistics-dukes" TargetMode="External"/><Relationship Id="rId4137" Type="http://schemas.openxmlformats.org/officeDocument/2006/relationships/hyperlink" Target="https://www.nve.no/energiforsyning/kraftproduksjon/vannkraft/vannkraftdatabase/" TargetMode="External"/><Relationship Id="rId4551" Type="http://schemas.openxmlformats.org/officeDocument/2006/relationships/hyperlink" Target="https://www.nve.no/energiforsyning/kraftproduksjon/vannkraft/vannkraftdatabase/" TargetMode="External"/><Relationship Id="rId3153" Type="http://schemas.openxmlformats.org/officeDocument/2006/relationships/hyperlink" Target="https://www.nve.no/energiforsyning/kraftproduksjon/vannkraft/vannkraftdatabase/" TargetMode="External"/><Relationship Id="rId4204" Type="http://schemas.openxmlformats.org/officeDocument/2006/relationships/hyperlink" Target="https://www.nve.no/energiforsyning/kraftproduksjon/vannkraft/vannkraftdatabase/" TargetMode="External"/><Relationship Id="rId141" Type="http://schemas.openxmlformats.org/officeDocument/2006/relationships/hyperlink" Target="https://www.tennet.org/english/operational_management/export_data.aspx" TargetMode="External"/><Relationship Id="rId3220" Type="http://schemas.openxmlformats.org/officeDocument/2006/relationships/hyperlink" Target="https://www.nve.no/energiforsyning/kraftproduksjon/vannkraft/vannkraftdatabase/" TargetMode="External"/><Relationship Id="rId7" Type="http://schemas.openxmlformats.org/officeDocument/2006/relationships/hyperlink" Target="https://www.elia.be/en/grid-data/power-generation/generating-facilities" TargetMode="External"/><Relationship Id="rId2986" Type="http://schemas.openxmlformats.org/officeDocument/2006/relationships/hyperlink" Target="https://www.gov.uk/government/statistics/electricity-chapter-5-digest-of-united-kingdom-energy-statistics-dukes" TargetMode="External"/><Relationship Id="rId9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8" Type="http://schemas.openxmlformats.org/officeDocument/2006/relationships/hyperlink" Target="https://energiavirasto.fi/toimitusvarmuus" TargetMode="External"/><Relationship Id="rId2639" Type="http://schemas.openxmlformats.org/officeDocument/2006/relationships/hyperlink" Target="https://sede.minetur.gob.es/en-US/datosabiertos/catalogo/registro-productores-electrica" TargetMode="External"/><Relationship Id="rId1655" Type="http://schemas.openxmlformats.org/officeDocument/2006/relationships/hyperlink" Target="https://energiavirasto.fi/toimitusvarmuus" TargetMode="External"/><Relationship Id="rId2706" Type="http://schemas.openxmlformats.org/officeDocument/2006/relationships/hyperlink" Target="https://sede.minetur.gob.es/en-US/datosabiertos/catalogo/registro-productores-electrica" TargetMode="External"/><Relationship Id="rId4061" Type="http://schemas.openxmlformats.org/officeDocument/2006/relationships/hyperlink" Target="https://www.nve.no/energiforsyning/kraftproduksjon/vannkraft/vannkraftdatabase/" TargetMode="External"/><Relationship Id="rId1308" Type="http://schemas.openxmlformats.org/officeDocument/2006/relationships/hyperlink" Target="http://www2018.terna.it/it-it/sistemaelettrico/transparencyreport/generation/installedgenerationcapacity.aspx" TargetMode="External"/><Relationship Id="rId1722" Type="http://schemas.openxmlformats.org/officeDocument/2006/relationships/hyperlink" Target="https://sede.minetur.gob.es/en-US/datosabiertos/catalogo/registro-productores-electrica" TargetMode="External"/><Relationship Id="rId4878" Type="http://schemas.openxmlformats.org/officeDocument/2006/relationships/hyperlink" Target="http://www.dem.si/en-gb/Power-plants-and-generation/General-data" TargetMode="External"/><Relationship Id="rId14" Type="http://schemas.openxmlformats.org/officeDocument/2006/relationships/hyperlink" Target="https://www.elia.be/en/grid-data/power-generation/generating-facilities" TargetMode="External"/><Relationship Id="rId3894" Type="http://schemas.openxmlformats.org/officeDocument/2006/relationships/hyperlink" Target="https://www.nve.no/energiforsyning/kraftproduksjon/vannkraft/vannkraftdatabase/" TargetMode="External"/><Relationship Id="rId4945" Type="http://schemas.openxmlformats.org/officeDocument/2006/relationships/hyperlink" Target="https://www.verbund.com/de-at/ueber-verbund/kraftwerke/unsere-kraftwerke" TargetMode="External"/><Relationship Id="rId2496" Type="http://schemas.openxmlformats.org/officeDocument/2006/relationships/hyperlink" Target="https://sede.minetur.gob.es/en-US/datosabiertos/catalogo/registro-productores-electrica" TargetMode="External"/><Relationship Id="rId3547" Type="http://schemas.openxmlformats.org/officeDocument/2006/relationships/hyperlink" Target="https://www.nve.no/energiforsyning/kraftproduksjon/vannkraft/vannkraftdatabase/" TargetMode="External"/><Relationship Id="rId3961" Type="http://schemas.openxmlformats.org/officeDocument/2006/relationships/hyperlink" Target="https://www.nve.no/energiforsyning/kraftproduksjon/vannkraft/vannkraftdatabase/" TargetMode="External"/><Relationship Id="rId468" Type="http://schemas.openxmlformats.org/officeDocument/2006/relationships/hyperlink" Target="https://www.ceps.cz/cs/priprava-provozu" TargetMode="External"/><Relationship Id="rId8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9" Type="http://schemas.openxmlformats.org/officeDocument/2006/relationships/hyperlink" Target="https://sede.minetur.gob.es/en-US/datosabiertos/catalogo/registro-productores-electrica" TargetMode="External"/><Relationship Id="rId2563" Type="http://schemas.openxmlformats.org/officeDocument/2006/relationships/hyperlink" Target="https://sede.minetur.gob.es/en-US/datosabiertos/catalogo/registro-productores-electrica" TargetMode="External"/><Relationship Id="rId3614" Type="http://schemas.openxmlformats.org/officeDocument/2006/relationships/hyperlink" Target="https://www.nve.no/energiforsyning/kraftproduksjon/vannkraft/vannkraftdatabase/" TargetMode="External"/><Relationship Id="rId535" Type="http://schemas.openxmlformats.org/officeDocument/2006/relationships/hyperlink" Target="https://www.ceps.cz/cs/priprava-provozu" TargetMode="External"/><Relationship Id="rId11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16" Type="http://schemas.openxmlformats.org/officeDocument/2006/relationships/hyperlink" Target="https://sede.minetur.gob.es/en-US/datosabiertos/catalogo/registro-productores-electrica" TargetMode="External"/><Relationship Id="rId2630" Type="http://schemas.openxmlformats.org/officeDocument/2006/relationships/hyperlink" Target="https://sede.minetur.gob.es/en-US/datosabiertos/catalogo/registro-productores-electrica" TargetMode="External"/><Relationship Id="rId6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88" Type="http://schemas.openxmlformats.org/officeDocument/2006/relationships/hyperlink" Target="https://www.nve.no/energiforsyning/kraftproduksjon/vannkraft/vannkraftdatabase/" TargetMode="External"/><Relationship Id="rId3057" Type="http://schemas.openxmlformats.org/officeDocument/2006/relationships/hyperlink" Target="https://www.gov.uk/government/statistics/electricity-chapter-5-digest-of-united-kingdom-energy-statistics-dukes" TargetMode="External"/><Relationship Id="rId4108" Type="http://schemas.openxmlformats.org/officeDocument/2006/relationships/hyperlink" Target="https://www.nve.no/energiforsyning/kraftproduksjon/vannkraft/vannkraftdatabase/" TargetMode="External"/><Relationship Id="rId4455" Type="http://schemas.openxmlformats.org/officeDocument/2006/relationships/hyperlink" Target="https://www.nve.no/energiforsyning/kraftproduksjon/vannkraft/vannkraftdatabase/" TargetMode="External"/><Relationship Id="rId3471" Type="http://schemas.openxmlformats.org/officeDocument/2006/relationships/hyperlink" Target="https://www.nve.no/energiforsyning/kraftproduksjon/vannkraft/vannkraftdatabase/" TargetMode="External"/><Relationship Id="rId4522" Type="http://schemas.openxmlformats.org/officeDocument/2006/relationships/hyperlink" Target="https://www.nve.no/energiforsyning/kraftproduksjon/vannkraft/vannkraftdatabase/" TargetMode="External"/><Relationship Id="rId392" Type="http://schemas.openxmlformats.org/officeDocument/2006/relationships/hyperlink" Target="http://gpi.tge.pl/en/wykaz-jednostek" TargetMode="External"/><Relationship Id="rId2073" Type="http://schemas.openxmlformats.org/officeDocument/2006/relationships/hyperlink" Target="https://sede.minetur.gob.es/en-US/datosabiertos/catalogo/registro-productores-electrica" TargetMode="External"/><Relationship Id="rId3124" Type="http://schemas.openxmlformats.org/officeDocument/2006/relationships/hyperlink" Target="https://www.nve.no/energiforsyning/kraftproduksjon/vannkraft/vannkraftdatabase/" TargetMode="External"/><Relationship Id="rId2140" Type="http://schemas.openxmlformats.org/officeDocument/2006/relationships/hyperlink" Target="https://sede.minetur.gob.es/en-US/datosabiertos/catalogo/registro-productores-electrica" TargetMode="External"/><Relationship Id="rId112" Type="http://schemas.openxmlformats.org/officeDocument/2006/relationships/hyperlink" Target="https://www.tennet.org/english/operational_management/export_data.aspx" TargetMode="External"/><Relationship Id="rId2957" Type="http://schemas.openxmlformats.org/officeDocument/2006/relationships/hyperlink" Target="https://www.gov.uk/government/statistics/electricity-chapter-5-digest-of-united-kingdom-energy-statistics-dukes" TargetMode="External"/><Relationship Id="rId5016" Type="http://schemas.openxmlformats.org/officeDocument/2006/relationships/hyperlink" Target="https://www.energieag.at/Themen/Energie-fuer-Sie/Kraftwerke/Thermische-Kraftwerke" TargetMode="External"/><Relationship Id="rId9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9" Type="http://schemas.openxmlformats.org/officeDocument/2006/relationships/hyperlink" Target="https://energiavirasto.fi/toimitusvarmuus" TargetMode="External"/><Relationship Id="rId1973" Type="http://schemas.openxmlformats.org/officeDocument/2006/relationships/hyperlink" Target="https://sede.minetur.gob.es/en-US/datosabiertos/catalogo/registro-productores-electrica" TargetMode="External"/><Relationship Id="rId4032" Type="http://schemas.openxmlformats.org/officeDocument/2006/relationships/hyperlink" Target="https://www.nve.no/energiforsyning/kraftproduksjon/vannkraft/vannkraftdatabase/" TargetMode="External"/><Relationship Id="rId1626" Type="http://schemas.openxmlformats.org/officeDocument/2006/relationships/hyperlink" Target="https://energiavirasto.fi/toimitusvarmuus" TargetMode="External"/><Relationship Id="rId3798" Type="http://schemas.openxmlformats.org/officeDocument/2006/relationships/hyperlink" Target="https://www.nve.no/energiforsyning/kraftproduksjon/vannkraft/vannkraftdatabase/" TargetMode="External"/><Relationship Id="rId4849" Type="http://schemas.openxmlformats.org/officeDocument/2006/relationships/hyperlink" Target="https://www.energetika-lj.si/sites/www.jhl.si/files/dokumenti/energetika-id-brosura-ang-web.pdf" TargetMode="External"/><Relationship Id="rId3865" Type="http://schemas.openxmlformats.org/officeDocument/2006/relationships/hyperlink" Target="https://www.nve.no/energiforsyning/kraftproduksjon/vannkraft/vannkraftdatabase/" TargetMode="External"/><Relationship Id="rId4916" Type="http://schemas.openxmlformats.org/officeDocument/2006/relationships/hyperlink" Target="https://www.verbund.com/de-at/ueber-verbund/kraftwerke/unsere-kraftwerke" TargetMode="External"/><Relationship Id="rId7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7" Type="http://schemas.openxmlformats.org/officeDocument/2006/relationships/hyperlink" Target="https://sede.minetur.gob.es/en-US/datosabiertos/catalogo/registro-productores-electrica" TargetMode="External"/><Relationship Id="rId3518" Type="http://schemas.openxmlformats.org/officeDocument/2006/relationships/hyperlink" Target="https://www.nve.no/energiforsyning/kraftproduksjon/vannkraft/vannkraftdatabase/" TargetMode="External"/><Relationship Id="rId439" Type="http://schemas.openxmlformats.org/officeDocument/2006/relationships/hyperlink" Target="https://www.ceps.cz/cs/priprava-provozu" TargetMode="External"/><Relationship Id="rId10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3" Type="http://schemas.openxmlformats.org/officeDocument/2006/relationships/hyperlink" Target="https://energiavirasto.fi/toimitusvarmuus" TargetMode="External"/><Relationship Id="rId2881" Type="http://schemas.openxmlformats.org/officeDocument/2006/relationships/hyperlink" Target="https://www.gov.uk/government/statistics/electricity-chapter-5-digest-of-united-kingdom-energy-statistics-dukes" TargetMode="External"/><Relationship Id="rId3932" Type="http://schemas.openxmlformats.org/officeDocument/2006/relationships/hyperlink" Target="https://www.nve.no/energiforsyning/kraftproduksjon/vannkraft/vannkraftdatabase/" TargetMode="External"/><Relationship Id="rId506" Type="http://schemas.openxmlformats.org/officeDocument/2006/relationships/hyperlink" Target="https://www.ceps.cz/cs/priprava-provozu" TargetMode="External"/><Relationship Id="rId8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34" Type="http://schemas.openxmlformats.org/officeDocument/2006/relationships/hyperlink" Target="https://sede.minetur.gob.es/en-US/datosabiertos/catalogo/registro-productores-electrica" TargetMode="External"/><Relationship Id="rId9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0" Type="http://schemas.openxmlformats.org/officeDocument/2006/relationships/hyperlink" Target="https://energiavirasto.fi/toimitusvarmuus" TargetMode="External"/><Relationship Id="rId2601" Type="http://schemas.openxmlformats.org/officeDocument/2006/relationships/hyperlink" Target="https://sede.minetur.gob.es/en-US/datosabiertos/catalogo/registro-productores-electrica" TargetMode="External"/><Relationship Id="rId12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59" Type="http://schemas.openxmlformats.org/officeDocument/2006/relationships/hyperlink" Target="https://www.nve.no/energiforsyning/kraftproduksjon/vannkraft/vannkraftdatabase/" TargetMode="External"/><Relationship Id="rId4773" Type="http://schemas.openxmlformats.org/officeDocument/2006/relationships/hyperlink" Target="https://www.nve.no/energiforsyning/kraftproduksjon/vannkraft/vannkraftdatabase/" TargetMode="External"/><Relationship Id="rId3375" Type="http://schemas.openxmlformats.org/officeDocument/2006/relationships/hyperlink" Target="https://www.nve.no/energiforsyning/kraftproduksjon/vannkraft/vannkraftdatabase/" TargetMode="External"/><Relationship Id="rId4426" Type="http://schemas.openxmlformats.org/officeDocument/2006/relationships/hyperlink" Target="https://www.nve.no/energiforsyning/kraftproduksjon/vannkraft/vannkraftdatabase/" TargetMode="External"/><Relationship Id="rId4840" Type="http://schemas.openxmlformats.org/officeDocument/2006/relationships/hyperlink" Target="https://www.seng.si/en/hydropower-plants/small-hydropower-plants/" TargetMode="External"/><Relationship Id="rId296" Type="http://schemas.openxmlformats.org/officeDocument/2006/relationships/hyperlink" Target="https://www.services-rte.com/en/view-data-published-by-rte/production-installed-capacity.html" TargetMode="External"/><Relationship Id="rId2391" Type="http://schemas.openxmlformats.org/officeDocument/2006/relationships/hyperlink" Target="https://sede.minetur.gob.es/en-US/datosabiertos/catalogo/registro-productores-electrica" TargetMode="External"/><Relationship Id="rId3028" Type="http://schemas.openxmlformats.org/officeDocument/2006/relationships/hyperlink" Target="https://www.gov.uk/government/statistics/electricity-chapter-5-digest-of-united-kingdom-energy-statistics-dukes" TargetMode="External"/><Relationship Id="rId3442" Type="http://schemas.openxmlformats.org/officeDocument/2006/relationships/hyperlink" Target="https://www.nve.no/energiforsyning/kraftproduksjon/vannkraft/vannkraftdatabase/" TargetMode="External"/><Relationship Id="rId363" Type="http://schemas.openxmlformats.org/officeDocument/2006/relationships/hyperlink" Target="http://gpi.tge.pl/en/wykaz-jednostek" TargetMode="External"/><Relationship Id="rId2044" Type="http://schemas.openxmlformats.org/officeDocument/2006/relationships/hyperlink" Target="https://sede.minetur.gob.es/en-US/datosabiertos/catalogo/registro-productores-electrica" TargetMode="External"/><Relationship Id="rId430" Type="http://schemas.openxmlformats.org/officeDocument/2006/relationships/hyperlink" Target="https://www.ceps.cz/cs/priprava-provozu" TargetMode="External"/><Relationship Id="rId10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11" Type="http://schemas.openxmlformats.org/officeDocument/2006/relationships/hyperlink" Target="https://sede.minetur.gob.es/en-US/datosabiertos/catalogo/registro-productores-electrica" TargetMode="External"/><Relationship Id="rId1877" Type="http://schemas.openxmlformats.org/officeDocument/2006/relationships/hyperlink" Target="https://sede.minetur.gob.es/en-US/datosabiertos/catalogo/registro-productores-electrica" TargetMode="External"/><Relationship Id="rId2928" Type="http://schemas.openxmlformats.org/officeDocument/2006/relationships/hyperlink" Target="https://www.gov.uk/government/statistics/electricity-chapter-5-digest-of-united-kingdom-energy-statistics-dukes" TargetMode="External"/><Relationship Id="rId4283" Type="http://schemas.openxmlformats.org/officeDocument/2006/relationships/hyperlink" Target="https://www.nve.no/energiforsyning/kraftproduksjon/vannkraft/vannkraftdatabase/" TargetMode="External"/><Relationship Id="rId1944" Type="http://schemas.openxmlformats.org/officeDocument/2006/relationships/hyperlink" Target="https://sede.minetur.gob.es/en-US/datosabiertos/catalogo/registro-productores-electrica" TargetMode="External"/><Relationship Id="rId4350" Type="http://schemas.openxmlformats.org/officeDocument/2006/relationships/hyperlink" Target="https://www.nve.no/energiforsyning/kraftproduksjon/vannkraft/vannkraftdatabase/" TargetMode="External"/><Relationship Id="rId4003" Type="http://schemas.openxmlformats.org/officeDocument/2006/relationships/hyperlink" Target="https://www.nve.no/energiforsyning/kraftproduksjon/vannkraft/vannkraftdatabase/" TargetMode="External"/><Relationship Id="rId3769" Type="http://schemas.openxmlformats.org/officeDocument/2006/relationships/hyperlink" Target="https://www.nve.no/energiforsyning/kraftproduksjon/vannkraft/vannkraftdatabase/" TargetMode="External"/><Relationship Id="rId2785" Type="http://schemas.openxmlformats.org/officeDocument/2006/relationships/hyperlink" Target="https://sede.minetur.gob.es/en-US/datosabiertos/catalogo/registro-productores-electrica" TargetMode="External"/><Relationship Id="rId3836" Type="http://schemas.openxmlformats.org/officeDocument/2006/relationships/hyperlink" Target="https://www.nve.no/energiforsyning/kraftproduksjon/vannkraft/vannkraftdatabase/" TargetMode="External"/><Relationship Id="rId7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7" Type="http://schemas.openxmlformats.org/officeDocument/2006/relationships/hyperlink" Target="https://energiavirasto.fi/toimitusvarmuus" TargetMode="External"/><Relationship Id="rId2438" Type="http://schemas.openxmlformats.org/officeDocument/2006/relationships/hyperlink" Target="https://sede.minetur.gob.es/en-US/datosabiertos/catalogo/registro-productores-electrica" TargetMode="External"/><Relationship Id="rId2852" Type="http://schemas.openxmlformats.org/officeDocument/2006/relationships/hyperlink" Target="https://sede.minetur.gob.es/en-US/datosabiertos/catalogo/registro-productores-electrica" TargetMode="External"/><Relationship Id="rId3903" Type="http://schemas.openxmlformats.org/officeDocument/2006/relationships/hyperlink" Target="https://www.nve.no/energiforsyning/kraftproduksjon/vannkraft/vannkraftdatabase/" TargetMode="External"/><Relationship Id="rId93" Type="http://schemas.openxmlformats.org/officeDocument/2006/relationships/hyperlink" Target="https://www.tennet.org/english/operational_management/export_data.aspx" TargetMode="External"/><Relationship Id="rId8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4" Type="http://schemas.openxmlformats.org/officeDocument/2006/relationships/hyperlink" Target="https://energiavirasto.fi/toimitusvarmuus" TargetMode="External"/><Relationship Id="rId2505" Type="http://schemas.openxmlformats.org/officeDocument/2006/relationships/hyperlink" Target="https://sede.minetur.gob.es/en-US/datosabiertos/catalogo/registro-productores-electrica" TargetMode="External"/><Relationship Id="rId11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21" Type="http://schemas.openxmlformats.org/officeDocument/2006/relationships/hyperlink" Target="https://energiavirasto.fi/toimitusvarmuus" TargetMode="External"/><Relationship Id="rId4677" Type="http://schemas.openxmlformats.org/officeDocument/2006/relationships/hyperlink" Target="https://www.nve.no/energiforsyning/kraftproduksjon/vannkraft/vannkraftdatabase/" TargetMode="External"/><Relationship Id="rId3279" Type="http://schemas.openxmlformats.org/officeDocument/2006/relationships/hyperlink" Target="https://www.nve.no/energiforsyning/kraftproduksjon/vannkraft/vannkraftdatabase/" TargetMode="External"/><Relationship Id="rId3693" Type="http://schemas.openxmlformats.org/officeDocument/2006/relationships/hyperlink" Target="https://www.nve.no/energiforsyning/kraftproduksjon/vannkraft/vannkraftdatabase/" TargetMode="External"/><Relationship Id="rId2295" Type="http://schemas.openxmlformats.org/officeDocument/2006/relationships/hyperlink" Target="https://sede.minetur.gob.es/en-US/datosabiertos/catalogo/registro-productores-electrica" TargetMode="External"/><Relationship Id="rId3346" Type="http://schemas.openxmlformats.org/officeDocument/2006/relationships/hyperlink" Target="https://www.nve.no/energiforsyning/kraftproduksjon/vannkraft/vannkraftdatabase/" TargetMode="External"/><Relationship Id="rId4744" Type="http://schemas.openxmlformats.org/officeDocument/2006/relationships/hyperlink" Target="https://www.nve.no/energiforsyning/kraftproduksjon/vannkraft/vannkraftdatabase/" TargetMode="External"/><Relationship Id="rId267" Type="http://schemas.openxmlformats.org/officeDocument/2006/relationships/hyperlink" Target="https://www.services-rte.com/en/view-data-published-by-rte/production-installed-capacity.html" TargetMode="External"/><Relationship Id="rId3760" Type="http://schemas.openxmlformats.org/officeDocument/2006/relationships/hyperlink" Target="https://www.nve.no/energiforsyning/kraftproduksjon/vannkraft/vannkraftdatabase/" TargetMode="External"/><Relationship Id="rId4811" Type="http://schemas.openxmlformats.org/officeDocument/2006/relationships/hyperlink" Target="http://www.he-ss.si/eng/he-bostanj-general-info.html" TargetMode="External"/><Relationship Id="rId6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62" Type="http://schemas.openxmlformats.org/officeDocument/2006/relationships/hyperlink" Target="https://sede.minetur.gob.es/en-US/datosabiertos/catalogo/registro-productores-electrica" TargetMode="External"/><Relationship Id="rId3413" Type="http://schemas.openxmlformats.org/officeDocument/2006/relationships/hyperlink" Target="https://www.nve.no/energiforsyning/kraftproduksjon/vannkraft/vannkraftdatabase/" TargetMode="External"/><Relationship Id="rId334" Type="http://schemas.openxmlformats.org/officeDocument/2006/relationships/hyperlink" Target="http://gpi.tge.pl/en/wykaz-jednostek" TargetMode="External"/><Relationship Id="rId2015" Type="http://schemas.openxmlformats.org/officeDocument/2006/relationships/hyperlink" Target="https://sede.minetur.gob.es/en-US/datosabiertos/catalogo/registro-productores-electrica" TargetMode="External"/><Relationship Id="rId401" Type="http://schemas.openxmlformats.org/officeDocument/2006/relationships/hyperlink" Target="http://gpi.tge.pl/en/wykaz-jednostek" TargetMode="External"/><Relationship Id="rId10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87" Type="http://schemas.openxmlformats.org/officeDocument/2006/relationships/hyperlink" Target="https://www.nve.no/energiforsyning/kraftproduksjon/vannkraft/vannkraftdatabase/" TargetMode="External"/><Relationship Id="rId4254" Type="http://schemas.openxmlformats.org/officeDocument/2006/relationships/hyperlink" Target="https://www.nve.no/energiforsyning/kraftproduksjon/vannkraft/vannkraftdatabase/" TargetMode="External"/><Relationship Id="rId1848" Type="http://schemas.openxmlformats.org/officeDocument/2006/relationships/hyperlink" Target="https://sede.minetur.gob.es/en-US/datosabiertos/catalogo/registro-productores-electrica" TargetMode="External"/><Relationship Id="rId3270" Type="http://schemas.openxmlformats.org/officeDocument/2006/relationships/hyperlink" Target="https://www.nve.no/energiforsyning/kraftproduksjon/vannkraft/vannkraftdatabase/" TargetMode="External"/><Relationship Id="rId4321" Type="http://schemas.openxmlformats.org/officeDocument/2006/relationships/hyperlink" Target="https://www.nve.no/energiforsyning/kraftproduksjon/vannkraft/vannkraftdatabase/" TargetMode="External"/><Relationship Id="rId191" Type="http://schemas.openxmlformats.org/officeDocument/2006/relationships/hyperlink" Target="https://www.services-rte.com/en/view-data-published-by-rte/production-installed-capacity.html" TargetMode="External"/><Relationship Id="rId1915" Type="http://schemas.openxmlformats.org/officeDocument/2006/relationships/hyperlink" Target="https://sede.minetur.gob.es/en-US/datosabiertos/catalogo/registro-productores-electrica" TargetMode="External"/><Relationship Id="rId2689" Type="http://schemas.openxmlformats.org/officeDocument/2006/relationships/hyperlink" Target="https://sede.minetur.gob.es/en-US/datosabiertos/catalogo/registro-productores-electrica" TargetMode="External"/><Relationship Id="rId2756" Type="http://schemas.openxmlformats.org/officeDocument/2006/relationships/hyperlink" Target="https://sede.minetur.gob.es/en-US/datosabiertos/catalogo/registro-productores-electrica" TargetMode="External"/><Relationship Id="rId3807" Type="http://schemas.openxmlformats.org/officeDocument/2006/relationships/hyperlink" Target="https://www.nve.no/energiforsyning/kraftproduksjon/vannkraft/vannkraftdatabase/" TargetMode="External"/><Relationship Id="rId7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8" Type="http://schemas.openxmlformats.org/officeDocument/2006/relationships/hyperlink" Target="http://www2018.terna.it/it-it/sistemaelettrico/transparencyreport/generation/installedgenerationcapacity.aspx" TargetMode="External"/><Relationship Id="rId1772" Type="http://schemas.openxmlformats.org/officeDocument/2006/relationships/hyperlink" Target="https://sede.minetur.gob.es/en-US/datosabiertos/catalogo/registro-productores-electrica" TargetMode="External"/><Relationship Id="rId2409" Type="http://schemas.openxmlformats.org/officeDocument/2006/relationships/hyperlink" Target="https://sede.minetur.gob.es/en-US/datosabiertos/catalogo/registro-productores-electrica" TargetMode="External"/><Relationship Id="rId64" Type="http://schemas.openxmlformats.org/officeDocument/2006/relationships/hyperlink" Target="https://www.elia.be/en/grid-data/power-generation/generating-facilities" TargetMode="External"/><Relationship Id="rId1425" Type="http://schemas.openxmlformats.org/officeDocument/2006/relationships/hyperlink" Target="https://energiavirasto.fi/toimitusvarmuus" TargetMode="External"/><Relationship Id="rId2823" Type="http://schemas.openxmlformats.org/officeDocument/2006/relationships/hyperlink" Target="https://sede.minetur.gob.es/en-US/datosabiertos/catalogo/registro-productores-electrica" TargetMode="External"/><Relationship Id="rId4995" Type="http://schemas.openxmlformats.org/officeDocument/2006/relationships/hyperlink" Target="https://www.verbund.com/de-at/ueber-verbund/kraftwerke/unsere-kraftwerke" TargetMode="External"/><Relationship Id="rId2199" Type="http://schemas.openxmlformats.org/officeDocument/2006/relationships/hyperlink" Target="https://sede.minetur.gob.es/en-US/datosabiertos/catalogo/registro-productores-electrica" TargetMode="External"/><Relationship Id="rId3597" Type="http://schemas.openxmlformats.org/officeDocument/2006/relationships/hyperlink" Target="https://www.nve.no/energiforsyning/kraftproduksjon/vannkraft/vannkraftdatabase/" TargetMode="External"/><Relationship Id="rId4648" Type="http://schemas.openxmlformats.org/officeDocument/2006/relationships/hyperlink" Target="https://www.nve.no/energiforsyning/kraftproduksjon/vannkraft/vannkraftdatabase/" TargetMode="External"/><Relationship Id="rId3664" Type="http://schemas.openxmlformats.org/officeDocument/2006/relationships/hyperlink" Target="https://www.nve.no/energiforsyning/kraftproduksjon/vannkraft/vannkraftdatabase/" TargetMode="External"/><Relationship Id="rId4715" Type="http://schemas.openxmlformats.org/officeDocument/2006/relationships/hyperlink" Target="https://www.nve.no/energiforsyning/kraftproduksjon/vannkraft/vannkraftdatabase/" TargetMode="External"/><Relationship Id="rId5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6" Type="http://schemas.openxmlformats.org/officeDocument/2006/relationships/hyperlink" Target="https://sede.minetur.gob.es/en-US/datosabiertos/catalogo/registro-productores-electrica" TargetMode="External"/><Relationship Id="rId2680" Type="http://schemas.openxmlformats.org/officeDocument/2006/relationships/hyperlink" Target="https://sede.minetur.gob.es/en-US/datosabiertos/catalogo/registro-productores-electrica" TargetMode="External"/><Relationship Id="rId3317" Type="http://schemas.openxmlformats.org/officeDocument/2006/relationships/hyperlink" Target="https://www.nve.no/energiforsyning/kraftproduksjon/vannkraft/vannkraftdatabase/" TargetMode="External"/><Relationship Id="rId3731" Type="http://schemas.openxmlformats.org/officeDocument/2006/relationships/hyperlink" Target="https://www.nve.no/energiforsyning/kraftproduksjon/vannkraft/vannkraftdatabase/" TargetMode="External"/><Relationship Id="rId238" Type="http://schemas.openxmlformats.org/officeDocument/2006/relationships/hyperlink" Target="https://www.services-rte.com/en/view-data-published-by-rte/production-installed-capacity.html" TargetMode="External"/><Relationship Id="rId6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2" Type="http://schemas.openxmlformats.org/officeDocument/2006/relationships/hyperlink" Target="http://www2018.terna.it/it-it/sistemaelettrico/transparencyreport/generation/installedgenerationcapacity.aspx" TargetMode="External"/><Relationship Id="rId2333" Type="http://schemas.openxmlformats.org/officeDocument/2006/relationships/hyperlink" Target="https://sede.minetur.gob.es/en-US/datosabiertos/catalogo/registro-productores-electrica" TargetMode="External"/><Relationship Id="rId305" Type="http://schemas.openxmlformats.org/officeDocument/2006/relationships/hyperlink" Target="https://www.services-rte.com/en/view-data-published-by-rte/production-installed-capacity.html" TargetMode="External"/><Relationship Id="rId2400" Type="http://schemas.openxmlformats.org/officeDocument/2006/relationships/hyperlink" Target="https://sede.minetur.gob.es/en-US/datosabiertos/catalogo/registro-productores-electrica" TargetMode="External"/><Relationship Id="rId10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58" Type="http://schemas.openxmlformats.org/officeDocument/2006/relationships/hyperlink" Target="https://www.nve.no/energiforsyning/kraftproduksjon/vannkraft/vannkraftdatabase/" TargetMode="External"/><Relationship Id="rId3174" Type="http://schemas.openxmlformats.org/officeDocument/2006/relationships/hyperlink" Target="https://www.nve.no/energiforsyning/kraftproduksjon/vannkraft/vannkraftdatabase/" TargetMode="External"/><Relationship Id="rId4572" Type="http://schemas.openxmlformats.org/officeDocument/2006/relationships/hyperlink" Target="https://www.nve.no/energiforsyning/kraftproduksjon/vannkraft/vannkraftdatabase/" TargetMode="External"/><Relationship Id="rId1819" Type="http://schemas.openxmlformats.org/officeDocument/2006/relationships/hyperlink" Target="https://sede.minetur.gob.es/en-US/datosabiertos/catalogo/registro-productores-electrica" TargetMode="External"/><Relationship Id="rId4225" Type="http://schemas.openxmlformats.org/officeDocument/2006/relationships/hyperlink" Target="https://www.nve.no/energiforsyning/kraftproduksjon/vannkraft/vannkraftdatabase/" TargetMode="External"/><Relationship Id="rId2190" Type="http://schemas.openxmlformats.org/officeDocument/2006/relationships/hyperlink" Target="https://sede.minetur.gob.es/en-US/datosabiertos/catalogo/registro-productores-electrica" TargetMode="External"/><Relationship Id="rId3241" Type="http://schemas.openxmlformats.org/officeDocument/2006/relationships/hyperlink" Target="https://www.nve.no/energiforsyning/kraftproduksjon/vannkraft/vannkraftdatabase/" TargetMode="External"/><Relationship Id="rId162" Type="http://schemas.openxmlformats.org/officeDocument/2006/relationships/hyperlink" Target="https://www.tennet.org/english/operational_management/export_data.aspx" TargetMode="External"/><Relationship Id="rId9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082" Type="http://schemas.openxmlformats.org/officeDocument/2006/relationships/hyperlink" Target="https://www.nve.no/energiforsyning/kraftproduksjon/vannkraft/vannkraftdatabase/" TargetMode="External"/><Relationship Id="rId1676" Type="http://schemas.openxmlformats.org/officeDocument/2006/relationships/hyperlink" Target="https://energiavirasto.fi/toimitusvarmuus" TargetMode="External"/><Relationship Id="rId2727" Type="http://schemas.openxmlformats.org/officeDocument/2006/relationships/hyperlink" Target="https://sede.minetur.gob.es/en-US/datosabiertos/catalogo/registro-productores-electrica" TargetMode="External"/><Relationship Id="rId1329" Type="http://schemas.openxmlformats.org/officeDocument/2006/relationships/hyperlink" Target="http://www2018.terna.it/it-it/sistemaelettrico/transparencyreport/generation/installedgenerationcapacity.aspx" TargetMode="External"/><Relationship Id="rId1743" Type="http://schemas.openxmlformats.org/officeDocument/2006/relationships/hyperlink" Target="https://sede.minetur.gob.es/en-US/datosabiertos/catalogo/registro-productores-electrica" TargetMode="External"/><Relationship Id="rId4899" Type="http://schemas.openxmlformats.org/officeDocument/2006/relationships/hyperlink" Target="https://www.verbund.com/de-at/ueber-verbund/kraftwerke/unsere-kraftwerke" TargetMode="External"/><Relationship Id="rId35" Type="http://schemas.openxmlformats.org/officeDocument/2006/relationships/hyperlink" Target="https://www.elia.be/en/grid-data/power-generation/generating-facilities" TargetMode="External"/><Relationship Id="rId1810" Type="http://schemas.openxmlformats.org/officeDocument/2006/relationships/hyperlink" Target="https://sede.minetur.gob.es/en-US/datosabiertos/catalogo/registro-productores-electrica" TargetMode="External"/><Relationship Id="rId4966" Type="http://schemas.openxmlformats.org/officeDocument/2006/relationships/hyperlink" Target="https://www.verbund.com/de-at/ueber-verbund/kraftwerke/unsere-kraftwerke" TargetMode="External"/><Relationship Id="rId3568" Type="http://schemas.openxmlformats.org/officeDocument/2006/relationships/hyperlink" Target="https://www.nve.no/energiforsyning/kraftproduksjon/vannkraft/vannkraftdatabase/" TargetMode="External"/><Relationship Id="rId3982" Type="http://schemas.openxmlformats.org/officeDocument/2006/relationships/hyperlink" Target="https://www.nve.no/energiforsyning/kraftproduksjon/vannkraft/vannkraftdatabase/" TargetMode="External"/><Relationship Id="rId4619" Type="http://schemas.openxmlformats.org/officeDocument/2006/relationships/hyperlink" Target="https://www.nve.no/energiforsyning/kraftproduksjon/vannkraft/vannkraftdatabase/" TargetMode="External"/><Relationship Id="rId489" Type="http://schemas.openxmlformats.org/officeDocument/2006/relationships/hyperlink" Target="https://www.ceps.cz/cs/priprava-provozu" TargetMode="External"/><Relationship Id="rId2584" Type="http://schemas.openxmlformats.org/officeDocument/2006/relationships/hyperlink" Target="https://sede.minetur.gob.es/en-US/datosabiertos/catalogo/registro-productores-electrica" TargetMode="External"/><Relationship Id="rId3635" Type="http://schemas.openxmlformats.org/officeDocument/2006/relationships/hyperlink" Target="https://www.nve.no/energiforsyning/kraftproduksjon/vannkraft/vannkraftdatabase/" TargetMode="External"/><Relationship Id="rId556" Type="http://schemas.openxmlformats.org/officeDocument/2006/relationships/hyperlink" Target="https://www.ceps.cz/cs/priprava-provozu" TargetMode="External"/><Relationship Id="rId11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37" Type="http://schemas.openxmlformats.org/officeDocument/2006/relationships/hyperlink" Target="https://sede.minetur.gob.es/en-US/datosabiertos/catalogo/registro-productores-electrica" TargetMode="External"/><Relationship Id="rId209" Type="http://schemas.openxmlformats.org/officeDocument/2006/relationships/hyperlink" Target="https://www.services-rte.com/en/view-data-published-by-rte/production-installed-capacity.html" TargetMode="External"/><Relationship Id="rId9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3" Type="http://schemas.openxmlformats.org/officeDocument/2006/relationships/hyperlink" Target="http://www2018.terna.it/it-it/sistemaelettrico/transparencyreport/generation/installedgenerationcapacity.aspx" TargetMode="External"/><Relationship Id="rId2651" Type="http://schemas.openxmlformats.org/officeDocument/2006/relationships/hyperlink" Target="https://sede.minetur.gob.es/en-US/datosabiertos/catalogo/registro-productores-electrica" TargetMode="External"/><Relationship Id="rId3702" Type="http://schemas.openxmlformats.org/officeDocument/2006/relationships/hyperlink" Target="https://www.nve.no/energiforsyning/kraftproduksjon/vannkraft/vannkraftdatabase/" TargetMode="External"/><Relationship Id="rId6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04" Type="http://schemas.openxmlformats.org/officeDocument/2006/relationships/hyperlink" Target="https://sede.minetur.gob.es/en-US/datosabiertos/catalogo/registro-productores-electrica" TargetMode="External"/><Relationship Id="rId1320" Type="http://schemas.openxmlformats.org/officeDocument/2006/relationships/hyperlink" Target="http://www2018.terna.it/it-it/sistemaelettrico/transparencyreport/generation/installedgenerationcapacity.aspx" TargetMode="External"/><Relationship Id="rId4476" Type="http://schemas.openxmlformats.org/officeDocument/2006/relationships/hyperlink" Target="https://www.nve.no/energiforsyning/kraftproduksjon/vannkraft/vannkraftdatabase/" TargetMode="External"/><Relationship Id="rId4890" Type="http://schemas.openxmlformats.org/officeDocument/2006/relationships/hyperlink" Target="http://www.dem.si/en-gb/Power-plants-and-generation/General-data" TargetMode="External"/><Relationship Id="rId3078" Type="http://schemas.openxmlformats.org/officeDocument/2006/relationships/hyperlink" Target="https://www.gov.uk/government/statistics/electricity-chapter-5-digest-of-united-kingdom-energy-statistics-dukes" TargetMode="External"/><Relationship Id="rId3492" Type="http://schemas.openxmlformats.org/officeDocument/2006/relationships/hyperlink" Target="https://www.nve.no/energiforsyning/kraftproduksjon/vannkraft/vannkraftdatabase/" TargetMode="External"/><Relationship Id="rId4129" Type="http://schemas.openxmlformats.org/officeDocument/2006/relationships/hyperlink" Target="https://www.nve.no/energiforsyning/kraftproduksjon/vannkraft/vannkraftdatabase/" TargetMode="External"/><Relationship Id="rId4543" Type="http://schemas.openxmlformats.org/officeDocument/2006/relationships/hyperlink" Target="https://www.nve.no/energiforsyning/kraftproduksjon/vannkraft/vannkraftdatabase/" TargetMode="External"/><Relationship Id="rId2094" Type="http://schemas.openxmlformats.org/officeDocument/2006/relationships/hyperlink" Target="https://sede.minetur.gob.es/en-US/datosabiertos/catalogo/registro-productores-electrica" TargetMode="External"/><Relationship Id="rId3145" Type="http://schemas.openxmlformats.org/officeDocument/2006/relationships/hyperlink" Target="https://www.nve.no/energiforsyning/kraftproduksjon/vannkraft/vannkraftdatabase/" TargetMode="External"/><Relationship Id="rId4610" Type="http://schemas.openxmlformats.org/officeDocument/2006/relationships/hyperlink" Target="https://www.nve.no/energiforsyning/kraftproduksjon/vannkraft/vannkraftdatabase/" TargetMode="External"/><Relationship Id="rId480" Type="http://schemas.openxmlformats.org/officeDocument/2006/relationships/hyperlink" Target="https://www.ceps.cz/cs/priprava-provozu" TargetMode="External"/><Relationship Id="rId2161" Type="http://schemas.openxmlformats.org/officeDocument/2006/relationships/hyperlink" Target="https://sede.minetur.gob.es/en-US/datosabiertos/catalogo/registro-productores-electrica" TargetMode="External"/><Relationship Id="rId3212" Type="http://schemas.openxmlformats.org/officeDocument/2006/relationships/hyperlink" Target="https://www.nve.no/energiforsyning/kraftproduksjon/vannkraft/vannkraftdatabase/" TargetMode="External"/><Relationship Id="rId133" Type="http://schemas.openxmlformats.org/officeDocument/2006/relationships/hyperlink" Target="https://www.tennet.org/english/operational_management/export_data.aspx" TargetMode="External"/><Relationship Id="rId200" Type="http://schemas.openxmlformats.org/officeDocument/2006/relationships/hyperlink" Target="https://www.services-rte.com/en/view-data-published-by-rte/production-installed-capacity.html" TargetMode="External"/><Relationship Id="rId2978" Type="http://schemas.openxmlformats.org/officeDocument/2006/relationships/hyperlink" Target="https://www.gov.uk/government/statistics/electricity-chapter-5-digest-of-united-kingdom-energy-statistics-dukes" TargetMode="External"/><Relationship Id="rId5037" Type="http://schemas.openxmlformats.org/officeDocument/2006/relationships/printerSettings" Target="../printerSettings/printerSettings1.bin"/><Relationship Id="rId1994" Type="http://schemas.openxmlformats.org/officeDocument/2006/relationships/hyperlink" Target="https://sede.minetur.gob.es/en-US/datosabiertos/catalogo/registro-productores-electrica" TargetMode="External"/><Relationship Id="rId1647" Type="http://schemas.openxmlformats.org/officeDocument/2006/relationships/hyperlink" Target="https://energiavirasto.fi/toimitusvarmuus" TargetMode="External"/><Relationship Id="rId4053" Type="http://schemas.openxmlformats.org/officeDocument/2006/relationships/hyperlink" Target="https://www.nve.no/energiforsyning/kraftproduksjon/vannkraft/vannkraftdatabase/" TargetMode="External"/><Relationship Id="rId1714" Type="http://schemas.openxmlformats.org/officeDocument/2006/relationships/hyperlink" Target="https://sede.minetur.gob.es/en-US/datosabiertos/catalogo/registro-productores-electrica" TargetMode="External"/><Relationship Id="rId4120" Type="http://schemas.openxmlformats.org/officeDocument/2006/relationships/hyperlink" Target="https://www.nve.no/energiforsyning/kraftproduksjon/vannkraft/vannkraftdatabase/" TargetMode="External"/><Relationship Id="rId2488" Type="http://schemas.openxmlformats.org/officeDocument/2006/relationships/hyperlink" Target="https://sede.minetur.gob.es/en-US/datosabiertos/catalogo/registro-productores-electrica" TargetMode="External"/><Relationship Id="rId3886" Type="http://schemas.openxmlformats.org/officeDocument/2006/relationships/hyperlink" Target="https://www.nve.no/energiforsyning/kraftproduksjon/vannkraft/vannkraftdatabase/" TargetMode="External"/><Relationship Id="rId4937" Type="http://schemas.openxmlformats.org/officeDocument/2006/relationships/hyperlink" Target="https://www.verbund.com/de-at/ueber-verbund/kraftwerke/unsere-kraftwerke" TargetMode="External"/><Relationship Id="rId3539" Type="http://schemas.openxmlformats.org/officeDocument/2006/relationships/hyperlink" Target="https://www.nve.no/energiforsyning/kraftproduksjon/vannkraft/vannkraftdatabase/" TargetMode="External"/><Relationship Id="rId3953" Type="http://schemas.openxmlformats.org/officeDocument/2006/relationships/hyperlink" Target="https://www.nve.no/energiforsyning/kraftproduksjon/vannkraft/vannkraftdatabase/" TargetMode="External"/><Relationship Id="rId8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55" Type="http://schemas.openxmlformats.org/officeDocument/2006/relationships/hyperlink" Target="https://sede.minetur.gob.es/en-US/datosabiertos/catalogo/registro-productores-electrica" TargetMode="External"/><Relationship Id="rId3606" Type="http://schemas.openxmlformats.org/officeDocument/2006/relationships/hyperlink" Target="https://www.nve.no/energiforsyning/kraftproduksjon/vannkraft/vannkraftdatabase/" TargetMode="External"/><Relationship Id="rId527" Type="http://schemas.openxmlformats.org/officeDocument/2006/relationships/hyperlink" Target="https://www.ceps.cz/cs/priprava-provozu" TargetMode="External"/><Relationship Id="rId9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1" Type="http://schemas.openxmlformats.org/officeDocument/2006/relationships/hyperlink" Target="https://energiavirasto.fi/toimitusvarmuus" TargetMode="External"/><Relationship Id="rId2208" Type="http://schemas.openxmlformats.org/officeDocument/2006/relationships/hyperlink" Target="https://sede.minetur.gob.es/en-US/datosabiertos/catalogo/registro-productores-electrica" TargetMode="External"/><Relationship Id="rId2622" Type="http://schemas.openxmlformats.org/officeDocument/2006/relationships/hyperlink" Target="https://sede.minetur.gob.es/en-US/datosabiertos/catalogo/registro-productores-electrica" TargetMode="External"/><Relationship Id="rId12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794" Type="http://schemas.openxmlformats.org/officeDocument/2006/relationships/hyperlink" Target="https://www.nve.no/media/8967/termiske-kraftverk-i-norge-2019.xlsx" TargetMode="External"/><Relationship Id="rId3396" Type="http://schemas.openxmlformats.org/officeDocument/2006/relationships/hyperlink" Target="https://www.nve.no/energiforsyning/kraftproduksjon/vannkraft/vannkraftdatabase/" TargetMode="External"/><Relationship Id="rId4447" Type="http://schemas.openxmlformats.org/officeDocument/2006/relationships/hyperlink" Target="https://www.nve.no/energiforsyning/kraftproduksjon/vannkraft/vannkraftdatabase/" TargetMode="External"/><Relationship Id="rId3049" Type="http://schemas.openxmlformats.org/officeDocument/2006/relationships/hyperlink" Target="https://www.gov.uk/government/statistics/electricity-chapter-5-digest-of-united-kingdom-energy-statistics-dukes" TargetMode="External"/><Relationship Id="rId3463" Type="http://schemas.openxmlformats.org/officeDocument/2006/relationships/hyperlink" Target="https://www.nve.no/energiforsyning/kraftproduksjon/vannkraft/vannkraftdatabase/" TargetMode="External"/><Relationship Id="rId4861" Type="http://schemas.openxmlformats.org/officeDocument/2006/relationships/hyperlink" Target="http://www.he-ss.si/eng/he-mokrice-specifications.html" TargetMode="External"/><Relationship Id="rId384" Type="http://schemas.openxmlformats.org/officeDocument/2006/relationships/hyperlink" Target="http://gpi.tge.pl/en/wykaz-jednostek" TargetMode="External"/><Relationship Id="rId2065" Type="http://schemas.openxmlformats.org/officeDocument/2006/relationships/hyperlink" Target="https://sede.minetur.gob.es/en-US/datosabiertos/catalogo/registro-productores-electrica" TargetMode="External"/><Relationship Id="rId3116" Type="http://schemas.openxmlformats.org/officeDocument/2006/relationships/hyperlink" Target="https://www.nve.no/energiforsyning/kraftproduksjon/vannkraft/vannkraftdatabase/" TargetMode="External"/><Relationship Id="rId4514" Type="http://schemas.openxmlformats.org/officeDocument/2006/relationships/hyperlink" Target="https://www.nve.no/energiforsyning/kraftproduksjon/vannkraft/vannkraftdatabase/" TargetMode="External"/><Relationship Id="rId10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530" Type="http://schemas.openxmlformats.org/officeDocument/2006/relationships/hyperlink" Target="https://www.nve.no/energiforsyning/kraftproduksjon/vannkraft/vannkraftdatabase/" TargetMode="External"/><Relationship Id="rId451" Type="http://schemas.openxmlformats.org/officeDocument/2006/relationships/hyperlink" Target="https://www.ceps.cz/cs/priprava-provozu" TargetMode="External"/><Relationship Id="rId2132" Type="http://schemas.openxmlformats.org/officeDocument/2006/relationships/hyperlink" Target="https://sede.minetur.gob.es/en-US/datosabiertos/catalogo/registro-productores-electrica" TargetMode="External"/><Relationship Id="rId104" Type="http://schemas.openxmlformats.org/officeDocument/2006/relationships/hyperlink" Target="https://www.tennet.org/english/operational_management/export_data.aspx" TargetMode="External"/><Relationship Id="rId1898" Type="http://schemas.openxmlformats.org/officeDocument/2006/relationships/hyperlink" Target="https://sede.minetur.gob.es/en-US/datosabiertos/catalogo/registro-productores-electrica" TargetMode="External"/><Relationship Id="rId2949" Type="http://schemas.openxmlformats.org/officeDocument/2006/relationships/hyperlink" Target="https://www.gov.uk/government/statistics/electricity-chapter-5-digest-of-united-kingdom-energy-statistics-dukes" TargetMode="External"/><Relationship Id="rId4371" Type="http://schemas.openxmlformats.org/officeDocument/2006/relationships/hyperlink" Target="https://www.nve.no/energiforsyning/kraftproduksjon/vannkraft/vannkraftdatabase/" TargetMode="External"/><Relationship Id="rId5008" Type="http://schemas.openxmlformats.org/officeDocument/2006/relationships/hyperlink" Target="https://www.energieag.at/Themen/Energie-fuer-Sie/Kraftwerke/Thermische-Kraftwerke/" TargetMode="External"/><Relationship Id="rId1965" Type="http://schemas.openxmlformats.org/officeDocument/2006/relationships/hyperlink" Target="https://sede.minetur.gob.es/en-US/datosabiertos/catalogo/registro-productores-electrica" TargetMode="External"/><Relationship Id="rId4024" Type="http://schemas.openxmlformats.org/officeDocument/2006/relationships/hyperlink" Target="https://www.nve.no/energiforsyning/kraftproduksjon/vannkraft/vannkraftdatabase/" TargetMode="External"/><Relationship Id="rId1618" Type="http://schemas.openxmlformats.org/officeDocument/2006/relationships/hyperlink" Target="https://energiavirasto.fi/toimitusvarmuus" TargetMode="External"/><Relationship Id="rId3040" Type="http://schemas.openxmlformats.org/officeDocument/2006/relationships/hyperlink" Target="https://www.gov.uk/government/statistics/electricity-chapter-5-digest-of-united-kingdom-energy-statistics-dukes" TargetMode="External"/><Relationship Id="rId3857" Type="http://schemas.openxmlformats.org/officeDocument/2006/relationships/hyperlink" Target="https://www.nve.no/energiforsyning/kraftproduksjon/vannkraft/vannkraftdatabase/" TargetMode="External"/><Relationship Id="rId4908" Type="http://schemas.openxmlformats.org/officeDocument/2006/relationships/hyperlink" Target="https://www.verbund.com/de-at/ueber-verbund/kraftwerke/unsere-kraftwerke" TargetMode="External"/><Relationship Id="rId7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9" Type="http://schemas.openxmlformats.org/officeDocument/2006/relationships/hyperlink" Target="https://sede.minetur.gob.es/en-US/datosabiertos/catalogo/registro-productores-electrica" TargetMode="External"/><Relationship Id="rId2873" Type="http://schemas.openxmlformats.org/officeDocument/2006/relationships/hyperlink" Target="https://www.gov.uk/government/statistics/electricity-chapter-5-digest-of-united-kingdom-energy-statistics-dukes" TargetMode="External"/><Relationship Id="rId3924" Type="http://schemas.openxmlformats.org/officeDocument/2006/relationships/hyperlink" Target="https://www.nve.no/energiforsyning/kraftproduksjon/vannkraft/vannkraftdatabase/" TargetMode="External"/><Relationship Id="rId8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5" Type="http://schemas.openxmlformats.org/officeDocument/2006/relationships/hyperlink" Target="https://energiavirasto.fi/toimitusvarmuus" TargetMode="External"/><Relationship Id="rId2526" Type="http://schemas.openxmlformats.org/officeDocument/2006/relationships/hyperlink" Target="https://sede.minetur.gob.es/en-US/datosabiertos/catalogo/registro-productores-electrica" TargetMode="External"/><Relationship Id="rId11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2" Type="http://schemas.openxmlformats.org/officeDocument/2006/relationships/hyperlink" Target="https://energiavirasto.fi/toimitusvarmuus" TargetMode="External"/><Relationship Id="rId2940" Type="http://schemas.openxmlformats.org/officeDocument/2006/relationships/hyperlink" Target="https://www.gov.uk/government/statistics/electricity-chapter-5-digest-of-united-kingdom-energy-statistics-dukes" TargetMode="External"/><Relationship Id="rId4698" Type="http://schemas.openxmlformats.org/officeDocument/2006/relationships/hyperlink" Target="https://www.nve.no/energiforsyning/kraftproduksjon/vannkraft/vannkraftdatabase/" TargetMode="External"/><Relationship Id="rId9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765" Type="http://schemas.openxmlformats.org/officeDocument/2006/relationships/hyperlink" Target="https://www.nve.no/energiforsyning/kraftproduksjon/vannkraft/vannkraftdatabase/" TargetMode="External"/><Relationship Id="rId288" Type="http://schemas.openxmlformats.org/officeDocument/2006/relationships/hyperlink" Target="https://www.services-rte.com/en/view-data-published-by-rte/production-installed-capacity.html" TargetMode="External"/><Relationship Id="rId3367" Type="http://schemas.openxmlformats.org/officeDocument/2006/relationships/hyperlink" Target="https://www.nve.no/energiforsyning/kraftproduksjon/vannkraft/vannkraftdatabase/" TargetMode="External"/><Relationship Id="rId3781" Type="http://schemas.openxmlformats.org/officeDocument/2006/relationships/hyperlink" Target="https://www.nve.no/energiforsyning/kraftproduksjon/vannkraft/vannkraftdatabase/" TargetMode="External"/><Relationship Id="rId4418" Type="http://schemas.openxmlformats.org/officeDocument/2006/relationships/hyperlink" Target="https://www.nve.no/energiforsyning/kraftproduksjon/vannkraft/vannkraftdatabase/" TargetMode="External"/><Relationship Id="rId4832" Type="http://schemas.openxmlformats.org/officeDocument/2006/relationships/hyperlink" Target="http://www.dem.si/en-gb/Power-plants-and-generation/General-data" TargetMode="External"/><Relationship Id="rId2383" Type="http://schemas.openxmlformats.org/officeDocument/2006/relationships/hyperlink" Target="https://sede.minetur.gob.es/en-US/datosabiertos/catalogo/registro-productores-electrica" TargetMode="External"/><Relationship Id="rId3434" Type="http://schemas.openxmlformats.org/officeDocument/2006/relationships/hyperlink" Target="https://www.nve.no/energiforsyning/kraftproduksjon/vannkraft/vannkraftdatabase/" TargetMode="External"/><Relationship Id="rId355" Type="http://schemas.openxmlformats.org/officeDocument/2006/relationships/hyperlink" Target="http://gpi.tge.pl/en/wykaz-jednostek" TargetMode="External"/><Relationship Id="rId2036" Type="http://schemas.openxmlformats.org/officeDocument/2006/relationships/hyperlink" Target="https://sede.minetur.gob.es/en-US/datosabiertos/catalogo/registro-productores-electrica" TargetMode="External"/><Relationship Id="rId2450" Type="http://schemas.openxmlformats.org/officeDocument/2006/relationships/hyperlink" Target="https://sede.minetur.gob.es/en-US/datosabiertos/catalogo/registro-productores-electrica" TargetMode="External"/><Relationship Id="rId3501" Type="http://schemas.openxmlformats.org/officeDocument/2006/relationships/hyperlink" Target="https://www.nve.no/energiforsyning/kraftproduksjon/vannkraft/vannkraftdatabase/" TargetMode="External"/><Relationship Id="rId422" Type="http://schemas.openxmlformats.org/officeDocument/2006/relationships/hyperlink" Target="https://www.ceps.cz/cs/priprava-provozu" TargetMode="External"/><Relationship Id="rId10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03" Type="http://schemas.openxmlformats.org/officeDocument/2006/relationships/hyperlink" Target="https://sede.minetur.gob.es/en-US/datosabiertos/catalogo/registro-productores-electrica" TargetMode="External"/><Relationship Id="rId4275" Type="http://schemas.openxmlformats.org/officeDocument/2006/relationships/hyperlink" Target="https://www.nve.no/energiforsyning/kraftproduksjon/vannkraft/vannkraftdatabase/" TargetMode="External"/><Relationship Id="rId1869" Type="http://schemas.openxmlformats.org/officeDocument/2006/relationships/hyperlink" Target="https://sede.minetur.gob.es/en-US/datosabiertos/catalogo/registro-productores-electrica" TargetMode="External"/><Relationship Id="rId3291" Type="http://schemas.openxmlformats.org/officeDocument/2006/relationships/hyperlink" Target="https://www.nve.no/energiforsyning/kraftproduksjon/vannkraft/vannkraftdatabase/" TargetMode="External"/><Relationship Id="rId1936" Type="http://schemas.openxmlformats.org/officeDocument/2006/relationships/hyperlink" Target="https://sede.minetur.gob.es/en-US/datosabiertos/catalogo/registro-productores-electrica" TargetMode="External"/><Relationship Id="rId4342" Type="http://schemas.openxmlformats.org/officeDocument/2006/relationships/hyperlink" Target="https://www.nve.no/energiforsyning/kraftproduksjon/vannkraft/vannkraftdatabase/" TargetMode="External"/><Relationship Id="rId3011" Type="http://schemas.openxmlformats.org/officeDocument/2006/relationships/hyperlink" Target="https://www.gov.uk/government/statistics/electricity-chapter-5-digest-of-united-kingdom-energy-statistics-dukes" TargetMode="External"/><Relationship Id="rId2777" Type="http://schemas.openxmlformats.org/officeDocument/2006/relationships/hyperlink" Target="https://sede.minetur.gob.es/en-US/datosabiertos/catalogo/registro-productores-electrica" TargetMode="External"/><Relationship Id="rId7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9" Type="http://schemas.openxmlformats.org/officeDocument/2006/relationships/hyperlink" Target="http://www2018.terna.it/it-it/sistemaelettrico/transparencyreport/generation/installedgenerationcapacity.aspx" TargetMode="External"/><Relationship Id="rId3828" Type="http://schemas.openxmlformats.org/officeDocument/2006/relationships/hyperlink" Target="https://www.nve.no/energiforsyning/kraftproduksjon/vannkraft/vannkraftdatabase/" TargetMode="External"/><Relationship Id="rId1793" Type="http://schemas.openxmlformats.org/officeDocument/2006/relationships/hyperlink" Target="https://sede.minetur.gob.es/en-US/datosabiertos/catalogo/registro-productores-electrica" TargetMode="External"/><Relationship Id="rId2844" Type="http://schemas.openxmlformats.org/officeDocument/2006/relationships/hyperlink" Target="https://sede.minetur.gob.es/en-US/datosabiertos/catalogo/registro-productores-electrica" TargetMode="External"/><Relationship Id="rId85" Type="http://schemas.openxmlformats.org/officeDocument/2006/relationships/hyperlink" Target="https://www.elia.be/en/grid-data/power-generation/generating-facilities" TargetMode="External"/><Relationship Id="rId8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6" Type="http://schemas.openxmlformats.org/officeDocument/2006/relationships/hyperlink" Target="https://energiavirasto.fi/toimitusvarmuus" TargetMode="External"/><Relationship Id="rId1860" Type="http://schemas.openxmlformats.org/officeDocument/2006/relationships/hyperlink" Target="https://sede.minetur.gob.es/en-US/datosabiertos/catalogo/registro-productores-electrica" TargetMode="External"/><Relationship Id="rId2911" Type="http://schemas.openxmlformats.org/officeDocument/2006/relationships/hyperlink" Target="https://www.gov.uk/government/statistics/electricity-chapter-5-digest-of-united-kingdom-energy-statistics-dukes" TargetMode="External"/><Relationship Id="rId1513" Type="http://schemas.openxmlformats.org/officeDocument/2006/relationships/hyperlink" Target="https://energiavirasto.fi/toimitusvarmuus" TargetMode="External"/><Relationship Id="rId4669" Type="http://schemas.openxmlformats.org/officeDocument/2006/relationships/hyperlink" Target="https://www.nve.no/energiforsyning/kraftproduksjon/vannkraft/vannkraftdatabase/" TargetMode="External"/><Relationship Id="rId3685" Type="http://schemas.openxmlformats.org/officeDocument/2006/relationships/hyperlink" Target="https://www.nve.no/energiforsyning/kraftproduksjon/vannkraft/vannkraftdatabase/" TargetMode="External"/><Relationship Id="rId4736" Type="http://schemas.openxmlformats.org/officeDocument/2006/relationships/hyperlink" Target="https://www.nve.no/energiforsyning/kraftproduksjon/vannkraft/vannkraftdatabase/" TargetMode="External"/><Relationship Id="rId2287" Type="http://schemas.openxmlformats.org/officeDocument/2006/relationships/hyperlink" Target="https://sede.minetur.gob.es/en-US/datosabiertos/catalogo/registro-productores-electrica" TargetMode="External"/><Relationship Id="rId3338" Type="http://schemas.openxmlformats.org/officeDocument/2006/relationships/hyperlink" Target="https://www.nve.no/energiforsyning/kraftproduksjon/vannkraft/vannkraftdatabase/" TargetMode="External"/><Relationship Id="rId3752" Type="http://schemas.openxmlformats.org/officeDocument/2006/relationships/hyperlink" Target="https://www.nve.no/energiforsyning/kraftproduksjon/vannkraft/vannkraftdatabase/" TargetMode="External"/><Relationship Id="rId259" Type="http://schemas.openxmlformats.org/officeDocument/2006/relationships/hyperlink" Target="https://www.services-rte.com/en/view-data-published-by-rte/production-installed-capacity.html" TargetMode="External"/><Relationship Id="rId6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4" Type="http://schemas.openxmlformats.org/officeDocument/2006/relationships/hyperlink" Target="https://sede.minetur.gob.es/en-US/datosabiertos/catalogo/registro-productores-electrica" TargetMode="External"/><Relationship Id="rId3405" Type="http://schemas.openxmlformats.org/officeDocument/2006/relationships/hyperlink" Target="https://www.nve.no/energiforsyning/kraftproduksjon/vannkraft/vannkraftdatabase/" TargetMode="External"/><Relationship Id="rId4803" Type="http://schemas.openxmlformats.org/officeDocument/2006/relationships/hyperlink" Target="https://www.nve.no/media/8967/termiske-kraftverk-i-norge-2019.xlsx" TargetMode="External"/><Relationship Id="rId326" Type="http://schemas.openxmlformats.org/officeDocument/2006/relationships/hyperlink" Target="http://gpi.tge.pl/en/wykaz-jednostek" TargetMode="External"/><Relationship Id="rId1370" Type="http://schemas.openxmlformats.org/officeDocument/2006/relationships/hyperlink" Target="http://www2018.terna.it/it-it/sistemaelettrico/transparencyreport/generation/installedgenerationcapacity.aspx" TargetMode="External"/><Relationship Id="rId2007" Type="http://schemas.openxmlformats.org/officeDocument/2006/relationships/hyperlink" Target="https://sede.minetur.gob.es/en-US/datosabiertos/catalogo/registro-productores-electrica" TargetMode="External"/><Relationship Id="rId7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21" Type="http://schemas.openxmlformats.org/officeDocument/2006/relationships/hyperlink" Target="https://sede.minetur.gob.es/en-US/datosabiertos/catalogo/registro-productores-electrica" TargetMode="External"/><Relationship Id="rId4179" Type="http://schemas.openxmlformats.org/officeDocument/2006/relationships/hyperlink" Target="https://www.nve.no/energiforsyning/kraftproduksjon/vannkraft/vannkraftdatabase/" TargetMode="External"/><Relationship Id="rId4593" Type="http://schemas.openxmlformats.org/officeDocument/2006/relationships/hyperlink" Target="https://www.nve.no/energiforsyning/kraftproduksjon/vannkraft/vannkraftdatabase/" TargetMode="External"/><Relationship Id="rId3195" Type="http://schemas.openxmlformats.org/officeDocument/2006/relationships/hyperlink" Target="https://www.nve.no/energiforsyning/kraftproduksjon/vannkraft/vannkraftdatabase/" TargetMode="External"/><Relationship Id="rId4246" Type="http://schemas.openxmlformats.org/officeDocument/2006/relationships/hyperlink" Target="https://www.nve.no/energiforsyning/kraftproduksjon/vannkraft/vannkraftdatabase/" TargetMode="External"/><Relationship Id="rId4660" Type="http://schemas.openxmlformats.org/officeDocument/2006/relationships/hyperlink" Target="https://www.nve.no/energiforsyning/kraftproduksjon/vannkraft/vannkraftdatabase/" TargetMode="External"/><Relationship Id="rId3262" Type="http://schemas.openxmlformats.org/officeDocument/2006/relationships/hyperlink" Target="https://www.nve.no/energiforsyning/kraftproduksjon/vannkraft/vannkraftdatabase/" TargetMode="External"/><Relationship Id="rId4313" Type="http://schemas.openxmlformats.org/officeDocument/2006/relationships/hyperlink" Target="https://www.nve.no/energiforsyning/kraftproduksjon/vannkraft/vannkraftdatabase/" TargetMode="External"/><Relationship Id="rId183" Type="http://schemas.openxmlformats.org/officeDocument/2006/relationships/hyperlink" Target="https://www.services-rte.com/en/view-data-published-by-rte/production-installed-capacity.html" TargetMode="External"/><Relationship Id="rId1907" Type="http://schemas.openxmlformats.org/officeDocument/2006/relationships/hyperlink" Target="https://sede.minetur.gob.es/en-US/datosabiertos/catalogo/registro-productores-electrica" TargetMode="External"/><Relationship Id="rId250" Type="http://schemas.openxmlformats.org/officeDocument/2006/relationships/hyperlink" Target="https://www.services-rte.com/en/view-data-published-by-rte/production-installed-capacity.html" TargetMode="External"/><Relationship Id="rId1697" Type="http://schemas.openxmlformats.org/officeDocument/2006/relationships/hyperlink" Target="https://sede.minetur.gob.es/en-US/datosabiertos/catalogo/registro-productores-electrica" TargetMode="External"/><Relationship Id="rId2748" Type="http://schemas.openxmlformats.org/officeDocument/2006/relationships/hyperlink" Target="https://sede.minetur.gob.es/en-US/datosabiertos/catalogo/registro-productores-electrica" TargetMode="External"/><Relationship Id="rId1764" Type="http://schemas.openxmlformats.org/officeDocument/2006/relationships/hyperlink" Target="https://sede.minetur.gob.es/en-US/datosabiertos/catalogo/registro-productores-electrica" TargetMode="External"/><Relationship Id="rId2815" Type="http://schemas.openxmlformats.org/officeDocument/2006/relationships/hyperlink" Target="https://sede.minetur.gob.es/en-US/datosabiertos/catalogo/registro-productores-electrica" TargetMode="External"/><Relationship Id="rId4170" Type="http://schemas.openxmlformats.org/officeDocument/2006/relationships/hyperlink" Target="https://www.nve.no/energiforsyning/kraftproduksjon/vannkraft/vannkraftdatabase/" TargetMode="External"/><Relationship Id="rId56" Type="http://schemas.openxmlformats.org/officeDocument/2006/relationships/hyperlink" Target="https://www.elia.be/en/grid-data/power-generation/generating-facilities" TargetMode="External"/><Relationship Id="rId1417" Type="http://schemas.openxmlformats.org/officeDocument/2006/relationships/hyperlink" Target="https://energiavirasto.fi/toimitusvarmuus" TargetMode="External"/><Relationship Id="rId1831" Type="http://schemas.openxmlformats.org/officeDocument/2006/relationships/hyperlink" Target="https://sede.minetur.gob.es/en-US/datosabiertos/catalogo/registro-productores-electrica" TargetMode="External"/><Relationship Id="rId4987" Type="http://schemas.openxmlformats.org/officeDocument/2006/relationships/hyperlink" Target="https://www.verbund.com/de-at/ueber-verbund/kraftwerke/unsere-kraftwerke" TargetMode="External"/><Relationship Id="rId3589" Type="http://schemas.openxmlformats.org/officeDocument/2006/relationships/hyperlink" Target="https://www.nve.no/energiforsyning/kraftproduksjon/vannkraft/vannkraftdatabase/" TargetMode="External"/><Relationship Id="rId5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58" Type="http://schemas.openxmlformats.org/officeDocument/2006/relationships/hyperlink" Target="https://sede.minetur.gob.es/en-US/datosabiertos/catalogo/registro-productores-electrica" TargetMode="External"/><Relationship Id="rId3656" Type="http://schemas.openxmlformats.org/officeDocument/2006/relationships/hyperlink" Target="https://www.nve.no/energiforsyning/kraftproduksjon/vannkraft/vannkraftdatabase/" TargetMode="External"/><Relationship Id="rId4707" Type="http://schemas.openxmlformats.org/officeDocument/2006/relationships/hyperlink" Target="https://www.nve.no/energiforsyning/kraftproduksjon/vannkraft/vannkraftdatabase/" TargetMode="External"/><Relationship Id="rId9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2" Type="http://schemas.openxmlformats.org/officeDocument/2006/relationships/hyperlink" Target="https://sede.minetur.gob.es/en-US/datosabiertos/catalogo/registro-productores-electrica" TargetMode="External"/><Relationship Id="rId3309" Type="http://schemas.openxmlformats.org/officeDocument/2006/relationships/hyperlink" Target="https://www.nve.no/energiforsyning/kraftproduksjon/vannkraft/vannkraftdatabase/" TargetMode="External"/><Relationship Id="rId3723" Type="http://schemas.openxmlformats.org/officeDocument/2006/relationships/hyperlink" Target="https://www.nve.no/energiforsyning/kraftproduksjon/vannkraft/vannkraftdatabase/" TargetMode="External"/><Relationship Id="rId6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4" Type="http://schemas.openxmlformats.org/officeDocument/2006/relationships/hyperlink" Target="http://www2018.terna.it/it-it/sistemaelettrico/transparencyreport/generation/installedgenerationcapacity.aspx" TargetMode="External"/><Relationship Id="rId2325" Type="http://schemas.openxmlformats.org/officeDocument/2006/relationships/hyperlink" Target="https://sede.minetur.gob.es/en-US/datosabiertos/catalogo/registro-productores-electrica" TargetMode="External"/><Relationship Id="rId7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1" Type="http://schemas.openxmlformats.org/officeDocument/2006/relationships/hyperlink" Target="http://www2018.terna.it/it-it/sistemaelettrico/transparencyreport/generation/installedgenerationcapacity.aspx" TargetMode="External"/><Relationship Id="rId4497" Type="http://schemas.openxmlformats.org/officeDocument/2006/relationships/hyperlink" Target="https://www.nve.no/energiforsyning/kraftproduksjon/vannkraft/vannkraftdatabase/" TargetMode="External"/><Relationship Id="rId3099" Type="http://schemas.openxmlformats.org/officeDocument/2006/relationships/hyperlink" Target="https://www.nve.no/energiforsyning/kraftproduksjon/vannkraft/vannkraftdatabase/" TargetMode="External"/><Relationship Id="rId4564" Type="http://schemas.openxmlformats.org/officeDocument/2006/relationships/hyperlink" Target="https://www.nve.no/energiforsyning/kraftproduksjon/vannkraft/vannkraftdatabase/" TargetMode="External"/><Relationship Id="rId3166" Type="http://schemas.openxmlformats.org/officeDocument/2006/relationships/hyperlink" Target="https://www.nve.no/energiforsyning/kraftproduksjon/vannkraft/vannkraftdatabase/" TargetMode="External"/><Relationship Id="rId3580" Type="http://schemas.openxmlformats.org/officeDocument/2006/relationships/hyperlink" Target="https://www.nve.no/energiforsyning/kraftproduksjon/vannkraft/vannkraftdatabase/" TargetMode="External"/><Relationship Id="rId4217" Type="http://schemas.openxmlformats.org/officeDocument/2006/relationships/hyperlink" Target="https://www.nve.no/energiforsyning/kraftproduksjon/vannkraft/vannkraftdatabase/" TargetMode="External"/><Relationship Id="rId2182" Type="http://schemas.openxmlformats.org/officeDocument/2006/relationships/hyperlink" Target="https://sede.minetur.gob.es/en-US/datosabiertos/catalogo/registro-productores-electrica" TargetMode="External"/><Relationship Id="rId3233" Type="http://schemas.openxmlformats.org/officeDocument/2006/relationships/hyperlink" Target="https://www.nve.no/energiforsyning/kraftproduksjon/vannkraft/vannkraftdatabase/" TargetMode="External"/><Relationship Id="rId4631" Type="http://schemas.openxmlformats.org/officeDocument/2006/relationships/hyperlink" Target="https://www.nve.no/energiforsyning/kraftproduksjon/vannkraft/vannkraftdatabase/" TargetMode="External"/><Relationship Id="rId154" Type="http://schemas.openxmlformats.org/officeDocument/2006/relationships/hyperlink" Target="https://www.tennet.org/english/operational_management/export_data.aspx" TargetMode="External"/><Relationship Id="rId2999" Type="http://schemas.openxmlformats.org/officeDocument/2006/relationships/hyperlink" Target="https://www.gov.uk/government/statistics/electricity-chapter-5-digest-of-united-kingdom-energy-statistics-dukes" TargetMode="External"/><Relationship Id="rId3300" Type="http://schemas.openxmlformats.org/officeDocument/2006/relationships/hyperlink" Target="https://www.nve.no/energiforsyning/kraftproduksjon/vannkraft/vannkraftdatabase/" TargetMode="External"/><Relationship Id="rId221" Type="http://schemas.openxmlformats.org/officeDocument/2006/relationships/hyperlink" Target="https://www.services-rte.com/en/view-data-published-by-rte/production-installed-capacity.html" TargetMode="External"/><Relationship Id="rId1668" Type="http://schemas.openxmlformats.org/officeDocument/2006/relationships/hyperlink" Target="https://energiavirasto.fi/toimitusvarmuus" TargetMode="External"/><Relationship Id="rId2719" Type="http://schemas.openxmlformats.org/officeDocument/2006/relationships/hyperlink" Target="https://sede.minetur.gob.es/en-US/datosabiertos/catalogo/registro-productores-electrica" TargetMode="External"/><Relationship Id="rId4074" Type="http://schemas.openxmlformats.org/officeDocument/2006/relationships/hyperlink" Target="https://www.nve.no/energiforsyning/kraftproduksjon/vannkraft/vannkraftdatabase/" TargetMode="External"/><Relationship Id="rId3090" Type="http://schemas.openxmlformats.org/officeDocument/2006/relationships/hyperlink" Target="https://www.gov.uk/government/statistics/electricity-chapter-5-digest-of-united-kingdom-energy-statistics-dukes" TargetMode="External"/><Relationship Id="rId4141" Type="http://schemas.openxmlformats.org/officeDocument/2006/relationships/hyperlink" Target="https://www.nve.no/energiforsyning/kraftproduksjon/vannkraft/vannkraftdatabase/" TargetMode="External"/><Relationship Id="rId1735" Type="http://schemas.openxmlformats.org/officeDocument/2006/relationships/hyperlink" Target="https://sede.minetur.gob.es/en-US/datosabiertos/catalogo/registro-productores-electrica" TargetMode="External"/><Relationship Id="rId27" Type="http://schemas.openxmlformats.org/officeDocument/2006/relationships/hyperlink" Target="https://www.elia.be/en/grid-data/power-generation/generating-facilities" TargetMode="External"/><Relationship Id="rId1802" Type="http://schemas.openxmlformats.org/officeDocument/2006/relationships/hyperlink" Target="https://sede.minetur.gob.es/en-US/datosabiertos/catalogo/registro-productores-electrica" TargetMode="External"/><Relationship Id="rId4958" Type="http://schemas.openxmlformats.org/officeDocument/2006/relationships/hyperlink" Target="https://www.verbund.com/de-at/ueber-verbund/kraftwerke/unsere-kraftwerke" TargetMode="External"/><Relationship Id="rId3974" Type="http://schemas.openxmlformats.org/officeDocument/2006/relationships/hyperlink" Target="https://www.nve.no/energiforsyning/kraftproduksjon/vannkraft/vannkraftdatabase/" TargetMode="External"/><Relationship Id="rId8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6" Type="http://schemas.openxmlformats.org/officeDocument/2006/relationships/hyperlink" Target="https://sede.minetur.gob.es/en-US/datosabiertos/catalogo/registro-productores-electrica" TargetMode="External"/><Relationship Id="rId2990" Type="http://schemas.openxmlformats.org/officeDocument/2006/relationships/hyperlink" Target="https://www.gov.uk/government/statistics/electricity-chapter-5-digest-of-united-kingdom-energy-statistics-dukes" TargetMode="External"/><Relationship Id="rId3627" Type="http://schemas.openxmlformats.org/officeDocument/2006/relationships/hyperlink" Target="https://www.nve.no/energiforsyning/kraftproduksjon/vannkraft/vannkraftdatabase/" TargetMode="External"/><Relationship Id="rId548" Type="http://schemas.openxmlformats.org/officeDocument/2006/relationships/hyperlink" Target="https://www.ceps.cz/cs/priprava-provozu" TargetMode="External"/><Relationship Id="rId9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2" Type="http://schemas.openxmlformats.org/officeDocument/2006/relationships/hyperlink" Target="https://energiavirasto.fi/toimitusvarmuus" TargetMode="External"/><Relationship Id="rId2229" Type="http://schemas.openxmlformats.org/officeDocument/2006/relationships/hyperlink" Target="https://sede.minetur.gob.es/en-US/datosabiertos/catalogo/registro-productores-electrica" TargetMode="External"/><Relationship Id="rId2643" Type="http://schemas.openxmlformats.org/officeDocument/2006/relationships/hyperlink" Target="https://sede.minetur.gob.es/en-US/datosabiertos/catalogo/registro-productores-electrica" TargetMode="External"/><Relationship Id="rId6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5" Type="http://schemas.openxmlformats.org/officeDocument/2006/relationships/hyperlink" Target="http://www2018.terna.it/it-it/sistemaelettrico/transparencyreport/generation/installedgenerationcapacity.aspx" TargetMode="External"/><Relationship Id="rId1312" Type="http://schemas.openxmlformats.org/officeDocument/2006/relationships/hyperlink" Target="http://www2018.terna.it/it-it/sistemaelettrico/transparencyreport/generation/installedgenerationcapacity.aspx" TargetMode="External"/><Relationship Id="rId2710" Type="http://schemas.openxmlformats.org/officeDocument/2006/relationships/hyperlink" Target="https://sede.minetur.gob.es/en-US/datosabiertos/catalogo/registro-productores-electrica" TargetMode="External"/><Relationship Id="rId4468" Type="http://schemas.openxmlformats.org/officeDocument/2006/relationships/hyperlink" Target="https://www.nve.no/energiforsyning/kraftproduksjon/vannkraft/vannkraftdatabase/" TargetMode="External"/><Relationship Id="rId4882" Type="http://schemas.openxmlformats.org/officeDocument/2006/relationships/hyperlink" Target="https://www.icis.com/explore/resources/news/2015/02/17/9861364/giant-unit-will-lower-slovenia-electricity-prices-from-mid-april-traders/" TargetMode="External"/><Relationship Id="rId2086" Type="http://schemas.openxmlformats.org/officeDocument/2006/relationships/hyperlink" Target="https://sede.minetur.gob.es/en-US/datosabiertos/catalogo/registro-productores-electrica" TargetMode="External"/><Relationship Id="rId3484" Type="http://schemas.openxmlformats.org/officeDocument/2006/relationships/hyperlink" Target="https://www.nve.no/energiforsyning/kraftproduksjon/vannkraft/vannkraftdatabase/" TargetMode="External"/><Relationship Id="rId4535" Type="http://schemas.openxmlformats.org/officeDocument/2006/relationships/hyperlink" Target="https://www.nve.no/energiforsyning/kraftproduksjon/vannkraft/vannkraftdatabase/" TargetMode="External"/><Relationship Id="rId3137" Type="http://schemas.openxmlformats.org/officeDocument/2006/relationships/hyperlink" Target="https://www.nve.no/energiforsyning/kraftproduksjon/vannkraft/vannkraftdatabase/" TargetMode="External"/><Relationship Id="rId3551" Type="http://schemas.openxmlformats.org/officeDocument/2006/relationships/hyperlink" Target="https://www.nve.no/energiforsyning/kraftproduksjon/vannkraft/vannkraftdatabase/" TargetMode="External"/><Relationship Id="rId4602" Type="http://schemas.openxmlformats.org/officeDocument/2006/relationships/hyperlink" Target="https://www.nve.no/energiforsyning/kraftproduksjon/vannkraft/vannkraftdatabase/" TargetMode="External"/><Relationship Id="rId472" Type="http://schemas.openxmlformats.org/officeDocument/2006/relationships/hyperlink" Target="https://www.ceps.cz/cs/priprava-provozu" TargetMode="External"/><Relationship Id="rId2153" Type="http://schemas.openxmlformats.org/officeDocument/2006/relationships/hyperlink" Target="https://sede.minetur.gob.es/en-US/datosabiertos/catalogo/registro-productores-electrica" TargetMode="External"/><Relationship Id="rId3204" Type="http://schemas.openxmlformats.org/officeDocument/2006/relationships/hyperlink" Target="https://www.nve.no/energiforsyning/kraftproduksjon/vannkraft/vannkraftdatabase/" TargetMode="External"/><Relationship Id="rId125" Type="http://schemas.openxmlformats.org/officeDocument/2006/relationships/hyperlink" Target="https://www.tennet.org/english/operational_management/export_data.aspx" TargetMode="External"/><Relationship Id="rId2220" Type="http://schemas.openxmlformats.org/officeDocument/2006/relationships/hyperlink" Target="https://sede.minetur.gob.es/en-US/datosabiertos/catalogo/registro-productores-electrica" TargetMode="External"/><Relationship Id="rId4392" Type="http://schemas.openxmlformats.org/officeDocument/2006/relationships/hyperlink" Target="https://www.nve.no/energiforsyning/kraftproduksjon/vannkraft/vannkraftdatabase/" TargetMode="External"/><Relationship Id="rId5029" Type="http://schemas.openxmlformats.org/officeDocument/2006/relationships/hyperlink" Target="http://ipaper.ipapercms.dk/DONGENERGY/Internet/DK/ThermalPower/KYVbrochure2012DK/?page=12" TargetMode="External"/><Relationship Id="rId1986" Type="http://schemas.openxmlformats.org/officeDocument/2006/relationships/hyperlink" Target="https://sede.minetur.gob.es/en-US/datosabiertos/catalogo/registro-productores-electrica" TargetMode="External"/><Relationship Id="rId4045" Type="http://schemas.openxmlformats.org/officeDocument/2006/relationships/hyperlink" Target="https://www.nve.no/energiforsyning/kraftproduksjon/vannkraft/vannkraftdatabase/" TargetMode="External"/><Relationship Id="rId1639" Type="http://schemas.openxmlformats.org/officeDocument/2006/relationships/hyperlink" Target="https://energiavirasto.fi/toimitusvarmuus" TargetMode="External"/><Relationship Id="rId3061" Type="http://schemas.openxmlformats.org/officeDocument/2006/relationships/hyperlink" Target="https://www.gov.uk/government/statistics/electricity-chapter-5-digest-of-united-kingdom-energy-statistics-dukes" TargetMode="External"/><Relationship Id="rId1706" Type="http://schemas.openxmlformats.org/officeDocument/2006/relationships/hyperlink" Target="https://sede.minetur.gob.es/en-US/datosabiertos/catalogo/registro-productores-electrica" TargetMode="External"/><Relationship Id="rId4112" Type="http://schemas.openxmlformats.org/officeDocument/2006/relationships/hyperlink" Target="https://www.nve.no/energiforsyning/kraftproduksjon/vannkraft/vannkraftdatabase/" TargetMode="External"/><Relationship Id="rId3878" Type="http://schemas.openxmlformats.org/officeDocument/2006/relationships/hyperlink" Target="https://www.nve.no/energiforsyning/kraftproduksjon/vannkraft/vannkraftdatabase/" TargetMode="External"/><Relationship Id="rId4929" Type="http://schemas.openxmlformats.org/officeDocument/2006/relationships/hyperlink" Target="https://www.verbund.com/de-at/ueber-verbund/kraftwerke/unsere-kraftwerke" TargetMode="External"/><Relationship Id="rId7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894" Type="http://schemas.openxmlformats.org/officeDocument/2006/relationships/hyperlink" Target="https://www.gov.uk/government/statistics/electricity-chapter-5-digest-of-united-kingdom-energy-statistics-dukes" TargetMode="External"/><Relationship Id="rId8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6" Type="http://schemas.openxmlformats.org/officeDocument/2006/relationships/hyperlink" Target="https://energiavirasto.fi/toimitusvarmuus" TargetMode="External"/><Relationship Id="rId2547" Type="http://schemas.openxmlformats.org/officeDocument/2006/relationships/hyperlink" Target="https://sede.minetur.gob.es/en-US/datosabiertos/catalogo/registro-productores-electrica" TargetMode="External"/><Relationship Id="rId3945" Type="http://schemas.openxmlformats.org/officeDocument/2006/relationships/hyperlink" Target="https://www.nve.no/energiforsyning/kraftproduksjon/vannkraft/vannkraftdatabase/" TargetMode="External"/><Relationship Id="rId519" Type="http://schemas.openxmlformats.org/officeDocument/2006/relationships/hyperlink" Target="https://www.ceps.cz/cs/priprava-provozu" TargetMode="External"/><Relationship Id="rId11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961" Type="http://schemas.openxmlformats.org/officeDocument/2006/relationships/hyperlink" Target="https://www.gov.uk/government/statistics/electricity-chapter-5-digest-of-united-kingdom-energy-statistics-dukes" TargetMode="External"/><Relationship Id="rId5020" Type="http://schemas.openxmlformats.org/officeDocument/2006/relationships/hyperlink" Target="https://www.gem.wiki/Amager_power_station" TargetMode="External"/><Relationship Id="rId9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3" Type="http://schemas.openxmlformats.org/officeDocument/2006/relationships/hyperlink" Target="https://energiavirasto.fi/toimitusvarmuus" TargetMode="External"/><Relationship Id="rId2614" Type="http://schemas.openxmlformats.org/officeDocument/2006/relationships/hyperlink" Target="https://sede.minetur.gob.es/en-US/datosabiertos/catalogo/registro-productores-electrica" TargetMode="External"/><Relationship Id="rId12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30" Type="http://schemas.openxmlformats.org/officeDocument/2006/relationships/hyperlink" Target="https://energiavirasto.fi/toimitusvarmuus" TargetMode="External"/><Relationship Id="rId4786" Type="http://schemas.openxmlformats.org/officeDocument/2006/relationships/hyperlink" Target="https://www.nve.no/media/8967/termiske-kraftverk-i-norge-2019.xlsx" TargetMode="External"/><Relationship Id="rId3388" Type="http://schemas.openxmlformats.org/officeDocument/2006/relationships/hyperlink" Target="https://www.nve.no/energiforsyning/kraftproduksjon/vannkraft/vannkraftdatabase/" TargetMode="External"/><Relationship Id="rId4439" Type="http://schemas.openxmlformats.org/officeDocument/2006/relationships/hyperlink" Target="https://www.nve.no/energiforsyning/kraftproduksjon/vannkraft/vannkraftdatabase/" TargetMode="External"/><Relationship Id="rId4853" Type="http://schemas.openxmlformats.org/officeDocument/2006/relationships/hyperlink" Target="http://www.dem.si/en-gb/Power-plants-and-generation/General-data" TargetMode="External"/><Relationship Id="rId3455" Type="http://schemas.openxmlformats.org/officeDocument/2006/relationships/hyperlink" Target="https://www.nve.no/energiforsyning/kraftproduksjon/vannkraft/vannkraftdatabase/" TargetMode="External"/><Relationship Id="rId4506" Type="http://schemas.openxmlformats.org/officeDocument/2006/relationships/hyperlink" Target="https://www.nve.no/energiforsyning/kraftproduksjon/vannkraft/vannkraftdatabase/" TargetMode="External"/><Relationship Id="rId376" Type="http://schemas.openxmlformats.org/officeDocument/2006/relationships/hyperlink" Target="http://gpi.tge.pl/en/wykaz-jednostek" TargetMode="External"/><Relationship Id="rId7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7" Type="http://schemas.openxmlformats.org/officeDocument/2006/relationships/hyperlink" Target="https://sede.minetur.gob.es/en-US/datosabiertos/catalogo/registro-productores-electrica" TargetMode="External"/><Relationship Id="rId2471" Type="http://schemas.openxmlformats.org/officeDocument/2006/relationships/hyperlink" Target="https://sede.minetur.gob.es/en-US/datosabiertos/catalogo/registro-productores-electrica" TargetMode="External"/><Relationship Id="rId3108" Type="http://schemas.openxmlformats.org/officeDocument/2006/relationships/hyperlink" Target="https://www.nve.no/energiforsyning/kraftproduksjon/vannkraft/vannkraftdatabase/" TargetMode="External"/><Relationship Id="rId3522" Type="http://schemas.openxmlformats.org/officeDocument/2006/relationships/hyperlink" Target="https://www.nve.no/energiforsyning/kraftproduksjon/vannkraft/vannkraftdatabase/" TargetMode="External"/><Relationship Id="rId4920" Type="http://schemas.openxmlformats.org/officeDocument/2006/relationships/hyperlink" Target="https://www.verbund.com/de-at/ueber-verbund/kraftwerke/unsere-kraftwerke" TargetMode="External"/><Relationship Id="rId443" Type="http://schemas.openxmlformats.org/officeDocument/2006/relationships/hyperlink" Target="https://www.ceps.cz/cs/priprava-provozu" TargetMode="External"/><Relationship Id="rId10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4" Type="http://schemas.openxmlformats.org/officeDocument/2006/relationships/hyperlink" Target="https://sede.minetur.gob.es/en-US/datosabiertos/catalogo/registro-productores-electrica" TargetMode="External"/><Relationship Id="rId11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96" Type="http://schemas.openxmlformats.org/officeDocument/2006/relationships/hyperlink" Target="https://www.nve.no/energiforsyning/kraftproduksjon/vannkraft/vannkraftdatabase/" TargetMode="External"/><Relationship Id="rId510" Type="http://schemas.openxmlformats.org/officeDocument/2006/relationships/hyperlink" Target="https://www.ceps.cz/cs/priprava-provozu" TargetMode="External"/><Relationship Id="rId1957" Type="http://schemas.openxmlformats.org/officeDocument/2006/relationships/hyperlink" Target="https://sede.minetur.gob.es/en-US/datosabiertos/catalogo/registro-productores-electrica" TargetMode="External"/><Relationship Id="rId4363" Type="http://schemas.openxmlformats.org/officeDocument/2006/relationships/hyperlink" Target="https://www.nve.no/energiforsyning/kraftproduksjon/vannkraft/vannkraftdatabase/" TargetMode="External"/><Relationship Id="rId4016" Type="http://schemas.openxmlformats.org/officeDocument/2006/relationships/hyperlink" Target="https://www.nve.no/energiforsyning/kraftproduksjon/vannkraft/vannkraftdatabase/" TargetMode="External"/><Relationship Id="rId4430" Type="http://schemas.openxmlformats.org/officeDocument/2006/relationships/hyperlink" Target="https://www.nve.no/energiforsyning/kraftproduksjon/vannkraft/vannkraftdatabase/" TargetMode="External"/><Relationship Id="rId3032" Type="http://schemas.openxmlformats.org/officeDocument/2006/relationships/hyperlink" Target="https://www.gov.uk/government/statistics/electricity-chapter-5-digest-of-united-kingdom-energy-statistics-dukes" TargetMode="External"/><Relationship Id="rId2798" Type="http://schemas.openxmlformats.org/officeDocument/2006/relationships/hyperlink" Target="https://sede.minetur.gob.es/en-US/datosabiertos/catalogo/registro-productores-electrica" TargetMode="External"/><Relationship Id="rId3849" Type="http://schemas.openxmlformats.org/officeDocument/2006/relationships/hyperlink" Target="https://www.nve.no/energiforsyning/kraftproduksjon/vannkraft/vannkraftdatabase/" TargetMode="External"/><Relationship Id="rId2865" Type="http://schemas.openxmlformats.org/officeDocument/2006/relationships/hyperlink" Target="https://www.gov.uk/government/statistics/electricity-chapter-5-digest-of-united-kingdom-energy-statistics-dukes" TargetMode="External"/><Relationship Id="rId3916" Type="http://schemas.openxmlformats.org/officeDocument/2006/relationships/hyperlink" Target="https://www.nve.no/energiforsyning/kraftproduksjon/vannkraft/vannkraftdatabase/" TargetMode="External"/><Relationship Id="rId8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7" Type="http://schemas.openxmlformats.org/officeDocument/2006/relationships/hyperlink" Target="https://energiavirasto.fi/toimitusvarmuus" TargetMode="External"/><Relationship Id="rId1881" Type="http://schemas.openxmlformats.org/officeDocument/2006/relationships/hyperlink" Target="https://sede.minetur.gob.es/en-US/datosabiertos/catalogo/registro-productores-electrica" TargetMode="External"/><Relationship Id="rId2518" Type="http://schemas.openxmlformats.org/officeDocument/2006/relationships/hyperlink" Target="https://sede.minetur.gob.es/en-US/datosabiertos/catalogo/registro-productores-electrica" TargetMode="External"/><Relationship Id="rId2932" Type="http://schemas.openxmlformats.org/officeDocument/2006/relationships/hyperlink" Target="https://www.gov.uk/government/statistics/electricity-chapter-5-digest-of-united-kingdom-energy-statistics-dukes" TargetMode="External"/><Relationship Id="rId9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4" Type="http://schemas.openxmlformats.org/officeDocument/2006/relationships/hyperlink" Target="https://energiavirasto.fi/toimitusvarmuus" TargetMode="External"/><Relationship Id="rId1601" Type="http://schemas.openxmlformats.org/officeDocument/2006/relationships/hyperlink" Target="https://energiavirasto.fi/toimitusvarmuus" TargetMode="External"/><Relationship Id="rId4757" Type="http://schemas.openxmlformats.org/officeDocument/2006/relationships/hyperlink" Target="https://www.nve.no/energiforsyning/kraftproduksjon/vannkraft/vannkraftdatabase/" TargetMode="External"/><Relationship Id="rId3359" Type="http://schemas.openxmlformats.org/officeDocument/2006/relationships/hyperlink" Target="https://www.nve.no/energiforsyning/kraftproduksjon/vannkraft/vannkraftdatabase/" TargetMode="External"/><Relationship Id="rId6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75" Type="http://schemas.openxmlformats.org/officeDocument/2006/relationships/hyperlink" Target="https://sede.minetur.gob.es/en-US/datosabiertos/catalogo/registro-productores-electrica" TargetMode="External"/><Relationship Id="rId3773" Type="http://schemas.openxmlformats.org/officeDocument/2006/relationships/hyperlink" Target="https://www.nve.no/energiforsyning/kraftproduksjon/vannkraft/vannkraftdatabase/" TargetMode="External"/><Relationship Id="rId4824" Type="http://schemas.openxmlformats.org/officeDocument/2006/relationships/hyperlink" Target="http://www.dem.si/en-gb/Power-plants-and-generation/General-data" TargetMode="External"/><Relationship Id="rId347" Type="http://schemas.openxmlformats.org/officeDocument/2006/relationships/hyperlink" Target="http://gpi.tge.pl/en/wykaz-jednostek" TargetMode="External"/><Relationship Id="rId2028" Type="http://schemas.openxmlformats.org/officeDocument/2006/relationships/hyperlink" Target="https://sede.minetur.gob.es/en-US/datosabiertos/catalogo/registro-productores-electrica" TargetMode="External"/><Relationship Id="rId3426" Type="http://schemas.openxmlformats.org/officeDocument/2006/relationships/hyperlink" Target="https://www.nve.no/energiforsyning/kraftproduksjon/vannkraft/vannkraftdatabase/" TargetMode="External"/><Relationship Id="rId3840" Type="http://schemas.openxmlformats.org/officeDocument/2006/relationships/hyperlink" Target="https://www.nve.no/energiforsyning/kraftproduksjon/vannkraft/vannkraftdatabase/" TargetMode="External"/><Relationship Id="rId7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1" Type="http://schemas.openxmlformats.org/officeDocument/2006/relationships/hyperlink" Target="https://energiavirasto.fi/toimitusvarmuus" TargetMode="External"/><Relationship Id="rId2442" Type="http://schemas.openxmlformats.org/officeDocument/2006/relationships/hyperlink" Target="https://sede.minetur.gob.es/en-US/datosabiertos/catalogo/registro-productores-electrica" TargetMode="External"/><Relationship Id="rId414" Type="http://schemas.openxmlformats.org/officeDocument/2006/relationships/hyperlink" Target="http://gpi.tge.pl/en/wykaz-jednostek" TargetMode="External"/><Relationship Id="rId10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67" Type="http://schemas.openxmlformats.org/officeDocument/2006/relationships/hyperlink" Target="https://www.nve.no/energiforsyning/kraftproduksjon/vannkraft/vannkraftdatabase/" TargetMode="External"/><Relationship Id="rId4681" Type="http://schemas.openxmlformats.org/officeDocument/2006/relationships/hyperlink" Target="https://www.nve.no/energiforsyning/kraftproduksjon/vannkraft/vannkraftdatabase/" TargetMode="External"/><Relationship Id="rId3283" Type="http://schemas.openxmlformats.org/officeDocument/2006/relationships/hyperlink" Target="https://www.nve.no/energiforsyning/kraftproduksjon/vannkraft/vannkraftdatabase/" TargetMode="External"/><Relationship Id="rId4334" Type="http://schemas.openxmlformats.org/officeDocument/2006/relationships/hyperlink" Target="https://www.nve.no/energiforsyning/kraftproduksjon/vannkraft/vannkraftdatabase/" TargetMode="External"/><Relationship Id="rId1928" Type="http://schemas.openxmlformats.org/officeDocument/2006/relationships/hyperlink" Target="https://sede.minetur.gob.es/en-US/datosabiertos/catalogo/registro-productores-electrica" TargetMode="External"/><Relationship Id="rId3350" Type="http://schemas.openxmlformats.org/officeDocument/2006/relationships/hyperlink" Target="https://www.nve.no/energiforsyning/kraftproduksjon/vannkraft/vannkraftdatabase/" TargetMode="External"/><Relationship Id="rId271" Type="http://schemas.openxmlformats.org/officeDocument/2006/relationships/hyperlink" Target="https://www.services-rte.com/en/view-data-published-by-rte/production-installed-capacity.html" TargetMode="External"/><Relationship Id="rId3003" Type="http://schemas.openxmlformats.org/officeDocument/2006/relationships/hyperlink" Target="https://www.gov.uk/government/statistics/electricity-chapter-5-digest-of-united-kingdom-energy-statistics-dukes" TargetMode="External"/><Relationship Id="rId4401" Type="http://schemas.openxmlformats.org/officeDocument/2006/relationships/hyperlink" Target="https://www.nve.no/energiforsyning/kraftproduksjon/vannkraft/vannkraftdatabase/" TargetMode="External"/><Relationship Id="rId2769" Type="http://schemas.openxmlformats.org/officeDocument/2006/relationships/hyperlink" Target="https://sede.minetur.gob.es/en-US/datosabiertos/catalogo/registro-productores-electrica" TargetMode="External"/><Relationship Id="rId1785" Type="http://schemas.openxmlformats.org/officeDocument/2006/relationships/hyperlink" Target="https://sede.minetur.gob.es/en-US/datosabiertos/catalogo/registro-productores-electrica" TargetMode="External"/><Relationship Id="rId2836" Type="http://schemas.openxmlformats.org/officeDocument/2006/relationships/hyperlink" Target="https://sede.minetur.gob.es/en-US/datosabiertos/catalogo/registro-productores-electrica" TargetMode="External"/><Relationship Id="rId4191" Type="http://schemas.openxmlformats.org/officeDocument/2006/relationships/hyperlink" Target="https://www.nve.no/energiforsyning/kraftproduksjon/vannkraft/vannkraftdatabase/" TargetMode="External"/><Relationship Id="rId77" Type="http://schemas.openxmlformats.org/officeDocument/2006/relationships/hyperlink" Target="https://www.elia.be/en/grid-data/power-generation/generating-facilities" TargetMode="External"/><Relationship Id="rId8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8" Type="http://schemas.openxmlformats.org/officeDocument/2006/relationships/hyperlink" Target="https://energiavirasto.fi/toimitusvarmuus" TargetMode="External"/><Relationship Id="rId1852" Type="http://schemas.openxmlformats.org/officeDocument/2006/relationships/hyperlink" Target="https://sede.minetur.gob.es/en-US/datosabiertos/catalogo/registro-productores-electrica" TargetMode="External"/><Relationship Id="rId2903" Type="http://schemas.openxmlformats.org/officeDocument/2006/relationships/hyperlink" Target="https://www.gov.uk/government/statistics/electricity-chapter-5-digest-of-united-kingdom-energy-statistics-dukes" TargetMode="External"/><Relationship Id="rId1505" Type="http://schemas.openxmlformats.org/officeDocument/2006/relationships/hyperlink" Target="https://energiavirasto.fi/toimitusvarmuus" TargetMode="External"/><Relationship Id="rId3677" Type="http://schemas.openxmlformats.org/officeDocument/2006/relationships/hyperlink" Target="https://www.nve.no/energiforsyning/kraftproduksjon/vannkraft/vannkraftdatabase/" TargetMode="External"/><Relationship Id="rId4728" Type="http://schemas.openxmlformats.org/officeDocument/2006/relationships/hyperlink" Target="https://www.nve.no/energiforsyning/kraftproduksjon/vannkraft/vannkraftdatabase/" TargetMode="External"/><Relationship Id="rId5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9" Type="http://schemas.openxmlformats.org/officeDocument/2006/relationships/hyperlink" Target="https://sede.minetur.gob.es/en-US/datosabiertos/catalogo/registro-productores-electrica" TargetMode="External"/><Relationship Id="rId2693" Type="http://schemas.openxmlformats.org/officeDocument/2006/relationships/hyperlink" Target="https://sede.minetur.gob.es/en-US/datosabiertos/catalogo/registro-productores-electrica" TargetMode="External"/><Relationship Id="rId3744" Type="http://schemas.openxmlformats.org/officeDocument/2006/relationships/hyperlink" Target="https://www.nve.no/energiforsyning/kraftproduksjon/vannkraft/vannkraftdatabase/" TargetMode="External"/><Relationship Id="rId6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5" Type="http://schemas.openxmlformats.org/officeDocument/2006/relationships/hyperlink" Target="http://www2018.terna.it/it-it/sistemaelettrico/transparencyreport/generation/installedgenerationcapacity.aspx" TargetMode="External"/><Relationship Id="rId2346" Type="http://schemas.openxmlformats.org/officeDocument/2006/relationships/hyperlink" Target="https://sede.minetur.gob.es/en-US/datosabiertos/catalogo/registro-productores-electrica" TargetMode="External"/><Relationship Id="rId2760" Type="http://schemas.openxmlformats.org/officeDocument/2006/relationships/hyperlink" Target="https://sede.minetur.gob.es/en-US/datosabiertos/catalogo/registro-productores-electrica" TargetMode="External"/><Relationship Id="rId3811" Type="http://schemas.openxmlformats.org/officeDocument/2006/relationships/hyperlink" Target="https://www.nve.no/energiforsyning/kraftproduksjon/vannkraft/vannkraftdatabase/" TargetMode="External"/><Relationship Id="rId318" Type="http://schemas.openxmlformats.org/officeDocument/2006/relationships/hyperlink" Target="http://gpi.tge.pl/en/wykaz-jednostek" TargetMode="External"/><Relationship Id="rId7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2" Type="http://schemas.openxmlformats.org/officeDocument/2006/relationships/hyperlink" Target="http://www2018.terna.it/it-it/sistemaelettrico/transparencyreport/generation/installedgenerationcapacity.aspx" TargetMode="External"/><Relationship Id="rId2413" Type="http://schemas.openxmlformats.org/officeDocument/2006/relationships/hyperlink" Target="https://sede.minetur.gob.es/en-US/datosabiertos/catalogo/registro-productores-electrica" TargetMode="External"/><Relationship Id="rId10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585" Type="http://schemas.openxmlformats.org/officeDocument/2006/relationships/hyperlink" Target="https://www.nve.no/energiforsyning/kraftproduksjon/vannkraft/vannkraftdatabase/" TargetMode="External"/><Relationship Id="rId3187" Type="http://schemas.openxmlformats.org/officeDocument/2006/relationships/hyperlink" Target="https://www.nve.no/energiforsyning/kraftproduksjon/vannkraft/vannkraftdatabase/" TargetMode="External"/><Relationship Id="rId4238" Type="http://schemas.openxmlformats.org/officeDocument/2006/relationships/hyperlink" Target="https://www.nve.no/energiforsyning/kraftproduksjon/vannkraft/vannkraftdatabase/" TargetMode="External"/><Relationship Id="rId4652" Type="http://schemas.openxmlformats.org/officeDocument/2006/relationships/hyperlink" Target="https://www.nve.no/energiforsyning/kraftproduksjon/vannkraft/vannkraftdatabase/" TargetMode="External"/><Relationship Id="rId175" Type="http://schemas.openxmlformats.org/officeDocument/2006/relationships/hyperlink" Target="https://www.services-rte.com/en/view-data-published-by-rte/production-installed-capacity.html" TargetMode="External"/><Relationship Id="rId3254" Type="http://schemas.openxmlformats.org/officeDocument/2006/relationships/hyperlink" Target="https://www.nve.no/energiforsyning/kraftproduksjon/vannkraft/vannkraftdatabase/" TargetMode="External"/><Relationship Id="rId4305" Type="http://schemas.openxmlformats.org/officeDocument/2006/relationships/hyperlink" Target="https://www.nve.no/energiforsyning/kraftproduksjon/vannkraft/vannkraftdatabase/" TargetMode="External"/><Relationship Id="rId2270" Type="http://schemas.openxmlformats.org/officeDocument/2006/relationships/hyperlink" Target="https://sede.minetur.gob.es/en-US/datosabiertos/catalogo/registro-productores-electrica" TargetMode="External"/><Relationship Id="rId3321" Type="http://schemas.openxmlformats.org/officeDocument/2006/relationships/hyperlink" Target="https://www.nve.no/energiforsyning/kraftproduksjon/vannkraft/vannkraftdatabase/" TargetMode="External"/><Relationship Id="rId242" Type="http://schemas.openxmlformats.org/officeDocument/2006/relationships/hyperlink" Target="https://www.services-rte.com/en/view-data-published-by-rte/production-installed-capacity.html" TargetMode="External"/><Relationship Id="rId1689" Type="http://schemas.openxmlformats.org/officeDocument/2006/relationships/hyperlink" Target="https://energiavirasto.fi/toimitusvarmuus" TargetMode="External"/><Relationship Id="rId4095" Type="http://schemas.openxmlformats.org/officeDocument/2006/relationships/hyperlink" Target="https://www.nve.no/energiforsyning/kraftproduksjon/vannkraft/vannkraftdatabase/" TargetMode="External"/><Relationship Id="rId4162" Type="http://schemas.openxmlformats.org/officeDocument/2006/relationships/hyperlink" Target="https://www.nve.no/energiforsyning/kraftproduksjon/vannkraft/vannkraftdatabase/" TargetMode="External"/><Relationship Id="rId1756" Type="http://schemas.openxmlformats.org/officeDocument/2006/relationships/hyperlink" Target="https://sede.minetur.gob.es/en-US/datosabiertos/catalogo/registro-productores-electrica" TargetMode="External"/><Relationship Id="rId2807" Type="http://schemas.openxmlformats.org/officeDocument/2006/relationships/hyperlink" Target="https://sede.minetur.gob.es/en-US/datosabiertos/catalogo/registro-productores-electrica" TargetMode="External"/><Relationship Id="rId48" Type="http://schemas.openxmlformats.org/officeDocument/2006/relationships/hyperlink" Target="https://www.elia.be/en/grid-data/power-generation/generating-facilities" TargetMode="External"/><Relationship Id="rId1409" Type="http://schemas.openxmlformats.org/officeDocument/2006/relationships/hyperlink" Target="https://energiavirasto.fi/toimitusvarmuus" TargetMode="External"/><Relationship Id="rId1823" Type="http://schemas.openxmlformats.org/officeDocument/2006/relationships/hyperlink" Target="https://sede.minetur.gob.es/en-US/datosabiertos/catalogo/registro-productores-electrica" TargetMode="External"/><Relationship Id="rId4979" Type="http://schemas.openxmlformats.org/officeDocument/2006/relationships/hyperlink" Target="https://www.verbund.com/de-at/ueber-verbund/kraftwerke/unsere-kraftwerke" TargetMode="External"/><Relationship Id="rId3995" Type="http://schemas.openxmlformats.org/officeDocument/2006/relationships/hyperlink" Target="https://www.nve.no/energiforsyning/kraftproduksjon/vannkraft/vannkraftdatabase/" TargetMode="External"/><Relationship Id="rId2597" Type="http://schemas.openxmlformats.org/officeDocument/2006/relationships/hyperlink" Target="https://sede.minetur.gob.es/en-US/datosabiertos/catalogo/registro-productores-electrica" TargetMode="External"/><Relationship Id="rId3648" Type="http://schemas.openxmlformats.org/officeDocument/2006/relationships/hyperlink" Target="https://www.nve.no/energiforsyning/kraftproduksjon/vannkraft/vannkraftdatabase/" TargetMode="External"/><Relationship Id="rId569" Type="http://schemas.openxmlformats.org/officeDocument/2006/relationships/hyperlink" Target="https://www.ceps.cz/cs/priprava-provozu" TargetMode="External"/><Relationship Id="rId9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4" Type="http://schemas.openxmlformats.org/officeDocument/2006/relationships/hyperlink" Target="https://sede.minetur.gob.es/en-US/datosabiertos/catalogo/registro-productores-electrica" TargetMode="External"/><Relationship Id="rId6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6" Type="http://schemas.openxmlformats.org/officeDocument/2006/relationships/hyperlink" Target="http://www2018.terna.it/it-it/sistemaelettrico/transparencyreport/generation/installedgenerationcapacity.aspx" TargetMode="External"/><Relationship Id="rId2317" Type="http://schemas.openxmlformats.org/officeDocument/2006/relationships/hyperlink" Target="https://sede.minetur.gob.es/en-US/datosabiertos/catalogo/registro-productores-electrica" TargetMode="External"/><Relationship Id="rId3715" Type="http://schemas.openxmlformats.org/officeDocument/2006/relationships/hyperlink" Target="https://www.nve.no/energiforsyning/kraftproduksjon/vannkraft/vannkraftdatabase/" TargetMode="External"/><Relationship Id="rId8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80" Type="http://schemas.openxmlformats.org/officeDocument/2006/relationships/hyperlink" Target="https://energiavirasto.fi/toimitusvarmuus" TargetMode="External"/><Relationship Id="rId2524" Type="http://schemas.openxmlformats.org/officeDocument/2006/relationships/hyperlink" Target="https://sede.minetur.gob.es/en-US/datosabiertos/catalogo/registro-productores-electrica" TargetMode="External"/><Relationship Id="rId2731" Type="http://schemas.openxmlformats.org/officeDocument/2006/relationships/hyperlink" Target="https://sede.minetur.gob.es/en-US/datosabiertos/catalogo/registro-productores-electrica" TargetMode="External"/><Relationship Id="rId7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3" Type="http://schemas.openxmlformats.org/officeDocument/2006/relationships/hyperlink" Target="http://www2018.terna.it/it-it/sistemaelettrico/transparencyreport/generation/installedgenerationcapacity.aspx" TargetMode="External"/><Relationship Id="rId1540" Type="http://schemas.openxmlformats.org/officeDocument/2006/relationships/hyperlink" Target="https://energiavirasto.fi/toimitusvarmuus" TargetMode="External"/><Relationship Id="rId4489" Type="http://schemas.openxmlformats.org/officeDocument/2006/relationships/hyperlink" Target="https://www.nve.no/energiforsyning/kraftproduksjon/vannkraft/vannkraftdatabase/" TargetMode="External"/><Relationship Id="rId4696" Type="http://schemas.openxmlformats.org/officeDocument/2006/relationships/hyperlink" Target="https://www.nve.no/energiforsyning/kraftproduksjon/vannkraft/vannkraftdatabase/" TargetMode="External"/><Relationship Id="rId1400" Type="http://schemas.openxmlformats.org/officeDocument/2006/relationships/hyperlink" Target="https://energiavirasto.fi/toimitusvarmuus" TargetMode="External"/><Relationship Id="rId3298" Type="http://schemas.openxmlformats.org/officeDocument/2006/relationships/hyperlink" Target="https://www.nve.no/energiforsyning/kraftproduksjon/vannkraft/vannkraftdatabase/" TargetMode="External"/><Relationship Id="rId4349" Type="http://schemas.openxmlformats.org/officeDocument/2006/relationships/hyperlink" Target="https://www.nve.no/energiforsyning/kraftproduksjon/vannkraft/vannkraftdatabase/" TargetMode="External"/><Relationship Id="rId4556" Type="http://schemas.openxmlformats.org/officeDocument/2006/relationships/hyperlink" Target="https://www.nve.no/energiforsyning/kraftproduksjon/vannkraft/vannkraftdatabase/" TargetMode="External"/><Relationship Id="rId4763" Type="http://schemas.openxmlformats.org/officeDocument/2006/relationships/hyperlink" Target="https://www.nve.no/energiforsyning/kraftproduksjon/vannkraft/vannkraftdatabase/" TargetMode="External"/><Relationship Id="rId4970" Type="http://schemas.openxmlformats.org/officeDocument/2006/relationships/hyperlink" Target="https://www.verbund.com/de-at/ueber-verbund/kraftwerke/unsere-kraftwerke" TargetMode="External"/><Relationship Id="rId3158" Type="http://schemas.openxmlformats.org/officeDocument/2006/relationships/hyperlink" Target="https://www.nve.no/energiforsyning/kraftproduksjon/vannkraft/vannkraftdatabase/" TargetMode="External"/><Relationship Id="rId3365" Type="http://schemas.openxmlformats.org/officeDocument/2006/relationships/hyperlink" Target="https://www.nve.no/energiforsyning/kraftproduksjon/vannkraft/vannkraftdatabase/" TargetMode="External"/><Relationship Id="rId3572" Type="http://schemas.openxmlformats.org/officeDocument/2006/relationships/hyperlink" Target="https://www.nve.no/energiforsyning/kraftproduksjon/vannkraft/vannkraftdatabase/" TargetMode="External"/><Relationship Id="rId4209" Type="http://schemas.openxmlformats.org/officeDocument/2006/relationships/hyperlink" Target="https://www.nve.no/energiforsyning/kraftproduksjon/vannkraft/vannkraftdatabase/" TargetMode="External"/><Relationship Id="rId4416" Type="http://schemas.openxmlformats.org/officeDocument/2006/relationships/hyperlink" Target="https://www.nve.no/energiforsyning/kraftproduksjon/vannkraft/vannkraftdatabase/" TargetMode="External"/><Relationship Id="rId4623" Type="http://schemas.openxmlformats.org/officeDocument/2006/relationships/hyperlink" Target="https://www.nve.no/energiforsyning/kraftproduksjon/vannkraft/vannkraftdatabase/" TargetMode="External"/><Relationship Id="rId4830" Type="http://schemas.openxmlformats.org/officeDocument/2006/relationships/hyperlink" Target="http://www.dem.si/en-gb/Power-plants-and-generation/General-data" TargetMode="External"/><Relationship Id="rId286" Type="http://schemas.openxmlformats.org/officeDocument/2006/relationships/hyperlink" Target="https://www.services-rte.com/en/view-data-published-by-rte/production-installed-capacity.html" TargetMode="External"/><Relationship Id="rId493" Type="http://schemas.openxmlformats.org/officeDocument/2006/relationships/hyperlink" Target="https://www.ceps.cz/cs/priprava-provozu" TargetMode="External"/><Relationship Id="rId2174" Type="http://schemas.openxmlformats.org/officeDocument/2006/relationships/hyperlink" Target="https://sede.minetur.gob.es/en-US/datosabiertos/catalogo/registro-productores-electrica" TargetMode="External"/><Relationship Id="rId2381" Type="http://schemas.openxmlformats.org/officeDocument/2006/relationships/hyperlink" Target="https://sede.minetur.gob.es/en-US/datosabiertos/catalogo/registro-productores-electrica" TargetMode="External"/><Relationship Id="rId3018" Type="http://schemas.openxmlformats.org/officeDocument/2006/relationships/hyperlink" Target="https://www.gov.uk/government/statistics/electricity-chapter-5-digest-of-united-kingdom-energy-statistics-dukes" TargetMode="External"/><Relationship Id="rId3225" Type="http://schemas.openxmlformats.org/officeDocument/2006/relationships/hyperlink" Target="https://www.nve.no/energiforsyning/kraftproduksjon/vannkraft/vannkraftdatabase/" TargetMode="External"/><Relationship Id="rId3432" Type="http://schemas.openxmlformats.org/officeDocument/2006/relationships/hyperlink" Target="https://www.nve.no/energiforsyning/kraftproduksjon/vannkraft/vannkraftdatabase/" TargetMode="External"/><Relationship Id="rId146" Type="http://schemas.openxmlformats.org/officeDocument/2006/relationships/hyperlink" Target="https://www.tennet.org/english/operational_management/export_data.aspx" TargetMode="External"/><Relationship Id="rId353" Type="http://schemas.openxmlformats.org/officeDocument/2006/relationships/hyperlink" Target="http://gpi.tge.pl/en/wykaz-jednostek" TargetMode="External"/><Relationship Id="rId560" Type="http://schemas.openxmlformats.org/officeDocument/2006/relationships/hyperlink" Target="https://www.ceps.cz/cs/priprava-provozu" TargetMode="External"/><Relationship Id="rId11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34" Type="http://schemas.openxmlformats.org/officeDocument/2006/relationships/hyperlink" Target="https://sede.minetur.gob.es/en-US/datosabiertos/catalogo/registro-productores-electrica" TargetMode="External"/><Relationship Id="rId2241" Type="http://schemas.openxmlformats.org/officeDocument/2006/relationships/hyperlink" Target="https://sede.minetur.gob.es/en-US/datosabiertos/catalogo/registro-productores-electrica" TargetMode="External"/><Relationship Id="rId213" Type="http://schemas.openxmlformats.org/officeDocument/2006/relationships/hyperlink" Target="https://www.services-rte.com/en/view-data-published-by-rte/production-installed-capacity.html" TargetMode="External"/><Relationship Id="rId420" Type="http://schemas.openxmlformats.org/officeDocument/2006/relationships/hyperlink" Target="http://gpi.tge.pl/en/wykaz-jednostek" TargetMode="External"/><Relationship Id="rId10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01" Type="http://schemas.openxmlformats.org/officeDocument/2006/relationships/hyperlink" Target="https://sede.minetur.gob.es/en-US/datosabiertos/catalogo/registro-productores-electrica" TargetMode="External"/><Relationship Id="rId4066" Type="http://schemas.openxmlformats.org/officeDocument/2006/relationships/hyperlink" Target="https://www.nve.no/energiforsyning/kraftproduksjon/vannkraft/vannkraftdatabase/" TargetMode="External"/><Relationship Id="rId1867" Type="http://schemas.openxmlformats.org/officeDocument/2006/relationships/hyperlink" Target="https://sede.minetur.gob.es/en-US/datosabiertos/catalogo/registro-productores-electrica" TargetMode="External"/><Relationship Id="rId2918" Type="http://schemas.openxmlformats.org/officeDocument/2006/relationships/hyperlink" Target="https://www.gov.uk/government/statistics/electricity-chapter-5-digest-of-united-kingdom-energy-statistics-dukes" TargetMode="External"/><Relationship Id="rId4273" Type="http://schemas.openxmlformats.org/officeDocument/2006/relationships/hyperlink" Target="https://www.nve.no/energiforsyning/kraftproduksjon/vannkraft/vannkraftdatabase/" TargetMode="External"/><Relationship Id="rId4480" Type="http://schemas.openxmlformats.org/officeDocument/2006/relationships/hyperlink" Target="https://www.nve.no/energiforsyning/kraftproduksjon/vannkraft/vannkraftdatabase/" TargetMode="External"/><Relationship Id="rId1727" Type="http://schemas.openxmlformats.org/officeDocument/2006/relationships/hyperlink" Target="https://sede.minetur.gob.es/en-US/datosabiertos/catalogo/registro-productores-electrica" TargetMode="External"/><Relationship Id="rId1934" Type="http://schemas.openxmlformats.org/officeDocument/2006/relationships/hyperlink" Target="https://sede.minetur.gob.es/en-US/datosabiertos/catalogo/registro-productores-electrica" TargetMode="External"/><Relationship Id="rId3082" Type="http://schemas.openxmlformats.org/officeDocument/2006/relationships/hyperlink" Target="https://www.gov.uk/government/statistics/electricity-chapter-5-digest-of-united-kingdom-energy-statistics-dukes" TargetMode="External"/><Relationship Id="rId4133" Type="http://schemas.openxmlformats.org/officeDocument/2006/relationships/hyperlink" Target="https://www.nve.no/energiforsyning/kraftproduksjon/vannkraft/vannkraftdatabase/" TargetMode="External"/><Relationship Id="rId4340" Type="http://schemas.openxmlformats.org/officeDocument/2006/relationships/hyperlink" Target="https://www.nve.no/energiforsyning/kraftproduksjon/vannkraft/vannkraftdatabase/" TargetMode="External"/><Relationship Id="rId19" Type="http://schemas.openxmlformats.org/officeDocument/2006/relationships/hyperlink" Target="https://www.elia.be/en/grid-data/power-generation/generating-facilities" TargetMode="External"/><Relationship Id="rId3899" Type="http://schemas.openxmlformats.org/officeDocument/2006/relationships/hyperlink" Target="https://www.nve.no/energiforsyning/kraftproduksjon/vannkraft/vannkraftdatabase/" TargetMode="External"/><Relationship Id="rId4200" Type="http://schemas.openxmlformats.org/officeDocument/2006/relationships/hyperlink" Target="https://www.nve.no/energiforsyning/kraftproduksjon/vannkraft/vannkraftdatabase/" TargetMode="External"/><Relationship Id="rId3759" Type="http://schemas.openxmlformats.org/officeDocument/2006/relationships/hyperlink" Target="https://www.nve.no/energiforsyning/kraftproduksjon/vannkraft/vannkraftdatabase/" TargetMode="External"/><Relationship Id="rId3966" Type="http://schemas.openxmlformats.org/officeDocument/2006/relationships/hyperlink" Target="https://www.nve.no/energiforsyning/kraftproduksjon/vannkraft/vannkraftdatabase/" TargetMode="External"/><Relationship Id="rId3" Type="http://schemas.openxmlformats.org/officeDocument/2006/relationships/hyperlink" Target="https://www.elia.be/en/grid-data/power-generation/generating-facilities" TargetMode="External"/><Relationship Id="rId8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68" Type="http://schemas.openxmlformats.org/officeDocument/2006/relationships/hyperlink" Target="https://sede.minetur.gob.es/en-US/datosabiertos/catalogo/registro-productores-electrica" TargetMode="External"/><Relationship Id="rId2775" Type="http://schemas.openxmlformats.org/officeDocument/2006/relationships/hyperlink" Target="https://sede.minetur.gob.es/en-US/datosabiertos/catalogo/registro-productores-electrica" TargetMode="External"/><Relationship Id="rId2982" Type="http://schemas.openxmlformats.org/officeDocument/2006/relationships/hyperlink" Target="https://www.gov.uk/government/statistics/electricity-chapter-5-digest-of-united-kingdom-energy-statistics-dukes" TargetMode="External"/><Relationship Id="rId3619" Type="http://schemas.openxmlformats.org/officeDocument/2006/relationships/hyperlink" Target="https://www.nve.no/energiforsyning/kraftproduksjon/vannkraft/vannkraftdatabase/" TargetMode="External"/><Relationship Id="rId3826" Type="http://schemas.openxmlformats.org/officeDocument/2006/relationships/hyperlink" Target="https://www.nve.no/energiforsyning/kraftproduksjon/vannkraft/vannkraftdatabase/" TargetMode="External"/><Relationship Id="rId7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7" Type="http://schemas.openxmlformats.org/officeDocument/2006/relationships/hyperlink" Target="http://www2018.terna.it/it-it/sistemaelettrico/transparencyreport/generation/installedgenerationcapacity.aspx" TargetMode="External"/><Relationship Id="rId1584" Type="http://schemas.openxmlformats.org/officeDocument/2006/relationships/hyperlink" Target="https://energiavirasto.fi/toimitusvarmuus" TargetMode="External"/><Relationship Id="rId1791" Type="http://schemas.openxmlformats.org/officeDocument/2006/relationships/hyperlink" Target="https://sede.minetur.gob.es/en-US/datosabiertos/catalogo/registro-productores-electrica" TargetMode="External"/><Relationship Id="rId2428" Type="http://schemas.openxmlformats.org/officeDocument/2006/relationships/hyperlink" Target="https://sede.minetur.gob.es/en-US/datosabiertos/catalogo/registro-productores-electrica" TargetMode="External"/><Relationship Id="rId2635" Type="http://schemas.openxmlformats.org/officeDocument/2006/relationships/hyperlink" Target="https://sede.minetur.gob.es/en-US/datosabiertos/catalogo/registro-productores-electrica" TargetMode="External"/><Relationship Id="rId2842" Type="http://schemas.openxmlformats.org/officeDocument/2006/relationships/hyperlink" Target="https://sede.minetur.gob.es/en-US/datosabiertos/catalogo/registro-productores-electrica" TargetMode="External"/><Relationship Id="rId83" Type="http://schemas.openxmlformats.org/officeDocument/2006/relationships/hyperlink" Target="https://www.elia.be/en/grid-data/power-generation/generating-facilities" TargetMode="External"/><Relationship Id="rId6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4" Type="http://schemas.openxmlformats.org/officeDocument/2006/relationships/hyperlink" Target="https://energiavirasto.fi/toimitusvarmuus" TargetMode="External"/><Relationship Id="rId1651" Type="http://schemas.openxmlformats.org/officeDocument/2006/relationships/hyperlink" Target="https://energiavirasto.fi/toimitusvarmuus" TargetMode="External"/><Relationship Id="rId2702" Type="http://schemas.openxmlformats.org/officeDocument/2006/relationships/hyperlink" Target="https://sede.minetur.gob.es/en-US/datosabiertos/catalogo/registro-productores-electrica" TargetMode="External"/><Relationship Id="rId1304" Type="http://schemas.openxmlformats.org/officeDocument/2006/relationships/hyperlink" Target="http://www2018.terna.it/it-it/sistemaelettrico/transparencyreport/generation/installedgenerationcapacity.aspx" TargetMode="External"/><Relationship Id="rId1511" Type="http://schemas.openxmlformats.org/officeDocument/2006/relationships/hyperlink" Target="https://energiavirasto.fi/toimitusvarmuus" TargetMode="External"/><Relationship Id="rId4667" Type="http://schemas.openxmlformats.org/officeDocument/2006/relationships/hyperlink" Target="https://www.nve.no/energiforsyning/kraftproduksjon/vannkraft/vannkraftdatabase/" TargetMode="External"/><Relationship Id="rId4874" Type="http://schemas.openxmlformats.org/officeDocument/2006/relationships/hyperlink" Target="https://www.seng.si/en/hydropower-plants/large-hydropower-plants/" TargetMode="External"/><Relationship Id="rId3269" Type="http://schemas.openxmlformats.org/officeDocument/2006/relationships/hyperlink" Target="https://www.nve.no/energiforsyning/kraftproduksjon/vannkraft/vannkraftdatabase/" TargetMode="External"/><Relationship Id="rId3476" Type="http://schemas.openxmlformats.org/officeDocument/2006/relationships/hyperlink" Target="https://www.nve.no/energiforsyning/kraftproduksjon/vannkraft/vannkraftdatabase/" TargetMode="External"/><Relationship Id="rId3683" Type="http://schemas.openxmlformats.org/officeDocument/2006/relationships/hyperlink" Target="https://www.nve.no/energiforsyning/kraftproduksjon/vannkraft/vannkraftdatabase/" TargetMode="External"/><Relationship Id="rId4527" Type="http://schemas.openxmlformats.org/officeDocument/2006/relationships/hyperlink" Target="https://www.nve.no/energiforsyning/kraftproduksjon/vannkraft/vannkraftdatabase/" TargetMode="External"/><Relationship Id="rId10" Type="http://schemas.openxmlformats.org/officeDocument/2006/relationships/hyperlink" Target="https://www.elia.be/en/grid-data/power-generation/generating-facilities" TargetMode="External"/><Relationship Id="rId397" Type="http://schemas.openxmlformats.org/officeDocument/2006/relationships/hyperlink" Target="http://gpi.tge.pl/en/wykaz-jednostek" TargetMode="External"/><Relationship Id="rId2078" Type="http://schemas.openxmlformats.org/officeDocument/2006/relationships/hyperlink" Target="https://sede.minetur.gob.es/en-US/datosabiertos/catalogo/registro-productores-electrica" TargetMode="External"/><Relationship Id="rId2285" Type="http://schemas.openxmlformats.org/officeDocument/2006/relationships/hyperlink" Target="https://sede.minetur.gob.es/en-US/datosabiertos/catalogo/registro-productores-electrica" TargetMode="External"/><Relationship Id="rId2492" Type="http://schemas.openxmlformats.org/officeDocument/2006/relationships/hyperlink" Target="https://sede.minetur.gob.es/en-US/datosabiertos/catalogo/registro-productores-electrica" TargetMode="External"/><Relationship Id="rId3129" Type="http://schemas.openxmlformats.org/officeDocument/2006/relationships/hyperlink" Target="https://www.nve.no/energiforsyning/kraftproduksjon/vannkraft/vannkraftdatabase/" TargetMode="External"/><Relationship Id="rId3336" Type="http://schemas.openxmlformats.org/officeDocument/2006/relationships/hyperlink" Target="https://www.nve.no/energiforsyning/kraftproduksjon/vannkraft/vannkraftdatabase/" TargetMode="External"/><Relationship Id="rId3890" Type="http://schemas.openxmlformats.org/officeDocument/2006/relationships/hyperlink" Target="https://www.nve.no/energiforsyning/kraftproduksjon/vannkraft/vannkraftdatabase/" TargetMode="External"/><Relationship Id="rId4734" Type="http://schemas.openxmlformats.org/officeDocument/2006/relationships/hyperlink" Target="https://www.nve.no/energiforsyning/kraftproduksjon/vannkraft/vannkraftdatabase/" TargetMode="External"/><Relationship Id="rId4941" Type="http://schemas.openxmlformats.org/officeDocument/2006/relationships/hyperlink" Target="https://www.verbund.com/de-at/ueber-verbund/kraftwerke/unsere-kraftwerke" TargetMode="External"/><Relationship Id="rId257" Type="http://schemas.openxmlformats.org/officeDocument/2006/relationships/hyperlink" Target="https://www.services-rte.com/en/view-data-published-by-rte/production-installed-capacity.html" TargetMode="External"/><Relationship Id="rId464" Type="http://schemas.openxmlformats.org/officeDocument/2006/relationships/hyperlink" Target="https://www.ceps.cz/cs/priprava-provozu" TargetMode="External"/><Relationship Id="rId10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5" Type="http://schemas.openxmlformats.org/officeDocument/2006/relationships/hyperlink" Target="https://sede.minetur.gob.es/en-US/datosabiertos/catalogo/registro-productores-electrica" TargetMode="External"/><Relationship Id="rId3543" Type="http://schemas.openxmlformats.org/officeDocument/2006/relationships/hyperlink" Target="https://www.nve.no/energiforsyning/kraftproduksjon/vannkraft/vannkraftdatabase/" TargetMode="External"/><Relationship Id="rId3750" Type="http://schemas.openxmlformats.org/officeDocument/2006/relationships/hyperlink" Target="https://www.nve.no/energiforsyning/kraftproduksjon/vannkraft/vannkraftdatabase/" TargetMode="External"/><Relationship Id="rId4801" Type="http://schemas.openxmlformats.org/officeDocument/2006/relationships/hyperlink" Target="https://www.nve.no/media/8967/termiske-kraftverk-i-norge-2019.xlsx" TargetMode="External"/><Relationship Id="rId117" Type="http://schemas.openxmlformats.org/officeDocument/2006/relationships/hyperlink" Target="https://www.tennet.org/english/operational_management/export_data.aspx" TargetMode="External"/><Relationship Id="rId6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2" Type="http://schemas.openxmlformats.org/officeDocument/2006/relationships/hyperlink" Target="https://sede.minetur.gob.es/en-US/datosabiertos/catalogo/registro-productores-electrica" TargetMode="External"/><Relationship Id="rId3403" Type="http://schemas.openxmlformats.org/officeDocument/2006/relationships/hyperlink" Target="https://www.nve.no/energiforsyning/kraftproduksjon/vannkraft/vannkraftdatabase/" TargetMode="External"/><Relationship Id="rId3610" Type="http://schemas.openxmlformats.org/officeDocument/2006/relationships/hyperlink" Target="https://www.nve.no/energiforsyning/kraftproduksjon/vannkraft/vannkraftdatabase/" TargetMode="External"/><Relationship Id="rId324" Type="http://schemas.openxmlformats.org/officeDocument/2006/relationships/hyperlink" Target="http://gpi.tge.pl/en/wykaz-jednostek" TargetMode="External"/><Relationship Id="rId531" Type="http://schemas.openxmlformats.org/officeDocument/2006/relationships/hyperlink" Target="https://www.ceps.cz/cs/priprava-provozu" TargetMode="External"/><Relationship Id="rId11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05" Type="http://schemas.openxmlformats.org/officeDocument/2006/relationships/hyperlink" Target="https://sede.minetur.gob.es/en-US/datosabiertos/catalogo/registro-productores-electrica" TargetMode="External"/><Relationship Id="rId2212" Type="http://schemas.openxmlformats.org/officeDocument/2006/relationships/hyperlink" Target="https://sede.minetur.gob.es/en-US/datosabiertos/catalogo/registro-productores-electrica" TargetMode="External"/><Relationship Id="rId10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78" Type="http://schemas.openxmlformats.org/officeDocument/2006/relationships/hyperlink" Target="https://sede.minetur.gob.es/en-US/datosabiertos/catalogo/registro-productores-electrica" TargetMode="External"/><Relationship Id="rId4177" Type="http://schemas.openxmlformats.org/officeDocument/2006/relationships/hyperlink" Target="https://www.nve.no/energiforsyning/kraftproduksjon/vannkraft/vannkraftdatabase/" TargetMode="External"/><Relationship Id="rId4384" Type="http://schemas.openxmlformats.org/officeDocument/2006/relationships/hyperlink" Target="https://www.nve.no/energiforsyning/kraftproduksjon/vannkraft/vannkraftdatabase/" TargetMode="External"/><Relationship Id="rId4591" Type="http://schemas.openxmlformats.org/officeDocument/2006/relationships/hyperlink" Target="https://www.nve.no/energiforsyning/kraftproduksjon/vannkraft/vannkraftdatabase/" TargetMode="External"/><Relationship Id="rId3193" Type="http://schemas.openxmlformats.org/officeDocument/2006/relationships/hyperlink" Target="https://www.nve.no/energiforsyning/kraftproduksjon/vannkraft/vannkraftdatabase/" TargetMode="External"/><Relationship Id="rId4037" Type="http://schemas.openxmlformats.org/officeDocument/2006/relationships/hyperlink" Target="https://www.nve.no/energiforsyning/kraftproduksjon/vannkraft/vannkraftdatabase/" TargetMode="External"/><Relationship Id="rId4244" Type="http://schemas.openxmlformats.org/officeDocument/2006/relationships/hyperlink" Target="https://www.nve.no/energiforsyning/kraftproduksjon/vannkraft/vannkraftdatabase/" TargetMode="External"/><Relationship Id="rId4451" Type="http://schemas.openxmlformats.org/officeDocument/2006/relationships/hyperlink" Target="https://www.nve.no/energiforsyning/kraftproduksjon/vannkraft/vannkraftdatabase/" TargetMode="External"/><Relationship Id="rId1838" Type="http://schemas.openxmlformats.org/officeDocument/2006/relationships/hyperlink" Target="https://sede.minetur.gob.es/en-US/datosabiertos/catalogo/registro-productores-electrica" TargetMode="External"/><Relationship Id="rId3053" Type="http://schemas.openxmlformats.org/officeDocument/2006/relationships/hyperlink" Target="https://www.gov.uk/government/statistics/electricity-chapter-5-digest-of-united-kingdom-energy-statistics-dukes" TargetMode="External"/><Relationship Id="rId3260" Type="http://schemas.openxmlformats.org/officeDocument/2006/relationships/hyperlink" Target="https://www.nve.no/energiforsyning/kraftproduksjon/vannkraft/vannkraftdatabase/" TargetMode="External"/><Relationship Id="rId4104" Type="http://schemas.openxmlformats.org/officeDocument/2006/relationships/hyperlink" Target="https://www.nve.no/energiforsyning/kraftproduksjon/vannkraft/vannkraftdatabase/" TargetMode="External"/><Relationship Id="rId4311" Type="http://schemas.openxmlformats.org/officeDocument/2006/relationships/hyperlink" Target="https://www.nve.no/energiforsyning/kraftproduksjon/vannkraft/vannkraftdatabase/" TargetMode="External"/><Relationship Id="rId181" Type="http://schemas.openxmlformats.org/officeDocument/2006/relationships/hyperlink" Target="https://www.services-rte.com/en/view-data-published-by-rte/production-installed-capacity.html" TargetMode="External"/><Relationship Id="rId1905" Type="http://schemas.openxmlformats.org/officeDocument/2006/relationships/hyperlink" Target="https://sede.minetur.gob.es/en-US/datosabiertos/catalogo/registro-productores-electrica" TargetMode="External"/><Relationship Id="rId3120" Type="http://schemas.openxmlformats.org/officeDocument/2006/relationships/hyperlink" Target="https://www.nve.no/energiforsyning/kraftproduksjon/vannkraft/vannkraftdatabase/" TargetMode="External"/><Relationship Id="rId9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9" Type="http://schemas.openxmlformats.org/officeDocument/2006/relationships/hyperlink" Target="https://sede.minetur.gob.es/en-US/datosabiertos/catalogo/registro-productores-electrica" TargetMode="External"/><Relationship Id="rId2886" Type="http://schemas.openxmlformats.org/officeDocument/2006/relationships/hyperlink" Target="https://www.gov.uk/government/statistics/electricity-chapter-5-digest-of-united-kingdom-energy-statistics-dukes" TargetMode="External"/><Relationship Id="rId3937" Type="http://schemas.openxmlformats.org/officeDocument/2006/relationships/hyperlink" Target="https://www.nve.no/energiforsyning/kraftproduksjon/vannkraft/vannkraftdatabase/" TargetMode="External"/><Relationship Id="rId8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8" Type="http://schemas.openxmlformats.org/officeDocument/2006/relationships/hyperlink" Target="https://energiavirasto.fi/toimitusvarmuus" TargetMode="External"/><Relationship Id="rId1695" Type="http://schemas.openxmlformats.org/officeDocument/2006/relationships/hyperlink" Target="https://energiavirasto.fi/toimitusvarmuus" TargetMode="External"/><Relationship Id="rId2539" Type="http://schemas.openxmlformats.org/officeDocument/2006/relationships/hyperlink" Target="https://sede.minetur.gob.es/en-US/datosabiertos/catalogo/registro-productores-electrica" TargetMode="External"/><Relationship Id="rId2746" Type="http://schemas.openxmlformats.org/officeDocument/2006/relationships/hyperlink" Target="https://sede.minetur.gob.es/en-US/datosabiertos/catalogo/registro-productores-electrica" TargetMode="External"/><Relationship Id="rId2953" Type="http://schemas.openxmlformats.org/officeDocument/2006/relationships/hyperlink" Target="https://www.gov.uk/government/statistics/electricity-chapter-5-digest-of-united-kingdom-energy-statistics-dukes" TargetMode="External"/><Relationship Id="rId7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8" Type="http://schemas.openxmlformats.org/officeDocument/2006/relationships/hyperlink" Target="http://www2018.terna.it/it-it/sistemaelettrico/transparencyreport/generation/installedgenerationcapacity.aspx" TargetMode="External"/><Relationship Id="rId1555" Type="http://schemas.openxmlformats.org/officeDocument/2006/relationships/hyperlink" Target="https://energiavirasto.fi/toimitusvarmuus" TargetMode="External"/><Relationship Id="rId1762" Type="http://schemas.openxmlformats.org/officeDocument/2006/relationships/hyperlink" Target="https://sede.minetur.gob.es/en-US/datosabiertos/catalogo/registro-productores-electrica" TargetMode="External"/><Relationship Id="rId2606" Type="http://schemas.openxmlformats.org/officeDocument/2006/relationships/hyperlink" Target="https://sede.minetur.gob.es/en-US/datosabiertos/catalogo/registro-productores-electrica" TargetMode="External"/><Relationship Id="rId5012" Type="http://schemas.openxmlformats.org/officeDocument/2006/relationships/hyperlink" Target="https://www.linzag.at/portal/de/ueber_die_linzag/konzern/gesellschaften/linz_strom_gas_waerme_gmbh/energieerzeugung/fernheizkraftwerk_linz_mitte" TargetMode="External"/><Relationship Id="rId12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5" Type="http://schemas.openxmlformats.org/officeDocument/2006/relationships/hyperlink" Target="https://energiavirasto.fi/toimitusvarmuus" TargetMode="External"/><Relationship Id="rId2813" Type="http://schemas.openxmlformats.org/officeDocument/2006/relationships/hyperlink" Target="https://sede.minetur.gob.es/en-US/datosabiertos/catalogo/registro-productores-electrica" TargetMode="External"/><Relationship Id="rId54" Type="http://schemas.openxmlformats.org/officeDocument/2006/relationships/hyperlink" Target="https://www.elia.be/en/grid-data/power-generation/generating-facilities" TargetMode="External"/><Relationship Id="rId1622" Type="http://schemas.openxmlformats.org/officeDocument/2006/relationships/hyperlink" Target="https://energiavirasto.fi/toimitusvarmuus" TargetMode="External"/><Relationship Id="rId4778" Type="http://schemas.openxmlformats.org/officeDocument/2006/relationships/hyperlink" Target="https://www.nve.no/media/8967/termiske-kraftverk-i-norge-2019.xlsx" TargetMode="External"/><Relationship Id="rId4985" Type="http://schemas.openxmlformats.org/officeDocument/2006/relationships/hyperlink" Target="https://www.verbund.com/de-at/ueber-verbund/kraftwerke/unsere-kraftwerke" TargetMode="External"/><Relationship Id="rId2189" Type="http://schemas.openxmlformats.org/officeDocument/2006/relationships/hyperlink" Target="https://sede.minetur.gob.es/en-US/datosabiertos/catalogo/registro-productores-electrica" TargetMode="External"/><Relationship Id="rId3587" Type="http://schemas.openxmlformats.org/officeDocument/2006/relationships/hyperlink" Target="https://www.nve.no/energiforsyning/kraftproduksjon/vannkraft/vannkraftdatabase/" TargetMode="External"/><Relationship Id="rId3794" Type="http://schemas.openxmlformats.org/officeDocument/2006/relationships/hyperlink" Target="https://www.nve.no/energiforsyning/kraftproduksjon/vannkraft/vannkraftdatabase/" TargetMode="External"/><Relationship Id="rId4638" Type="http://schemas.openxmlformats.org/officeDocument/2006/relationships/hyperlink" Target="https://www.nve.no/energiforsyning/kraftproduksjon/vannkraft/vannkraftdatabase/" TargetMode="External"/><Relationship Id="rId4845" Type="http://schemas.openxmlformats.org/officeDocument/2006/relationships/hyperlink" Target="http://www.he-ss.si/eng/he-krsko-general-info.html" TargetMode="External"/><Relationship Id="rId2396" Type="http://schemas.openxmlformats.org/officeDocument/2006/relationships/hyperlink" Target="https://sede.minetur.gob.es/en-US/datosabiertos/catalogo/registro-productores-electrica" TargetMode="External"/><Relationship Id="rId3447" Type="http://schemas.openxmlformats.org/officeDocument/2006/relationships/hyperlink" Target="https://www.nve.no/energiforsyning/kraftproduksjon/vannkraft/vannkraftdatabase/" TargetMode="External"/><Relationship Id="rId3654" Type="http://schemas.openxmlformats.org/officeDocument/2006/relationships/hyperlink" Target="https://www.nve.no/energiforsyning/kraftproduksjon/vannkraft/vannkraftdatabase/" TargetMode="External"/><Relationship Id="rId3861" Type="http://schemas.openxmlformats.org/officeDocument/2006/relationships/hyperlink" Target="https://www.nve.no/energiforsyning/kraftproduksjon/vannkraft/vannkraftdatabase/" TargetMode="External"/><Relationship Id="rId4705" Type="http://schemas.openxmlformats.org/officeDocument/2006/relationships/hyperlink" Target="https://www.nve.no/energiforsyning/kraftproduksjon/vannkraft/vannkraftdatabase/" TargetMode="External"/><Relationship Id="rId4912" Type="http://schemas.openxmlformats.org/officeDocument/2006/relationships/hyperlink" Target="https://www.verbund.com/de-at/ueber-verbund/kraftwerke/unsere-kraftwerke" TargetMode="External"/><Relationship Id="rId368" Type="http://schemas.openxmlformats.org/officeDocument/2006/relationships/hyperlink" Target="http://gpi.tge.pl/en/wykaz-jednostek" TargetMode="External"/><Relationship Id="rId5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49" Type="http://schemas.openxmlformats.org/officeDocument/2006/relationships/hyperlink" Target="https://sede.minetur.gob.es/en-US/datosabiertos/catalogo/registro-productores-electrica" TargetMode="External"/><Relationship Id="rId2256" Type="http://schemas.openxmlformats.org/officeDocument/2006/relationships/hyperlink" Target="https://sede.minetur.gob.es/en-US/datosabiertos/catalogo/registro-productores-electrica" TargetMode="External"/><Relationship Id="rId2463" Type="http://schemas.openxmlformats.org/officeDocument/2006/relationships/hyperlink" Target="https://sede.minetur.gob.es/en-US/datosabiertos/catalogo/registro-productores-electrica" TargetMode="External"/><Relationship Id="rId2670" Type="http://schemas.openxmlformats.org/officeDocument/2006/relationships/hyperlink" Target="https://sede.minetur.gob.es/en-US/datosabiertos/catalogo/registro-productores-electrica" TargetMode="External"/><Relationship Id="rId3307" Type="http://schemas.openxmlformats.org/officeDocument/2006/relationships/hyperlink" Target="https://www.nve.no/energiforsyning/kraftproduksjon/vannkraft/vannkraftdatabase/" TargetMode="External"/><Relationship Id="rId3514" Type="http://schemas.openxmlformats.org/officeDocument/2006/relationships/hyperlink" Target="https://www.nve.no/energiforsyning/kraftproduksjon/vannkraft/vannkraftdatabase/" TargetMode="External"/><Relationship Id="rId3721" Type="http://schemas.openxmlformats.org/officeDocument/2006/relationships/hyperlink" Target="https://www.nve.no/energiforsyning/kraftproduksjon/vannkraft/vannkraftdatabase/" TargetMode="External"/><Relationship Id="rId228" Type="http://schemas.openxmlformats.org/officeDocument/2006/relationships/hyperlink" Target="https://www.services-rte.com/en/view-data-published-by-rte/production-installed-capacity.html" TargetMode="External"/><Relationship Id="rId435" Type="http://schemas.openxmlformats.org/officeDocument/2006/relationships/hyperlink" Target="https://www.ceps.cz/cs/priprava-provozu" TargetMode="External"/><Relationship Id="rId6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2" Type="http://schemas.openxmlformats.org/officeDocument/2006/relationships/hyperlink" Target="http://www2018.terna.it/it-it/sistemaelettrico/transparencyreport/generation/installedgenerationcapacity.aspx" TargetMode="External"/><Relationship Id="rId2116" Type="http://schemas.openxmlformats.org/officeDocument/2006/relationships/hyperlink" Target="https://sede.minetur.gob.es/en-US/datosabiertos/catalogo/registro-productores-electrica" TargetMode="External"/><Relationship Id="rId2323" Type="http://schemas.openxmlformats.org/officeDocument/2006/relationships/hyperlink" Target="https://sede.minetur.gob.es/en-US/datosabiertos/catalogo/registro-productores-electrica" TargetMode="External"/><Relationship Id="rId2530" Type="http://schemas.openxmlformats.org/officeDocument/2006/relationships/hyperlink" Target="https://sede.minetur.gob.es/en-US/datosabiertos/catalogo/registro-productores-electrica" TargetMode="External"/><Relationship Id="rId502" Type="http://schemas.openxmlformats.org/officeDocument/2006/relationships/hyperlink" Target="https://www.ceps.cz/cs/priprava-provozu" TargetMode="External"/><Relationship Id="rId11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88" Type="http://schemas.openxmlformats.org/officeDocument/2006/relationships/hyperlink" Target="https://www.nve.no/energiforsyning/kraftproduksjon/vannkraft/vannkraftdatabase/" TargetMode="External"/><Relationship Id="rId4495" Type="http://schemas.openxmlformats.org/officeDocument/2006/relationships/hyperlink" Target="https://www.nve.no/energiforsyning/kraftproduksjon/vannkraft/vannkraftdatabase/" TargetMode="External"/><Relationship Id="rId3097" Type="http://schemas.openxmlformats.org/officeDocument/2006/relationships/hyperlink" Target="https://www.nve.no/energiforsyning/kraftproduksjon/vannkraft/vannkraftdatabase/" TargetMode="External"/><Relationship Id="rId4148" Type="http://schemas.openxmlformats.org/officeDocument/2006/relationships/hyperlink" Target="https://www.nve.no/energiforsyning/kraftproduksjon/vannkraft/vannkraftdatabase/" TargetMode="External"/><Relationship Id="rId4355" Type="http://schemas.openxmlformats.org/officeDocument/2006/relationships/hyperlink" Target="https://www.nve.no/energiforsyning/kraftproduksjon/vannkraft/vannkraftdatabase/" TargetMode="External"/><Relationship Id="rId1949" Type="http://schemas.openxmlformats.org/officeDocument/2006/relationships/hyperlink" Target="https://sede.minetur.gob.es/en-US/datosabiertos/catalogo/registro-productores-electrica" TargetMode="External"/><Relationship Id="rId3164" Type="http://schemas.openxmlformats.org/officeDocument/2006/relationships/hyperlink" Target="https://www.nve.no/energiforsyning/kraftproduksjon/vannkraft/vannkraftdatabase/" TargetMode="External"/><Relationship Id="rId4008" Type="http://schemas.openxmlformats.org/officeDocument/2006/relationships/hyperlink" Target="https://www.nve.no/energiforsyning/kraftproduksjon/vannkraft/vannkraftdatabase/" TargetMode="External"/><Relationship Id="rId4562" Type="http://schemas.openxmlformats.org/officeDocument/2006/relationships/hyperlink" Target="https://www.nve.no/energiforsyning/kraftproduksjon/vannkraft/vannkraftdatabase/" TargetMode="External"/><Relationship Id="rId292" Type="http://schemas.openxmlformats.org/officeDocument/2006/relationships/hyperlink" Target="https://www.services-rte.com/en/view-data-published-by-rte/production-installed-capacity.html" TargetMode="External"/><Relationship Id="rId1809" Type="http://schemas.openxmlformats.org/officeDocument/2006/relationships/hyperlink" Target="https://sede.minetur.gob.es/en-US/datosabiertos/catalogo/registro-productores-electrica" TargetMode="External"/><Relationship Id="rId3371" Type="http://schemas.openxmlformats.org/officeDocument/2006/relationships/hyperlink" Target="https://www.nve.no/energiforsyning/kraftproduksjon/vannkraft/vannkraftdatabase/" TargetMode="External"/><Relationship Id="rId4215" Type="http://schemas.openxmlformats.org/officeDocument/2006/relationships/hyperlink" Target="https://www.nve.no/energiforsyning/kraftproduksjon/vannkraft/vannkraftdatabase/" TargetMode="External"/><Relationship Id="rId4422" Type="http://schemas.openxmlformats.org/officeDocument/2006/relationships/hyperlink" Target="https://www.nve.no/energiforsyning/kraftproduksjon/vannkraft/vannkraftdatabase/" TargetMode="External"/><Relationship Id="rId2180" Type="http://schemas.openxmlformats.org/officeDocument/2006/relationships/hyperlink" Target="https://sede.minetur.gob.es/en-US/datosabiertos/catalogo/registro-productores-electrica" TargetMode="External"/><Relationship Id="rId3024" Type="http://schemas.openxmlformats.org/officeDocument/2006/relationships/hyperlink" Target="https://www.gov.uk/government/statistics/electricity-chapter-5-digest-of-united-kingdom-energy-statistics-dukes" TargetMode="External"/><Relationship Id="rId3231" Type="http://schemas.openxmlformats.org/officeDocument/2006/relationships/hyperlink" Target="https://www.nve.no/energiforsyning/kraftproduksjon/vannkraft/vannkraftdatabase/" TargetMode="External"/><Relationship Id="rId152" Type="http://schemas.openxmlformats.org/officeDocument/2006/relationships/hyperlink" Target="https://www.tennet.org/english/operational_management/export_data.aspx" TargetMode="External"/><Relationship Id="rId2040" Type="http://schemas.openxmlformats.org/officeDocument/2006/relationships/hyperlink" Target="https://sede.minetur.gob.es/en-US/datosabiertos/catalogo/registro-productores-electrica" TargetMode="External"/><Relationship Id="rId2997" Type="http://schemas.openxmlformats.org/officeDocument/2006/relationships/hyperlink" Target="https://www.gov.uk/government/statistics/electricity-chapter-5-digest-of-united-kingdom-energy-statistics-dukes" TargetMode="External"/><Relationship Id="rId9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9" Type="http://schemas.openxmlformats.org/officeDocument/2006/relationships/hyperlink" Target="https://energiavirasto.fi/toimitusvarmuus" TargetMode="External"/><Relationship Id="rId1459" Type="http://schemas.openxmlformats.org/officeDocument/2006/relationships/hyperlink" Target="https://energiavirasto.fi/toimitusvarmuus" TargetMode="External"/><Relationship Id="rId2857" Type="http://schemas.openxmlformats.org/officeDocument/2006/relationships/hyperlink" Target="https://www.gov.uk/government/statistics/electricity-chapter-5-digest-of-united-kingdom-energy-statistics-dukes" TargetMode="External"/><Relationship Id="rId3908" Type="http://schemas.openxmlformats.org/officeDocument/2006/relationships/hyperlink" Target="https://www.nve.no/energiforsyning/kraftproduksjon/vannkraft/vannkraftdatabase/" TargetMode="External"/><Relationship Id="rId4072" Type="http://schemas.openxmlformats.org/officeDocument/2006/relationships/hyperlink" Target="https://www.nve.no/energiforsyning/kraftproduksjon/vannkraft/vannkraftdatabase/" TargetMode="External"/><Relationship Id="rId98" Type="http://schemas.openxmlformats.org/officeDocument/2006/relationships/hyperlink" Target="https://www.tennet.org/english/operational_management/export_data.aspx" TargetMode="External"/><Relationship Id="rId8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66" Type="http://schemas.openxmlformats.org/officeDocument/2006/relationships/hyperlink" Target="https://energiavirasto.fi/toimitusvarmuus" TargetMode="External"/><Relationship Id="rId1873" Type="http://schemas.openxmlformats.org/officeDocument/2006/relationships/hyperlink" Target="https://sede.minetur.gob.es/en-US/datosabiertos/catalogo/registro-productores-electrica" TargetMode="External"/><Relationship Id="rId2717" Type="http://schemas.openxmlformats.org/officeDocument/2006/relationships/hyperlink" Target="https://sede.minetur.gob.es/en-US/datosabiertos/catalogo/registro-productores-electrica" TargetMode="External"/><Relationship Id="rId2924" Type="http://schemas.openxmlformats.org/officeDocument/2006/relationships/hyperlink" Target="https://www.gov.uk/government/statistics/electricity-chapter-5-digest-of-united-kingdom-energy-statistics-dukes" TargetMode="External"/><Relationship Id="rId1319" Type="http://schemas.openxmlformats.org/officeDocument/2006/relationships/hyperlink" Target="http://www2018.terna.it/it-it/sistemaelettrico/transparencyreport/generation/installedgenerationcapacity.aspx" TargetMode="External"/><Relationship Id="rId1526" Type="http://schemas.openxmlformats.org/officeDocument/2006/relationships/hyperlink" Target="https://energiavirasto.fi/toimitusvarmuus" TargetMode="External"/><Relationship Id="rId1733" Type="http://schemas.openxmlformats.org/officeDocument/2006/relationships/hyperlink" Target="https://sede.minetur.gob.es/en-US/datosabiertos/catalogo/registro-productores-electrica" TargetMode="External"/><Relationship Id="rId1940" Type="http://schemas.openxmlformats.org/officeDocument/2006/relationships/hyperlink" Target="https://sede.minetur.gob.es/en-US/datosabiertos/catalogo/registro-productores-electrica" TargetMode="External"/><Relationship Id="rId4889" Type="http://schemas.openxmlformats.org/officeDocument/2006/relationships/hyperlink" Target="http://www.dem.si/en-gb/Power-plants-and-generation/General-data" TargetMode="External"/><Relationship Id="rId25" Type="http://schemas.openxmlformats.org/officeDocument/2006/relationships/hyperlink" Target="https://www.elia.be/en/grid-data/power-generation/generating-facilities" TargetMode="External"/><Relationship Id="rId1800" Type="http://schemas.openxmlformats.org/officeDocument/2006/relationships/hyperlink" Target="https://sede.minetur.gob.es/en-US/datosabiertos/catalogo/registro-productores-electrica" TargetMode="External"/><Relationship Id="rId3698" Type="http://schemas.openxmlformats.org/officeDocument/2006/relationships/hyperlink" Target="https://www.nve.no/energiforsyning/kraftproduksjon/vannkraft/vannkraftdatabase/" TargetMode="External"/><Relationship Id="rId4749" Type="http://schemas.openxmlformats.org/officeDocument/2006/relationships/hyperlink" Target="https://www.nve.no/energiforsyning/kraftproduksjon/vannkraft/vannkraftdatabase/" TargetMode="External"/><Relationship Id="rId4956" Type="http://schemas.openxmlformats.org/officeDocument/2006/relationships/hyperlink" Target="https://www.verbund.com/de-at/ueber-verbund/kraftwerke/unsere-kraftwerke" TargetMode="External"/><Relationship Id="rId3558" Type="http://schemas.openxmlformats.org/officeDocument/2006/relationships/hyperlink" Target="https://www.nve.no/energiforsyning/kraftproduksjon/vannkraft/vannkraftdatabase/" TargetMode="External"/><Relationship Id="rId3765" Type="http://schemas.openxmlformats.org/officeDocument/2006/relationships/hyperlink" Target="https://www.nve.no/energiforsyning/kraftproduksjon/vannkraft/vannkraftdatabase/" TargetMode="External"/><Relationship Id="rId3972" Type="http://schemas.openxmlformats.org/officeDocument/2006/relationships/hyperlink" Target="https://www.nve.no/energiforsyning/kraftproduksjon/vannkraft/vannkraftdatabase/" TargetMode="External"/><Relationship Id="rId4609" Type="http://schemas.openxmlformats.org/officeDocument/2006/relationships/hyperlink" Target="https://www.nve.no/energiforsyning/kraftproduksjon/vannkraft/vannkraftdatabase/" TargetMode="External"/><Relationship Id="rId4816" Type="http://schemas.openxmlformats.org/officeDocument/2006/relationships/hyperlink" Target="http://www.teb.si/en/production-units" TargetMode="External"/><Relationship Id="rId479" Type="http://schemas.openxmlformats.org/officeDocument/2006/relationships/hyperlink" Target="https://www.ceps.cz/cs/priprava-provozu" TargetMode="External"/><Relationship Id="rId6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67" Type="http://schemas.openxmlformats.org/officeDocument/2006/relationships/hyperlink" Target="https://sede.minetur.gob.es/en-US/datosabiertos/catalogo/registro-productores-electrica" TargetMode="External"/><Relationship Id="rId2574" Type="http://schemas.openxmlformats.org/officeDocument/2006/relationships/hyperlink" Target="https://sede.minetur.gob.es/en-US/datosabiertos/catalogo/registro-productores-electrica" TargetMode="External"/><Relationship Id="rId2781" Type="http://schemas.openxmlformats.org/officeDocument/2006/relationships/hyperlink" Target="https://sede.minetur.gob.es/en-US/datosabiertos/catalogo/registro-productores-electrica" TargetMode="External"/><Relationship Id="rId3418" Type="http://schemas.openxmlformats.org/officeDocument/2006/relationships/hyperlink" Target="https://www.nve.no/energiforsyning/kraftproduksjon/vannkraft/vannkraftdatabase/" TargetMode="External"/><Relationship Id="rId3625" Type="http://schemas.openxmlformats.org/officeDocument/2006/relationships/hyperlink" Target="https://www.nve.no/energiforsyning/kraftproduksjon/vannkraft/vannkraftdatabase/" TargetMode="External"/><Relationship Id="rId339" Type="http://schemas.openxmlformats.org/officeDocument/2006/relationships/hyperlink" Target="http://gpi.tge.pl/en/wykaz-jednostek" TargetMode="External"/><Relationship Id="rId546" Type="http://schemas.openxmlformats.org/officeDocument/2006/relationships/hyperlink" Target="https://www.ceps.cz/cs/priprava-provozu" TargetMode="External"/><Relationship Id="rId7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3" Type="http://schemas.openxmlformats.org/officeDocument/2006/relationships/hyperlink" Target="http://www2018.terna.it/it-it/sistemaelettrico/transparencyreport/generation/installedgenerationcapacity.aspx" TargetMode="External"/><Relationship Id="rId2227" Type="http://schemas.openxmlformats.org/officeDocument/2006/relationships/hyperlink" Target="https://sede.minetur.gob.es/en-US/datosabiertos/catalogo/registro-productores-electrica" TargetMode="External"/><Relationship Id="rId2434" Type="http://schemas.openxmlformats.org/officeDocument/2006/relationships/hyperlink" Target="https://sede.minetur.gob.es/en-US/datosabiertos/catalogo/registro-productores-electrica" TargetMode="External"/><Relationship Id="rId3832" Type="http://schemas.openxmlformats.org/officeDocument/2006/relationships/hyperlink" Target="https://www.nve.no/energiforsyning/kraftproduksjon/vannkraft/vannkraftdatabase/" TargetMode="External"/><Relationship Id="rId406" Type="http://schemas.openxmlformats.org/officeDocument/2006/relationships/hyperlink" Target="http://gpi.tge.pl/en/wykaz-jednostek" TargetMode="External"/><Relationship Id="rId9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3" Type="http://schemas.openxmlformats.org/officeDocument/2006/relationships/hyperlink" Target="http://www2018.terna.it/it-it/sistemaelettrico/transparencyreport/generation/installedgenerationcapacity.aspx" TargetMode="External"/><Relationship Id="rId1590" Type="http://schemas.openxmlformats.org/officeDocument/2006/relationships/hyperlink" Target="https://energiavirasto.fi/toimitusvarmuus" TargetMode="External"/><Relationship Id="rId2641" Type="http://schemas.openxmlformats.org/officeDocument/2006/relationships/hyperlink" Target="https://sede.minetur.gob.es/en-US/datosabiertos/catalogo/registro-productores-electrica" TargetMode="External"/><Relationship Id="rId4399" Type="http://schemas.openxmlformats.org/officeDocument/2006/relationships/hyperlink" Target="https://www.nve.no/energiforsyning/kraftproduksjon/vannkraft/vannkraftdatabase/" TargetMode="External"/><Relationship Id="rId6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0" Type="http://schemas.openxmlformats.org/officeDocument/2006/relationships/hyperlink" Target="https://energiavirasto.fi/toimitusvarmuus" TargetMode="External"/><Relationship Id="rId2501" Type="http://schemas.openxmlformats.org/officeDocument/2006/relationships/hyperlink" Target="https://sede.minetur.gob.es/en-US/datosabiertos/catalogo/registro-productores-electrica" TargetMode="External"/><Relationship Id="rId11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10" Type="http://schemas.openxmlformats.org/officeDocument/2006/relationships/hyperlink" Target="http://www2018.terna.it/it-it/sistemaelettrico/transparencyreport/generation/installedgenerationcapacity.aspx" TargetMode="External"/><Relationship Id="rId4259" Type="http://schemas.openxmlformats.org/officeDocument/2006/relationships/hyperlink" Target="https://www.nve.no/energiforsyning/kraftproduksjon/vannkraft/vannkraftdatabase/" TargetMode="External"/><Relationship Id="rId4466" Type="http://schemas.openxmlformats.org/officeDocument/2006/relationships/hyperlink" Target="https://www.nve.no/energiforsyning/kraftproduksjon/vannkraft/vannkraftdatabase/" TargetMode="External"/><Relationship Id="rId4673" Type="http://schemas.openxmlformats.org/officeDocument/2006/relationships/hyperlink" Target="https://www.nve.no/energiforsyning/kraftproduksjon/vannkraft/vannkraftdatabase/" TargetMode="External"/><Relationship Id="rId4880" Type="http://schemas.openxmlformats.org/officeDocument/2006/relationships/hyperlink" Target="https://www.seng.si/en/hydropower-plants/large-hydropower-plants/" TargetMode="External"/><Relationship Id="rId3068" Type="http://schemas.openxmlformats.org/officeDocument/2006/relationships/hyperlink" Target="https://www.gov.uk/government/statistics/electricity-chapter-5-digest-of-united-kingdom-energy-statistics-dukes" TargetMode="External"/><Relationship Id="rId3275" Type="http://schemas.openxmlformats.org/officeDocument/2006/relationships/hyperlink" Target="https://www.nve.no/energiforsyning/kraftproduksjon/vannkraft/vannkraftdatabase/" TargetMode="External"/><Relationship Id="rId3482" Type="http://schemas.openxmlformats.org/officeDocument/2006/relationships/hyperlink" Target="https://www.nve.no/energiforsyning/kraftproduksjon/vannkraft/vannkraftdatabase/" TargetMode="External"/><Relationship Id="rId4119" Type="http://schemas.openxmlformats.org/officeDocument/2006/relationships/hyperlink" Target="https://www.nve.no/energiforsyning/kraftproduksjon/vannkraft/vannkraftdatabase/" TargetMode="External"/><Relationship Id="rId4326" Type="http://schemas.openxmlformats.org/officeDocument/2006/relationships/hyperlink" Target="https://www.nve.no/energiforsyning/kraftproduksjon/vannkraft/vannkraftdatabase/" TargetMode="External"/><Relationship Id="rId4533" Type="http://schemas.openxmlformats.org/officeDocument/2006/relationships/hyperlink" Target="https://www.nve.no/energiforsyning/kraftproduksjon/vannkraft/vannkraftdatabase/" TargetMode="External"/><Relationship Id="rId4740" Type="http://schemas.openxmlformats.org/officeDocument/2006/relationships/hyperlink" Target="https://www.nve.no/energiforsyning/kraftproduksjon/vannkraft/vannkraftdatabase/" TargetMode="External"/><Relationship Id="rId196" Type="http://schemas.openxmlformats.org/officeDocument/2006/relationships/hyperlink" Target="https://www.services-rte.com/en/view-data-published-by-rte/production-installed-capacity.html" TargetMode="External"/><Relationship Id="rId2084" Type="http://schemas.openxmlformats.org/officeDocument/2006/relationships/hyperlink" Target="https://sede.minetur.gob.es/en-US/datosabiertos/catalogo/registro-productores-electrica" TargetMode="External"/><Relationship Id="rId2291" Type="http://schemas.openxmlformats.org/officeDocument/2006/relationships/hyperlink" Target="https://sede.minetur.gob.es/en-US/datosabiertos/catalogo/registro-productores-electrica" TargetMode="External"/><Relationship Id="rId3135" Type="http://schemas.openxmlformats.org/officeDocument/2006/relationships/hyperlink" Target="https://www.nve.no/energiforsyning/kraftproduksjon/vannkraft/vannkraftdatabase/" TargetMode="External"/><Relationship Id="rId3342" Type="http://schemas.openxmlformats.org/officeDocument/2006/relationships/hyperlink" Target="https://www.nve.no/energiforsyning/kraftproduksjon/vannkraft/vannkraftdatabase/" TargetMode="External"/><Relationship Id="rId4600" Type="http://schemas.openxmlformats.org/officeDocument/2006/relationships/hyperlink" Target="https://www.nve.no/energiforsyning/kraftproduksjon/vannkraft/vannkraftdatabase/" TargetMode="External"/><Relationship Id="rId263" Type="http://schemas.openxmlformats.org/officeDocument/2006/relationships/hyperlink" Target="https://www.services-rte.com/en/view-data-published-by-rte/production-installed-capacity.html" TargetMode="External"/><Relationship Id="rId470" Type="http://schemas.openxmlformats.org/officeDocument/2006/relationships/hyperlink" Target="https://www.ceps.cz/cs/priprava-provozu" TargetMode="External"/><Relationship Id="rId2151" Type="http://schemas.openxmlformats.org/officeDocument/2006/relationships/hyperlink" Target="https://sede.minetur.gob.es/en-US/datosabiertos/catalogo/registro-productores-electrica" TargetMode="External"/><Relationship Id="rId3202" Type="http://schemas.openxmlformats.org/officeDocument/2006/relationships/hyperlink" Target="https://www.nve.no/energiforsyning/kraftproduksjon/vannkraft/vannkraftdatabase/" TargetMode="External"/><Relationship Id="rId123" Type="http://schemas.openxmlformats.org/officeDocument/2006/relationships/hyperlink" Target="https://www.tennet.org/english/operational_management/export_data.aspx" TargetMode="External"/><Relationship Id="rId330" Type="http://schemas.openxmlformats.org/officeDocument/2006/relationships/hyperlink" Target="http://gpi.tge.pl/en/wykaz-jednostek" TargetMode="External"/><Relationship Id="rId2011" Type="http://schemas.openxmlformats.org/officeDocument/2006/relationships/hyperlink" Target="https://sede.minetur.gob.es/en-US/datosabiertos/catalogo/registro-productores-electrica" TargetMode="External"/><Relationship Id="rId2968" Type="http://schemas.openxmlformats.org/officeDocument/2006/relationships/hyperlink" Target="https://www.gov.uk/government/statistics/electricity-chapter-5-digest-of-united-kingdom-energy-statistics-dukes" TargetMode="External"/><Relationship Id="rId4183" Type="http://schemas.openxmlformats.org/officeDocument/2006/relationships/hyperlink" Target="https://www.nve.no/energiforsyning/kraftproduksjon/vannkraft/vannkraftdatabase/" TargetMode="External"/><Relationship Id="rId5027" Type="http://schemas.openxmlformats.org/officeDocument/2006/relationships/hyperlink" Target="https://www.gem.wiki/Fyns_power_station" TargetMode="External"/><Relationship Id="rId1777" Type="http://schemas.openxmlformats.org/officeDocument/2006/relationships/hyperlink" Target="https://sede.minetur.gob.es/en-US/datosabiertos/catalogo/registro-productores-electrica" TargetMode="External"/><Relationship Id="rId1984" Type="http://schemas.openxmlformats.org/officeDocument/2006/relationships/hyperlink" Target="https://sede.minetur.gob.es/en-US/datosabiertos/catalogo/registro-productores-electrica" TargetMode="External"/><Relationship Id="rId2828" Type="http://schemas.openxmlformats.org/officeDocument/2006/relationships/hyperlink" Target="https://sede.minetur.gob.es/en-US/datosabiertos/catalogo/registro-productores-electrica" TargetMode="External"/><Relationship Id="rId4390" Type="http://schemas.openxmlformats.org/officeDocument/2006/relationships/hyperlink" Target="https://www.nve.no/energiforsyning/kraftproduksjon/vannkraft/vannkraftdatabase/" TargetMode="External"/><Relationship Id="rId69" Type="http://schemas.openxmlformats.org/officeDocument/2006/relationships/hyperlink" Target="https://www.elia.be/en/grid-data/power-generation/generating-facilities" TargetMode="External"/><Relationship Id="rId1637" Type="http://schemas.openxmlformats.org/officeDocument/2006/relationships/hyperlink" Target="https://energiavirasto.fi/toimitusvarmuus" TargetMode="External"/><Relationship Id="rId1844" Type="http://schemas.openxmlformats.org/officeDocument/2006/relationships/hyperlink" Target="https://sede.minetur.gob.es/en-US/datosabiertos/catalogo/registro-productores-electrica" TargetMode="External"/><Relationship Id="rId4043" Type="http://schemas.openxmlformats.org/officeDocument/2006/relationships/hyperlink" Target="https://www.nve.no/energiforsyning/kraftproduksjon/vannkraft/vannkraftdatabase/" TargetMode="External"/><Relationship Id="rId4250" Type="http://schemas.openxmlformats.org/officeDocument/2006/relationships/hyperlink" Target="https://www.nve.no/energiforsyning/kraftproduksjon/vannkraft/vannkraftdatabase/" TargetMode="External"/><Relationship Id="rId1704" Type="http://schemas.openxmlformats.org/officeDocument/2006/relationships/hyperlink" Target="https://sede.minetur.gob.es/en-US/datosabiertos/catalogo/registro-productores-electrica" TargetMode="External"/><Relationship Id="rId4110" Type="http://schemas.openxmlformats.org/officeDocument/2006/relationships/hyperlink" Target="https://www.nve.no/energiforsyning/kraftproduksjon/vannkraft/vannkraftdatabase/" TargetMode="External"/><Relationship Id="rId1911" Type="http://schemas.openxmlformats.org/officeDocument/2006/relationships/hyperlink" Target="https://sede.minetur.gob.es/en-US/datosabiertos/catalogo/registro-productores-electrica" TargetMode="External"/><Relationship Id="rId3669" Type="http://schemas.openxmlformats.org/officeDocument/2006/relationships/hyperlink" Target="https://www.nve.no/energiforsyning/kraftproduksjon/vannkraft/vannkraftdatabase/" TargetMode="External"/><Relationship Id="rId7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78" Type="http://schemas.openxmlformats.org/officeDocument/2006/relationships/hyperlink" Target="https://sede.minetur.gob.es/en-US/datosabiertos/catalogo/registro-productores-electrica" TargetMode="External"/><Relationship Id="rId3876" Type="http://schemas.openxmlformats.org/officeDocument/2006/relationships/hyperlink" Target="https://www.nve.no/energiforsyning/kraftproduksjon/vannkraft/vannkraftdatabase/" TargetMode="External"/><Relationship Id="rId4927" Type="http://schemas.openxmlformats.org/officeDocument/2006/relationships/hyperlink" Target="https://www.verbund.com/de-at/ueber-verbund/kraftwerke/unsere-kraftwerke" TargetMode="External"/><Relationship Id="rId1287" Type="http://schemas.openxmlformats.org/officeDocument/2006/relationships/hyperlink" Target="http://www2018.terna.it/it-it/sistemaelettrico/transparencyreport/generation/installedgenerationcapacity.aspx" TargetMode="External"/><Relationship Id="rId2685" Type="http://schemas.openxmlformats.org/officeDocument/2006/relationships/hyperlink" Target="https://sede.minetur.gob.es/en-US/datosabiertos/catalogo/registro-productores-electrica" TargetMode="External"/><Relationship Id="rId2892" Type="http://schemas.openxmlformats.org/officeDocument/2006/relationships/hyperlink" Target="https://www.gov.uk/government/statistics/electricity-chapter-5-digest-of-united-kingdom-energy-statistics-dukes" TargetMode="External"/><Relationship Id="rId3529" Type="http://schemas.openxmlformats.org/officeDocument/2006/relationships/hyperlink" Target="https://www.nve.no/energiforsyning/kraftproduksjon/vannkraft/vannkraftdatabase/" TargetMode="External"/><Relationship Id="rId3736" Type="http://schemas.openxmlformats.org/officeDocument/2006/relationships/hyperlink" Target="https://www.nve.no/energiforsyning/kraftproduksjon/vannkraft/vannkraftdatabase/" TargetMode="External"/><Relationship Id="rId3943" Type="http://schemas.openxmlformats.org/officeDocument/2006/relationships/hyperlink" Target="https://www.nve.no/energiforsyning/kraftproduksjon/vannkraft/vannkraftdatabase/" TargetMode="External"/><Relationship Id="rId6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4" Type="http://schemas.openxmlformats.org/officeDocument/2006/relationships/hyperlink" Target="https://energiavirasto.fi/toimitusvarmuus" TargetMode="External"/><Relationship Id="rId2338" Type="http://schemas.openxmlformats.org/officeDocument/2006/relationships/hyperlink" Target="https://sede.minetur.gob.es/en-US/datosabiertos/catalogo/registro-productores-electrica" TargetMode="External"/><Relationship Id="rId2545" Type="http://schemas.openxmlformats.org/officeDocument/2006/relationships/hyperlink" Target="https://sede.minetur.gob.es/en-US/datosabiertos/catalogo/registro-productores-electrica" TargetMode="External"/><Relationship Id="rId2752" Type="http://schemas.openxmlformats.org/officeDocument/2006/relationships/hyperlink" Target="https://sede.minetur.gob.es/en-US/datosabiertos/catalogo/registro-productores-electrica" TargetMode="External"/><Relationship Id="rId3803" Type="http://schemas.openxmlformats.org/officeDocument/2006/relationships/hyperlink" Target="https://www.nve.no/energiforsyning/kraftproduksjon/vannkraft/vannkraftdatabase/" TargetMode="External"/><Relationship Id="rId517" Type="http://schemas.openxmlformats.org/officeDocument/2006/relationships/hyperlink" Target="https://www.ceps.cz/cs/priprava-provozu" TargetMode="External"/><Relationship Id="rId7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4" Type="http://schemas.openxmlformats.org/officeDocument/2006/relationships/hyperlink" Target="http://www2018.terna.it/it-it/sistemaelettrico/transparencyreport/generation/installedgenerationcapacity.aspx" TargetMode="External"/><Relationship Id="rId1561" Type="http://schemas.openxmlformats.org/officeDocument/2006/relationships/hyperlink" Target="https://energiavirasto.fi/toimitusvarmuus" TargetMode="External"/><Relationship Id="rId2405" Type="http://schemas.openxmlformats.org/officeDocument/2006/relationships/hyperlink" Target="https://sede.minetur.gob.es/en-US/datosabiertos/catalogo/registro-productores-electrica" TargetMode="External"/><Relationship Id="rId2612" Type="http://schemas.openxmlformats.org/officeDocument/2006/relationships/hyperlink" Target="https://sede.minetur.gob.es/en-US/datosabiertos/catalogo/registro-productores-electrica" TargetMode="External"/><Relationship Id="rId60" Type="http://schemas.openxmlformats.org/officeDocument/2006/relationships/hyperlink" Target="https://www.elia.be/en/grid-data/power-generation/generating-facilities" TargetMode="External"/><Relationship Id="rId10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21" Type="http://schemas.openxmlformats.org/officeDocument/2006/relationships/hyperlink" Target="https://energiavirasto.fi/toimitusvarmuus" TargetMode="External"/><Relationship Id="rId4577" Type="http://schemas.openxmlformats.org/officeDocument/2006/relationships/hyperlink" Target="https://www.nve.no/energiforsyning/kraftproduksjon/vannkraft/vannkraftdatabase/" TargetMode="External"/><Relationship Id="rId4784" Type="http://schemas.openxmlformats.org/officeDocument/2006/relationships/hyperlink" Target="https://www.nve.no/media/8967/termiske-kraftverk-i-norge-2019.xlsx" TargetMode="External"/><Relationship Id="rId4991" Type="http://schemas.openxmlformats.org/officeDocument/2006/relationships/hyperlink" Target="https://www.verbund.com/de-at/ueber-verbund/kraftwerke/unsere-kraftwerke" TargetMode="External"/><Relationship Id="rId3179" Type="http://schemas.openxmlformats.org/officeDocument/2006/relationships/hyperlink" Target="https://www.nve.no/energiforsyning/kraftproduksjon/vannkraft/vannkraftdatabase/" TargetMode="External"/><Relationship Id="rId3386" Type="http://schemas.openxmlformats.org/officeDocument/2006/relationships/hyperlink" Target="https://www.nve.no/energiforsyning/kraftproduksjon/vannkraft/vannkraftdatabase/" TargetMode="External"/><Relationship Id="rId3593" Type="http://schemas.openxmlformats.org/officeDocument/2006/relationships/hyperlink" Target="https://www.nve.no/energiforsyning/kraftproduksjon/vannkraft/vannkraftdatabase/" TargetMode="External"/><Relationship Id="rId4437" Type="http://schemas.openxmlformats.org/officeDocument/2006/relationships/hyperlink" Target="https://www.nve.no/energiforsyning/kraftproduksjon/vannkraft/vannkraftdatabase/" TargetMode="External"/><Relationship Id="rId4644" Type="http://schemas.openxmlformats.org/officeDocument/2006/relationships/hyperlink" Target="https://www.nve.no/energiforsyning/kraftproduksjon/vannkraft/vannkraftdatabase/" TargetMode="External"/><Relationship Id="rId2195" Type="http://schemas.openxmlformats.org/officeDocument/2006/relationships/hyperlink" Target="https://sede.minetur.gob.es/en-US/datosabiertos/catalogo/registro-productores-electrica" TargetMode="External"/><Relationship Id="rId3039" Type="http://schemas.openxmlformats.org/officeDocument/2006/relationships/hyperlink" Target="https://www.gov.uk/government/statistics/electricity-chapter-5-digest-of-united-kingdom-energy-statistics-dukes" TargetMode="External"/><Relationship Id="rId3246" Type="http://schemas.openxmlformats.org/officeDocument/2006/relationships/hyperlink" Target="https://www.nve.no/energiforsyning/kraftproduksjon/vannkraft/vannkraftdatabase/" TargetMode="External"/><Relationship Id="rId3453" Type="http://schemas.openxmlformats.org/officeDocument/2006/relationships/hyperlink" Target="https://www.nve.no/energiforsyning/kraftproduksjon/vannkraft/vannkraftdatabase/" TargetMode="External"/><Relationship Id="rId4851" Type="http://schemas.openxmlformats.org/officeDocument/2006/relationships/hyperlink" Target="http://www.dem.si/en-gb/Power-plants-and-generation/General-data" TargetMode="External"/><Relationship Id="rId167" Type="http://schemas.openxmlformats.org/officeDocument/2006/relationships/hyperlink" Target="https://www.services-rte.com/en/view-data-published-by-rte/production-installed-capacity.html" TargetMode="External"/><Relationship Id="rId374" Type="http://schemas.openxmlformats.org/officeDocument/2006/relationships/hyperlink" Target="http://gpi.tge.pl/en/wykaz-jednostek" TargetMode="External"/><Relationship Id="rId5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5" Type="http://schemas.openxmlformats.org/officeDocument/2006/relationships/hyperlink" Target="https://sede.minetur.gob.es/en-US/datosabiertos/catalogo/registro-productores-electrica" TargetMode="External"/><Relationship Id="rId2262" Type="http://schemas.openxmlformats.org/officeDocument/2006/relationships/hyperlink" Target="https://sede.minetur.gob.es/en-US/datosabiertos/catalogo/registro-productores-electrica" TargetMode="External"/><Relationship Id="rId3106" Type="http://schemas.openxmlformats.org/officeDocument/2006/relationships/hyperlink" Target="https://www.nve.no/energiforsyning/kraftproduksjon/vannkraft/vannkraftdatabase/" TargetMode="External"/><Relationship Id="rId3660" Type="http://schemas.openxmlformats.org/officeDocument/2006/relationships/hyperlink" Target="https://www.nve.no/energiforsyning/kraftproduksjon/vannkraft/vannkraftdatabase/" TargetMode="External"/><Relationship Id="rId4504" Type="http://schemas.openxmlformats.org/officeDocument/2006/relationships/hyperlink" Target="https://www.nve.no/energiforsyning/kraftproduksjon/vannkraft/vannkraftdatabase/" TargetMode="External"/><Relationship Id="rId4711" Type="http://schemas.openxmlformats.org/officeDocument/2006/relationships/hyperlink" Target="https://www.nve.no/energiforsyning/kraftproduksjon/vannkraft/vannkraftdatabase/" TargetMode="External"/><Relationship Id="rId234" Type="http://schemas.openxmlformats.org/officeDocument/2006/relationships/hyperlink" Target="https://www.services-rte.com/en/view-data-published-by-rte/production-installed-capacity.html" TargetMode="External"/><Relationship Id="rId3313" Type="http://schemas.openxmlformats.org/officeDocument/2006/relationships/hyperlink" Target="https://www.nve.no/energiforsyning/kraftproduksjon/vannkraft/vannkraftdatabase/" TargetMode="External"/><Relationship Id="rId3520" Type="http://schemas.openxmlformats.org/officeDocument/2006/relationships/hyperlink" Target="https://www.nve.no/energiforsyning/kraftproduksjon/vannkraft/vannkraftdatabase/" TargetMode="External"/><Relationship Id="rId441" Type="http://schemas.openxmlformats.org/officeDocument/2006/relationships/hyperlink" Target="https://www.ceps.cz/cs/priprava-provozu" TargetMode="External"/><Relationship Id="rId10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2" Type="http://schemas.openxmlformats.org/officeDocument/2006/relationships/hyperlink" Target="https://sede.minetur.gob.es/en-US/datosabiertos/catalogo/registro-productores-electrica" TargetMode="External"/><Relationship Id="rId301" Type="http://schemas.openxmlformats.org/officeDocument/2006/relationships/hyperlink" Target="https://www.services-rte.com/en/view-data-published-by-rte/production-installed-capacity.html" TargetMode="External"/><Relationship Id="rId1888" Type="http://schemas.openxmlformats.org/officeDocument/2006/relationships/hyperlink" Target="https://sede.minetur.gob.es/en-US/datosabiertos/catalogo/registro-productores-electrica" TargetMode="External"/><Relationship Id="rId2939" Type="http://schemas.openxmlformats.org/officeDocument/2006/relationships/hyperlink" Target="https://www.gov.uk/government/statistics/electricity-chapter-5-digest-of-united-kingdom-energy-statistics-dukes" TargetMode="External"/><Relationship Id="rId4087" Type="http://schemas.openxmlformats.org/officeDocument/2006/relationships/hyperlink" Target="https://www.nve.no/energiforsyning/kraftproduksjon/vannkraft/vannkraftdatabase/" TargetMode="External"/><Relationship Id="rId4294" Type="http://schemas.openxmlformats.org/officeDocument/2006/relationships/hyperlink" Target="https://www.nve.no/energiforsyning/kraftproduksjon/vannkraft/vannkraftdatabase/" TargetMode="External"/><Relationship Id="rId1748" Type="http://schemas.openxmlformats.org/officeDocument/2006/relationships/hyperlink" Target="https://sede.minetur.gob.es/en-US/datosabiertos/catalogo/registro-productores-electrica" TargetMode="External"/><Relationship Id="rId4154" Type="http://schemas.openxmlformats.org/officeDocument/2006/relationships/hyperlink" Target="https://www.nve.no/energiforsyning/kraftproduksjon/vannkraft/vannkraftdatabase/" TargetMode="External"/><Relationship Id="rId4361" Type="http://schemas.openxmlformats.org/officeDocument/2006/relationships/hyperlink" Target="https://www.nve.no/energiforsyning/kraftproduksjon/vannkraft/vannkraftdatabase/" TargetMode="External"/><Relationship Id="rId1955" Type="http://schemas.openxmlformats.org/officeDocument/2006/relationships/hyperlink" Target="https://sede.minetur.gob.es/en-US/datosabiertos/catalogo/registro-productores-electrica" TargetMode="External"/><Relationship Id="rId3170" Type="http://schemas.openxmlformats.org/officeDocument/2006/relationships/hyperlink" Target="https://www.nve.no/energiforsyning/kraftproduksjon/vannkraft/vannkraftdatabase/" TargetMode="External"/><Relationship Id="rId4014" Type="http://schemas.openxmlformats.org/officeDocument/2006/relationships/hyperlink" Target="https://www.nve.no/energiforsyning/kraftproduksjon/vannkraft/vannkraftdatabase/" TargetMode="External"/><Relationship Id="rId4221" Type="http://schemas.openxmlformats.org/officeDocument/2006/relationships/hyperlink" Target="https://www.nve.no/energiforsyning/kraftproduksjon/vannkraft/vannkraftdatabase/" TargetMode="External"/><Relationship Id="rId1608" Type="http://schemas.openxmlformats.org/officeDocument/2006/relationships/hyperlink" Target="https://energiavirasto.fi/toimitusvarmuus" TargetMode="External"/><Relationship Id="rId1815" Type="http://schemas.openxmlformats.org/officeDocument/2006/relationships/hyperlink" Target="https://sede.minetur.gob.es/en-US/datosabiertos/catalogo/registro-productores-electrica" TargetMode="External"/><Relationship Id="rId3030" Type="http://schemas.openxmlformats.org/officeDocument/2006/relationships/hyperlink" Target="https://www.gov.uk/government/statistics/electricity-chapter-5-digest-of-united-kingdom-energy-statistics-dukes" TargetMode="External"/><Relationship Id="rId3987" Type="http://schemas.openxmlformats.org/officeDocument/2006/relationships/hyperlink" Target="https://www.nve.no/energiforsyning/kraftproduksjon/vannkraft/vannkraftdatabase/" TargetMode="External"/><Relationship Id="rId2589" Type="http://schemas.openxmlformats.org/officeDocument/2006/relationships/hyperlink" Target="https://sede.minetur.gob.es/en-US/datosabiertos/catalogo/registro-productores-electrica" TargetMode="External"/><Relationship Id="rId2796" Type="http://schemas.openxmlformats.org/officeDocument/2006/relationships/hyperlink" Target="https://sede.minetur.gob.es/en-US/datosabiertos/catalogo/registro-productores-electrica" TargetMode="External"/><Relationship Id="rId3847" Type="http://schemas.openxmlformats.org/officeDocument/2006/relationships/hyperlink" Target="https://www.nve.no/energiforsyning/kraftproduksjon/vannkraft/vannkraftdatabase/" TargetMode="External"/><Relationship Id="rId7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8" Type="http://schemas.openxmlformats.org/officeDocument/2006/relationships/hyperlink" Target="https://energiavirasto.fi/toimitusvarmuus" TargetMode="External"/><Relationship Id="rId2449" Type="http://schemas.openxmlformats.org/officeDocument/2006/relationships/hyperlink" Target="https://sede.minetur.gob.es/en-US/datosabiertos/catalogo/registro-productores-electrica" TargetMode="External"/><Relationship Id="rId2656" Type="http://schemas.openxmlformats.org/officeDocument/2006/relationships/hyperlink" Target="https://sede.minetur.gob.es/en-US/datosabiertos/catalogo/registro-productores-electrica" TargetMode="External"/><Relationship Id="rId2863" Type="http://schemas.openxmlformats.org/officeDocument/2006/relationships/hyperlink" Target="https://www.gov.uk/government/statistics/electricity-chapter-5-digest-of-united-kingdom-energy-statistics-dukes" TargetMode="External"/><Relationship Id="rId3707" Type="http://schemas.openxmlformats.org/officeDocument/2006/relationships/hyperlink" Target="https://www.nve.no/energiforsyning/kraftproduksjon/vannkraft/vannkraftdatabase/" TargetMode="External"/><Relationship Id="rId3914" Type="http://schemas.openxmlformats.org/officeDocument/2006/relationships/hyperlink" Target="https://www.nve.no/energiforsyning/kraftproduksjon/vannkraft/vannkraftdatabase/" TargetMode="External"/><Relationship Id="rId6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8" Type="http://schemas.openxmlformats.org/officeDocument/2006/relationships/hyperlink" Target="http://www2018.terna.it/it-it/sistemaelettrico/transparencyreport/generation/installedgenerationcapacity.aspx" TargetMode="External"/><Relationship Id="rId1465" Type="http://schemas.openxmlformats.org/officeDocument/2006/relationships/hyperlink" Target="https://energiavirasto.fi/toimitusvarmuus" TargetMode="External"/><Relationship Id="rId1672" Type="http://schemas.openxmlformats.org/officeDocument/2006/relationships/hyperlink" Target="https://energiavirasto.fi/toimitusvarmuus" TargetMode="External"/><Relationship Id="rId2309" Type="http://schemas.openxmlformats.org/officeDocument/2006/relationships/hyperlink" Target="https://sede.minetur.gob.es/en-US/datosabiertos/catalogo/registro-productores-electrica" TargetMode="External"/><Relationship Id="rId2516" Type="http://schemas.openxmlformats.org/officeDocument/2006/relationships/hyperlink" Target="https://sede.minetur.gob.es/en-US/datosabiertos/catalogo/registro-productores-electrica" TargetMode="External"/><Relationship Id="rId2723" Type="http://schemas.openxmlformats.org/officeDocument/2006/relationships/hyperlink" Target="https://sede.minetur.gob.es/en-US/datosabiertos/catalogo/registro-productores-electrica" TargetMode="External"/><Relationship Id="rId11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5" Type="http://schemas.openxmlformats.org/officeDocument/2006/relationships/hyperlink" Target="http://www2018.terna.it/it-it/sistemaelettrico/transparencyreport/generation/installedgenerationcapacity.aspx" TargetMode="External"/><Relationship Id="rId1532" Type="http://schemas.openxmlformats.org/officeDocument/2006/relationships/hyperlink" Target="https://energiavirasto.fi/toimitusvarmuus" TargetMode="External"/><Relationship Id="rId2930" Type="http://schemas.openxmlformats.org/officeDocument/2006/relationships/hyperlink" Target="https://www.gov.uk/government/statistics/electricity-chapter-5-digest-of-united-kingdom-energy-statistics-dukes" TargetMode="External"/><Relationship Id="rId4688" Type="http://schemas.openxmlformats.org/officeDocument/2006/relationships/hyperlink" Target="https://www.nve.no/energiforsyning/kraftproduksjon/vannkraft/vannkraftdatabase/" TargetMode="External"/><Relationship Id="rId9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497" Type="http://schemas.openxmlformats.org/officeDocument/2006/relationships/hyperlink" Target="https://www.nve.no/energiforsyning/kraftproduksjon/vannkraft/vannkraftdatabase/" TargetMode="External"/><Relationship Id="rId4895" Type="http://schemas.openxmlformats.org/officeDocument/2006/relationships/hyperlink" Target="https://www.seng.si/en/hydropower-plants/small-hydropower-plants/" TargetMode="External"/><Relationship Id="rId31" Type="http://schemas.openxmlformats.org/officeDocument/2006/relationships/hyperlink" Target="https://www.elia.be/en/grid-data/power-generation/generating-facilities" TargetMode="External"/><Relationship Id="rId2099" Type="http://schemas.openxmlformats.org/officeDocument/2006/relationships/hyperlink" Target="https://sede.minetur.gob.es/en-US/datosabiertos/catalogo/registro-productores-electrica" TargetMode="External"/><Relationship Id="rId4548" Type="http://schemas.openxmlformats.org/officeDocument/2006/relationships/hyperlink" Target="https://www.nve.no/energiforsyning/kraftproduksjon/vannkraft/vannkraftdatabase/" TargetMode="External"/><Relationship Id="rId4755" Type="http://schemas.openxmlformats.org/officeDocument/2006/relationships/hyperlink" Target="https://www.nve.no/energiforsyning/kraftproduksjon/vannkraft/vannkraftdatabase/" TargetMode="External"/><Relationship Id="rId4962" Type="http://schemas.openxmlformats.org/officeDocument/2006/relationships/hyperlink" Target="https://www.verbund.com/de-at/ueber-verbund/kraftwerke/unsere-kraftwerke" TargetMode="External"/><Relationship Id="rId278" Type="http://schemas.openxmlformats.org/officeDocument/2006/relationships/hyperlink" Target="https://www.services-rte.com/en/view-data-published-by-rte/production-installed-capacity.html" TargetMode="External"/><Relationship Id="rId3357" Type="http://schemas.openxmlformats.org/officeDocument/2006/relationships/hyperlink" Target="https://www.nve.no/energiforsyning/kraftproduksjon/vannkraft/vannkraftdatabase/" TargetMode="External"/><Relationship Id="rId3564" Type="http://schemas.openxmlformats.org/officeDocument/2006/relationships/hyperlink" Target="https://www.nve.no/energiforsyning/kraftproduksjon/vannkraft/vannkraftdatabase/" TargetMode="External"/><Relationship Id="rId3771" Type="http://schemas.openxmlformats.org/officeDocument/2006/relationships/hyperlink" Target="https://www.nve.no/energiforsyning/kraftproduksjon/vannkraft/vannkraftdatabase/" TargetMode="External"/><Relationship Id="rId4408" Type="http://schemas.openxmlformats.org/officeDocument/2006/relationships/hyperlink" Target="https://www.nve.no/energiforsyning/kraftproduksjon/vannkraft/vannkraftdatabase/" TargetMode="External"/><Relationship Id="rId4615" Type="http://schemas.openxmlformats.org/officeDocument/2006/relationships/hyperlink" Target="https://www.nve.no/energiforsyning/kraftproduksjon/vannkraft/vannkraftdatabase/" TargetMode="External"/><Relationship Id="rId4822" Type="http://schemas.openxmlformats.org/officeDocument/2006/relationships/hyperlink" Target="https://www.seng.si/en/hydropower-plants/small-hydropower-plants/" TargetMode="External"/><Relationship Id="rId485" Type="http://schemas.openxmlformats.org/officeDocument/2006/relationships/hyperlink" Target="https://www.ceps.cz/cs/priprava-provozu" TargetMode="External"/><Relationship Id="rId6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66" Type="http://schemas.openxmlformats.org/officeDocument/2006/relationships/hyperlink" Target="https://sede.minetur.gob.es/en-US/datosabiertos/catalogo/registro-productores-electrica" TargetMode="External"/><Relationship Id="rId2373" Type="http://schemas.openxmlformats.org/officeDocument/2006/relationships/hyperlink" Target="https://sede.minetur.gob.es/en-US/datosabiertos/catalogo/registro-productores-electrica" TargetMode="External"/><Relationship Id="rId2580" Type="http://schemas.openxmlformats.org/officeDocument/2006/relationships/hyperlink" Target="https://sede.minetur.gob.es/en-US/datosabiertos/catalogo/registro-productores-electrica" TargetMode="External"/><Relationship Id="rId3217" Type="http://schemas.openxmlformats.org/officeDocument/2006/relationships/hyperlink" Target="https://www.nve.no/energiforsyning/kraftproduksjon/vannkraft/vannkraftdatabase/" TargetMode="External"/><Relationship Id="rId3424" Type="http://schemas.openxmlformats.org/officeDocument/2006/relationships/hyperlink" Target="https://www.nve.no/energiforsyning/kraftproduksjon/vannkraft/vannkraftdatabase/" TargetMode="External"/><Relationship Id="rId3631" Type="http://schemas.openxmlformats.org/officeDocument/2006/relationships/hyperlink" Target="https://www.nve.no/energiforsyning/kraftproduksjon/vannkraft/vannkraftdatabase/" TargetMode="External"/><Relationship Id="rId138" Type="http://schemas.openxmlformats.org/officeDocument/2006/relationships/hyperlink" Target="https://www.tennet.org/english/operational_management/export_data.aspx" TargetMode="External"/><Relationship Id="rId345" Type="http://schemas.openxmlformats.org/officeDocument/2006/relationships/hyperlink" Target="http://gpi.tge.pl/en/wykaz-jednostek" TargetMode="External"/><Relationship Id="rId552" Type="http://schemas.openxmlformats.org/officeDocument/2006/relationships/hyperlink" Target="https://www.ceps.cz/cs/priprava-provozu" TargetMode="External"/><Relationship Id="rId11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26" Type="http://schemas.openxmlformats.org/officeDocument/2006/relationships/hyperlink" Target="https://sede.minetur.gob.es/en-US/datosabiertos/catalogo/registro-productores-electrica" TargetMode="External"/><Relationship Id="rId2233" Type="http://schemas.openxmlformats.org/officeDocument/2006/relationships/hyperlink" Target="https://sede.minetur.gob.es/en-US/datosabiertos/catalogo/registro-productores-electrica" TargetMode="External"/><Relationship Id="rId2440" Type="http://schemas.openxmlformats.org/officeDocument/2006/relationships/hyperlink" Target="https://sede.minetur.gob.es/en-US/datosabiertos/catalogo/registro-productores-electrica" TargetMode="External"/><Relationship Id="rId205" Type="http://schemas.openxmlformats.org/officeDocument/2006/relationships/hyperlink" Target="https://www.services-rte.com/en/view-data-published-by-rte/production-installed-capacity.html" TargetMode="External"/><Relationship Id="rId412" Type="http://schemas.openxmlformats.org/officeDocument/2006/relationships/hyperlink" Target="http://gpi.tge.pl/en/wykaz-jednostek" TargetMode="External"/><Relationship Id="rId10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00" Type="http://schemas.openxmlformats.org/officeDocument/2006/relationships/hyperlink" Target="https://sede.minetur.gob.es/en-US/datosabiertos/catalogo/registro-productores-electrica" TargetMode="External"/><Relationship Id="rId4198" Type="http://schemas.openxmlformats.org/officeDocument/2006/relationships/hyperlink" Target="https://www.nve.no/energiforsyning/kraftproduksjon/vannkraft/vannkraftdatabase/" TargetMode="External"/><Relationship Id="rId1999" Type="http://schemas.openxmlformats.org/officeDocument/2006/relationships/hyperlink" Target="https://sede.minetur.gob.es/en-US/datosabiertos/catalogo/registro-productores-electrica" TargetMode="External"/><Relationship Id="rId4058" Type="http://schemas.openxmlformats.org/officeDocument/2006/relationships/hyperlink" Target="https://www.nve.no/energiforsyning/kraftproduksjon/vannkraft/vannkraftdatabase/" TargetMode="External"/><Relationship Id="rId4265" Type="http://schemas.openxmlformats.org/officeDocument/2006/relationships/hyperlink" Target="https://www.nve.no/energiforsyning/kraftproduksjon/vannkraft/vannkraftdatabase/" TargetMode="External"/><Relationship Id="rId4472" Type="http://schemas.openxmlformats.org/officeDocument/2006/relationships/hyperlink" Target="https://www.nve.no/energiforsyning/kraftproduksjon/vannkraft/vannkraftdatabase/" TargetMode="External"/><Relationship Id="rId1859" Type="http://schemas.openxmlformats.org/officeDocument/2006/relationships/hyperlink" Target="https://sede.minetur.gob.es/en-US/datosabiertos/catalogo/registro-productores-electrica" TargetMode="External"/><Relationship Id="rId3074" Type="http://schemas.openxmlformats.org/officeDocument/2006/relationships/hyperlink" Target="https://www.gov.uk/government/statistics/electricity-chapter-5-digest-of-united-kingdom-energy-statistics-dukes" TargetMode="External"/><Relationship Id="rId4125" Type="http://schemas.openxmlformats.org/officeDocument/2006/relationships/hyperlink" Target="https://www.nve.no/energiforsyning/kraftproduksjon/vannkraft/vannkraftdatabase/" TargetMode="External"/><Relationship Id="rId1719" Type="http://schemas.openxmlformats.org/officeDocument/2006/relationships/hyperlink" Target="https://sede.minetur.gob.es/en-US/datosabiertos/catalogo/registro-productores-electrica" TargetMode="External"/><Relationship Id="rId1926" Type="http://schemas.openxmlformats.org/officeDocument/2006/relationships/hyperlink" Target="https://sede.minetur.gob.es/en-US/datosabiertos/catalogo/registro-productores-electrica" TargetMode="External"/><Relationship Id="rId3281" Type="http://schemas.openxmlformats.org/officeDocument/2006/relationships/hyperlink" Target="https://www.nve.no/energiforsyning/kraftproduksjon/vannkraft/vannkraftdatabase/" TargetMode="External"/><Relationship Id="rId4332" Type="http://schemas.openxmlformats.org/officeDocument/2006/relationships/hyperlink" Target="https://www.nve.no/energiforsyning/kraftproduksjon/vannkraft/vannkraftdatabase/" TargetMode="External"/><Relationship Id="rId2090" Type="http://schemas.openxmlformats.org/officeDocument/2006/relationships/hyperlink" Target="https://sede.minetur.gob.es/en-US/datosabiertos/catalogo/registro-productores-electrica" TargetMode="External"/><Relationship Id="rId3141" Type="http://schemas.openxmlformats.org/officeDocument/2006/relationships/hyperlink" Target="https://www.nve.no/energiforsyning/kraftproduksjon/vannkraft/vannkraftdatabase/" TargetMode="External"/><Relationship Id="rId3001" Type="http://schemas.openxmlformats.org/officeDocument/2006/relationships/hyperlink" Target="https://www.gov.uk/government/statistics/electricity-chapter-5-digest-of-united-kingdom-energy-statistics-dukes" TargetMode="External"/><Relationship Id="rId3958" Type="http://schemas.openxmlformats.org/officeDocument/2006/relationships/hyperlink" Target="https://www.nve.no/energiforsyning/kraftproduksjon/vannkraft/vannkraftdatabase/" TargetMode="External"/><Relationship Id="rId8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767" Type="http://schemas.openxmlformats.org/officeDocument/2006/relationships/hyperlink" Target="https://sede.minetur.gob.es/en-US/datosabiertos/catalogo/registro-productores-electrica" TargetMode="External"/><Relationship Id="rId7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9" Type="http://schemas.openxmlformats.org/officeDocument/2006/relationships/hyperlink" Target="http://www2018.terna.it/it-it/sistemaelettrico/transparencyreport/generation/installedgenerationcapacity.aspx" TargetMode="External"/><Relationship Id="rId1576" Type="http://schemas.openxmlformats.org/officeDocument/2006/relationships/hyperlink" Target="https://energiavirasto.fi/toimitusvarmuus" TargetMode="External"/><Relationship Id="rId2974" Type="http://schemas.openxmlformats.org/officeDocument/2006/relationships/hyperlink" Target="https://www.gov.uk/government/statistics/electricity-chapter-5-digest-of-united-kingdom-energy-statistics-dukes" TargetMode="External"/><Relationship Id="rId3818" Type="http://schemas.openxmlformats.org/officeDocument/2006/relationships/hyperlink" Target="https://www.nve.no/energiforsyning/kraftproduksjon/vannkraft/vannkraftdatabase/" TargetMode="External"/><Relationship Id="rId5033" Type="http://schemas.openxmlformats.org/officeDocument/2006/relationships/hyperlink" Target="https://www.bwsc.com/references/masnedoe-power-plant" TargetMode="External"/><Relationship Id="rId9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83" Type="http://schemas.openxmlformats.org/officeDocument/2006/relationships/hyperlink" Target="https://sede.minetur.gob.es/en-US/datosabiertos/catalogo/registro-productores-electrica" TargetMode="External"/><Relationship Id="rId1990" Type="http://schemas.openxmlformats.org/officeDocument/2006/relationships/hyperlink" Target="https://sede.minetur.gob.es/en-US/datosabiertos/catalogo/registro-productores-electrica" TargetMode="External"/><Relationship Id="rId2627" Type="http://schemas.openxmlformats.org/officeDocument/2006/relationships/hyperlink" Target="https://sede.minetur.gob.es/en-US/datosabiertos/catalogo/registro-productores-electrica" TargetMode="External"/><Relationship Id="rId2834" Type="http://schemas.openxmlformats.org/officeDocument/2006/relationships/hyperlink" Target="https://sede.minetur.gob.es/en-US/datosabiertos/catalogo/registro-productores-electrica" TargetMode="External"/><Relationship Id="rId75" Type="http://schemas.openxmlformats.org/officeDocument/2006/relationships/hyperlink" Target="https://www.elia.be/en/grid-data/power-generation/generating-facilities" TargetMode="External"/><Relationship Id="rId8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6" Type="http://schemas.openxmlformats.org/officeDocument/2006/relationships/hyperlink" Target="https://energiavirasto.fi/toimitusvarmuus" TargetMode="External"/><Relationship Id="rId1643" Type="http://schemas.openxmlformats.org/officeDocument/2006/relationships/hyperlink" Target="https://energiavirasto.fi/toimitusvarmuus" TargetMode="External"/><Relationship Id="rId1850" Type="http://schemas.openxmlformats.org/officeDocument/2006/relationships/hyperlink" Target="https://sede.minetur.gob.es/en-US/datosabiertos/catalogo/registro-productores-electrica" TargetMode="External"/><Relationship Id="rId2901" Type="http://schemas.openxmlformats.org/officeDocument/2006/relationships/hyperlink" Target="https://www.gov.uk/government/statistics/electricity-chapter-5-digest-of-united-kingdom-energy-statistics-dukes" TargetMode="External"/><Relationship Id="rId4799" Type="http://schemas.openxmlformats.org/officeDocument/2006/relationships/hyperlink" Target="https://www.nve.no/media/8967/termiske-kraftverk-i-norge-2019.xlsx" TargetMode="External"/><Relationship Id="rId1503" Type="http://schemas.openxmlformats.org/officeDocument/2006/relationships/hyperlink" Target="https://energiavirasto.fi/toimitusvarmuus" TargetMode="External"/><Relationship Id="rId1710" Type="http://schemas.openxmlformats.org/officeDocument/2006/relationships/hyperlink" Target="https://sede.minetur.gob.es/en-US/datosabiertos/catalogo/registro-productores-electrica" TargetMode="External"/><Relationship Id="rId4659" Type="http://schemas.openxmlformats.org/officeDocument/2006/relationships/hyperlink" Target="https://www.nve.no/energiforsyning/kraftproduksjon/vannkraft/vannkraftdatabase/" TargetMode="External"/><Relationship Id="rId4866" Type="http://schemas.openxmlformats.org/officeDocument/2006/relationships/hyperlink" Target="https://www.seng.si/en/hydropower-plants/small-hydropower-plants/" TargetMode="External"/><Relationship Id="rId3468" Type="http://schemas.openxmlformats.org/officeDocument/2006/relationships/hyperlink" Target="https://www.nve.no/energiforsyning/kraftproduksjon/vannkraft/vannkraftdatabase/" TargetMode="External"/><Relationship Id="rId3675" Type="http://schemas.openxmlformats.org/officeDocument/2006/relationships/hyperlink" Target="https://www.nve.no/energiforsyning/kraftproduksjon/vannkraft/vannkraftdatabase/" TargetMode="External"/><Relationship Id="rId3882" Type="http://schemas.openxmlformats.org/officeDocument/2006/relationships/hyperlink" Target="https://www.nve.no/energiforsyning/kraftproduksjon/vannkraft/vannkraftdatabase/" TargetMode="External"/><Relationship Id="rId4519" Type="http://schemas.openxmlformats.org/officeDocument/2006/relationships/hyperlink" Target="https://www.nve.no/energiforsyning/kraftproduksjon/vannkraft/vannkraftdatabase/" TargetMode="External"/><Relationship Id="rId4726" Type="http://schemas.openxmlformats.org/officeDocument/2006/relationships/hyperlink" Target="https://www.nve.no/energiforsyning/kraftproduksjon/vannkraft/vannkraftdatabase/" TargetMode="External"/><Relationship Id="rId4933" Type="http://schemas.openxmlformats.org/officeDocument/2006/relationships/hyperlink" Target="https://www.verbund.com/de-at/ueber-verbund/kraftwerke/unsere-kraftwerke" TargetMode="External"/><Relationship Id="rId389" Type="http://schemas.openxmlformats.org/officeDocument/2006/relationships/hyperlink" Target="http://gpi.tge.pl/en/wykaz-jednostek" TargetMode="External"/><Relationship Id="rId5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7" Type="http://schemas.openxmlformats.org/officeDocument/2006/relationships/hyperlink" Target="https://sede.minetur.gob.es/en-US/datosabiertos/catalogo/registro-productores-electrica" TargetMode="External"/><Relationship Id="rId2484" Type="http://schemas.openxmlformats.org/officeDocument/2006/relationships/hyperlink" Target="https://sede.minetur.gob.es/en-US/datosabiertos/catalogo/registro-productores-electrica" TargetMode="External"/><Relationship Id="rId2691" Type="http://schemas.openxmlformats.org/officeDocument/2006/relationships/hyperlink" Target="https://sede.minetur.gob.es/en-US/datosabiertos/catalogo/registro-productores-electrica" TargetMode="External"/><Relationship Id="rId3328" Type="http://schemas.openxmlformats.org/officeDocument/2006/relationships/hyperlink" Target="https://www.nve.no/energiforsyning/kraftproduksjon/vannkraft/vannkraftdatabase/" TargetMode="External"/><Relationship Id="rId3535" Type="http://schemas.openxmlformats.org/officeDocument/2006/relationships/hyperlink" Target="https://www.nve.no/energiforsyning/kraftproduksjon/vannkraft/vannkraftdatabase/" TargetMode="External"/><Relationship Id="rId3742" Type="http://schemas.openxmlformats.org/officeDocument/2006/relationships/hyperlink" Target="https://www.nve.no/energiforsyning/kraftproduksjon/vannkraft/vannkraftdatabase/" TargetMode="External"/><Relationship Id="rId249" Type="http://schemas.openxmlformats.org/officeDocument/2006/relationships/hyperlink" Target="https://www.services-rte.com/en/view-data-published-by-rte/production-installed-capacity.html" TargetMode="External"/><Relationship Id="rId456" Type="http://schemas.openxmlformats.org/officeDocument/2006/relationships/hyperlink" Target="https://www.ceps.cz/cs/priprava-provozu" TargetMode="External"/><Relationship Id="rId6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3" Type="http://schemas.openxmlformats.org/officeDocument/2006/relationships/hyperlink" Target="http://www2018.terna.it/it-it/sistemaelettrico/transparencyreport/generation/installedgenerationcapacity.aspx" TargetMode="External"/><Relationship Id="rId2137" Type="http://schemas.openxmlformats.org/officeDocument/2006/relationships/hyperlink" Target="https://sede.minetur.gob.es/en-US/datosabiertos/catalogo/registro-productores-electrica" TargetMode="External"/><Relationship Id="rId2344" Type="http://schemas.openxmlformats.org/officeDocument/2006/relationships/hyperlink" Target="https://sede.minetur.gob.es/en-US/datosabiertos/catalogo/registro-productores-electrica" TargetMode="External"/><Relationship Id="rId2551" Type="http://schemas.openxmlformats.org/officeDocument/2006/relationships/hyperlink" Target="https://sede.minetur.gob.es/en-US/datosabiertos/catalogo/registro-productores-electrica" TargetMode="External"/><Relationship Id="rId109" Type="http://schemas.openxmlformats.org/officeDocument/2006/relationships/hyperlink" Target="https://www.tennet.org/english/operational_management/export_data.aspx" TargetMode="External"/><Relationship Id="rId316" Type="http://schemas.openxmlformats.org/officeDocument/2006/relationships/hyperlink" Target="http://gpi.tge.pl/en/wykaz-jednostek" TargetMode="External"/><Relationship Id="rId523" Type="http://schemas.openxmlformats.org/officeDocument/2006/relationships/hyperlink" Target="https://www.ceps.cz/cs/priprava-provozu" TargetMode="External"/><Relationship Id="rId11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04" Type="http://schemas.openxmlformats.org/officeDocument/2006/relationships/hyperlink" Target="https://sede.minetur.gob.es/en-US/datosabiertos/catalogo/registro-productores-electrica" TargetMode="External"/><Relationship Id="rId3602" Type="http://schemas.openxmlformats.org/officeDocument/2006/relationships/hyperlink" Target="https://www.nve.no/energiforsyning/kraftproduksjon/vannkraft/vannkraftdatabase/" TargetMode="External"/><Relationship Id="rId7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0" Type="http://schemas.openxmlformats.org/officeDocument/2006/relationships/hyperlink" Target="http://www2018.terna.it/it-it/sistemaelettrico/transparencyreport/generation/installedgenerationcapacity.aspx" TargetMode="External"/><Relationship Id="rId2411" Type="http://schemas.openxmlformats.org/officeDocument/2006/relationships/hyperlink" Target="https://sede.minetur.gob.es/en-US/datosabiertos/catalogo/registro-productores-electrica" TargetMode="External"/><Relationship Id="rId4169" Type="http://schemas.openxmlformats.org/officeDocument/2006/relationships/hyperlink" Target="https://www.nve.no/energiforsyning/kraftproduksjon/vannkraft/vannkraftdatabase/" TargetMode="External"/><Relationship Id="rId12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76" Type="http://schemas.openxmlformats.org/officeDocument/2006/relationships/hyperlink" Target="https://www.nve.no/energiforsyning/kraftproduksjon/vannkraft/vannkraftdatabase/" TargetMode="External"/><Relationship Id="rId4583" Type="http://schemas.openxmlformats.org/officeDocument/2006/relationships/hyperlink" Target="https://www.nve.no/energiforsyning/kraftproduksjon/vannkraft/vannkraftdatabase/" TargetMode="External"/><Relationship Id="rId4790" Type="http://schemas.openxmlformats.org/officeDocument/2006/relationships/hyperlink" Target="https://www.nve.no/media/8967/termiske-kraftverk-i-norge-2019.xlsx" TargetMode="External"/><Relationship Id="rId3185" Type="http://schemas.openxmlformats.org/officeDocument/2006/relationships/hyperlink" Target="https://www.nve.no/energiforsyning/kraftproduksjon/vannkraft/vannkraftdatabase/" TargetMode="External"/><Relationship Id="rId3392" Type="http://schemas.openxmlformats.org/officeDocument/2006/relationships/hyperlink" Target="https://www.nve.no/energiforsyning/kraftproduksjon/vannkraft/vannkraftdatabase/" TargetMode="External"/><Relationship Id="rId4029" Type="http://schemas.openxmlformats.org/officeDocument/2006/relationships/hyperlink" Target="https://www.nve.no/energiforsyning/kraftproduksjon/vannkraft/vannkraftdatabase/" TargetMode="External"/><Relationship Id="rId4236" Type="http://schemas.openxmlformats.org/officeDocument/2006/relationships/hyperlink" Target="https://www.nve.no/energiforsyning/kraftproduksjon/vannkraft/vannkraftdatabase/" TargetMode="External"/><Relationship Id="rId4443" Type="http://schemas.openxmlformats.org/officeDocument/2006/relationships/hyperlink" Target="https://www.nve.no/energiforsyning/kraftproduksjon/vannkraft/vannkraftdatabase/" TargetMode="External"/><Relationship Id="rId4650" Type="http://schemas.openxmlformats.org/officeDocument/2006/relationships/hyperlink" Target="https://www.nve.no/energiforsyning/kraftproduksjon/vannkraft/vannkraftdatabase/" TargetMode="External"/><Relationship Id="rId3045" Type="http://schemas.openxmlformats.org/officeDocument/2006/relationships/hyperlink" Target="https://www.gov.uk/government/statistics/electricity-chapter-5-digest-of-united-kingdom-energy-statistics-dukes" TargetMode="External"/><Relationship Id="rId3252" Type="http://schemas.openxmlformats.org/officeDocument/2006/relationships/hyperlink" Target="https://www.nve.no/energiforsyning/kraftproduksjon/vannkraft/vannkraftdatabase/" TargetMode="External"/><Relationship Id="rId4303" Type="http://schemas.openxmlformats.org/officeDocument/2006/relationships/hyperlink" Target="https://www.nve.no/energiforsyning/kraftproduksjon/vannkraft/vannkraftdatabase/" TargetMode="External"/><Relationship Id="rId4510" Type="http://schemas.openxmlformats.org/officeDocument/2006/relationships/hyperlink" Target="https://www.nve.no/energiforsyning/kraftproduksjon/vannkraft/vannkraftdatabase/" TargetMode="External"/><Relationship Id="rId173" Type="http://schemas.openxmlformats.org/officeDocument/2006/relationships/hyperlink" Target="https://www.services-rte.com/en/view-data-published-by-rte/production-installed-capacity.html" TargetMode="External"/><Relationship Id="rId380" Type="http://schemas.openxmlformats.org/officeDocument/2006/relationships/hyperlink" Target="http://gpi.tge.pl/en/wykaz-jednostek" TargetMode="External"/><Relationship Id="rId2061" Type="http://schemas.openxmlformats.org/officeDocument/2006/relationships/hyperlink" Target="https://sede.minetur.gob.es/en-US/datosabiertos/catalogo/registro-productores-electrica" TargetMode="External"/><Relationship Id="rId3112" Type="http://schemas.openxmlformats.org/officeDocument/2006/relationships/hyperlink" Target="https://www.nve.no/energiforsyning/kraftproduksjon/vannkraft/vannkraftdatabase/" TargetMode="External"/><Relationship Id="rId240" Type="http://schemas.openxmlformats.org/officeDocument/2006/relationships/hyperlink" Target="https://www.services-rte.com/en/view-data-published-by-rte/production-installed-capacity.html" TargetMode="External"/><Relationship Id="rId100" Type="http://schemas.openxmlformats.org/officeDocument/2006/relationships/hyperlink" Target="https://www.tennet.org/english/operational_management/export_data.aspx" TargetMode="External"/><Relationship Id="rId2878" Type="http://schemas.openxmlformats.org/officeDocument/2006/relationships/hyperlink" Target="https://www.gov.uk/government/statistics/electricity-chapter-5-digest-of-united-kingdom-energy-statistics-dukes" TargetMode="External"/><Relationship Id="rId3929" Type="http://schemas.openxmlformats.org/officeDocument/2006/relationships/hyperlink" Target="https://www.nve.no/energiforsyning/kraftproduksjon/vannkraft/vannkraftdatabase/" TargetMode="External"/><Relationship Id="rId4093" Type="http://schemas.openxmlformats.org/officeDocument/2006/relationships/hyperlink" Target="https://www.nve.no/energiforsyning/kraftproduksjon/vannkraft/vannkraftdatabase/" TargetMode="External"/><Relationship Id="rId1687" Type="http://schemas.openxmlformats.org/officeDocument/2006/relationships/hyperlink" Target="https://energiavirasto.fi/toimitusvarmuus" TargetMode="External"/><Relationship Id="rId1894" Type="http://schemas.openxmlformats.org/officeDocument/2006/relationships/hyperlink" Target="https://sede.minetur.gob.es/en-US/datosabiertos/catalogo/registro-productores-electrica" TargetMode="External"/><Relationship Id="rId2738" Type="http://schemas.openxmlformats.org/officeDocument/2006/relationships/hyperlink" Target="https://sede.minetur.gob.es/en-US/datosabiertos/catalogo/registro-productores-electrica" TargetMode="External"/><Relationship Id="rId2945" Type="http://schemas.openxmlformats.org/officeDocument/2006/relationships/hyperlink" Target="https://www.gov.uk/government/statistics/electricity-chapter-5-digest-of-united-kingdom-energy-statistics-dukes" TargetMode="External"/><Relationship Id="rId9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7" Type="http://schemas.openxmlformats.org/officeDocument/2006/relationships/hyperlink" Target="https://energiavirasto.fi/toimitusvarmuus" TargetMode="External"/><Relationship Id="rId1754" Type="http://schemas.openxmlformats.org/officeDocument/2006/relationships/hyperlink" Target="https://sede.minetur.gob.es/en-US/datosabiertos/catalogo/registro-productores-electrica" TargetMode="External"/><Relationship Id="rId1961" Type="http://schemas.openxmlformats.org/officeDocument/2006/relationships/hyperlink" Target="https://sede.minetur.gob.es/en-US/datosabiertos/catalogo/registro-productores-electrica" TargetMode="External"/><Relationship Id="rId2805" Type="http://schemas.openxmlformats.org/officeDocument/2006/relationships/hyperlink" Target="https://sede.minetur.gob.es/en-US/datosabiertos/catalogo/registro-productores-electrica" TargetMode="External"/><Relationship Id="rId4160" Type="http://schemas.openxmlformats.org/officeDocument/2006/relationships/hyperlink" Target="https://www.nve.no/energiforsyning/kraftproduksjon/vannkraft/vannkraftdatabase/" TargetMode="External"/><Relationship Id="rId5004" Type="http://schemas.openxmlformats.org/officeDocument/2006/relationships/hyperlink" Target="https://www.verbund.com/de-at/ueber-verbund/kraftwerke/unsere-kraftwerke" TargetMode="External"/><Relationship Id="rId46" Type="http://schemas.openxmlformats.org/officeDocument/2006/relationships/hyperlink" Target="https://www.elia.be/en/grid-data/power-generation/generating-facilities" TargetMode="External"/><Relationship Id="rId1407" Type="http://schemas.openxmlformats.org/officeDocument/2006/relationships/hyperlink" Target="https://energiavirasto.fi/toimitusvarmuus" TargetMode="External"/><Relationship Id="rId1614" Type="http://schemas.openxmlformats.org/officeDocument/2006/relationships/hyperlink" Target="https://energiavirasto.fi/toimitusvarmuus" TargetMode="External"/><Relationship Id="rId1821" Type="http://schemas.openxmlformats.org/officeDocument/2006/relationships/hyperlink" Target="https://sede.minetur.gob.es/en-US/datosabiertos/catalogo/registro-productores-electrica" TargetMode="External"/><Relationship Id="rId4020" Type="http://schemas.openxmlformats.org/officeDocument/2006/relationships/hyperlink" Target="https://www.nve.no/energiforsyning/kraftproduksjon/vannkraft/vannkraftdatabase/" TargetMode="External"/><Relationship Id="rId4977" Type="http://schemas.openxmlformats.org/officeDocument/2006/relationships/hyperlink" Target="https://www.verbund.com/de-at/ueber-verbund/kraftwerke/unsere-kraftwerke" TargetMode="External"/><Relationship Id="rId3579" Type="http://schemas.openxmlformats.org/officeDocument/2006/relationships/hyperlink" Target="https://www.nve.no/energiforsyning/kraftproduksjon/vannkraft/vannkraftdatabase/" TargetMode="External"/><Relationship Id="rId3786" Type="http://schemas.openxmlformats.org/officeDocument/2006/relationships/hyperlink" Target="https://www.nve.no/energiforsyning/kraftproduksjon/vannkraft/vannkraftdatabase/" TargetMode="External"/><Relationship Id="rId2388" Type="http://schemas.openxmlformats.org/officeDocument/2006/relationships/hyperlink" Target="https://sede.minetur.gob.es/en-US/datosabiertos/catalogo/registro-productores-electrica" TargetMode="External"/><Relationship Id="rId2595" Type="http://schemas.openxmlformats.org/officeDocument/2006/relationships/hyperlink" Target="https://sede.minetur.gob.es/en-US/datosabiertos/catalogo/registro-productores-electrica" TargetMode="External"/><Relationship Id="rId3439" Type="http://schemas.openxmlformats.org/officeDocument/2006/relationships/hyperlink" Target="https://www.nve.no/energiforsyning/kraftproduksjon/vannkraft/vannkraftdatabase/" TargetMode="External"/><Relationship Id="rId3993" Type="http://schemas.openxmlformats.org/officeDocument/2006/relationships/hyperlink" Target="https://www.nve.no/energiforsyning/kraftproduksjon/vannkraft/vannkraftdatabase/" TargetMode="External"/><Relationship Id="rId4837" Type="http://schemas.openxmlformats.org/officeDocument/2006/relationships/hyperlink" Target="https://www.seng.si/en/hydropower-plants/small-hydropower-plants/" TargetMode="External"/><Relationship Id="rId567" Type="http://schemas.openxmlformats.org/officeDocument/2006/relationships/hyperlink" Target="https://www.ceps.cz/cs/priprava-provozu" TargetMode="External"/><Relationship Id="rId11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48" Type="http://schemas.openxmlformats.org/officeDocument/2006/relationships/hyperlink" Target="https://sede.minetur.gob.es/en-US/datosabiertos/catalogo/registro-productores-electrica" TargetMode="External"/><Relationship Id="rId3646" Type="http://schemas.openxmlformats.org/officeDocument/2006/relationships/hyperlink" Target="https://www.nve.no/energiforsyning/kraftproduksjon/vannkraft/vannkraftdatabase/" TargetMode="External"/><Relationship Id="rId3853" Type="http://schemas.openxmlformats.org/officeDocument/2006/relationships/hyperlink" Target="https://www.nve.no/energiforsyning/kraftproduksjon/vannkraft/vannkraftdatabase/" TargetMode="External"/><Relationship Id="rId4904" Type="http://schemas.openxmlformats.org/officeDocument/2006/relationships/hyperlink" Target="https://www.verbund.com/de-at/ueber-verbund/kraftwerke/unsere-kraftwerke" TargetMode="External"/><Relationship Id="rId7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5" Type="http://schemas.openxmlformats.org/officeDocument/2006/relationships/hyperlink" Target="https://sede.minetur.gob.es/en-US/datosabiertos/catalogo/registro-productores-electrica" TargetMode="External"/><Relationship Id="rId2662" Type="http://schemas.openxmlformats.org/officeDocument/2006/relationships/hyperlink" Target="https://sede.minetur.gob.es/en-US/datosabiertos/catalogo/registro-productores-electrica" TargetMode="External"/><Relationship Id="rId3506" Type="http://schemas.openxmlformats.org/officeDocument/2006/relationships/hyperlink" Target="https://www.nve.no/energiforsyning/kraftproduksjon/vannkraft/vannkraftdatabase/" TargetMode="External"/><Relationship Id="rId3713" Type="http://schemas.openxmlformats.org/officeDocument/2006/relationships/hyperlink" Target="https://www.nve.no/energiforsyning/kraftproduksjon/vannkraft/vannkraftdatabase/" TargetMode="External"/><Relationship Id="rId3920" Type="http://schemas.openxmlformats.org/officeDocument/2006/relationships/hyperlink" Target="https://www.nve.no/energiforsyning/kraftproduksjon/vannkraft/vannkraftdatabase/" TargetMode="External"/><Relationship Id="rId427" Type="http://schemas.openxmlformats.org/officeDocument/2006/relationships/hyperlink" Target="https://www.ceps.cz/cs/priprava-provozu" TargetMode="External"/><Relationship Id="rId6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4" Type="http://schemas.openxmlformats.org/officeDocument/2006/relationships/hyperlink" Target="http://www2018.terna.it/it-it/sistemaelettrico/transparencyreport/generation/installedgenerationcapacity.aspx" TargetMode="External"/><Relationship Id="rId1471" Type="http://schemas.openxmlformats.org/officeDocument/2006/relationships/hyperlink" Target="https://energiavirasto.fi/toimitusvarmuus" TargetMode="External"/><Relationship Id="rId2108" Type="http://schemas.openxmlformats.org/officeDocument/2006/relationships/hyperlink" Target="https://sede.minetur.gob.es/en-US/datosabiertos/catalogo/registro-productores-electrica" TargetMode="External"/><Relationship Id="rId2315" Type="http://schemas.openxmlformats.org/officeDocument/2006/relationships/hyperlink" Target="https://sede.minetur.gob.es/en-US/datosabiertos/catalogo/registro-productores-electrica" TargetMode="External"/><Relationship Id="rId2522" Type="http://schemas.openxmlformats.org/officeDocument/2006/relationships/hyperlink" Target="https://sede.minetur.gob.es/en-US/datosabiertos/catalogo/registro-productores-electrica" TargetMode="External"/><Relationship Id="rId7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1" Type="http://schemas.openxmlformats.org/officeDocument/2006/relationships/hyperlink" Target="http://www2018.terna.it/it-it/sistemaelettrico/transparencyreport/generation/installedgenerationcapacity.aspx" TargetMode="External"/><Relationship Id="rId4487" Type="http://schemas.openxmlformats.org/officeDocument/2006/relationships/hyperlink" Target="https://www.nve.no/energiforsyning/kraftproduksjon/vannkraft/vannkraftdatabase/" TargetMode="External"/><Relationship Id="rId4694" Type="http://schemas.openxmlformats.org/officeDocument/2006/relationships/hyperlink" Target="https://www.nve.no/energiforsyning/kraftproduksjon/vannkraft/vannkraftdatabase/" TargetMode="External"/><Relationship Id="rId3089" Type="http://schemas.openxmlformats.org/officeDocument/2006/relationships/hyperlink" Target="https://www.gov.uk/government/statistics/electricity-chapter-5-digest-of-united-kingdom-energy-statistics-dukes" TargetMode="External"/><Relationship Id="rId3296" Type="http://schemas.openxmlformats.org/officeDocument/2006/relationships/hyperlink" Target="https://www.nve.no/energiforsyning/kraftproduksjon/vannkraft/vannkraftdatabase/" TargetMode="External"/><Relationship Id="rId4347" Type="http://schemas.openxmlformats.org/officeDocument/2006/relationships/hyperlink" Target="https://www.nve.no/energiforsyning/kraftproduksjon/vannkraft/vannkraftdatabase/" TargetMode="External"/><Relationship Id="rId4554" Type="http://schemas.openxmlformats.org/officeDocument/2006/relationships/hyperlink" Target="https://www.nve.no/energiforsyning/kraftproduksjon/vannkraft/vannkraftdatabase/" TargetMode="External"/><Relationship Id="rId4761" Type="http://schemas.openxmlformats.org/officeDocument/2006/relationships/hyperlink" Target="https://www.nve.no/energiforsyning/kraftproduksjon/vannkraft/vannkraftdatabase/" TargetMode="External"/><Relationship Id="rId3156" Type="http://schemas.openxmlformats.org/officeDocument/2006/relationships/hyperlink" Target="https://www.nve.no/energiforsyning/kraftproduksjon/vannkraft/vannkraftdatabase/" TargetMode="External"/><Relationship Id="rId3363" Type="http://schemas.openxmlformats.org/officeDocument/2006/relationships/hyperlink" Target="https://www.nve.no/energiforsyning/kraftproduksjon/vannkraft/vannkraftdatabase/" TargetMode="External"/><Relationship Id="rId4207" Type="http://schemas.openxmlformats.org/officeDocument/2006/relationships/hyperlink" Target="https://www.nve.no/energiforsyning/kraftproduksjon/vannkraft/vannkraftdatabase/" TargetMode="External"/><Relationship Id="rId4414" Type="http://schemas.openxmlformats.org/officeDocument/2006/relationships/hyperlink" Target="https://www.nve.no/energiforsyning/kraftproduksjon/vannkraft/vannkraftdatabase/" TargetMode="External"/><Relationship Id="rId284" Type="http://schemas.openxmlformats.org/officeDocument/2006/relationships/hyperlink" Target="https://www.services-rte.com/en/view-data-published-by-rte/production-installed-capacity.html" TargetMode="External"/><Relationship Id="rId491" Type="http://schemas.openxmlformats.org/officeDocument/2006/relationships/hyperlink" Target="https://www.ceps.cz/cs/priprava-provozu" TargetMode="External"/><Relationship Id="rId2172" Type="http://schemas.openxmlformats.org/officeDocument/2006/relationships/hyperlink" Target="https://sede.minetur.gob.es/en-US/datosabiertos/catalogo/registro-productores-electrica" TargetMode="External"/><Relationship Id="rId3016" Type="http://schemas.openxmlformats.org/officeDocument/2006/relationships/hyperlink" Target="https://www.gov.uk/government/statistics/electricity-chapter-5-digest-of-united-kingdom-energy-statistics-dukes" TargetMode="External"/><Relationship Id="rId3223" Type="http://schemas.openxmlformats.org/officeDocument/2006/relationships/hyperlink" Target="https://www.nve.no/energiforsyning/kraftproduksjon/vannkraft/vannkraftdatabase/" TargetMode="External"/><Relationship Id="rId3570" Type="http://schemas.openxmlformats.org/officeDocument/2006/relationships/hyperlink" Target="https://www.nve.no/energiforsyning/kraftproduksjon/vannkraft/vannkraftdatabase/" TargetMode="External"/><Relationship Id="rId4621" Type="http://schemas.openxmlformats.org/officeDocument/2006/relationships/hyperlink" Target="https://www.nve.no/energiforsyning/kraftproduksjon/vannkraft/vannkraftdatabase/" TargetMode="External"/><Relationship Id="rId144" Type="http://schemas.openxmlformats.org/officeDocument/2006/relationships/hyperlink" Target="https://www.tennet.org/english/operational_management/export_data.aspx" TargetMode="External"/><Relationship Id="rId3430" Type="http://schemas.openxmlformats.org/officeDocument/2006/relationships/hyperlink" Target="https://www.nve.no/energiforsyning/kraftproduksjon/vannkraft/vannkraftdatabase/" TargetMode="External"/><Relationship Id="rId351" Type="http://schemas.openxmlformats.org/officeDocument/2006/relationships/hyperlink" Target="http://gpi.tge.pl/en/wykaz-jednostek" TargetMode="External"/><Relationship Id="rId2032" Type="http://schemas.openxmlformats.org/officeDocument/2006/relationships/hyperlink" Target="https://sede.minetur.gob.es/en-US/datosabiertos/catalogo/registro-productores-electrica" TargetMode="External"/><Relationship Id="rId2989" Type="http://schemas.openxmlformats.org/officeDocument/2006/relationships/hyperlink" Target="https://www.gov.uk/government/statistics/electricity-chapter-5-digest-of-united-kingdom-energy-statistics-dukes" TargetMode="External"/><Relationship Id="rId211" Type="http://schemas.openxmlformats.org/officeDocument/2006/relationships/hyperlink" Target="https://www.services-rte.com/en/view-data-published-by-rte/production-installed-capacity.html" TargetMode="External"/><Relationship Id="rId1798" Type="http://schemas.openxmlformats.org/officeDocument/2006/relationships/hyperlink" Target="https://sede.minetur.gob.es/en-US/datosabiertos/catalogo/registro-productores-electrica" TargetMode="External"/><Relationship Id="rId2849" Type="http://schemas.openxmlformats.org/officeDocument/2006/relationships/hyperlink" Target="https://sede.minetur.gob.es/en-US/datosabiertos/catalogo/registro-productores-electrica" TargetMode="External"/><Relationship Id="rId1658" Type="http://schemas.openxmlformats.org/officeDocument/2006/relationships/hyperlink" Target="https://energiavirasto.fi/toimitusvarmuus" TargetMode="External"/><Relationship Id="rId1865" Type="http://schemas.openxmlformats.org/officeDocument/2006/relationships/hyperlink" Target="https://sede.minetur.gob.es/en-US/datosabiertos/catalogo/registro-productores-electrica" TargetMode="External"/><Relationship Id="rId2709" Type="http://schemas.openxmlformats.org/officeDocument/2006/relationships/hyperlink" Target="https://sede.minetur.gob.es/en-US/datosabiertos/catalogo/registro-productores-electrica" TargetMode="External"/><Relationship Id="rId4064" Type="http://schemas.openxmlformats.org/officeDocument/2006/relationships/hyperlink" Target="https://www.nve.no/energiforsyning/kraftproduksjon/vannkraft/vannkraftdatabase/" TargetMode="External"/><Relationship Id="rId4271" Type="http://schemas.openxmlformats.org/officeDocument/2006/relationships/hyperlink" Target="https://www.nve.no/energiforsyning/kraftproduksjon/vannkraft/vannkraftdatabase/" TargetMode="External"/><Relationship Id="rId1518" Type="http://schemas.openxmlformats.org/officeDocument/2006/relationships/hyperlink" Target="https://energiavirasto.fi/toimitusvarmuus" TargetMode="External"/><Relationship Id="rId2916" Type="http://schemas.openxmlformats.org/officeDocument/2006/relationships/hyperlink" Target="https://www.gov.uk/government/statistics/electricity-chapter-5-digest-of-united-kingdom-energy-statistics-dukes" TargetMode="External"/><Relationship Id="rId3080" Type="http://schemas.openxmlformats.org/officeDocument/2006/relationships/hyperlink" Target="https://www.gov.uk/government/statistics/electricity-chapter-5-digest-of-united-kingdom-energy-statistics-dukes" TargetMode="External"/><Relationship Id="rId4131" Type="http://schemas.openxmlformats.org/officeDocument/2006/relationships/hyperlink" Target="https://www.nve.no/energiforsyning/kraftproduksjon/vannkraft/vannkraftdatabase/" TargetMode="External"/><Relationship Id="rId1725" Type="http://schemas.openxmlformats.org/officeDocument/2006/relationships/hyperlink" Target="https://sede.minetur.gob.es/en-US/datosabiertos/catalogo/registro-productores-electrica" TargetMode="External"/><Relationship Id="rId1932" Type="http://schemas.openxmlformats.org/officeDocument/2006/relationships/hyperlink" Target="https://sede.minetur.gob.es/en-US/datosabiertos/catalogo/registro-productores-electrica" TargetMode="External"/><Relationship Id="rId17" Type="http://schemas.openxmlformats.org/officeDocument/2006/relationships/hyperlink" Target="https://www.elia.be/en/grid-data/power-generation/generating-facilities" TargetMode="External"/><Relationship Id="rId3897" Type="http://schemas.openxmlformats.org/officeDocument/2006/relationships/hyperlink" Target="https://www.nve.no/energiforsyning/kraftproduksjon/vannkraft/vannkraftdatabase/" TargetMode="External"/><Relationship Id="rId4948" Type="http://schemas.openxmlformats.org/officeDocument/2006/relationships/hyperlink" Target="https://www.verbund.com/de-at/ueber-verbund/kraftwerke/unsere-kraftwerke" TargetMode="External"/><Relationship Id="rId2499" Type="http://schemas.openxmlformats.org/officeDocument/2006/relationships/hyperlink" Target="https://sede.minetur.gob.es/en-US/datosabiertos/catalogo/registro-productores-electrica" TargetMode="External"/><Relationship Id="rId3757" Type="http://schemas.openxmlformats.org/officeDocument/2006/relationships/hyperlink" Target="https://www.nve.no/energiforsyning/kraftproduksjon/vannkraft/vannkraftdatabase/" TargetMode="External"/><Relationship Id="rId3964" Type="http://schemas.openxmlformats.org/officeDocument/2006/relationships/hyperlink" Target="https://www.nve.no/energiforsyning/kraftproduksjon/vannkraft/vannkraftdatabase/" TargetMode="External"/><Relationship Id="rId4808" Type="http://schemas.openxmlformats.org/officeDocument/2006/relationships/hyperlink" Target="https://www.seng.si/en/hydropower-plants/pumped-storage-hydropower-plant/" TargetMode="External"/><Relationship Id="rId1" Type="http://schemas.openxmlformats.org/officeDocument/2006/relationships/hyperlink" Target="https://www.elia.be/en/grid-data/power-generation/generating-facilities" TargetMode="External"/><Relationship Id="rId6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9" Type="http://schemas.openxmlformats.org/officeDocument/2006/relationships/hyperlink" Target="https://sede.minetur.gob.es/en-US/datosabiertos/catalogo/registro-productores-electrica" TargetMode="External"/><Relationship Id="rId2566" Type="http://schemas.openxmlformats.org/officeDocument/2006/relationships/hyperlink" Target="https://sede.minetur.gob.es/en-US/datosabiertos/catalogo/registro-productores-electrica" TargetMode="External"/><Relationship Id="rId2773" Type="http://schemas.openxmlformats.org/officeDocument/2006/relationships/hyperlink" Target="https://sede.minetur.gob.es/en-US/datosabiertos/catalogo/registro-productores-electrica" TargetMode="External"/><Relationship Id="rId2980" Type="http://schemas.openxmlformats.org/officeDocument/2006/relationships/hyperlink" Target="https://www.gov.uk/government/statistics/electricity-chapter-5-digest-of-united-kingdom-energy-statistics-dukes" TargetMode="External"/><Relationship Id="rId3617" Type="http://schemas.openxmlformats.org/officeDocument/2006/relationships/hyperlink" Target="https://www.nve.no/energiforsyning/kraftproduksjon/vannkraft/vannkraftdatabase/" TargetMode="External"/><Relationship Id="rId3824" Type="http://schemas.openxmlformats.org/officeDocument/2006/relationships/hyperlink" Target="https://www.nve.no/energiforsyning/kraftproduksjon/vannkraft/vannkraftdatabase/" TargetMode="External"/><Relationship Id="rId538" Type="http://schemas.openxmlformats.org/officeDocument/2006/relationships/hyperlink" Target="https://www.ceps.cz/cs/priprava-provozu" TargetMode="External"/><Relationship Id="rId7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5" Type="http://schemas.openxmlformats.org/officeDocument/2006/relationships/hyperlink" Target="http://www2018.terna.it/it-it/sistemaelettrico/transparencyreport/generation/installedgenerationcapacity.aspx" TargetMode="External"/><Relationship Id="rId1582" Type="http://schemas.openxmlformats.org/officeDocument/2006/relationships/hyperlink" Target="https://energiavirasto.fi/toimitusvarmuus" TargetMode="External"/><Relationship Id="rId2219" Type="http://schemas.openxmlformats.org/officeDocument/2006/relationships/hyperlink" Target="https://sede.minetur.gob.es/en-US/datosabiertos/catalogo/registro-productores-electrica" TargetMode="External"/><Relationship Id="rId2426" Type="http://schemas.openxmlformats.org/officeDocument/2006/relationships/hyperlink" Target="https://sede.minetur.gob.es/en-US/datosabiertos/catalogo/registro-productores-electrica" TargetMode="External"/><Relationship Id="rId2633" Type="http://schemas.openxmlformats.org/officeDocument/2006/relationships/hyperlink" Target="https://sede.minetur.gob.es/en-US/datosabiertos/catalogo/registro-productores-electrica" TargetMode="External"/><Relationship Id="rId81" Type="http://schemas.openxmlformats.org/officeDocument/2006/relationships/hyperlink" Target="https://www.elia.be/en/grid-data/power-generation/generating-facilities" TargetMode="External"/><Relationship Id="rId6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2" Type="http://schemas.openxmlformats.org/officeDocument/2006/relationships/hyperlink" Target="https://energiavirasto.fi/toimitusvarmuus" TargetMode="External"/><Relationship Id="rId2840" Type="http://schemas.openxmlformats.org/officeDocument/2006/relationships/hyperlink" Target="https://sede.minetur.gob.es/en-US/datosabiertos/catalogo/registro-productores-electrica" TargetMode="External"/><Relationship Id="rId4598" Type="http://schemas.openxmlformats.org/officeDocument/2006/relationships/hyperlink" Target="https://www.nve.no/energiforsyning/kraftproduksjon/vannkraft/vannkraftdatabase/" TargetMode="External"/><Relationship Id="rId1302" Type="http://schemas.openxmlformats.org/officeDocument/2006/relationships/hyperlink" Target="http://www2018.terna.it/it-it/sistemaelettrico/transparencyreport/generation/installedgenerationcapacity.aspx" TargetMode="External"/><Relationship Id="rId2700" Type="http://schemas.openxmlformats.org/officeDocument/2006/relationships/hyperlink" Target="https://sede.minetur.gob.es/en-US/datosabiertos/catalogo/registro-productores-electrica" TargetMode="External"/><Relationship Id="rId4458" Type="http://schemas.openxmlformats.org/officeDocument/2006/relationships/hyperlink" Target="https://www.nve.no/energiforsyning/kraftproduksjon/vannkraft/vannkraftdatabase/" TargetMode="External"/><Relationship Id="rId3267" Type="http://schemas.openxmlformats.org/officeDocument/2006/relationships/hyperlink" Target="https://www.nve.no/energiforsyning/kraftproduksjon/vannkraft/vannkraftdatabase/" TargetMode="External"/><Relationship Id="rId4665" Type="http://schemas.openxmlformats.org/officeDocument/2006/relationships/hyperlink" Target="https://www.nve.no/energiforsyning/kraftproduksjon/vannkraft/vannkraftdatabase/" TargetMode="External"/><Relationship Id="rId4872" Type="http://schemas.openxmlformats.org/officeDocument/2006/relationships/hyperlink" Target="https://www.seng.si/en/hydropower-plants/large-hydropower-plants/" TargetMode="External"/><Relationship Id="rId188" Type="http://schemas.openxmlformats.org/officeDocument/2006/relationships/hyperlink" Target="https://www.services-rte.com/en/view-data-published-by-rte/production-installed-capacity.html" TargetMode="External"/><Relationship Id="rId395" Type="http://schemas.openxmlformats.org/officeDocument/2006/relationships/hyperlink" Target="http://gpi.tge.pl/en/wykaz-jednostek" TargetMode="External"/><Relationship Id="rId2076" Type="http://schemas.openxmlformats.org/officeDocument/2006/relationships/hyperlink" Target="https://sede.minetur.gob.es/en-US/datosabiertos/catalogo/registro-productores-electrica" TargetMode="External"/><Relationship Id="rId3474" Type="http://schemas.openxmlformats.org/officeDocument/2006/relationships/hyperlink" Target="https://www.nve.no/energiforsyning/kraftproduksjon/vannkraft/vannkraftdatabase/" TargetMode="External"/><Relationship Id="rId3681" Type="http://schemas.openxmlformats.org/officeDocument/2006/relationships/hyperlink" Target="https://www.nve.no/energiforsyning/kraftproduksjon/vannkraft/vannkraftdatabase/" TargetMode="External"/><Relationship Id="rId4318" Type="http://schemas.openxmlformats.org/officeDocument/2006/relationships/hyperlink" Target="https://www.nve.no/energiforsyning/kraftproduksjon/vannkraft/vannkraftdatabase/" TargetMode="External"/><Relationship Id="rId4525" Type="http://schemas.openxmlformats.org/officeDocument/2006/relationships/hyperlink" Target="https://www.nve.no/energiforsyning/kraftproduksjon/vannkraft/vannkraftdatabase/" TargetMode="External"/><Relationship Id="rId4732" Type="http://schemas.openxmlformats.org/officeDocument/2006/relationships/hyperlink" Target="https://www.nve.no/energiforsyning/kraftproduksjon/vannkraft/vannkraftdatabase/" TargetMode="External"/><Relationship Id="rId2283" Type="http://schemas.openxmlformats.org/officeDocument/2006/relationships/hyperlink" Target="https://sede.minetur.gob.es/en-US/datosabiertos/catalogo/registro-productores-electrica" TargetMode="External"/><Relationship Id="rId2490" Type="http://schemas.openxmlformats.org/officeDocument/2006/relationships/hyperlink" Target="https://sede.minetur.gob.es/en-US/datosabiertos/catalogo/registro-productores-electrica" TargetMode="External"/><Relationship Id="rId3127" Type="http://schemas.openxmlformats.org/officeDocument/2006/relationships/hyperlink" Target="https://www.nve.no/energiforsyning/kraftproduksjon/vannkraft/vannkraftdatabase/" TargetMode="External"/><Relationship Id="rId3334" Type="http://schemas.openxmlformats.org/officeDocument/2006/relationships/hyperlink" Target="https://www.nve.no/energiforsyning/kraftproduksjon/vannkraft/vannkraftdatabase/" TargetMode="External"/><Relationship Id="rId3541" Type="http://schemas.openxmlformats.org/officeDocument/2006/relationships/hyperlink" Target="https://www.nve.no/energiforsyning/kraftproduksjon/vannkraft/vannkraftdatabase/" TargetMode="External"/><Relationship Id="rId255" Type="http://schemas.openxmlformats.org/officeDocument/2006/relationships/hyperlink" Target="https://www.services-rte.com/en/view-data-published-by-rte/production-installed-capacity.html" TargetMode="External"/><Relationship Id="rId462" Type="http://schemas.openxmlformats.org/officeDocument/2006/relationships/hyperlink" Target="https://www.ceps.cz/cs/priprava-provozu" TargetMode="External"/><Relationship Id="rId10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3" Type="http://schemas.openxmlformats.org/officeDocument/2006/relationships/hyperlink" Target="https://sede.minetur.gob.es/en-US/datosabiertos/catalogo/registro-productores-electrica" TargetMode="External"/><Relationship Id="rId2350" Type="http://schemas.openxmlformats.org/officeDocument/2006/relationships/hyperlink" Target="https://sede.minetur.gob.es/en-US/datosabiertos/catalogo/registro-productores-electrica" TargetMode="External"/><Relationship Id="rId3401" Type="http://schemas.openxmlformats.org/officeDocument/2006/relationships/hyperlink" Target="https://www.nve.no/energiforsyning/kraftproduksjon/vannkraft/vannkraftdatabase/" TargetMode="External"/><Relationship Id="rId115" Type="http://schemas.openxmlformats.org/officeDocument/2006/relationships/hyperlink" Target="https://www.tennet.org/english/operational_management/export_data.aspx" TargetMode="External"/><Relationship Id="rId322" Type="http://schemas.openxmlformats.org/officeDocument/2006/relationships/hyperlink" Target="http://gpi.tge.pl/en/wykaz-jednostek" TargetMode="External"/><Relationship Id="rId2003" Type="http://schemas.openxmlformats.org/officeDocument/2006/relationships/hyperlink" Target="https://sede.minetur.gob.es/en-US/datosabiertos/catalogo/registro-productores-electrica" TargetMode="External"/><Relationship Id="rId2210" Type="http://schemas.openxmlformats.org/officeDocument/2006/relationships/hyperlink" Target="https://sede.minetur.gob.es/en-US/datosabiertos/catalogo/registro-productores-electrica" TargetMode="External"/><Relationship Id="rId4175" Type="http://schemas.openxmlformats.org/officeDocument/2006/relationships/hyperlink" Target="https://www.nve.no/energiforsyning/kraftproduksjon/vannkraft/vannkraftdatabase/" TargetMode="External"/><Relationship Id="rId4382" Type="http://schemas.openxmlformats.org/officeDocument/2006/relationships/hyperlink" Target="https://www.nve.no/energiforsyning/kraftproduksjon/vannkraft/vannkraftdatabase/" TargetMode="External"/><Relationship Id="rId5019" Type="http://schemas.openxmlformats.org/officeDocument/2006/relationships/hyperlink" Target="https://www.salzburg-ag.at/herkunft/unsere-kraftwerke/heizkraftwerk-salzburg-nord-2611/" TargetMode="External"/><Relationship Id="rId1769" Type="http://schemas.openxmlformats.org/officeDocument/2006/relationships/hyperlink" Target="https://sede.minetur.gob.es/en-US/datosabiertos/catalogo/registro-productores-electrica" TargetMode="External"/><Relationship Id="rId1976" Type="http://schemas.openxmlformats.org/officeDocument/2006/relationships/hyperlink" Target="https://sede.minetur.gob.es/en-US/datosabiertos/catalogo/registro-productores-electrica" TargetMode="External"/><Relationship Id="rId3191" Type="http://schemas.openxmlformats.org/officeDocument/2006/relationships/hyperlink" Target="https://www.nve.no/energiforsyning/kraftproduksjon/vannkraft/vannkraftdatabase/" TargetMode="External"/><Relationship Id="rId4035" Type="http://schemas.openxmlformats.org/officeDocument/2006/relationships/hyperlink" Target="https://www.nve.no/energiforsyning/kraftproduksjon/vannkraft/vannkraftdatabase/" TargetMode="External"/><Relationship Id="rId4242" Type="http://schemas.openxmlformats.org/officeDocument/2006/relationships/hyperlink" Target="https://www.nve.no/energiforsyning/kraftproduksjon/vannkraft/vannkraftdatabase/" TargetMode="External"/><Relationship Id="rId1629" Type="http://schemas.openxmlformats.org/officeDocument/2006/relationships/hyperlink" Target="https://energiavirasto.fi/toimitusvarmuus" TargetMode="External"/><Relationship Id="rId1836" Type="http://schemas.openxmlformats.org/officeDocument/2006/relationships/hyperlink" Target="https://sede.minetur.gob.es/en-US/datosabiertos/catalogo/registro-productores-electrica" TargetMode="External"/><Relationship Id="rId1903" Type="http://schemas.openxmlformats.org/officeDocument/2006/relationships/hyperlink" Target="https://sede.minetur.gob.es/en-US/datosabiertos/catalogo/registro-productores-electrica" TargetMode="External"/><Relationship Id="rId3051" Type="http://schemas.openxmlformats.org/officeDocument/2006/relationships/hyperlink" Target="https://www.gov.uk/government/statistics/electricity-chapter-5-digest-of-united-kingdom-energy-statistics-dukes" TargetMode="External"/><Relationship Id="rId4102" Type="http://schemas.openxmlformats.org/officeDocument/2006/relationships/hyperlink" Target="https://www.nve.no/energiforsyning/kraftproduksjon/vannkraft/vannkraftdatabase/" TargetMode="External"/><Relationship Id="rId3868" Type="http://schemas.openxmlformats.org/officeDocument/2006/relationships/hyperlink" Target="https://www.nve.no/energiforsyning/kraftproduksjon/vannkraft/vannkraftdatabase/" TargetMode="External"/><Relationship Id="rId4919" Type="http://schemas.openxmlformats.org/officeDocument/2006/relationships/hyperlink" Target="https://www.verbund.com/de-at/ueber-verbund/kraftwerke/unsere-kraftwerke" TargetMode="External"/><Relationship Id="rId7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7" Type="http://schemas.openxmlformats.org/officeDocument/2006/relationships/hyperlink" Target="https://sede.minetur.gob.es/en-US/datosabiertos/catalogo/registro-productores-electrica" TargetMode="External"/><Relationship Id="rId2884" Type="http://schemas.openxmlformats.org/officeDocument/2006/relationships/hyperlink" Target="https://www.gov.uk/government/statistics/electricity-chapter-5-digest-of-united-kingdom-energy-statistics-dukes" TargetMode="External"/><Relationship Id="rId3728" Type="http://schemas.openxmlformats.org/officeDocument/2006/relationships/hyperlink" Target="https://www.nve.no/energiforsyning/kraftproduksjon/vannkraft/vannkraftdatabase/" TargetMode="External"/><Relationship Id="rId6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9" Type="http://schemas.openxmlformats.org/officeDocument/2006/relationships/hyperlink" Target="http://www2018.terna.it/it-it/sistemaelettrico/transparencyreport/generation/installedgenerationcapacity.aspx" TargetMode="External"/><Relationship Id="rId1486" Type="http://schemas.openxmlformats.org/officeDocument/2006/relationships/hyperlink" Target="https://energiavirasto.fi/toimitusvarmuus" TargetMode="External"/><Relationship Id="rId2537" Type="http://schemas.openxmlformats.org/officeDocument/2006/relationships/hyperlink" Target="https://sede.minetur.gob.es/en-US/datosabiertos/catalogo/registro-productores-electrica" TargetMode="External"/><Relationship Id="rId3935" Type="http://schemas.openxmlformats.org/officeDocument/2006/relationships/hyperlink" Target="https://www.nve.no/energiforsyning/kraftproduksjon/vannkraft/vannkraftdatabase/" TargetMode="External"/><Relationship Id="rId509" Type="http://schemas.openxmlformats.org/officeDocument/2006/relationships/hyperlink" Target="https://www.ceps.cz/cs/priprava-provozu" TargetMode="External"/><Relationship Id="rId11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6" Type="http://schemas.openxmlformats.org/officeDocument/2006/relationships/hyperlink" Target="http://www2018.terna.it/it-it/sistemaelettrico/transparencyreport/generation/installedgenerationcapacity.aspx" TargetMode="External"/><Relationship Id="rId1693" Type="http://schemas.openxmlformats.org/officeDocument/2006/relationships/hyperlink" Target="https://energiavirasto.fi/toimitusvarmuus" TargetMode="External"/><Relationship Id="rId2744" Type="http://schemas.openxmlformats.org/officeDocument/2006/relationships/hyperlink" Target="https://sede.minetur.gob.es/en-US/datosabiertos/catalogo/registro-productores-electrica" TargetMode="External"/><Relationship Id="rId2951" Type="http://schemas.openxmlformats.org/officeDocument/2006/relationships/hyperlink" Target="https://www.gov.uk/government/statistics/electricity-chapter-5-digest-of-united-kingdom-energy-statistics-dukes" TargetMode="External"/><Relationship Id="rId5010" Type="http://schemas.openxmlformats.org/officeDocument/2006/relationships/hyperlink" Target="https://umwelterklaerung.wienenergie.at/downloads/WienEnergie_Umwelterkl%C3%A4rung_2019_screen.pdf" TargetMode="External"/><Relationship Id="rId7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3" Type="http://schemas.openxmlformats.org/officeDocument/2006/relationships/hyperlink" Target="https://energiavirasto.fi/toimitusvarmuus" TargetMode="External"/><Relationship Id="rId1760" Type="http://schemas.openxmlformats.org/officeDocument/2006/relationships/hyperlink" Target="https://sede.minetur.gob.es/en-US/datosabiertos/catalogo/registro-productores-electrica" TargetMode="External"/><Relationship Id="rId2604" Type="http://schemas.openxmlformats.org/officeDocument/2006/relationships/hyperlink" Target="https://sede.minetur.gob.es/en-US/datosabiertos/catalogo/registro-productores-electrica" TargetMode="External"/><Relationship Id="rId2811" Type="http://schemas.openxmlformats.org/officeDocument/2006/relationships/hyperlink" Target="https://sede.minetur.gob.es/en-US/datosabiertos/catalogo/registro-productores-electrica" TargetMode="External"/><Relationship Id="rId52" Type="http://schemas.openxmlformats.org/officeDocument/2006/relationships/hyperlink" Target="https://www.elia.be/en/grid-data/power-generation/generating-facilities" TargetMode="External"/><Relationship Id="rId12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3" Type="http://schemas.openxmlformats.org/officeDocument/2006/relationships/hyperlink" Target="https://energiavirasto.fi/toimitusvarmuus" TargetMode="External"/><Relationship Id="rId1620" Type="http://schemas.openxmlformats.org/officeDocument/2006/relationships/hyperlink" Target="https://energiavirasto.fi/toimitusvarmuus" TargetMode="External"/><Relationship Id="rId4569" Type="http://schemas.openxmlformats.org/officeDocument/2006/relationships/hyperlink" Target="https://www.nve.no/energiforsyning/kraftproduksjon/vannkraft/vannkraftdatabase/" TargetMode="External"/><Relationship Id="rId4776" Type="http://schemas.openxmlformats.org/officeDocument/2006/relationships/hyperlink" Target="https://www.nve.no/energiforsyning/kraftproduksjon/vannkraft/vannkraftdatabase/" TargetMode="External"/><Relationship Id="rId4983" Type="http://schemas.openxmlformats.org/officeDocument/2006/relationships/hyperlink" Target="https://www.verbund.com/de-at/ueber-verbund/kraftwerke/unsere-kraftwerke" TargetMode="External"/><Relationship Id="rId3378" Type="http://schemas.openxmlformats.org/officeDocument/2006/relationships/hyperlink" Target="https://www.nve.no/energiforsyning/kraftproduksjon/vannkraft/vannkraftdatabase/" TargetMode="External"/><Relationship Id="rId3585" Type="http://schemas.openxmlformats.org/officeDocument/2006/relationships/hyperlink" Target="https://www.nve.no/energiforsyning/kraftproduksjon/vannkraft/vannkraftdatabase/" TargetMode="External"/><Relationship Id="rId3792" Type="http://schemas.openxmlformats.org/officeDocument/2006/relationships/hyperlink" Target="https://www.nve.no/energiforsyning/kraftproduksjon/vannkraft/vannkraftdatabase/" TargetMode="External"/><Relationship Id="rId4429" Type="http://schemas.openxmlformats.org/officeDocument/2006/relationships/hyperlink" Target="https://www.nve.no/energiforsyning/kraftproduksjon/vannkraft/vannkraftdatabase/" TargetMode="External"/><Relationship Id="rId4636" Type="http://schemas.openxmlformats.org/officeDocument/2006/relationships/hyperlink" Target="https://www.nve.no/energiforsyning/kraftproduksjon/vannkraft/vannkraftdatabase/" TargetMode="External"/><Relationship Id="rId4843" Type="http://schemas.openxmlformats.org/officeDocument/2006/relationships/hyperlink" Target="https://www.nek.si/en/about-nuclear-technology/technical-data" TargetMode="External"/><Relationship Id="rId299" Type="http://schemas.openxmlformats.org/officeDocument/2006/relationships/hyperlink" Target="https://www.services-rte.com/en/view-data-published-by-rte/production-installed-capacity.html" TargetMode="External"/><Relationship Id="rId2187" Type="http://schemas.openxmlformats.org/officeDocument/2006/relationships/hyperlink" Target="https://sede.minetur.gob.es/en-US/datosabiertos/catalogo/registro-productores-electrica" TargetMode="External"/><Relationship Id="rId2394" Type="http://schemas.openxmlformats.org/officeDocument/2006/relationships/hyperlink" Target="https://sede.minetur.gob.es/en-US/datosabiertos/catalogo/registro-productores-electrica" TargetMode="External"/><Relationship Id="rId3238" Type="http://schemas.openxmlformats.org/officeDocument/2006/relationships/hyperlink" Target="https://www.nve.no/energiforsyning/kraftproduksjon/vannkraft/vannkraftdatabase/" TargetMode="External"/><Relationship Id="rId3445" Type="http://schemas.openxmlformats.org/officeDocument/2006/relationships/hyperlink" Target="https://www.nve.no/energiforsyning/kraftproduksjon/vannkraft/vannkraftdatabase/" TargetMode="External"/><Relationship Id="rId3652" Type="http://schemas.openxmlformats.org/officeDocument/2006/relationships/hyperlink" Target="https://www.nve.no/energiforsyning/kraftproduksjon/vannkraft/vannkraftdatabase/" TargetMode="External"/><Relationship Id="rId4703" Type="http://schemas.openxmlformats.org/officeDocument/2006/relationships/hyperlink" Target="https://www.nve.no/energiforsyning/kraftproduksjon/vannkraft/vannkraftdatabase/" TargetMode="External"/><Relationship Id="rId159" Type="http://schemas.openxmlformats.org/officeDocument/2006/relationships/hyperlink" Target="https://www.tennet.org/english/operational_management/export_data.aspx" TargetMode="External"/><Relationship Id="rId366" Type="http://schemas.openxmlformats.org/officeDocument/2006/relationships/hyperlink" Target="http://gpi.tge.pl/en/wykaz-jednostek" TargetMode="External"/><Relationship Id="rId5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47" Type="http://schemas.openxmlformats.org/officeDocument/2006/relationships/hyperlink" Target="https://sede.minetur.gob.es/en-US/datosabiertos/catalogo/registro-productores-electrica" TargetMode="External"/><Relationship Id="rId2254" Type="http://schemas.openxmlformats.org/officeDocument/2006/relationships/hyperlink" Target="https://sede.minetur.gob.es/en-US/datosabiertos/catalogo/registro-productores-electrica" TargetMode="External"/><Relationship Id="rId2461" Type="http://schemas.openxmlformats.org/officeDocument/2006/relationships/hyperlink" Target="https://sede.minetur.gob.es/en-US/datosabiertos/catalogo/registro-productores-electrica" TargetMode="External"/><Relationship Id="rId3305" Type="http://schemas.openxmlformats.org/officeDocument/2006/relationships/hyperlink" Target="https://www.nve.no/energiforsyning/kraftproduksjon/vannkraft/vannkraftdatabase/" TargetMode="External"/><Relationship Id="rId3512" Type="http://schemas.openxmlformats.org/officeDocument/2006/relationships/hyperlink" Target="https://www.nve.no/energiforsyning/kraftproduksjon/vannkraft/vannkraftdatabase/" TargetMode="External"/><Relationship Id="rId4910" Type="http://schemas.openxmlformats.org/officeDocument/2006/relationships/hyperlink" Target="https://www.verbund.com/de-at/ueber-verbund/kraftwerke/unsere-kraftwerke" TargetMode="External"/><Relationship Id="rId226" Type="http://schemas.openxmlformats.org/officeDocument/2006/relationships/hyperlink" Target="https://www.services-rte.com/en/view-data-published-by-rte/production-installed-capacity.html" TargetMode="External"/><Relationship Id="rId433" Type="http://schemas.openxmlformats.org/officeDocument/2006/relationships/hyperlink" Target="https://www.ceps.cz/cs/priprava-provozu" TargetMode="External"/><Relationship Id="rId10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0" Type="http://schemas.openxmlformats.org/officeDocument/2006/relationships/hyperlink" Target="http://www2018.terna.it/it-it/sistemaelettrico/transparencyreport/generation/installedgenerationcapacity.aspx" TargetMode="External"/><Relationship Id="rId2114" Type="http://schemas.openxmlformats.org/officeDocument/2006/relationships/hyperlink" Target="https://sede.minetur.gob.es/en-US/datosabiertos/catalogo/registro-productores-electrica" TargetMode="External"/><Relationship Id="rId6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21" Type="http://schemas.openxmlformats.org/officeDocument/2006/relationships/hyperlink" Target="https://sede.minetur.gob.es/en-US/datosabiertos/catalogo/registro-productores-electrica" TargetMode="External"/><Relationship Id="rId4079" Type="http://schemas.openxmlformats.org/officeDocument/2006/relationships/hyperlink" Target="https://www.nve.no/energiforsyning/kraftproduksjon/vannkraft/vannkraftdatabase/" TargetMode="External"/><Relationship Id="rId4286" Type="http://schemas.openxmlformats.org/officeDocument/2006/relationships/hyperlink" Target="https://www.nve.no/energiforsyning/kraftproduksjon/vannkraft/vannkraftdatabase/" TargetMode="External"/><Relationship Id="rId500" Type="http://schemas.openxmlformats.org/officeDocument/2006/relationships/hyperlink" Target="https://www.ceps.cz/cs/priprava-provozu" TargetMode="External"/><Relationship Id="rId11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493" Type="http://schemas.openxmlformats.org/officeDocument/2006/relationships/hyperlink" Target="https://www.nve.no/energiforsyning/kraftproduksjon/vannkraft/vannkraftdatabase/" TargetMode="External"/><Relationship Id="rId1947" Type="http://schemas.openxmlformats.org/officeDocument/2006/relationships/hyperlink" Target="https://sede.minetur.gob.es/en-US/datosabiertos/catalogo/registro-productores-electrica" TargetMode="External"/><Relationship Id="rId3095" Type="http://schemas.openxmlformats.org/officeDocument/2006/relationships/hyperlink" Target="https://www.gov.uk/government/statistics/electricity-chapter-5-digest-of-united-kingdom-energy-statistics-dukes" TargetMode="External"/><Relationship Id="rId4146" Type="http://schemas.openxmlformats.org/officeDocument/2006/relationships/hyperlink" Target="https://www.nve.no/energiforsyning/kraftproduksjon/vannkraft/vannkraftdatabase/" TargetMode="External"/><Relationship Id="rId4353" Type="http://schemas.openxmlformats.org/officeDocument/2006/relationships/hyperlink" Target="https://www.nve.no/energiforsyning/kraftproduksjon/vannkraft/vannkraftdatabase/" TargetMode="External"/><Relationship Id="rId4560" Type="http://schemas.openxmlformats.org/officeDocument/2006/relationships/hyperlink" Target="https://www.nve.no/energiforsyning/kraftproduksjon/vannkraft/vannkraftdatabase/" TargetMode="External"/><Relationship Id="rId1807" Type="http://schemas.openxmlformats.org/officeDocument/2006/relationships/hyperlink" Target="https://sede.minetur.gob.es/en-US/datosabiertos/catalogo/registro-productores-electrica" TargetMode="External"/><Relationship Id="rId3162" Type="http://schemas.openxmlformats.org/officeDocument/2006/relationships/hyperlink" Target="https://www.nve.no/energiforsyning/kraftproduksjon/vannkraft/vannkraftdatabase/" TargetMode="External"/><Relationship Id="rId4006" Type="http://schemas.openxmlformats.org/officeDocument/2006/relationships/hyperlink" Target="https://www.nve.no/energiforsyning/kraftproduksjon/vannkraft/vannkraftdatabase/" TargetMode="External"/><Relationship Id="rId4213" Type="http://schemas.openxmlformats.org/officeDocument/2006/relationships/hyperlink" Target="https://www.nve.no/energiforsyning/kraftproduksjon/vannkraft/vannkraftdatabase/" TargetMode="External"/><Relationship Id="rId4420" Type="http://schemas.openxmlformats.org/officeDocument/2006/relationships/hyperlink" Target="https://www.nve.no/energiforsyning/kraftproduksjon/vannkraft/vannkraftdatabase/" TargetMode="External"/><Relationship Id="rId290" Type="http://schemas.openxmlformats.org/officeDocument/2006/relationships/hyperlink" Target="https://www.services-rte.com/en/view-data-published-by-rte/production-installed-capacity.html" TargetMode="External"/><Relationship Id="rId3022" Type="http://schemas.openxmlformats.org/officeDocument/2006/relationships/hyperlink" Target="https://www.gov.uk/government/statistics/electricity-chapter-5-digest-of-united-kingdom-energy-statistics-dukes" TargetMode="External"/><Relationship Id="rId150" Type="http://schemas.openxmlformats.org/officeDocument/2006/relationships/hyperlink" Target="https://www.tennet.org/english/operational_management/export_data.aspx" TargetMode="External"/><Relationship Id="rId3979" Type="http://schemas.openxmlformats.org/officeDocument/2006/relationships/hyperlink" Target="https://www.nve.no/energiforsyning/kraftproduksjon/vannkraft/vannkraftdatabase/" TargetMode="External"/><Relationship Id="rId2788" Type="http://schemas.openxmlformats.org/officeDocument/2006/relationships/hyperlink" Target="https://sede.minetur.gob.es/en-US/datosabiertos/catalogo/registro-productores-electrica" TargetMode="External"/><Relationship Id="rId2995" Type="http://schemas.openxmlformats.org/officeDocument/2006/relationships/hyperlink" Target="https://www.gov.uk/government/statistics/electricity-chapter-5-digest-of-united-kingdom-energy-statistics-dukes" TargetMode="External"/><Relationship Id="rId3839" Type="http://schemas.openxmlformats.org/officeDocument/2006/relationships/hyperlink" Target="https://www.nve.no/energiforsyning/kraftproduksjon/vannkraft/vannkraftdatabase/" TargetMode="External"/><Relationship Id="rId9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7" Type="http://schemas.openxmlformats.org/officeDocument/2006/relationships/hyperlink" Target="https://energiavirasto.fi/toimitusvarmuus" TargetMode="External"/><Relationship Id="rId2648" Type="http://schemas.openxmlformats.org/officeDocument/2006/relationships/hyperlink" Target="https://sede.minetur.gob.es/en-US/datosabiertos/catalogo/registro-productores-electrica" TargetMode="External"/><Relationship Id="rId2855" Type="http://schemas.openxmlformats.org/officeDocument/2006/relationships/hyperlink" Target="https://www.gov.uk/government/statistics/electricity-chapter-5-digest-of-united-kingdom-energy-statistics-dukes" TargetMode="External"/><Relationship Id="rId3906" Type="http://schemas.openxmlformats.org/officeDocument/2006/relationships/hyperlink" Target="https://www.nve.no/energiforsyning/kraftproduksjon/vannkraft/vannkraftdatabase/" TargetMode="External"/><Relationship Id="rId96" Type="http://schemas.openxmlformats.org/officeDocument/2006/relationships/hyperlink" Target="https://www.tennet.org/english/operational_management/export_data.aspx" TargetMode="External"/><Relationship Id="rId8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7" Type="http://schemas.openxmlformats.org/officeDocument/2006/relationships/hyperlink" Target="https://energiavirasto.fi/toimitusvarmuus" TargetMode="External"/><Relationship Id="rId1664" Type="http://schemas.openxmlformats.org/officeDocument/2006/relationships/hyperlink" Target="https://energiavirasto.fi/toimitusvarmuus" TargetMode="External"/><Relationship Id="rId1871" Type="http://schemas.openxmlformats.org/officeDocument/2006/relationships/hyperlink" Target="https://sede.minetur.gob.es/en-US/datosabiertos/catalogo/registro-productores-electrica" TargetMode="External"/><Relationship Id="rId2508" Type="http://schemas.openxmlformats.org/officeDocument/2006/relationships/hyperlink" Target="https://sede.minetur.gob.es/en-US/datosabiertos/catalogo/registro-productores-electrica" TargetMode="External"/><Relationship Id="rId2715" Type="http://schemas.openxmlformats.org/officeDocument/2006/relationships/hyperlink" Target="https://sede.minetur.gob.es/en-US/datosabiertos/catalogo/registro-productores-electrica" TargetMode="External"/><Relationship Id="rId2922" Type="http://schemas.openxmlformats.org/officeDocument/2006/relationships/hyperlink" Target="https://www.gov.uk/government/statistics/electricity-chapter-5-digest-of-united-kingdom-energy-statistics-dukes" TargetMode="External"/><Relationship Id="rId4070" Type="http://schemas.openxmlformats.org/officeDocument/2006/relationships/hyperlink" Target="https://www.nve.no/energiforsyning/kraftproduksjon/vannkraft/vannkraftdatabase/" TargetMode="External"/><Relationship Id="rId1317" Type="http://schemas.openxmlformats.org/officeDocument/2006/relationships/hyperlink" Target="http://www2018.terna.it/it-it/sistemaelettrico/transparencyreport/generation/installedgenerationcapacity.aspx" TargetMode="External"/><Relationship Id="rId1524" Type="http://schemas.openxmlformats.org/officeDocument/2006/relationships/hyperlink" Target="https://energiavirasto.fi/toimitusvarmuus" TargetMode="External"/><Relationship Id="rId1731" Type="http://schemas.openxmlformats.org/officeDocument/2006/relationships/hyperlink" Target="https://sede.minetur.gob.es/en-US/datosabiertos/catalogo/registro-productores-electrica" TargetMode="External"/><Relationship Id="rId4887" Type="http://schemas.openxmlformats.org/officeDocument/2006/relationships/hyperlink" Target="https://www.seng.si/en/hydropower-plants/small-hydropower-plants/" TargetMode="External"/><Relationship Id="rId23" Type="http://schemas.openxmlformats.org/officeDocument/2006/relationships/hyperlink" Target="https://www.elia.be/en/grid-data/power-generation/generating-facilities" TargetMode="External"/><Relationship Id="rId3489" Type="http://schemas.openxmlformats.org/officeDocument/2006/relationships/hyperlink" Target="https://www.nve.no/energiforsyning/kraftproduksjon/vannkraft/vannkraftdatabase/" TargetMode="External"/><Relationship Id="rId3696" Type="http://schemas.openxmlformats.org/officeDocument/2006/relationships/hyperlink" Target="https://www.nve.no/energiforsyning/kraftproduksjon/vannkraft/vannkraftdatabase/" TargetMode="External"/><Relationship Id="rId4747" Type="http://schemas.openxmlformats.org/officeDocument/2006/relationships/hyperlink" Target="https://www.nve.no/energiforsyning/kraftproduksjon/vannkraft/vannkraftdatabase/" TargetMode="External"/><Relationship Id="rId2298" Type="http://schemas.openxmlformats.org/officeDocument/2006/relationships/hyperlink" Target="https://sede.minetur.gob.es/en-US/datosabiertos/catalogo/registro-productores-electrica" TargetMode="External"/><Relationship Id="rId3349" Type="http://schemas.openxmlformats.org/officeDocument/2006/relationships/hyperlink" Target="https://www.nve.no/energiforsyning/kraftproduksjon/vannkraft/vannkraftdatabase/" TargetMode="External"/><Relationship Id="rId3556" Type="http://schemas.openxmlformats.org/officeDocument/2006/relationships/hyperlink" Target="https://www.nve.no/energiforsyning/kraftproduksjon/vannkraft/vannkraftdatabase/" TargetMode="External"/><Relationship Id="rId4954" Type="http://schemas.openxmlformats.org/officeDocument/2006/relationships/hyperlink" Target="https://www.verbund.com/de-at/ueber-verbund/kraftwerke/unsere-kraftwerke" TargetMode="External"/><Relationship Id="rId477" Type="http://schemas.openxmlformats.org/officeDocument/2006/relationships/hyperlink" Target="https://www.ceps.cz/cs/priprava-provozu" TargetMode="External"/><Relationship Id="rId6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8" Type="http://schemas.openxmlformats.org/officeDocument/2006/relationships/hyperlink" Target="https://sede.minetur.gob.es/en-US/datosabiertos/catalogo/registro-productores-electrica" TargetMode="External"/><Relationship Id="rId2365" Type="http://schemas.openxmlformats.org/officeDocument/2006/relationships/hyperlink" Target="https://sede.minetur.gob.es/en-US/datosabiertos/catalogo/registro-productores-electrica" TargetMode="External"/><Relationship Id="rId3209" Type="http://schemas.openxmlformats.org/officeDocument/2006/relationships/hyperlink" Target="https://www.nve.no/energiforsyning/kraftproduksjon/vannkraft/vannkraftdatabase/" TargetMode="External"/><Relationship Id="rId3763" Type="http://schemas.openxmlformats.org/officeDocument/2006/relationships/hyperlink" Target="https://www.nve.no/energiforsyning/kraftproduksjon/vannkraft/vannkraftdatabase/" TargetMode="External"/><Relationship Id="rId3970" Type="http://schemas.openxmlformats.org/officeDocument/2006/relationships/hyperlink" Target="https://www.nve.no/energiforsyning/kraftproduksjon/vannkraft/vannkraftdatabase/" TargetMode="External"/><Relationship Id="rId4607" Type="http://schemas.openxmlformats.org/officeDocument/2006/relationships/hyperlink" Target="https://www.nve.no/energiforsyning/kraftproduksjon/vannkraft/vannkraftdatabase/" TargetMode="External"/><Relationship Id="rId4814" Type="http://schemas.openxmlformats.org/officeDocument/2006/relationships/hyperlink" Target="http://www.teb.si/en/production-units" TargetMode="External"/><Relationship Id="rId337" Type="http://schemas.openxmlformats.org/officeDocument/2006/relationships/hyperlink" Target="http://gpi.tge.pl/en/wykaz-jednostek" TargetMode="External"/><Relationship Id="rId8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18" Type="http://schemas.openxmlformats.org/officeDocument/2006/relationships/hyperlink" Target="https://sede.minetur.gob.es/en-US/datosabiertos/catalogo/registro-productores-electrica" TargetMode="External"/><Relationship Id="rId2572" Type="http://schemas.openxmlformats.org/officeDocument/2006/relationships/hyperlink" Target="https://sede.minetur.gob.es/en-US/datosabiertos/catalogo/registro-productores-electrica" TargetMode="External"/><Relationship Id="rId3416" Type="http://schemas.openxmlformats.org/officeDocument/2006/relationships/hyperlink" Target="https://www.nve.no/energiforsyning/kraftproduksjon/vannkraft/vannkraftdatabase/" TargetMode="External"/><Relationship Id="rId3623" Type="http://schemas.openxmlformats.org/officeDocument/2006/relationships/hyperlink" Target="https://www.nve.no/energiforsyning/kraftproduksjon/vannkraft/vannkraftdatabase/" TargetMode="External"/><Relationship Id="rId3830" Type="http://schemas.openxmlformats.org/officeDocument/2006/relationships/hyperlink" Target="https://www.nve.no/energiforsyning/kraftproduksjon/vannkraft/vannkraftdatabase/" TargetMode="External"/><Relationship Id="rId544" Type="http://schemas.openxmlformats.org/officeDocument/2006/relationships/hyperlink" Target="https://www.ceps.cz/cs/priprava-provozu" TargetMode="External"/><Relationship Id="rId7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1" Type="http://schemas.openxmlformats.org/officeDocument/2006/relationships/hyperlink" Target="http://www2018.terna.it/it-it/sistemaelettrico/transparencyreport/generation/installedgenerationcapacity.aspx" TargetMode="External"/><Relationship Id="rId2225" Type="http://schemas.openxmlformats.org/officeDocument/2006/relationships/hyperlink" Target="https://sede.minetur.gob.es/en-US/datosabiertos/catalogo/registro-productores-electrica" TargetMode="External"/><Relationship Id="rId2432" Type="http://schemas.openxmlformats.org/officeDocument/2006/relationships/hyperlink" Target="https://sede.minetur.gob.es/en-US/datosabiertos/catalogo/registro-productores-electrica" TargetMode="External"/><Relationship Id="rId404" Type="http://schemas.openxmlformats.org/officeDocument/2006/relationships/hyperlink" Target="http://gpi.tge.pl/en/wykaz-jednostek" TargetMode="External"/><Relationship Id="rId6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97" Type="http://schemas.openxmlformats.org/officeDocument/2006/relationships/hyperlink" Target="https://www.nve.no/energiforsyning/kraftproduksjon/vannkraft/vannkraftdatabase/" TargetMode="External"/><Relationship Id="rId11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57" Type="http://schemas.openxmlformats.org/officeDocument/2006/relationships/hyperlink" Target="https://www.nve.no/energiforsyning/kraftproduksjon/vannkraft/vannkraftdatabase/" TargetMode="External"/><Relationship Id="rId4464" Type="http://schemas.openxmlformats.org/officeDocument/2006/relationships/hyperlink" Target="https://www.nve.no/energiforsyning/kraftproduksjon/vannkraft/vannkraftdatabase/" TargetMode="External"/><Relationship Id="rId4671" Type="http://schemas.openxmlformats.org/officeDocument/2006/relationships/hyperlink" Target="https://www.nve.no/energiforsyning/kraftproduksjon/vannkraft/vannkraftdatabase/" TargetMode="External"/><Relationship Id="rId3066" Type="http://schemas.openxmlformats.org/officeDocument/2006/relationships/hyperlink" Target="https://www.gov.uk/government/statistics/electricity-chapter-5-digest-of-united-kingdom-energy-statistics-dukes" TargetMode="External"/><Relationship Id="rId3273" Type="http://schemas.openxmlformats.org/officeDocument/2006/relationships/hyperlink" Target="https://www.nve.no/energiforsyning/kraftproduksjon/vannkraft/vannkraftdatabase/" TargetMode="External"/><Relationship Id="rId3480" Type="http://schemas.openxmlformats.org/officeDocument/2006/relationships/hyperlink" Target="https://www.nve.no/energiforsyning/kraftproduksjon/vannkraft/vannkraftdatabase/" TargetMode="External"/><Relationship Id="rId4117" Type="http://schemas.openxmlformats.org/officeDocument/2006/relationships/hyperlink" Target="https://www.nve.no/energiforsyning/kraftproduksjon/vannkraft/vannkraftdatabase/" TargetMode="External"/><Relationship Id="rId4324" Type="http://schemas.openxmlformats.org/officeDocument/2006/relationships/hyperlink" Target="https://www.nve.no/energiforsyning/kraftproduksjon/vannkraft/vannkraftdatabase/" TargetMode="External"/><Relationship Id="rId4531" Type="http://schemas.openxmlformats.org/officeDocument/2006/relationships/hyperlink" Target="https://www.nve.no/energiforsyning/kraftproduksjon/vannkraft/vannkraftdatabase/" TargetMode="External"/><Relationship Id="rId194" Type="http://schemas.openxmlformats.org/officeDocument/2006/relationships/hyperlink" Target="https://www.services-rte.com/en/view-data-published-by-rte/production-installed-capacity.html" TargetMode="External"/><Relationship Id="rId1918" Type="http://schemas.openxmlformats.org/officeDocument/2006/relationships/hyperlink" Target="https://sede.minetur.gob.es/en-US/datosabiertos/catalogo/registro-productores-electrica" TargetMode="External"/><Relationship Id="rId2082" Type="http://schemas.openxmlformats.org/officeDocument/2006/relationships/hyperlink" Target="https://sede.minetur.gob.es/en-US/datosabiertos/catalogo/registro-productores-electrica" TargetMode="External"/><Relationship Id="rId3133" Type="http://schemas.openxmlformats.org/officeDocument/2006/relationships/hyperlink" Target="https://www.nve.no/energiforsyning/kraftproduksjon/vannkraft/vannkraftdatabase/" TargetMode="External"/><Relationship Id="rId261" Type="http://schemas.openxmlformats.org/officeDocument/2006/relationships/hyperlink" Target="https://www.services-rte.com/en/view-data-published-by-rte/production-installed-capacity.html" TargetMode="External"/><Relationship Id="rId3340" Type="http://schemas.openxmlformats.org/officeDocument/2006/relationships/hyperlink" Target="https://www.nve.no/energiforsyning/kraftproduksjon/vannkraft/vannkraftdatabase/" TargetMode="External"/><Relationship Id="rId2899" Type="http://schemas.openxmlformats.org/officeDocument/2006/relationships/hyperlink" Target="https://www.gov.uk/government/statistics/electricity-chapter-5-digest-of-united-kingdom-energy-statistics-dukes" TargetMode="External"/><Relationship Id="rId3200" Type="http://schemas.openxmlformats.org/officeDocument/2006/relationships/hyperlink" Target="https://www.nve.no/energiforsyning/kraftproduksjon/vannkraft/vannkraftdatabase/" TargetMode="External"/><Relationship Id="rId121" Type="http://schemas.openxmlformats.org/officeDocument/2006/relationships/hyperlink" Target="https://www.tennet.org/english/operational_management/export_data.aspx" TargetMode="External"/><Relationship Id="rId2759" Type="http://schemas.openxmlformats.org/officeDocument/2006/relationships/hyperlink" Target="https://sede.minetur.gob.es/en-US/datosabiertos/catalogo/registro-productores-electrica" TargetMode="External"/><Relationship Id="rId2966" Type="http://schemas.openxmlformats.org/officeDocument/2006/relationships/hyperlink" Target="https://www.gov.uk/government/statistics/electricity-chapter-5-digest-of-united-kingdom-energy-statistics-dukes" TargetMode="External"/><Relationship Id="rId9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8" Type="http://schemas.openxmlformats.org/officeDocument/2006/relationships/hyperlink" Target="https://energiavirasto.fi/toimitusvarmuus" TargetMode="External"/><Relationship Id="rId1775" Type="http://schemas.openxmlformats.org/officeDocument/2006/relationships/hyperlink" Target="https://sede.minetur.gob.es/en-US/datosabiertos/catalogo/registro-productores-electrica" TargetMode="External"/><Relationship Id="rId2619" Type="http://schemas.openxmlformats.org/officeDocument/2006/relationships/hyperlink" Target="https://sede.minetur.gob.es/en-US/datosabiertos/catalogo/registro-productores-electrica" TargetMode="External"/><Relationship Id="rId2826" Type="http://schemas.openxmlformats.org/officeDocument/2006/relationships/hyperlink" Target="https://sede.minetur.gob.es/en-US/datosabiertos/catalogo/registro-productores-electrica" TargetMode="External"/><Relationship Id="rId4181" Type="http://schemas.openxmlformats.org/officeDocument/2006/relationships/hyperlink" Target="https://www.nve.no/energiforsyning/kraftproduksjon/vannkraft/vannkraftdatabase/" TargetMode="External"/><Relationship Id="rId5025" Type="http://schemas.openxmlformats.org/officeDocument/2006/relationships/hyperlink" Target="https://www.gem.wiki/Esbjerg_power_station" TargetMode="External"/><Relationship Id="rId67" Type="http://schemas.openxmlformats.org/officeDocument/2006/relationships/hyperlink" Target="https://www.elia.be/en/grid-data/power-generation/generating-facilities" TargetMode="External"/><Relationship Id="rId1428" Type="http://schemas.openxmlformats.org/officeDocument/2006/relationships/hyperlink" Target="https://energiavirasto.fi/toimitusvarmuus" TargetMode="External"/><Relationship Id="rId1635" Type="http://schemas.openxmlformats.org/officeDocument/2006/relationships/hyperlink" Target="https://energiavirasto.fi/toimitusvarmuus" TargetMode="External"/><Relationship Id="rId1982" Type="http://schemas.openxmlformats.org/officeDocument/2006/relationships/hyperlink" Target="https://sede.minetur.gob.es/en-US/datosabiertos/catalogo/registro-productores-electrica" TargetMode="External"/><Relationship Id="rId4041" Type="http://schemas.openxmlformats.org/officeDocument/2006/relationships/hyperlink" Target="https://www.nve.no/energiforsyning/kraftproduksjon/vannkraft/vannkraftdatabase/" TargetMode="External"/><Relationship Id="rId1842" Type="http://schemas.openxmlformats.org/officeDocument/2006/relationships/hyperlink" Target="https://sede.minetur.gob.es/en-US/datosabiertos/catalogo/registro-productores-electrica" TargetMode="External"/><Relationship Id="rId4998" Type="http://schemas.openxmlformats.org/officeDocument/2006/relationships/hyperlink" Target="https://www.verbund.com/de-at/ueber-verbund/kraftwerke/unsere-kraftwerke" TargetMode="External"/><Relationship Id="rId1702" Type="http://schemas.openxmlformats.org/officeDocument/2006/relationships/hyperlink" Target="https://sede.minetur.gob.es/en-US/datosabiertos/catalogo/registro-productores-electrica" TargetMode="External"/><Relationship Id="rId4858" Type="http://schemas.openxmlformats.org/officeDocument/2006/relationships/hyperlink" Target="https://www.sel.si/HE-medvode" TargetMode="External"/><Relationship Id="rId3667" Type="http://schemas.openxmlformats.org/officeDocument/2006/relationships/hyperlink" Target="https://www.nve.no/energiforsyning/kraftproduksjon/vannkraft/vannkraftdatabase/" TargetMode="External"/><Relationship Id="rId3874" Type="http://schemas.openxmlformats.org/officeDocument/2006/relationships/hyperlink" Target="https://www.nve.no/energiforsyning/kraftproduksjon/vannkraft/vannkraftdatabase/" TargetMode="External"/><Relationship Id="rId4718" Type="http://schemas.openxmlformats.org/officeDocument/2006/relationships/hyperlink" Target="https://www.nve.no/energiforsyning/kraftproduksjon/vannkraft/vannkraftdatabase/" TargetMode="External"/><Relationship Id="rId4925" Type="http://schemas.openxmlformats.org/officeDocument/2006/relationships/hyperlink" Target="https://www.verbund.com/de-at/ueber-verbund/kraftwerke/unsere-kraftwerke" TargetMode="External"/><Relationship Id="rId5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9" Type="http://schemas.openxmlformats.org/officeDocument/2006/relationships/hyperlink" Target="https://sede.minetur.gob.es/en-US/datosabiertos/catalogo/registro-productores-electrica" TargetMode="External"/><Relationship Id="rId2476" Type="http://schemas.openxmlformats.org/officeDocument/2006/relationships/hyperlink" Target="https://sede.minetur.gob.es/en-US/datosabiertos/catalogo/registro-productores-electrica" TargetMode="External"/><Relationship Id="rId2683" Type="http://schemas.openxmlformats.org/officeDocument/2006/relationships/hyperlink" Target="https://sede.minetur.gob.es/en-US/datosabiertos/catalogo/registro-productores-electrica" TargetMode="External"/><Relationship Id="rId2890" Type="http://schemas.openxmlformats.org/officeDocument/2006/relationships/hyperlink" Target="https://www.gov.uk/government/statistics/electricity-chapter-5-digest-of-united-kingdom-energy-statistics-dukes" TargetMode="External"/><Relationship Id="rId3527" Type="http://schemas.openxmlformats.org/officeDocument/2006/relationships/hyperlink" Target="https://www.nve.no/energiforsyning/kraftproduksjon/vannkraft/vannkraftdatabase/" TargetMode="External"/><Relationship Id="rId3734" Type="http://schemas.openxmlformats.org/officeDocument/2006/relationships/hyperlink" Target="https://www.nve.no/energiforsyning/kraftproduksjon/vannkraft/vannkraftdatabase/" TargetMode="External"/><Relationship Id="rId3941" Type="http://schemas.openxmlformats.org/officeDocument/2006/relationships/hyperlink" Target="https://www.nve.no/energiforsyning/kraftproduksjon/vannkraft/vannkraftdatabase/" TargetMode="External"/><Relationship Id="rId448" Type="http://schemas.openxmlformats.org/officeDocument/2006/relationships/hyperlink" Target="https://www.ceps.cz/cs/priprava-provozu" TargetMode="External"/><Relationship Id="rId6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5" Type="http://schemas.openxmlformats.org/officeDocument/2006/relationships/hyperlink" Target="http://www2018.terna.it/it-it/sistemaelettrico/transparencyreport/generation/installedgenerationcapacity.aspx" TargetMode="External"/><Relationship Id="rId1492" Type="http://schemas.openxmlformats.org/officeDocument/2006/relationships/hyperlink" Target="https://energiavirasto.fi/toimitusvarmuus" TargetMode="External"/><Relationship Id="rId2129" Type="http://schemas.openxmlformats.org/officeDocument/2006/relationships/hyperlink" Target="https://sede.minetur.gob.es/en-US/datosabiertos/catalogo/registro-productores-electrica" TargetMode="External"/><Relationship Id="rId2336" Type="http://schemas.openxmlformats.org/officeDocument/2006/relationships/hyperlink" Target="https://sede.minetur.gob.es/en-US/datosabiertos/catalogo/registro-productores-electrica" TargetMode="External"/><Relationship Id="rId2543" Type="http://schemas.openxmlformats.org/officeDocument/2006/relationships/hyperlink" Target="https://sede.minetur.gob.es/en-US/datosabiertos/catalogo/registro-productores-electrica" TargetMode="External"/><Relationship Id="rId2750" Type="http://schemas.openxmlformats.org/officeDocument/2006/relationships/hyperlink" Target="https://sede.minetur.gob.es/en-US/datosabiertos/catalogo/registro-productores-electrica" TargetMode="External"/><Relationship Id="rId3801" Type="http://schemas.openxmlformats.org/officeDocument/2006/relationships/hyperlink" Target="https://www.nve.no/energiforsyning/kraftproduksjon/vannkraft/vannkraftdatabase/" TargetMode="External"/><Relationship Id="rId308" Type="http://schemas.openxmlformats.org/officeDocument/2006/relationships/hyperlink" Target="https://www.services-rte.com/en/view-data-published-by-rte/production-installed-capacity.html" TargetMode="External"/><Relationship Id="rId515" Type="http://schemas.openxmlformats.org/officeDocument/2006/relationships/hyperlink" Target="https://www.ceps.cz/cs/priprava-provozu" TargetMode="External"/><Relationship Id="rId7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2" Type="http://schemas.openxmlformats.org/officeDocument/2006/relationships/hyperlink" Target="http://www2018.terna.it/it-it/sistemaelettrico/transparencyreport/generation/installedgenerationcapacity.aspx" TargetMode="External"/><Relationship Id="rId2403" Type="http://schemas.openxmlformats.org/officeDocument/2006/relationships/hyperlink" Target="https://sede.minetur.gob.es/en-US/datosabiertos/catalogo/registro-productores-electrica" TargetMode="External"/><Relationship Id="rId10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10" Type="http://schemas.openxmlformats.org/officeDocument/2006/relationships/hyperlink" Target="https://sede.minetur.gob.es/en-US/datosabiertos/catalogo/registro-productores-electrica" TargetMode="External"/><Relationship Id="rId4368" Type="http://schemas.openxmlformats.org/officeDocument/2006/relationships/hyperlink" Target="https://www.nve.no/energiforsyning/kraftproduksjon/vannkraft/vannkraftdatabase/" TargetMode="External"/><Relationship Id="rId4575" Type="http://schemas.openxmlformats.org/officeDocument/2006/relationships/hyperlink" Target="https://www.nve.no/energiforsyning/kraftproduksjon/vannkraft/vannkraftdatabase/" TargetMode="External"/><Relationship Id="rId3177" Type="http://schemas.openxmlformats.org/officeDocument/2006/relationships/hyperlink" Target="https://www.nve.no/energiforsyning/kraftproduksjon/vannkraft/vannkraftdatabase/" TargetMode="External"/><Relationship Id="rId4228" Type="http://schemas.openxmlformats.org/officeDocument/2006/relationships/hyperlink" Target="https://www.nve.no/energiforsyning/kraftproduksjon/vannkraft/vannkraftdatabase/" TargetMode="External"/><Relationship Id="rId4782" Type="http://schemas.openxmlformats.org/officeDocument/2006/relationships/hyperlink" Target="https://www.nve.no/media/8967/termiske-kraftverk-i-norge-2019.xlsx" TargetMode="External"/><Relationship Id="rId3037" Type="http://schemas.openxmlformats.org/officeDocument/2006/relationships/hyperlink" Target="https://www.gov.uk/government/statistics/electricity-chapter-5-digest-of-united-kingdom-energy-statistics-dukes" TargetMode="External"/><Relationship Id="rId3384" Type="http://schemas.openxmlformats.org/officeDocument/2006/relationships/hyperlink" Target="https://www.nve.no/energiforsyning/kraftproduksjon/vannkraft/vannkraftdatabase/" TargetMode="External"/><Relationship Id="rId3591" Type="http://schemas.openxmlformats.org/officeDocument/2006/relationships/hyperlink" Target="https://www.nve.no/energiforsyning/kraftproduksjon/vannkraft/vannkraftdatabase/" TargetMode="External"/><Relationship Id="rId4435" Type="http://schemas.openxmlformats.org/officeDocument/2006/relationships/hyperlink" Target="https://www.nve.no/energiforsyning/kraftproduksjon/vannkraft/vannkraftdatabase/" TargetMode="External"/><Relationship Id="rId4642" Type="http://schemas.openxmlformats.org/officeDocument/2006/relationships/hyperlink" Target="https://www.nve.no/energiforsyning/kraftproduksjon/vannkraft/vannkraftdatabase/" TargetMode="External"/><Relationship Id="rId2193" Type="http://schemas.openxmlformats.org/officeDocument/2006/relationships/hyperlink" Target="https://sede.minetur.gob.es/en-US/datosabiertos/catalogo/registro-productores-electrica" TargetMode="External"/><Relationship Id="rId3244" Type="http://schemas.openxmlformats.org/officeDocument/2006/relationships/hyperlink" Target="https://www.nve.no/energiforsyning/kraftproduksjon/vannkraft/vannkraftdatabase/" TargetMode="External"/><Relationship Id="rId3451" Type="http://schemas.openxmlformats.org/officeDocument/2006/relationships/hyperlink" Target="https://www.nve.no/energiforsyning/kraftproduksjon/vannkraft/vannkraftdatabase/" TargetMode="External"/><Relationship Id="rId4502" Type="http://schemas.openxmlformats.org/officeDocument/2006/relationships/hyperlink" Target="https://www.nve.no/energiforsyning/kraftproduksjon/vannkraft/vannkraftdatabase/" TargetMode="External"/><Relationship Id="rId165" Type="http://schemas.openxmlformats.org/officeDocument/2006/relationships/hyperlink" Target="https://www.services-rte.com/en/view-data-published-by-rte/production-installed-capacity.html" TargetMode="External"/><Relationship Id="rId372" Type="http://schemas.openxmlformats.org/officeDocument/2006/relationships/hyperlink" Target="http://gpi.tge.pl/en/wykaz-jednostek" TargetMode="External"/><Relationship Id="rId2053" Type="http://schemas.openxmlformats.org/officeDocument/2006/relationships/hyperlink" Target="https://sede.minetur.gob.es/en-US/datosabiertos/catalogo/registro-productores-electrica" TargetMode="External"/><Relationship Id="rId2260" Type="http://schemas.openxmlformats.org/officeDocument/2006/relationships/hyperlink" Target="https://sede.minetur.gob.es/en-US/datosabiertos/catalogo/registro-productores-electrica" TargetMode="External"/><Relationship Id="rId3104" Type="http://schemas.openxmlformats.org/officeDocument/2006/relationships/hyperlink" Target="https://www.nve.no/energiforsyning/kraftproduksjon/vannkraft/vannkraftdatabase/" TargetMode="External"/><Relationship Id="rId3311" Type="http://schemas.openxmlformats.org/officeDocument/2006/relationships/hyperlink" Target="https://www.nve.no/energiforsyning/kraftproduksjon/vannkraft/vannkraftdatabase/" TargetMode="External"/><Relationship Id="rId232" Type="http://schemas.openxmlformats.org/officeDocument/2006/relationships/hyperlink" Target="https://www.services-rte.com/en/view-data-published-by-rte/production-installed-capacity.html" TargetMode="External"/><Relationship Id="rId2120" Type="http://schemas.openxmlformats.org/officeDocument/2006/relationships/hyperlink" Target="https://sede.minetur.gob.es/en-US/datosabiertos/catalogo/registro-productores-electrica" TargetMode="External"/><Relationship Id="rId1679" Type="http://schemas.openxmlformats.org/officeDocument/2006/relationships/hyperlink" Target="https://energiavirasto.fi/toimitusvarmuus" TargetMode="External"/><Relationship Id="rId4085" Type="http://schemas.openxmlformats.org/officeDocument/2006/relationships/hyperlink" Target="https://www.nve.no/energiforsyning/kraftproduksjon/vannkraft/vannkraftdatabase/" TargetMode="External"/><Relationship Id="rId4292" Type="http://schemas.openxmlformats.org/officeDocument/2006/relationships/hyperlink" Target="https://www.nve.no/energiforsyning/kraftproduksjon/vannkraft/vannkraftdatabase/" TargetMode="External"/><Relationship Id="rId1886" Type="http://schemas.openxmlformats.org/officeDocument/2006/relationships/hyperlink" Target="https://sede.minetur.gob.es/en-US/datosabiertos/catalogo/registro-productores-electrica" TargetMode="External"/><Relationship Id="rId2937" Type="http://schemas.openxmlformats.org/officeDocument/2006/relationships/hyperlink" Target="https://www.gov.uk/government/statistics/electricity-chapter-5-digest-of-united-kingdom-energy-statistics-dukes" TargetMode="External"/><Relationship Id="rId4152" Type="http://schemas.openxmlformats.org/officeDocument/2006/relationships/hyperlink" Target="https://www.nve.no/energiforsyning/kraftproduksjon/vannkraft/vannkraftdatabase/" TargetMode="External"/><Relationship Id="rId9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9" Type="http://schemas.openxmlformats.org/officeDocument/2006/relationships/hyperlink" Target="https://energiavirasto.fi/toimitusvarmuus" TargetMode="External"/><Relationship Id="rId1746" Type="http://schemas.openxmlformats.org/officeDocument/2006/relationships/hyperlink" Target="https://sede.minetur.gob.es/en-US/datosabiertos/catalogo/registro-productores-electrica" TargetMode="External"/><Relationship Id="rId1953" Type="http://schemas.openxmlformats.org/officeDocument/2006/relationships/hyperlink" Target="https://sede.minetur.gob.es/en-US/datosabiertos/catalogo/registro-productores-electrica" TargetMode="External"/><Relationship Id="rId38" Type="http://schemas.openxmlformats.org/officeDocument/2006/relationships/hyperlink" Target="https://www.elia.be/en/grid-data/power-generation/generating-facilities" TargetMode="External"/><Relationship Id="rId1606" Type="http://schemas.openxmlformats.org/officeDocument/2006/relationships/hyperlink" Target="https://energiavirasto.fi/toimitusvarmuus" TargetMode="External"/><Relationship Id="rId1813" Type="http://schemas.openxmlformats.org/officeDocument/2006/relationships/hyperlink" Target="https://sede.minetur.gob.es/en-US/datosabiertos/catalogo/registro-productores-electrica" TargetMode="External"/><Relationship Id="rId4012" Type="http://schemas.openxmlformats.org/officeDocument/2006/relationships/hyperlink" Target="https://www.nve.no/energiforsyning/kraftproduksjon/vannkraft/vannkraftdatabase/" TargetMode="External"/><Relationship Id="rId4969" Type="http://schemas.openxmlformats.org/officeDocument/2006/relationships/hyperlink" Target="https://www.verbund.com/de-at/ueber-verbund/kraftwerke/unsere-kraftwerke" TargetMode="External"/><Relationship Id="rId3778" Type="http://schemas.openxmlformats.org/officeDocument/2006/relationships/hyperlink" Target="https://www.nve.no/energiforsyning/kraftproduksjon/vannkraft/vannkraftdatabase/" TargetMode="External"/><Relationship Id="rId3985" Type="http://schemas.openxmlformats.org/officeDocument/2006/relationships/hyperlink" Target="https://www.nve.no/energiforsyning/kraftproduksjon/vannkraft/vannkraftdatabase/" TargetMode="External"/><Relationship Id="rId4829" Type="http://schemas.openxmlformats.org/officeDocument/2006/relationships/hyperlink" Target="http://www.dem.si/en-gb/Power-plants-and-generation/General-data" TargetMode="External"/><Relationship Id="rId6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87" Type="http://schemas.openxmlformats.org/officeDocument/2006/relationships/hyperlink" Target="https://sede.minetur.gob.es/en-US/datosabiertos/catalogo/registro-productores-electrica" TargetMode="External"/><Relationship Id="rId2794" Type="http://schemas.openxmlformats.org/officeDocument/2006/relationships/hyperlink" Target="https://sede.minetur.gob.es/en-US/datosabiertos/catalogo/registro-productores-electrica" TargetMode="External"/><Relationship Id="rId3638" Type="http://schemas.openxmlformats.org/officeDocument/2006/relationships/hyperlink" Target="https://www.nve.no/energiforsyning/kraftproduksjon/vannkraft/vannkraftdatabase/" TargetMode="External"/><Relationship Id="rId3845" Type="http://schemas.openxmlformats.org/officeDocument/2006/relationships/hyperlink" Target="https://www.nve.no/energiforsyning/kraftproduksjon/vannkraft/vannkraftdatabase/" TargetMode="External"/><Relationship Id="rId559" Type="http://schemas.openxmlformats.org/officeDocument/2006/relationships/hyperlink" Target="https://www.ceps.cz/cs/priprava-provozu" TargetMode="External"/><Relationship Id="rId7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6" Type="http://schemas.openxmlformats.org/officeDocument/2006/relationships/hyperlink" Target="https://energiavirasto.fi/toimitusvarmuus" TargetMode="External"/><Relationship Id="rId2447" Type="http://schemas.openxmlformats.org/officeDocument/2006/relationships/hyperlink" Target="https://sede.minetur.gob.es/en-US/datosabiertos/catalogo/registro-productores-electrica" TargetMode="External"/><Relationship Id="rId419" Type="http://schemas.openxmlformats.org/officeDocument/2006/relationships/hyperlink" Target="http://gpi.tge.pl/en/wykaz-jednostek" TargetMode="External"/><Relationship Id="rId6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6" Type="http://schemas.openxmlformats.org/officeDocument/2006/relationships/hyperlink" Target="http://www2018.terna.it/it-it/sistemaelettrico/transparencyreport/generation/installedgenerationcapacity.aspx" TargetMode="External"/><Relationship Id="rId2307" Type="http://schemas.openxmlformats.org/officeDocument/2006/relationships/hyperlink" Target="https://sede.minetur.gob.es/en-US/datosabiertos/catalogo/registro-productores-electrica" TargetMode="External"/><Relationship Id="rId2654" Type="http://schemas.openxmlformats.org/officeDocument/2006/relationships/hyperlink" Target="https://sede.minetur.gob.es/en-US/datosabiertos/catalogo/registro-productores-electrica" TargetMode="External"/><Relationship Id="rId2861" Type="http://schemas.openxmlformats.org/officeDocument/2006/relationships/hyperlink" Target="https://www.gov.uk/government/statistics/electricity-chapter-5-digest-of-united-kingdom-energy-statistics-dukes" TargetMode="External"/><Relationship Id="rId3705" Type="http://schemas.openxmlformats.org/officeDocument/2006/relationships/hyperlink" Target="https://www.nve.no/energiforsyning/kraftproduksjon/vannkraft/vannkraftdatabase/" TargetMode="External"/><Relationship Id="rId3912" Type="http://schemas.openxmlformats.org/officeDocument/2006/relationships/hyperlink" Target="https://www.nve.no/energiforsyning/kraftproduksjon/vannkraft/vannkraftdatabase/" TargetMode="External"/><Relationship Id="rId8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3" Type="http://schemas.openxmlformats.org/officeDocument/2006/relationships/hyperlink" Target="https://energiavirasto.fi/toimitusvarmuus" TargetMode="External"/><Relationship Id="rId1670" Type="http://schemas.openxmlformats.org/officeDocument/2006/relationships/hyperlink" Target="https://energiavirasto.fi/toimitusvarmuus" TargetMode="External"/><Relationship Id="rId2514" Type="http://schemas.openxmlformats.org/officeDocument/2006/relationships/hyperlink" Target="https://sede.minetur.gob.es/en-US/datosabiertos/catalogo/registro-productores-electrica" TargetMode="External"/><Relationship Id="rId2721" Type="http://schemas.openxmlformats.org/officeDocument/2006/relationships/hyperlink" Target="https://sede.minetur.gob.es/en-US/datosabiertos/catalogo/registro-productores-electrica" TargetMode="External"/><Relationship Id="rId9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3" Type="http://schemas.openxmlformats.org/officeDocument/2006/relationships/hyperlink" Target="http://www2018.terna.it/it-it/sistemaelettrico/transparencyreport/generation/installedgenerationcapacity.aspx" TargetMode="External"/><Relationship Id="rId1530" Type="http://schemas.openxmlformats.org/officeDocument/2006/relationships/hyperlink" Target="https://energiavirasto.fi/toimitusvarmuus" TargetMode="External"/><Relationship Id="rId4479" Type="http://schemas.openxmlformats.org/officeDocument/2006/relationships/hyperlink" Target="https://www.nve.no/energiforsyning/kraftproduksjon/vannkraft/vannkraftdatabase/" TargetMode="External"/><Relationship Id="rId4686" Type="http://schemas.openxmlformats.org/officeDocument/2006/relationships/hyperlink" Target="https://www.nve.no/energiforsyning/kraftproduksjon/vannkraft/vannkraftdatabase/" TargetMode="External"/><Relationship Id="rId4893" Type="http://schemas.openxmlformats.org/officeDocument/2006/relationships/hyperlink" Target="http://www.dem.si/en-gb/Power-plants-and-generation/General-data" TargetMode="External"/><Relationship Id="rId3288" Type="http://schemas.openxmlformats.org/officeDocument/2006/relationships/hyperlink" Target="https://www.nve.no/energiforsyning/kraftproduksjon/vannkraft/vannkraftdatabase/" TargetMode="External"/><Relationship Id="rId3495" Type="http://schemas.openxmlformats.org/officeDocument/2006/relationships/hyperlink" Target="https://www.nve.no/energiforsyning/kraftproduksjon/vannkraft/vannkraftdatabase/" TargetMode="External"/><Relationship Id="rId4339" Type="http://schemas.openxmlformats.org/officeDocument/2006/relationships/hyperlink" Target="https://www.nve.no/energiforsyning/kraftproduksjon/vannkraft/vannkraftdatabase/" TargetMode="External"/><Relationship Id="rId4546" Type="http://schemas.openxmlformats.org/officeDocument/2006/relationships/hyperlink" Target="https://www.nve.no/energiforsyning/kraftproduksjon/vannkraft/vannkraftdatabase/" TargetMode="External"/><Relationship Id="rId4753" Type="http://schemas.openxmlformats.org/officeDocument/2006/relationships/hyperlink" Target="https://www.nve.no/energiforsyning/kraftproduksjon/vannkraft/vannkraftdatabase/" TargetMode="External"/><Relationship Id="rId4960" Type="http://schemas.openxmlformats.org/officeDocument/2006/relationships/hyperlink" Target="https://www.verbund.com/de-at/ueber-verbund/kraftwerke/unsere-kraftwerke" TargetMode="External"/><Relationship Id="rId2097" Type="http://schemas.openxmlformats.org/officeDocument/2006/relationships/hyperlink" Target="https://sede.minetur.gob.es/en-US/datosabiertos/catalogo/registro-productores-electrica" TargetMode="External"/><Relationship Id="rId3148" Type="http://schemas.openxmlformats.org/officeDocument/2006/relationships/hyperlink" Target="https://www.nve.no/energiforsyning/kraftproduksjon/vannkraft/vannkraftdatabase/" TargetMode="External"/><Relationship Id="rId3355" Type="http://schemas.openxmlformats.org/officeDocument/2006/relationships/hyperlink" Target="https://www.nve.no/energiforsyning/kraftproduksjon/vannkraft/vannkraftdatabase/" TargetMode="External"/><Relationship Id="rId3562" Type="http://schemas.openxmlformats.org/officeDocument/2006/relationships/hyperlink" Target="https://www.nve.no/energiforsyning/kraftproduksjon/vannkraft/vannkraftdatabase/" TargetMode="External"/><Relationship Id="rId4406" Type="http://schemas.openxmlformats.org/officeDocument/2006/relationships/hyperlink" Target="https://www.nve.no/energiforsyning/kraftproduksjon/vannkraft/vannkraftdatabase/" TargetMode="External"/><Relationship Id="rId4613" Type="http://schemas.openxmlformats.org/officeDocument/2006/relationships/hyperlink" Target="https://www.nve.no/energiforsyning/kraftproduksjon/vannkraft/vannkraftdatabase/" TargetMode="External"/><Relationship Id="rId276" Type="http://schemas.openxmlformats.org/officeDocument/2006/relationships/hyperlink" Target="https://www.services-rte.com/en/view-data-published-by-rte/production-installed-capacity.html" TargetMode="External"/><Relationship Id="rId483" Type="http://schemas.openxmlformats.org/officeDocument/2006/relationships/hyperlink" Target="https://www.ceps.cz/cs/priprava-provozu" TargetMode="External"/><Relationship Id="rId6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64" Type="http://schemas.openxmlformats.org/officeDocument/2006/relationships/hyperlink" Target="https://sede.minetur.gob.es/en-US/datosabiertos/catalogo/registro-productores-electrica" TargetMode="External"/><Relationship Id="rId2371" Type="http://schemas.openxmlformats.org/officeDocument/2006/relationships/hyperlink" Target="https://sede.minetur.gob.es/en-US/datosabiertos/catalogo/registro-productores-electrica" TargetMode="External"/><Relationship Id="rId3008" Type="http://schemas.openxmlformats.org/officeDocument/2006/relationships/hyperlink" Target="https://www.gov.uk/government/statistics/electricity-chapter-5-digest-of-united-kingdom-energy-statistics-dukes" TargetMode="External"/><Relationship Id="rId3215" Type="http://schemas.openxmlformats.org/officeDocument/2006/relationships/hyperlink" Target="https://www.nve.no/energiforsyning/kraftproduksjon/vannkraft/vannkraftdatabase/" TargetMode="External"/><Relationship Id="rId3422" Type="http://schemas.openxmlformats.org/officeDocument/2006/relationships/hyperlink" Target="https://www.nve.no/energiforsyning/kraftproduksjon/vannkraft/vannkraftdatabase/" TargetMode="External"/><Relationship Id="rId4820" Type="http://schemas.openxmlformats.org/officeDocument/2006/relationships/hyperlink" Target="http://www.he-ss.si/eng/he-brezice-general-info.html" TargetMode="External"/><Relationship Id="rId136" Type="http://schemas.openxmlformats.org/officeDocument/2006/relationships/hyperlink" Target="https://www.tennet.org/english/operational_management/export_data.aspx" TargetMode="External"/><Relationship Id="rId343" Type="http://schemas.openxmlformats.org/officeDocument/2006/relationships/hyperlink" Target="http://gpi.tge.pl/en/wykaz-jednostek" TargetMode="External"/><Relationship Id="rId550" Type="http://schemas.openxmlformats.org/officeDocument/2006/relationships/hyperlink" Target="https://www.ceps.cz/cs/priprava-provozu" TargetMode="External"/><Relationship Id="rId11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24" Type="http://schemas.openxmlformats.org/officeDocument/2006/relationships/hyperlink" Target="https://sede.minetur.gob.es/en-US/datosabiertos/catalogo/registro-productores-electrica" TargetMode="External"/><Relationship Id="rId2231" Type="http://schemas.openxmlformats.org/officeDocument/2006/relationships/hyperlink" Target="https://sede.minetur.gob.es/en-US/datosabiertos/catalogo/registro-productores-electrica" TargetMode="External"/><Relationship Id="rId203" Type="http://schemas.openxmlformats.org/officeDocument/2006/relationships/hyperlink" Target="https://www.services-rte.com/en/view-data-published-by-rte/production-installed-capacity.html" TargetMode="External"/><Relationship Id="rId10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96" Type="http://schemas.openxmlformats.org/officeDocument/2006/relationships/hyperlink" Target="https://www.nve.no/energiforsyning/kraftproduksjon/vannkraft/vannkraftdatabase/" TargetMode="External"/><Relationship Id="rId410" Type="http://schemas.openxmlformats.org/officeDocument/2006/relationships/hyperlink" Target="http://gpi.tge.pl/en/wykaz-jednostek" TargetMode="External"/><Relationship Id="rId1997" Type="http://schemas.openxmlformats.org/officeDocument/2006/relationships/hyperlink" Target="https://sede.minetur.gob.es/en-US/datosabiertos/catalogo/registro-productores-electrica" TargetMode="External"/><Relationship Id="rId4056" Type="http://schemas.openxmlformats.org/officeDocument/2006/relationships/hyperlink" Target="https://www.nve.no/energiforsyning/kraftproduksjon/vannkraft/vannkraftdatabase/" TargetMode="External"/><Relationship Id="rId1857" Type="http://schemas.openxmlformats.org/officeDocument/2006/relationships/hyperlink" Target="https://sede.minetur.gob.es/en-US/datosabiertos/catalogo/registro-productores-electrica" TargetMode="External"/><Relationship Id="rId2908" Type="http://schemas.openxmlformats.org/officeDocument/2006/relationships/hyperlink" Target="https://www.gov.uk/government/statistics/electricity-chapter-5-digest-of-united-kingdom-energy-statistics-dukes" TargetMode="External"/><Relationship Id="rId4263" Type="http://schemas.openxmlformats.org/officeDocument/2006/relationships/hyperlink" Target="https://www.nve.no/energiforsyning/kraftproduksjon/vannkraft/vannkraftdatabase/" TargetMode="External"/><Relationship Id="rId4470" Type="http://schemas.openxmlformats.org/officeDocument/2006/relationships/hyperlink" Target="https://www.nve.no/energiforsyning/kraftproduksjon/vannkraft/vannkraftdatabase/" TargetMode="External"/><Relationship Id="rId1717" Type="http://schemas.openxmlformats.org/officeDocument/2006/relationships/hyperlink" Target="https://sede.minetur.gob.es/en-US/datosabiertos/catalogo/registro-productores-electrica" TargetMode="External"/><Relationship Id="rId1924" Type="http://schemas.openxmlformats.org/officeDocument/2006/relationships/hyperlink" Target="https://sede.minetur.gob.es/en-US/datosabiertos/catalogo/registro-productores-electrica" TargetMode="External"/><Relationship Id="rId3072" Type="http://schemas.openxmlformats.org/officeDocument/2006/relationships/hyperlink" Target="https://www.gov.uk/government/statistics/electricity-chapter-5-digest-of-united-kingdom-energy-statistics-dukes" TargetMode="External"/><Relationship Id="rId4123" Type="http://schemas.openxmlformats.org/officeDocument/2006/relationships/hyperlink" Target="https://www.nve.no/energiforsyning/kraftproduksjon/vannkraft/vannkraftdatabase/" TargetMode="External"/><Relationship Id="rId4330" Type="http://schemas.openxmlformats.org/officeDocument/2006/relationships/hyperlink" Target="https://www.nve.no/energiforsyning/kraftproduksjon/vannkraft/vannkraftdatabase/" TargetMode="External"/><Relationship Id="rId3889" Type="http://schemas.openxmlformats.org/officeDocument/2006/relationships/hyperlink" Target="https://www.nve.no/energiforsyning/kraftproduksjon/vannkraft/vannkraftdatabase/" TargetMode="External"/><Relationship Id="rId2698" Type="http://schemas.openxmlformats.org/officeDocument/2006/relationships/hyperlink" Target="https://sede.minetur.gob.es/en-US/datosabiertos/catalogo/registro-productores-electrica" TargetMode="External"/><Relationship Id="rId3749" Type="http://schemas.openxmlformats.org/officeDocument/2006/relationships/hyperlink" Target="https://www.nve.no/energiforsyning/kraftproduksjon/vannkraft/vannkraftdatabase/" TargetMode="External"/><Relationship Id="rId3956" Type="http://schemas.openxmlformats.org/officeDocument/2006/relationships/hyperlink" Target="https://www.nve.no/energiforsyning/kraftproduksjon/vannkraft/vannkraftdatabase/" TargetMode="External"/><Relationship Id="rId8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58" Type="http://schemas.openxmlformats.org/officeDocument/2006/relationships/hyperlink" Target="https://sede.minetur.gob.es/en-US/datosabiertos/catalogo/registro-productores-electrica" TargetMode="External"/><Relationship Id="rId2765" Type="http://schemas.openxmlformats.org/officeDocument/2006/relationships/hyperlink" Target="https://sede.minetur.gob.es/en-US/datosabiertos/catalogo/registro-productores-electrica" TargetMode="External"/><Relationship Id="rId2972" Type="http://schemas.openxmlformats.org/officeDocument/2006/relationships/hyperlink" Target="https://www.gov.uk/government/statistics/electricity-chapter-5-digest-of-united-kingdom-energy-statistics-dukes" TargetMode="External"/><Relationship Id="rId3609" Type="http://schemas.openxmlformats.org/officeDocument/2006/relationships/hyperlink" Target="https://www.nve.no/energiforsyning/kraftproduksjon/vannkraft/vannkraftdatabase/" TargetMode="External"/><Relationship Id="rId3816" Type="http://schemas.openxmlformats.org/officeDocument/2006/relationships/hyperlink" Target="https://www.nve.no/energiforsyning/kraftproduksjon/vannkraft/vannkraftdatabase/" TargetMode="External"/><Relationship Id="rId7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7" Type="http://schemas.openxmlformats.org/officeDocument/2006/relationships/hyperlink" Target="http://www2018.terna.it/it-it/sistemaelettrico/transparencyreport/generation/installedgenerationcapacity.aspx" TargetMode="External"/><Relationship Id="rId1574" Type="http://schemas.openxmlformats.org/officeDocument/2006/relationships/hyperlink" Target="https://energiavirasto.fi/toimitusvarmuus" TargetMode="External"/><Relationship Id="rId1781" Type="http://schemas.openxmlformats.org/officeDocument/2006/relationships/hyperlink" Target="https://sede.minetur.gob.es/en-US/datosabiertos/catalogo/registro-productores-electrica" TargetMode="External"/><Relationship Id="rId2418" Type="http://schemas.openxmlformats.org/officeDocument/2006/relationships/hyperlink" Target="https://sede.minetur.gob.es/en-US/datosabiertos/catalogo/registro-productores-electrica" TargetMode="External"/><Relationship Id="rId2625" Type="http://schemas.openxmlformats.org/officeDocument/2006/relationships/hyperlink" Target="https://sede.minetur.gob.es/en-US/datosabiertos/catalogo/registro-productores-electrica" TargetMode="External"/><Relationship Id="rId2832" Type="http://schemas.openxmlformats.org/officeDocument/2006/relationships/hyperlink" Target="https://sede.minetur.gob.es/en-US/datosabiertos/catalogo/registro-productores-electrica" TargetMode="External"/><Relationship Id="rId5031" Type="http://schemas.openxmlformats.org/officeDocument/2006/relationships/hyperlink" Target="http://ipaper.ipapercms.dk/DONGENERGY/Internet/DK/ThermalPower/KYVbrochure2012DK/?page=12" TargetMode="External"/><Relationship Id="rId73" Type="http://schemas.openxmlformats.org/officeDocument/2006/relationships/hyperlink" Target="https://www.elia.be/en/grid-data/power-generation/generating-facilities" TargetMode="External"/><Relationship Id="rId8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4" Type="http://schemas.openxmlformats.org/officeDocument/2006/relationships/hyperlink" Target="https://energiavirasto.fi/toimitusvarmuus" TargetMode="External"/><Relationship Id="rId1641" Type="http://schemas.openxmlformats.org/officeDocument/2006/relationships/hyperlink" Target="https://energiavirasto.fi/toimitusvarmuus" TargetMode="External"/><Relationship Id="rId4797" Type="http://schemas.openxmlformats.org/officeDocument/2006/relationships/hyperlink" Target="https://www.nve.no/media/8967/termiske-kraftverk-i-norge-2019.xlsx" TargetMode="External"/><Relationship Id="rId1501" Type="http://schemas.openxmlformats.org/officeDocument/2006/relationships/hyperlink" Target="https://energiavirasto.fi/toimitusvarmuus" TargetMode="External"/><Relationship Id="rId3399" Type="http://schemas.openxmlformats.org/officeDocument/2006/relationships/hyperlink" Target="https://www.nve.no/energiforsyning/kraftproduksjon/vannkraft/vannkraftdatabase/" TargetMode="External"/><Relationship Id="rId4657" Type="http://schemas.openxmlformats.org/officeDocument/2006/relationships/hyperlink" Target="https://www.nve.no/energiforsyning/kraftproduksjon/vannkraft/vannkraftdatabase/" TargetMode="External"/><Relationship Id="rId4864" Type="http://schemas.openxmlformats.org/officeDocument/2006/relationships/hyperlink" Target="https://www.sel.si/HE-moste" TargetMode="External"/><Relationship Id="rId3259" Type="http://schemas.openxmlformats.org/officeDocument/2006/relationships/hyperlink" Target="https://www.nve.no/energiforsyning/kraftproduksjon/vannkraft/vannkraftdatabase/" TargetMode="External"/><Relationship Id="rId3466" Type="http://schemas.openxmlformats.org/officeDocument/2006/relationships/hyperlink" Target="https://www.nve.no/energiforsyning/kraftproduksjon/vannkraft/vannkraftdatabase/" TargetMode="External"/><Relationship Id="rId4517" Type="http://schemas.openxmlformats.org/officeDocument/2006/relationships/hyperlink" Target="https://www.nve.no/energiforsyning/kraftproduksjon/vannkraft/vannkraftdatabase/" TargetMode="External"/><Relationship Id="rId387" Type="http://schemas.openxmlformats.org/officeDocument/2006/relationships/hyperlink" Target="http://gpi.tge.pl/en/wykaz-jednostek" TargetMode="External"/><Relationship Id="rId5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68" Type="http://schemas.openxmlformats.org/officeDocument/2006/relationships/hyperlink" Target="https://sede.minetur.gob.es/en-US/datosabiertos/catalogo/registro-productores-electrica" TargetMode="External"/><Relationship Id="rId2275" Type="http://schemas.openxmlformats.org/officeDocument/2006/relationships/hyperlink" Target="https://sede.minetur.gob.es/en-US/datosabiertos/catalogo/registro-productores-electrica" TargetMode="External"/><Relationship Id="rId3119" Type="http://schemas.openxmlformats.org/officeDocument/2006/relationships/hyperlink" Target="https://www.nve.no/energiforsyning/kraftproduksjon/vannkraft/vannkraftdatabase/" TargetMode="External"/><Relationship Id="rId3326" Type="http://schemas.openxmlformats.org/officeDocument/2006/relationships/hyperlink" Target="https://www.nve.no/energiforsyning/kraftproduksjon/vannkraft/vannkraftdatabase/" TargetMode="External"/><Relationship Id="rId3673" Type="http://schemas.openxmlformats.org/officeDocument/2006/relationships/hyperlink" Target="https://www.nve.no/energiforsyning/kraftproduksjon/vannkraft/vannkraftdatabase/" TargetMode="External"/><Relationship Id="rId3880" Type="http://schemas.openxmlformats.org/officeDocument/2006/relationships/hyperlink" Target="https://www.nve.no/energiforsyning/kraftproduksjon/vannkraft/vannkraftdatabase/" TargetMode="External"/><Relationship Id="rId4724" Type="http://schemas.openxmlformats.org/officeDocument/2006/relationships/hyperlink" Target="https://www.nve.no/energiforsyning/kraftproduksjon/vannkraft/vannkraftdatabase/" TargetMode="External"/><Relationship Id="rId4931" Type="http://schemas.openxmlformats.org/officeDocument/2006/relationships/hyperlink" Target="https://www.verbund.com/de-at/ueber-verbund/kraftwerke/unsere-kraftwerke" TargetMode="External"/><Relationship Id="rId247" Type="http://schemas.openxmlformats.org/officeDocument/2006/relationships/hyperlink" Target="https://www.services-rte.com/en/view-data-published-by-rte/production-installed-capacity.html" TargetMode="External"/><Relationship Id="rId10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82" Type="http://schemas.openxmlformats.org/officeDocument/2006/relationships/hyperlink" Target="https://sede.minetur.gob.es/en-US/datosabiertos/catalogo/registro-productores-electrica" TargetMode="External"/><Relationship Id="rId3533" Type="http://schemas.openxmlformats.org/officeDocument/2006/relationships/hyperlink" Target="https://www.nve.no/energiforsyning/kraftproduksjon/vannkraft/vannkraftdatabase/" TargetMode="External"/><Relationship Id="rId3740" Type="http://schemas.openxmlformats.org/officeDocument/2006/relationships/hyperlink" Target="https://www.nve.no/energiforsyning/kraftproduksjon/vannkraft/vannkraftdatabase/" TargetMode="External"/><Relationship Id="rId107" Type="http://schemas.openxmlformats.org/officeDocument/2006/relationships/hyperlink" Target="https://www.tennet.org/english/operational_management/export_data.aspx" TargetMode="External"/><Relationship Id="rId454" Type="http://schemas.openxmlformats.org/officeDocument/2006/relationships/hyperlink" Target="https://www.ceps.cz/cs/priprava-provozu" TargetMode="External"/><Relationship Id="rId6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1" Type="http://schemas.openxmlformats.org/officeDocument/2006/relationships/hyperlink" Target="http://www2018.terna.it/it-it/sistemaelettrico/transparencyreport/generation/installedgenerationcapacity.aspx" TargetMode="External"/><Relationship Id="rId2135" Type="http://schemas.openxmlformats.org/officeDocument/2006/relationships/hyperlink" Target="https://sede.minetur.gob.es/en-US/datosabiertos/catalogo/registro-productores-electrica" TargetMode="External"/><Relationship Id="rId2342" Type="http://schemas.openxmlformats.org/officeDocument/2006/relationships/hyperlink" Target="https://sede.minetur.gob.es/en-US/datosabiertos/catalogo/registro-productores-electrica" TargetMode="External"/><Relationship Id="rId3600" Type="http://schemas.openxmlformats.org/officeDocument/2006/relationships/hyperlink" Target="https://www.nve.no/energiforsyning/kraftproduksjon/vannkraft/vannkraftdatabase/" TargetMode="External"/><Relationship Id="rId314" Type="http://schemas.openxmlformats.org/officeDocument/2006/relationships/hyperlink" Target="http://gpi.tge.pl/en/wykaz-jednostek" TargetMode="External"/><Relationship Id="rId521" Type="http://schemas.openxmlformats.org/officeDocument/2006/relationships/hyperlink" Target="https://www.ceps.cz/cs/priprava-provozu" TargetMode="External"/><Relationship Id="rId11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02" Type="http://schemas.openxmlformats.org/officeDocument/2006/relationships/hyperlink" Target="https://sede.minetur.gob.es/en-US/datosabiertos/catalogo/registro-productores-electrica" TargetMode="External"/><Relationship Id="rId10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68" Type="http://schemas.openxmlformats.org/officeDocument/2006/relationships/hyperlink" Target="https://sede.minetur.gob.es/en-US/datosabiertos/catalogo/registro-productores-electrica" TargetMode="External"/><Relationship Id="rId4167" Type="http://schemas.openxmlformats.org/officeDocument/2006/relationships/hyperlink" Target="https://www.nve.no/energiforsyning/kraftproduksjon/vannkraft/vannkraftdatabase/" TargetMode="External"/><Relationship Id="rId4374" Type="http://schemas.openxmlformats.org/officeDocument/2006/relationships/hyperlink" Target="https://www.nve.no/energiforsyning/kraftproduksjon/vannkraft/vannkraftdatabase/" TargetMode="External"/><Relationship Id="rId4581" Type="http://schemas.openxmlformats.org/officeDocument/2006/relationships/hyperlink" Target="https://www.nve.no/energiforsyning/kraftproduksjon/vannkraft/vannkraftdatabase/" TargetMode="External"/><Relationship Id="rId3183" Type="http://schemas.openxmlformats.org/officeDocument/2006/relationships/hyperlink" Target="https://www.nve.no/energiforsyning/kraftproduksjon/vannkraft/vannkraftdatabase/" TargetMode="External"/><Relationship Id="rId3390" Type="http://schemas.openxmlformats.org/officeDocument/2006/relationships/hyperlink" Target="https://www.nve.no/energiforsyning/kraftproduksjon/vannkraft/vannkraftdatabase/" TargetMode="External"/><Relationship Id="rId4027" Type="http://schemas.openxmlformats.org/officeDocument/2006/relationships/hyperlink" Target="https://www.nve.no/energiforsyning/kraftproduksjon/vannkraft/vannkraftdatabase/" TargetMode="External"/><Relationship Id="rId4234" Type="http://schemas.openxmlformats.org/officeDocument/2006/relationships/hyperlink" Target="https://www.nve.no/energiforsyning/kraftproduksjon/vannkraft/vannkraftdatabase/" TargetMode="External"/><Relationship Id="rId4441" Type="http://schemas.openxmlformats.org/officeDocument/2006/relationships/hyperlink" Target="https://www.nve.no/energiforsyning/kraftproduksjon/vannkraft/vannkraftdatabase/" TargetMode="External"/><Relationship Id="rId1828" Type="http://schemas.openxmlformats.org/officeDocument/2006/relationships/hyperlink" Target="https://sede.minetur.gob.es/en-US/datosabiertos/catalogo/registro-productores-electrica" TargetMode="External"/><Relationship Id="rId3043" Type="http://schemas.openxmlformats.org/officeDocument/2006/relationships/hyperlink" Target="https://www.gov.uk/government/statistics/electricity-chapter-5-digest-of-united-kingdom-energy-statistics-dukes" TargetMode="External"/><Relationship Id="rId3250" Type="http://schemas.openxmlformats.org/officeDocument/2006/relationships/hyperlink" Target="https://www.nve.no/energiforsyning/kraftproduksjon/vannkraft/vannkraftdatabase/" TargetMode="External"/><Relationship Id="rId171" Type="http://schemas.openxmlformats.org/officeDocument/2006/relationships/hyperlink" Target="https://www.services-rte.com/en/view-data-published-by-rte/production-installed-capacity.html" TargetMode="External"/><Relationship Id="rId4301" Type="http://schemas.openxmlformats.org/officeDocument/2006/relationships/hyperlink" Target="https://www.nve.no/energiforsyning/kraftproduksjon/vannkraft/vannkraftdatabase/" TargetMode="External"/><Relationship Id="rId3110" Type="http://schemas.openxmlformats.org/officeDocument/2006/relationships/hyperlink" Target="https://www.nve.no/energiforsyning/kraftproduksjon/vannkraft/vannkraftdatabase/" TargetMode="External"/><Relationship Id="rId9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9" Type="http://schemas.openxmlformats.org/officeDocument/2006/relationships/hyperlink" Target="https://sede.minetur.gob.es/en-US/datosabiertos/catalogo/registro-productores-electrica" TargetMode="External"/><Relationship Id="rId2876" Type="http://schemas.openxmlformats.org/officeDocument/2006/relationships/hyperlink" Target="https://www.gov.uk/government/statistics/electricity-chapter-5-digest-of-united-kingdom-energy-statistics-dukes" TargetMode="External"/><Relationship Id="rId3927" Type="http://schemas.openxmlformats.org/officeDocument/2006/relationships/hyperlink" Target="https://www.nve.no/energiforsyning/kraftproduksjon/vannkraft/vannkraftdatabase/" TargetMode="External"/><Relationship Id="rId8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8" Type="http://schemas.openxmlformats.org/officeDocument/2006/relationships/hyperlink" Target="https://energiavirasto.fi/toimitusvarmuus" TargetMode="External"/><Relationship Id="rId1685" Type="http://schemas.openxmlformats.org/officeDocument/2006/relationships/hyperlink" Target="https://energiavirasto.fi/toimitusvarmuus" TargetMode="External"/><Relationship Id="rId1892" Type="http://schemas.openxmlformats.org/officeDocument/2006/relationships/hyperlink" Target="https://sede.minetur.gob.es/en-US/datosabiertos/catalogo/registro-productores-electrica" TargetMode="External"/><Relationship Id="rId2529" Type="http://schemas.openxmlformats.org/officeDocument/2006/relationships/hyperlink" Target="https://sede.minetur.gob.es/en-US/datosabiertos/catalogo/registro-productores-electrica" TargetMode="External"/><Relationship Id="rId2736" Type="http://schemas.openxmlformats.org/officeDocument/2006/relationships/hyperlink" Target="https://sede.minetur.gob.es/en-US/datosabiertos/catalogo/registro-productores-electrica" TargetMode="External"/><Relationship Id="rId4091" Type="http://schemas.openxmlformats.org/officeDocument/2006/relationships/hyperlink" Target="https://www.nve.no/energiforsyning/kraftproduksjon/vannkraft/vannkraftdatabase/" TargetMode="External"/><Relationship Id="rId7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8" Type="http://schemas.openxmlformats.org/officeDocument/2006/relationships/hyperlink" Target="http://www2018.terna.it/it-it/sistemaelettrico/transparencyreport/generation/installedgenerationcapacity.aspx" TargetMode="External"/><Relationship Id="rId1545" Type="http://schemas.openxmlformats.org/officeDocument/2006/relationships/hyperlink" Target="https://energiavirasto.fi/toimitusvarmuus" TargetMode="External"/><Relationship Id="rId2943" Type="http://schemas.openxmlformats.org/officeDocument/2006/relationships/hyperlink" Target="https://www.gov.uk/government/statistics/electricity-chapter-5-digest-of-united-kingdom-energy-statistics-dukes" TargetMode="External"/><Relationship Id="rId5002" Type="http://schemas.openxmlformats.org/officeDocument/2006/relationships/hyperlink" Target="https://www.verbund.com/de-at/ueber-verbund/kraftwerke/unsere-kraftwerke" TargetMode="External"/><Relationship Id="rId1405" Type="http://schemas.openxmlformats.org/officeDocument/2006/relationships/hyperlink" Target="https://energiavirasto.fi/toimitusvarmuus" TargetMode="External"/><Relationship Id="rId1752" Type="http://schemas.openxmlformats.org/officeDocument/2006/relationships/hyperlink" Target="https://sede.minetur.gob.es/en-US/datosabiertos/catalogo/registro-productores-electrica" TargetMode="External"/><Relationship Id="rId2803" Type="http://schemas.openxmlformats.org/officeDocument/2006/relationships/hyperlink" Target="https://sede.minetur.gob.es/en-US/datosabiertos/catalogo/registro-productores-electrica" TargetMode="External"/><Relationship Id="rId44" Type="http://schemas.openxmlformats.org/officeDocument/2006/relationships/hyperlink" Target="https://www.elia.be/en/grid-data/power-generation/generating-facilities" TargetMode="External"/><Relationship Id="rId1612" Type="http://schemas.openxmlformats.org/officeDocument/2006/relationships/hyperlink" Target="https://energiavirasto.fi/toimitusvarmuus" TargetMode="External"/><Relationship Id="rId4768" Type="http://schemas.openxmlformats.org/officeDocument/2006/relationships/hyperlink" Target="https://www.nve.no/energiforsyning/kraftproduksjon/vannkraft/vannkraftdatabase/" TargetMode="External"/><Relationship Id="rId4975" Type="http://schemas.openxmlformats.org/officeDocument/2006/relationships/hyperlink" Target="https://www.verbund.com/de-at/ueber-verbund/kraftwerke/unsere-kraftwerke" TargetMode="External"/><Relationship Id="rId498" Type="http://schemas.openxmlformats.org/officeDocument/2006/relationships/hyperlink" Target="https://www.ceps.cz/cs/priprava-provozu" TargetMode="External"/><Relationship Id="rId2179" Type="http://schemas.openxmlformats.org/officeDocument/2006/relationships/hyperlink" Target="https://sede.minetur.gob.es/en-US/datosabiertos/catalogo/registro-productores-electrica" TargetMode="External"/><Relationship Id="rId3577" Type="http://schemas.openxmlformats.org/officeDocument/2006/relationships/hyperlink" Target="https://www.nve.no/energiforsyning/kraftproduksjon/vannkraft/vannkraftdatabase/" TargetMode="External"/><Relationship Id="rId3784" Type="http://schemas.openxmlformats.org/officeDocument/2006/relationships/hyperlink" Target="https://www.nve.no/energiforsyning/kraftproduksjon/vannkraft/vannkraftdatabase/" TargetMode="External"/><Relationship Id="rId3991" Type="http://schemas.openxmlformats.org/officeDocument/2006/relationships/hyperlink" Target="https://www.nve.no/energiforsyning/kraftproduksjon/vannkraft/vannkraftdatabase/" TargetMode="External"/><Relationship Id="rId4628" Type="http://schemas.openxmlformats.org/officeDocument/2006/relationships/hyperlink" Target="https://www.nve.no/energiforsyning/kraftproduksjon/vannkraft/vannkraftdatabase/" TargetMode="External"/><Relationship Id="rId4835" Type="http://schemas.openxmlformats.org/officeDocument/2006/relationships/hyperlink" Target="http://www.dem.si/en-gb/Power-plants-and-generation/General-data" TargetMode="External"/><Relationship Id="rId2386" Type="http://schemas.openxmlformats.org/officeDocument/2006/relationships/hyperlink" Target="https://sede.minetur.gob.es/en-US/datosabiertos/catalogo/registro-productores-electrica" TargetMode="External"/><Relationship Id="rId2593" Type="http://schemas.openxmlformats.org/officeDocument/2006/relationships/hyperlink" Target="https://sede.minetur.gob.es/en-US/datosabiertos/catalogo/registro-productores-electrica" TargetMode="External"/><Relationship Id="rId3437" Type="http://schemas.openxmlformats.org/officeDocument/2006/relationships/hyperlink" Target="https://www.nve.no/energiforsyning/kraftproduksjon/vannkraft/vannkraftdatabase/" TargetMode="External"/><Relationship Id="rId3644" Type="http://schemas.openxmlformats.org/officeDocument/2006/relationships/hyperlink" Target="https://www.nve.no/energiforsyning/kraftproduksjon/vannkraft/vannkraftdatabase/" TargetMode="External"/><Relationship Id="rId3851" Type="http://schemas.openxmlformats.org/officeDocument/2006/relationships/hyperlink" Target="https://www.nve.no/energiforsyning/kraftproduksjon/vannkraft/vannkraftdatabase/" TargetMode="External"/><Relationship Id="rId4902" Type="http://schemas.openxmlformats.org/officeDocument/2006/relationships/hyperlink" Target="https://www.verbund.com/de-at/ueber-verbund/kraftwerke/unsere-kraftwerke" TargetMode="External"/><Relationship Id="rId358" Type="http://schemas.openxmlformats.org/officeDocument/2006/relationships/hyperlink" Target="http://gpi.tge.pl/en/wykaz-jednostek" TargetMode="External"/><Relationship Id="rId565" Type="http://schemas.openxmlformats.org/officeDocument/2006/relationships/hyperlink" Target="https://www.ceps.cz/cs/priprava-provozu" TargetMode="External"/><Relationship Id="rId7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39" Type="http://schemas.openxmlformats.org/officeDocument/2006/relationships/hyperlink" Target="https://sede.minetur.gob.es/en-US/datosabiertos/catalogo/registro-productores-electrica" TargetMode="External"/><Relationship Id="rId2246" Type="http://schemas.openxmlformats.org/officeDocument/2006/relationships/hyperlink" Target="https://sede.minetur.gob.es/en-US/datosabiertos/catalogo/registro-productores-electrica" TargetMode="External"/><Relationship Id="rId2453" Type="http://schemas.openxmlformats.org/officeDocument/2006/relationships/hyperlink" Target="https://sede.minetur.gob.es/en-US/datosabiertos/catalogo/registro-productores-electrica" TargetMode="External"/><Relationship Id="rId2660" Type="http://schemas.openxmlformats.org/officeDocument/2006/relationships/hyperlink" Target="https://sede.minetur.gob.es/en-US/datosabiertos/catalogo/registro-productores-electrica" TargetMode="External"/><Relationship Id="rId3504" Type="http://schemas.openxmlformats.org/officeDocument/2006/relationships/hyperlink" Target="https://www.nve.no/energiforsyning/kraftproduksjon/vannkraft/vannkraftdatabase/" TargetMode="External"/><Relationship Id="rId3711" Type="http://schemas.openxmlformats.org/officeDocument/2006/relationships/hyperlink" Target="https://www.nve.no/energiforsyning/kraftproduksjon/vannkraft/vannkraftdatabase/" TargetMode="External"/><Relationship Id="rId218" Type="http://schemas.openxmlformats.org/officeDocument/2006/relationships/hyperlink" Target="https://www.services-rte.com/en/view-data-published-by-rte/production-installed-capacity.html" TargetMode="External"/><Relationship Id="rId425" Type="http://schemas.openxmlformats.org/officeDocument/2006/relationships/hyperlink" Target="https://www.ceps.cz/cs/priprava-provozu" TargetMode="External"/><Relationship Id="rId6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2" Type="http://schemas.openxmlformats.org/officeDocument/2006/relationships/hyperlink" Target="http://www2018.terna.it/it-it/sistemaelettrico/transparencyreport/generation/installedgenerationcapacity.aspx" TargetMode="External"/><Relationship Id="rId2106" Type="http://schemas.openxmlformats.org/officeDocument/2006/relationships/hyperlink" Target="https://sede.minetur.gob.es/en-US/datosabiertos/catalogo/registro-productores-electrica" TargetMode="External"/><Relationship Id="rId2313" Type="http://schemas.openxmlformats.org/officeDocument/2006/relationships/hyperlink" Target="https://sede.minetur.gob.es/en-US/datosabiertos/catalogo/registro-productores-electrica" TargetMode="External"/><Relationship Id="rId2520" Type="http://schemas.openxmlformats.org/officeDocument/2006/relationships/hyperlink" Target="https://sede.minetur.gob.es/en-US/datosabiertos/catalogo/registro-productores-electrica" TargetMode="External"/><Relationship Id="rId11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78" Type="http://schemas.openxmlformats.org/officeDocument/2006/relationships/hyperlink" Target="https://www.nve.no/energiforsyning/kraftproduksjon/vannkraft/vannkraftdatabase/" TargetMode="External"/><Relationship Id="rId4485" Type="http://schemas.openxmlformats.org/officeDocument/2006/relationships/hyperlink" Target="https://www.nve.no/energiforsyning/kraftproduksjon/vannkraft/vannkraftdatabase/" TargetMode="External"/><Relationship Id="rId3087" Type="http://schemas.openxmlformats.org/officeDocument/2006/relationships/hyperlink" Target="https://www.gov.uk/government/statistics/electricity-chapter-5-digest-of-united-kingdom-energy-statistics-dukes" TargetMode="External"/><Relationship Id="rId3294" Type="http://schemas.openxmlformats.org/officeDocument/2006/relationships/hyperlink" Target="https://www.nve.no/energiforsyning/kraftproduksjon/vannkraft/vannkraftdatabase/" TargetMode="External"/><Relationship Id="rId4138" Type="http://schemas.openxmlformats.org/officeDocument/2006/relationships/hyperlink" Target="https://www.nve.no/energiforsyning/kraftproduksjon/vannkraft/vannkraftdatabase/" TargetMode="External"/><Relationship Id="rId4345" Type="http://schemas.openxmlformats.org/officeDocument/2006/relationships/hyperlink" Target="https://www.nve.no/energiforsyning/kraftproduksjon/vannkraft/vannkraftdatabase/" TargetMode="External"/><Relationship Id="rId4692" Type="http://schemas.openxmlformats.org/officeDocument/2006/relationships/hyperlink" Target="https://www.nve.no/energiforsyning/kraftproduksjon/vannkraft/vannkraftdatabase/" TargetMode="External"/><Relationship Id="rId1939" Type="http://schemas.openxmlformats.org/officeDocument/2006/relationships/hyperlink" Target="https://sede.minetur.gob.es/en-US/datosabiertos/catalogo/registro-productores-electrica" TargetMode="External"/><Relationship Id="rId4552" Type="http://schemas.openxmlformats.org/officeDocument/2006/relationships/hyperlink" Target="https://www.nve.no/energiforsyning/kraftproduksjon/vannkraft/vannkraftdatabase/" TargetMode="External"/><Relationship Id="rId3154" Type="http://schemas.openxmlformats.org/officeDocument/2006/relationships/hyperlink" Target="https://www.nve.no/energiforsyning/kraftproduksjon/vannkraft/vannkraftdatabase/" TargetMode="External"/><Relationship Id="rId3361" Type="http://schemas.openxmlformats.org/officeDocument/2006/relationships/hyperlink" Target="https://www.nve.no/energiforsyning/kraftproduksjon/vannkraft/vannkraftdatabase/" TargetMode="External"/><Relationship Id="rId4205" Type="http://schemas.openxmlformats.org/officeDocument/2006/relationships/hyperlink" Target="https://www.nve.no/energiforsyning/kraftproduksjon/vannkraft/vannkraftdatabase/" TargetMode="External"/><Relationship Id="rId4412" Type="http://schemas.openxmlformats.org/officeDocument/2006/relationships/hyperlink" Target="https://www.nve.no/energiforsyning/kraftproduksjon/vannkraft/vannkraftdatabase/" TargetMode="External"/><Relationship Id="rId282" Type="http://schemas.openxmlformats.org/officeDocument/2006/relationships/hyperlink" Target="https://www.services-rte.com/en/view-data-published-by-rte/production-installed-capacity.html" TargetMode="External"/><Relationship Id="rId2170" Type="http://schemas.openxmlformats.org/officeDocument/2006/relationships/hyperlink" Target="https://sede.minetur.gob.es/en-US/datosabiertos/catalogo/registro-productores-electrica" TargetMode="External"/><Relationship Id="rId3014" Type="http://schemas.openxmlformats.org/officeDocument/2006/relationships/hyperlink" Target="https://www.gov.uk/government/statistics/electricity-chapter-5-digest-of-united-kingdom-energy-statistics-dukes" TargetMode="External"/><Relationship Id="rId3221" Type="http://schemas.openxmlformats.org/officeDocument/2006/relationships/hyperlink" Target="https://www.nve.no/energiforsyning/kraftproduksjon/vannkraft/vannkraftdatabase/" TargetMode="External"/><Relationship Id="rId8" Type="http://schemas.openxmlformats.org/officeDocument/2006/relationships/hyperlink" Target="https://www.elia.be/en/grid-data/power-generation/generating-facilities" TargetMode="External"/><Relationship Id="rId142" Type="http://schemas.openxmlformats.org/officeDocument/2006/relationships/hyperlink" Target="https://www.tennet.org/english/operational_management/export_data.aspx" TargetMode="External"/><Relationship Id="rId2030" Type="http://schemas.openxmlformats.org/officeDocument/2006/relationships/hyperlink" Target="https://sede.minetur.gob.es/en-US/datosabiertos/catalogo/registro-productores-electrica" TargetMode="External"/><Relationship Id="rId2987" Type="http://schemas.openxmlformats.org/officeDocument/2006/relationships/hyperlink" Target="https://www.gov.uk/government/statistics/electricity-chapter-5-digest-of-united-kingdom-energy-statistics-dukes" TargetMode="External"/><Relationship Id="rId9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9" Type="http://schemas.openxmlformats.org/officeDocument/2006/relationships/hyperlink" Target="https://energiavirasto.fi/toimitusvarmuus" TargetMode="External"/><Relationship Id="rId1449" Type="http://schemas.openxmlformats.org/officeDocument/2006/relationships/hyperlink" Target="https://energiavirasto.fi/toimitusvarmuus" TargetMode="External"/><Relationship Id="rId1796" Type="http://schemas.openxmlformats.org/officeDocument/2006/relationships/hyperlink" Target="https://sede.minetur.gob.es/en-US/datosabiertos/catalogo/registro-productores-electrica" TargetMode="External"/><Relationship Id="rId2847" Type="http://schemas.openxmlformats.org/officeDocument/2006/relationships/hyperlink" Target="https://sede.minetur.gob.es/en-US/datosabiertos/catalogo/registro-productores-electrica" TargetMode="External"/><Relationship Id="rId4062" Type="http://schemas.openxmlformats.org/officeDocument/2006/relationships/hyperlink" Target="https://www.nve.no/energiforsyning/kraftproduksjon/vannkraft/vannkraftdatabase/" TargetMode="External"/><Relationship Id="rId88" Type="http://schemas.openxmlformats.org/officeDocument/2006/relationships/hyperlink" Target="https://www.elia.be/en/grid-data/power-generation/generating-facilities" TargetMode="External"/><Relationship Id="rId8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56" Type="http://schemas.openxmlformats.org/officeDocument/2006/relationships/hyperlink" Target="https://energiavirasto.fi/toimitusvarmuus" TargetMode="External"/><Relationship Id="rId1863" Type="http://schemas.openxmlformats.org/officeDocument/2006/relationships/hyperlink" Target="https://sede.minetur.gob.es/en-US/datosabiertos/catalogo/registro-productores-electrica" TargetMode="External"/><Relationship Id="rId2707" Type="http://schemas.openxmlformats.org/officeDocument/2006/relationships/hyperlink" Target="https://sede.minetur.gob.es/en-US/datosabiertos/catalogo/registro-productores-electrica" TargetMode="External"/><Relationship Id="rId2914" Type="http://schemas.openxmlformats.org/officeDocument/2006/relationships/hyperlink" Target="https://www.gov.uk/government/statistics/electricity-chapter-5-digest-of-united-kingdom-energy-statistics-dukes" TargetMode="External"/><Relationship Id="rId1309" Type="http://schemas.openxmlformats.org/officeDocument/2006/relationships/hyperlink" Target="http://www2018.terna.it/it-it/sistemaelettrico/transparencyreport/generation/installedgenerationcapacity.aspx" TargetMode="External"/><Relationship Id="rId1516" Type="http://schemas.openxmlformats.org/officeDocument/2006/relationships/hyperlink" Target="https://energiavirasto.fi/toimitusvarmuus" TargetMode="External"/><Relationship Id="rId1723" Type="http://schemas.openxmlformats.org/officeDocument/2006/relationships/hyperlink" Target="https://sede.minetur.gob.es/en-US/datosabiertos/catalogo/registro-productores-electrica" TargetMode="External"/><Relationship Id="rId1930" Type="http://schemas.openxmlformats.org/officeDocument/2006/relationships/hyperlink" Target="https://sede.minetur.gob.es/en-US/datosabiertos/catalogo/registro-productores-electrica" TargetMode="External"/><Relationship Id="rId4879" Type="http://schemas.openxmlformats.org/officeDocument/2006/relationships/hyperlink" Target="https://www.seng.si/en/hydropower-plants/large-hydropower-plants/" TargetMode="External"/><Relationship Id="rId15" Type="http://schemas.openxmlformats.org/officeDocument/2006/relationships/hyperlink" Target="https://www.elia.be/en/grid-data/power-generation/generating-facilities" TargetMode="External"/><Relationship Id="rId3688" Type="http://schemas.openxmlformats.org/officeDocument/2006/relationships/hyperlink" Target="https://www.nve.no/energiforsyning/kraftproduksjon/vannkraft/vannkraftdatabase/" TargetMode="External"/><Relationship Id="rId3895" Type="http://schemas.openxmlformats.org/officeDocument/2006/relationships/hyperlink" Target="https://www.nve.no/energiforsyning/kraftproduksjon/vannkraft/vannkraftdatabase/" TargetMode="External"/><Relationship Id="rId4739" Type="http://schemas.openxmlformats.org/officeDocument/2006/relationships/hyperlink" Target="https://www.nve.no/energiforsyning/kraftproduksjon/vannkraft/vannkraftdatabase/" TargetMode="External"/><Relationship Id="rId4946" Type="http://schemas.openxmlformats.org/officeDocument/2006/relationships/hyperlink" Target="https://www.verbund.com/de-at/ueber-verbund/kraftwerke/unsere-kraftwerke" TargetMode="External"/><Relationship Id="rId2497" Type="http://schemas.openxmlformats.org/officeDocument/2006/relationships/hyperlink" Target="https://sede.minetur.gob.es/en-US/datosabiertos/catalogo/registro-productores-electrica" TargetMode="External"/><Relationship Id="rId3548" Type="http://schemas.openxmlformats.org/officeDocument/2006/relationships/hyperlink" Target="https://www.nve.no/energiforsyning/kraftproduksjon/vannkraft/vannkraftdatabase/" TargetMode="External"/><Relationship Id="rId3755" Type="http://schemas.openxmlformats.org/officeDocument/2006/relationships/hyperlink" Target="https://www.nve.no/energiforsyning/kraftproduksjon/vannkraft/vannkraftdatabase/" TargetMode="External"/><Relationship Id="rId4806" Type="http://schemas.openxmlformats.org/officeDocument/2006/relationships/hyperlink" Target="http://www.he-ss.si/eng/he-blanca-general-info.html" TargetMode="External"/><Relationship Id="rId469" Type="http://schemas.openxmlformats.org/officeDocument/2006/relationships/hyperlink" Target="https://www.ceps.cz/cs/priprava-provozu" TargetMode="External"/><Relationship Id="rId6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7" Type="http://schemas.openxmlformats.org/officeDocument/2006/relationships/hyperlink" Target="https://sede.minetur.gob.es/en-US/datosabiertos/catalogo/registro-productores-electrica" TargetMode="External"/><Relationship Id="rId2564" Type="http://schemas.openxmlformats.org/officeDocument/2006/relationships/hyperlink" Target="https://sede.minetur.gob.es/en-US/datosabiertos/catalogo/registro-productores-electrica" TargetMode="External"/><Relationship Id="rId3408" Type="http://schemas.openxmlformats.org/officeDocument/2006/relationships/hyperlink" Target="https://www.nve.no/energiforsyning/kraftproduksjon/vannkraft/vannkraftdatabase/" TargetMode="External"/><Relationship Id="rId3615" Type="http://schemas.openxmlformats.org/officeDocument/2006/relationships/hyperlink" Target="https://www.nve.no/energiforsyning/kraftproduksjon/vannkraft/vannkraftdatabase/" TargetMode="External"/><Relationship Id="rId3962" Type="http://schemas.openxmlformats.org/officeDocument/2006/relationships/hyperlink" Target="https://www.nve.no/energiforsyning/kraftproduksjon/vannkraft/vannkraftdatabase/" TargetMode="External"/><Relationship Id="rId329" Type="http://schemas.openxmlformats.org/officeDocument/2006/relationships/hyperlink" Target="http://gpi.tge.pl/en/wykaz-jednostek" TargetMode="External"/><Relationship Id="rId536" Type="http://schemas.openxmlformats.org/officeDocument/2006/relationships/hyperlink" Target="https://www.ceps.cz/cs/priprava-provozu" TargetMode="External"/><Relationship Id="rId11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3" Type="http://schemas.openxmlformats.org/officeDocument/2006/relationships/hyperlink" Target="http://www2018.terna.it/it-it/sistemaelettrico/transparencyreport/generation/installedgenerationcapacity.aspx" TargetMode="External"/><Relationship Id="rId2217" Type="http://schemas.openxmlformats.org/officeDocument/2006/relationships/hyperlink" Target="https://sede.minetur.gob.es/en-US/datosabiertos/catalogo/registro-productores-electrica" TargetMode="External"/><Relationship Id="rId2771" Type="http://schemas.openxmlformats.org/officeDocument/2006/relationships/hyperlink" Target="https://sede.minetur.gob.es/en-US/datosabiertos/catalogo/registro-productores-electrica" TargetMode="External"/><Relationship Id="rId3822" Type="http://schemas.openxmlformats.org/officeDocument/2006/relationships/hyperlink" Target="https://www.nve.no/energiforsyning/kraftproduksjon/vannkraft/vannkraftdatabase/" TargetMode="External"/><Relationship Id="rId7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0" Type="http://schemas.openxmlformats.org/officeDocument/2006/relationships/hyperlink" Target="https://energiavirasto.fi/toimitusvarmuus" TargetMode="External"/><Relationship Id="rId2424" Type="http://schemas.openxmlformats.org/officeDocument/2006/relationships/hyperlink" Target="https://sede.minetur.gob.es/en-US/datosabiertos/catalogo/registro-productores-electrica" TargetMode="External"/><Relationship Id="rId2631" Type="http://schemas.openxmlformats.org/officeDocument/2006/relationships/hyperlink" Target="https://sede.minetur.gob.es/en-US/datosabiertos/catalogo/registro-productores-electrica" TargetMode="External"/><Relationship Id="rId4389" Type="http://schemas.openxmlformats.org/officeDocument/2006/relationships/hyperlink" Target="https://www.nve.no/energiforsyning/kraftproduksjon/vannkraft/vannkraftdatabase/" TargetMode="External"/><Relationship Id="rId6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0" Type="http://schemas.openxmlformats.org/officeDocument/2006/relationships/hyperlink" Target="https://energiavirasto.fi/toimitusvarmuus" TargetMode="External"/><Relationship Id="rId4596" Type="http://schemas.openxmlformats.org/officeDocument/2006/relationships/hyperlink" Target="https://www.nve.no/energiforsyning/kraftproduksjon/vannkraft/vannkraftdatabase/" TargetMode="External"/><Relationship Id="rId1300" Type="http://schemas.openxmlformats.org/officeDocument/2006/relationships/hyperlink" Target="http://www2018.terna.it/it-it/sistemaelettrico/transparencyreport/generation/installedgenerationcapacity.aspx" TargetMode="External"/><Relationship Id="rId3198" Type="http://schemas.openxmlformats.org/officeDocument/2006/relationships/hyperlink" Target="https://www.nve.no/energiforsyning/kraftproduksjon/vannkraft/vannkraftdatabase/" TargetMode="External"/><Relationship Id="rId4249" Type="http://schemas.openxmlformats.org/officeDocument/2006/relationships/hyperlink" Target="https://www.nve.no/energiforsyning/kraftproduksjon/vannkraft/vannkraftdatabase/" TargetMode="External"/><Relationship Id="rId4456" Type="http://schemas.openxmlformats.org/officeDocument/2006/relationships/hyperlink" Target="https://www.nve.no/energiforsyning/kraftproduksjon/vannkraft/vannkraftdatabase/" TargetMode="External"/><Relationship Id="rId4663" Type="http://schemas.openxmlformats.org/officeDocument/2006/relationships/hyperlink" Target="https://www.nve.no/energiforsyning/kraftproduksjon/vannkraft/vannkraftdatabase/" TargetMode="External"/><Relationship Id="rId4870" Type="http://schemas.openxmlformats.org/officeDocument/2006/relationships/hyperlink" Target="https://www.seng.si/en/hydropower-plants/small-hydropower-plants/" TargetMode="External"/><Relationship Id="rId3058" Type="http://schemas.openxmlformats.org/officeDocument/2006/relationships/hyperlink" Target="https://www.gov.uk/government/statistics/electricity-chapter-5-digest-of-united-kingdom-energy-statistics-dukes" TargetMode="External"/><Relationship Id="rId3265" Type="http://schemas.openxmlformats.org/officeDocument/2006/relationships/hyperlink" Target="https://www.nve.no/energiforsyning/kraftproduksjon/vannkraft/vannkraftdatabase/" TargetMode="External"/><Relationship Id="rId3472" Type="http://schemas.openxmlformats.org/officeDocument/2006/relationships/hyperlink" Target="https://www.nve.no/energiforsyning/kraftproduksjon/vannkraft/vannkraftdatabase/" TargetMode="External"/><Relationship Id="rId4109" Type="http://schemas.openxmlformats.org/officeDocument/2006/relationships/hyperlink" Target="https://www.nve.no/energiforsyning/kraftproduksjon/vannkraft/vannkraftdatabase/" TargetMode="External"/><Relationship Id="rId4316" Type="http://schemas.openxmlformats.org/officeDocument/2006/relationships/hyperlink" Target="https://www.nve.no/energiforsyning/kraftproduksjon/vannkraft/vannkraftdatabase/" TargetMode="External"/><Relationship Id="rId4523" Type="http://schemas.openxmlformats.org/officeDocument/2006/relationships/hyperlink" Target="https://www.nve.no/energiforsyning/kraftproduksjon/vannkraft/vannkraftdatabase/" TargetMode="External"/><Relationship Id="rId4730" Type="http://schemas.openxmlformats.org/officeDocument/2006/relationships/hyperlink" Target="https://www.nve.no/energiforsyning/kraftproduksjon/vannkraft/vannkraftdatabase/" TargetMode="External"/><Relationship Id="rId186" Type="http://schemas.openxmlformats.org/officeDocument/2006/relationships/hyperlink" Target="https://www.services-rte.com/en/view-data-published-by-rte/production-installed-capacity.html" TargetMode="External"/><Relationship Id="rId393" Type="http://schemas.openxmlformats.org/officeDocument/2006/relationships/hyperlink" Target="http://gpi.tge.pl/en/wykaz-jednostek" TargetMode="External"/><Relationship Id="rId2074" Type="http://schemas.openxmlformats.org/officeDocument/2006/relationships/hyperlink" Target="https://sede.minetur.gob.es/en-US/datosabiertos/catalogo/registro-productores-electrica" TargetMode="External"/><Relationship Id="rId2281" Type="http://schemas.openxmlformats.org/officeDocument/2006/relationships/hyperlink" Target="https://sede.minetur.gob.es/en-US/datosabiertos/catalogo/registro-productores-electrica" TargetMode="External"/><Relationship Id="rId3125" Type="http://schemas.openxmlformats.org/officeDocument/2006/relationships/hyperlink" Target="https://www.nve.no/energiforsyning/kraftproduksjon/vannkraft/vannkraftdatabase/" TargetMode="External"/><Relationship Id="rId3332" Type="http://schemas.openxmlformats.org/officeDocument/2006/relationships/hyperlink" Target="https://www.nve.no/energiforsyning/kraftproduksjon/vannkraft/vannkraftdatabase/" TargetMode="External"/><Relationship Id="rId253" Type="http://schemas.openxmlformats.org/officeDocument/2006/relationships/hyperlink" Target="https://www.services-rte.com/en/view-data-published-by-rte/production-installed-capacity.html" TargetMode="External"/><Relationship Id="rId460" Type="http://schemas.openxmlformats.org/officeDocument/2006/relationships/hyperlink" Target="https://www.ceps.cz/cs/priprava-provozu" TargetMode="External"/><Relationship Id="rId10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1" Type="http://schemas.openxmlformats.org/officeDocument/2006/relationships/hyperlink" Target="https://sede.minetur.gob.es/en-US/datosabiertos/catalogo/registro-productores-electrica" TargetMode="External"/><Relationship Id="rId113" Type="http://schemas.openxmlformats.org/officeDocument/2006/relationships/hyperlink" Target="https://www.tennet.org/english/operational_management/export_data.aspx" TargetMode="External"/><Relationship Id="rId320" Type="http://schemas.openxmlformats.org/officeDocument/2006/relationships/hyperlink" Target="http://gpi.tge.pl/en/wykaz-jednostek" TargetMode="External"/><Relationship Id="rId2001" Type="http://schemas.openxmlformats.org/officeDocument/2006/relationships/hyperlink" Target="https://sede.minetur.gob.es/en-US/datosabiertos/catalogo/registro-productores-electrica" TargetMode="External"/><Relationship Id="rId2958" Type="http://schemas.openxmlformats.org/officeDocument/2006/relationships/hyperlink" Target="https://www.gov.uk/government/statistics/electricity-chapter-5-digest-of-united-kingdom-energy-statistics-dukes" TargetMode="External"/><Relationship Id="rId5017" Type="http://schemas.openxmlformats.org/officeDocument/2006/relationships/hyperlink" Target="https://umwelterklaerung.wienenergie.at/downloads/WienEnergie_Umwelterkl%C3%A4rung_2019_screen.pdf" TargetMode="External"/><Relationship Id="rId1767" Type="http://schemas.openxmlformats.org/officeDocument/2006/relationships/hyperlink" Target="https://sede.minetur.gob.es/en-US/datosabiertos/catalogo/registro-productores-electrica" TargetMode="External"/><Relationship Id="rId1974" Type="http://schemas.openxmlformats.org/officeDocument/2006/relationships/hyperlink" Target="https://sede.minetur.gob.es/en-US/datosabiertos/catalogo/registro-productores-electrica" TargetMode="External"/><Relationship Id="rId2818" Type="http://schemas.openxmlformats.org/officeDocument/2006/relationships/hyperlink" Target="https://sede.minetur.gob.es/en-US/datosabiertos/catalogo/registro-productores-electrica" TargetMode="External"/><Relationship Id="rId4173" Type="http://schemas.openxmlformats.org/officeDocument/2006/relationships/hyperlink" Target="https://www.nve.no/energiforsyning/kraftproduksjon/vannkraft/vannkraftdatabase/" TargetMode="External"/><Relationship Id="rId4380" Type="http://schemas.openxmlformats.org/officeDocument/2006/relationships/hyperlink" Target="https://www.nve.no/energiforsyning/kraftproduksjon/vannkraft/vannkraftdatabase/" TargetMode="External"/><Relationship Id="rId59" Type="http://schemas.openxmlformats.org/officeDocument/2006/relationships/hyperlink" Target="https://www.elia.be/en/grid-data/power-generation/generating-facilities" TargetMode="External"/><Relationship Id="rId1627" Type="http://schemas.openxmlformats.org/officeDocument/2006/relationships/hyperlink" Target="https://energiavirasto.fi/toimitusvarmuus" TargetMode="External"/><Relationship Id="rId1834" Type="http://schemas.openxmlformats.org/officeDocument/2006/relationships/hyperlink" Target="https://sede.minetur.gob.es/en-US/datosabiertos/catalogo/registro-productores-electrica" TargetMode="External"/><Relationship Id="rId4033" Type="http://schemas.openxmlformats.org/officeDocument/2006/relationships/hyperlink" Target="https://www.nve.no/energiforsyning/kraftproduksjon/vannkraft/vannkraftdatabase/" TargetMode="External"/><Relationship Id="rId4240" Type="http://schemas.openxmlformats.org/officeDocument/2006/relationships/hyperlink" Target="https://www.nve.no/energiforsyning/kraftproduksjon/vannkraft/vannkraftdatabase/" TargetMode="External"/><Relationship Id="rId3799" Type="http://schemas.openxmlformats.org/officeDocument/2006/relationships/hyperlink" Target="https://www.nve.no/energiforsyning/kraftproduksjon/vannkraft/vannkraftdatabase/" TargetMode="External"/><Relationship Id="rId4100" Type="http://schemas.openxmlformats.org/officeDocument/2006/relationships/hyperlink" Target="https://www.nve.no/energiforsyning/kraftproduksjon/vannkraft/vannkraftdatabase/" TargetMode="External"/><Relationship Id="rId1901" Type="http://schemas.openxmlformats.org/officeDocument/2006/relationships/hyperlink" Target="https://sede.minetur.gob.es/en-US/datosabiertos/catalogo/registro-productores-electrica" TargetMode="External"/><Relationship Id="rId3659" Type="http://schemas.openxmlformats.org/officeDocument/2006/relationships/hyperlink" Target="https://www.nve.no/energiforsyning/kraftproduksjon/vannkraft/vannkraftdatabase/" TargetMode="External"/><Relationship Id="rId3866" Type="http://schemas.openxmlformats.org/officeDocument/2006/relationships/hyperlink" Target="https://www.nve.no/energiforsyning/kraftproduksjon/vannkraft/vannkraftdatabase/" TargetMode="External"/><Relationship Id="rId4917" Type="http://schemas.openxmlformats.org/officeDocument/2006/relationships/hyperlink" Target="https://www.verbund.com/de-at/ueber-verbund/kraftwerke/unsere-kraftwerke" TargetMode="External"/><Relationship Id="rId7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8" Type="http://schemas.openxmlformats.org/officeDocument/2006/relationships/hyperlink" Target="https://sede.minetur.gob.es/en-US/datosabiertos/catalogo/registro-productores-electrica" TargetMode="External"/><Relationship Id="rId2675" Type="http://schemas.openxmlformats.org/officeDocument/2006/relationships/hyperlink" Target="https://sede.minetur.gob.es/en-US/datosabiertos/catalogo/registro-productores-electrica" TargetMode="External"/><Relationship Id="rId2882" Type="http://schemas.openxmlformats.org/officeDocument/2006/relationships/hyperlink" Target="https://www.gov.uk/government/statistics/electricity-chapter-5-digest-of-united-kingdom-energy-statistics-dukes" TargetMode="External"/><Relationship Id="rId3519" Type="http://schemas.openxmlformats.org/officeDocument/2006/relationships/hyperlink" Target="https://www.nve.no/energiforsyning/kraftproduksjon/vannkraft/vannkraftdatabase/" TargetMode="External"/><Relationship Id="rId3726" Type="http://schemas.openxmlformats.org/officeDocument/2006/relationships/hyperlink" Target="https://www.nve.no/energiforsyning/kraftproduksjon/vannkraft/vannkraftdatabase/" TargetMode="External"/><Relationship Id="rId3933" Type="http://schemas.openxmlformats.org/officeDocument/2006/relationships/hyperlink" Target="https://www.nve.no/energiforsyning/kraftproduksjon/vannkraft/vannkraftdatabase/" TargetMode="External"/><Relationship Id="rId6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7" Type="http://schemas.openxmlformats.org/officeDocument/2006/relationships/hyperlink" Target="http://www2018.terna.it/it-it/sistemaelettrico/transparencyreport/generation/installedgenerationcapacity.aspx" TargetMode="External"/><Relationship Id="rId1484" Type="http://schemas.openxmlformats.org/officeDocument/2006/relationships/hyperlink" Target="https://energiavirasto.fi/toimitusvarmuus" TargetMode="External"/><Relationship Id="rId1691" Type="http://schemas.openxmlformats.org/officeDocument/2006/relationships/hyperlink" Target="https://energiavirasto.fi/toimitusvarmuus" TargetMode="External"/><Relationship Id="rId2328" Type="http://schemas.openxmlformats.org/officeDocument/2006/relationships/hyperlink" Target="https://sede.minetur.gob.es/en-US/datosabiertos/catalogo/registro-productores-electrica" TargetMode="External"/><Relationship Id="rId2535" Type="http://schemas.openxmlformats.org/officeDocument/2006/relationships/hyperlink" Target="https://sede.minetur.gob.es/en-US/datosabiertos/catalogo/registro-productores-electrica" TargetMode="External"/><Relationship Id="rId2742" Type="http://schemas.openxmlformats.org/officeDocument/2006/relationships/hyperlink" Target="https://sede.minetur.gob.es/en-US/datosabiertos/catalogo/registro-productores-electrica" TargetMode="External"/><Relationship Id="rId507" Type="http://schemas.openxmlformats.org/officeDocument/2006/relationships/hyperlink" Target="https://www.ceps.cz/cs/priprava-provozu" TargetMode="External"/><Relationship Id="rId7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4" Type="http://schemas.openxmlformats.org/officeDocument/2006/relationships/hyperlink" Target="http://www2018.terna.it/it-it/sistemaelettrico/transparencyreport/generation/installedgenerationcapacity.aspx" TargetMode="External"/><Relationship Id="rId1551" Type="http://schemas.openxmlformats.org/officeDocument/2006/relationships/hyperlink" Target="https://energiavirasto.fi/toimitusvarmuus" TargetMode="External"/><Relationship Id="rId2602" Type="http://schemas.openxmlformats.org/officeDocument/2006/relationships/hyperlink" Target="https://sede.minetur.gob.es/en-US/datosabiertos/catalogo/registro-productores-electrica" TargetMode="External"/><Relationship Id="rId50" Type="http://schemas.openxmlformats.org/officeDocument/2006/relationships/hyperlink" Target="https://www.elia.be/en/grid-data/power-generation/generating-facilities" TargetMode="External"/><Relationship Id="rId12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1" Type="http://schemas.openxmlformats.org/officeDocument/2006/relationships/hyperlink" Target="https://energiavirasto.fi/toimitusvarmuus" TargetMode="External"/><Relationship Id="rId4567" Type="http://schemas.openxmlformats.org/officeDocument/2006/relationships/hyperlink" Target="https://www.nve.no/energiforsyning/kraftproduksjon/vannkraft/vannkraftdatabase/" TargetMode="External"/><Relationship Id="rId4774" Type="http://schemas.openxmlformats.org/officeDocument/2006/relationships/hyperlink" Target="https://www.nve.no/energiforsyning/kraftproduksjon/vannkraft/vannkraftdatabase/" TargetMode="External"/><Relationship Id="rId3169" Type="http://schemas.openxmlformats.org/officeDocument/2006/relationships/hyperlink" Target="https://www.nve.no/energiforsyning/kraftproduksjon/vannkraft/vannkraftdatabase/" TargetMode="External"/><Relationship Id="rId3376" Type="http://schemas.openxmlformats.org/officeDocument/2006/relationships/hyperlink" Target="https://www.nve.no/energiforsyning/kraftproduksjon/vannkraft/vannkraftdatabase/" TargetMode="External"/><Relationship Id="rId3583" Type="http://schemas.openxmlformats.org/officeDocument/2006/relationships/hyperlink" Target="https://www.nve.no/energiforsyning/kraftproduksjon/vannkraft/vannkraftdatabase/" TargetMode="External"/><Relationship Id="rId4427" Type="http://schemas.openxmlformats.org/officeDocument/2006/relationships/hyperlink" Target="https://www.nve.no/energiforsyning/kraftproduksjon/vannkraft/vannkraftdatabase/" TargetMode="External"/><Relationship Id="rId4981" Type="http://schemas.openxmlformats.org/officeDocument/2006/relationships/hyperlink" Target="https://www.verbund.com/de-at/ueber-verbund/kraftwerke/unsere-kraftwerke" TargetMode="External"/><Relationship Id="rId297" Type="http://schemas.openxmlformats.org/officeDocument/2006/relationships/hyperlink" Target="https://www.services-rte.com/en/view-data-published-by-rte/production-installed-capacity.html" TargetMode="External"/><Relationship Id="rId2185" Type="http://schemas.openxmlformats.org/officeDocument/2006/relationships/hyperlink" Target="https://sede.minetur.gob.es/en-US/datosabiertos/catalogo/registro-productores-electrica" TargetMode="External"/><Relationship Id="rId2392" Type="http://schemas.openxmlformats.org/officeDocument/2006/relationships/hyperlink" Target="https://sede.minetur.gob.es/en-US/datosabiertos/catalogo/registro-productores-electrica" TargetMode="External"/><Relationship Id="rId3029" Type="http://schemas.openxmlformats.org/officeDocument/2006/relationships/hyperlink" Target="https://www.gov.uk/government/statistics/electricity-chapter-5-digest-of-united-kingdom-energy-statistics-dukes" TargetMode="External"/><Relationship Id="rId3236" Type="http://schemas.openxmlformats.org/officeDocument/2006/relationships/hyperlink" Target="https://www.nve.no/energiforsyning/kraftproduksjon/vannkraft/vannkraftdatabase/" TargetMode="External"/><Relationship Id="rId3790" Type="http://schemas.openxmlformats.org/officeDocument/2006/relationships/hyperlink" Target="https://www.nve.no/energiforsyning/kraftproduksjon/vannkraft/vannkraftdatabase/" TargetMode="External"/><Relationship Id="rId4634" Type="http://schemas.openxmlformats.org/officeDocument/2006/relationships/hyperlink" Target="https://www.nve.no/energiforsyning/kraftproduksjon/vannkraft/vannkraftdatabase/" TargetMode="External"/><Relationship Id="rId4841" Type="http://schemas.openxmlformats.org/officeDocument/2006/relationships/hyperlink" Target="https://www.seng.si/en/hydropower-plants/small-hydropower-plants/" TargetMode="External"/><Relationship Id="rId157" Type="http://schemas.openxmlformats.org/officeDocument/2006/relationships/hyperlink" Target="https://www.tennet.org/english/operational_management/export_data.aspx" TargetMode="External"/><Relationship Id="rId364" Type="http://schemas.openxmlformats.org/officeDocument/2006/relationships/hyperlink" Target="http://gpi.tge.pl/en/wykaz-jednostek" TargetMode="External"/><Relationship Id="rId2045" Type="http://schemas.openxmlformats.org/officeDocument/2006/relationships/hyperlink" Target="https://sede.minetur.gob.es/en-US/datosabiertos/catalogo/registro-productores-electrica" TargetMode="External"/><Relationship Id="rId3443" Type="http://schemas.openxmlformats.org/officeDocument/2006/relationships/hyperlink" Target="https://www.nve.no/energiforsyning/kraftproduksjon/vannkraft/vannkraftdatabase/" TargetMode="External"/><Relationship Id="rId3650" Type="http://schemas.openxmlformats.org/officeDocument/2006/relationships/hyperlink" Target="https://www.nve.no/energiforsyning/kraftproduksjon/vannkraft/vannkraftdatabase/" TargetMode="External"/><Relationship Id="rId4701" Type="http://schemas.openxmlformats.org/officeDocument/2006/relationships/hyperlink" Target="https://www.nve.no/energiforsyning/kraftproduksjon/vannkraft/vannkraftdatabase/" TargetMode="External"/><Relationship Id="rId571" Type="http://schemas.openxmlformats.org/officeDocument/2006/relationships/hyperlink" Target="https://www.ceps.cz/cs/priprava-provozu" TargetMode="External"/><Relationship Id="rId2252" Type="http://schemas.openxmlformats.org/officeDocument/2006/relationships/hyperlink" Target="https://sede.minetur.gob.es/en-US/datosabiertos/catalogo/registro-productores-electrica" TargetMode="External"/><Relationship Id="rId3303" Type="http://schemas.openxmlformats.org/officeDocument/2006/relationships/hyperlink" Target="https://www.nve.no/energiforsyning/kraftproduksjon/vannkraft/vannkraftdatabase/" TargetMode="External"/><Relationship Id="rId3510" Type="http://schemas.openxmlformats.org/officeDocument/2006/relationships/hyperlink" Target="https://www.nve.no/energiforsyning/kraftproduksjon/vannkraft/vannkraftdatabase/" TargetMode="External"/><Relationship Id="rId224" Type="http://schemas.openxmlformats.org/officeDocument/2006/relationships/hyperlink" Target="https://www.services-rte.com/en/view-data-published-by-rte/production-installed-capacity.html" TargetMode="External"/><Relationship Id="rId431" Type="http://schemas.openxmlformats.org/officeDocument/2006/relationships/hyperlink" Target="https://www.ceps.cz/cs/priprava-provozu" TargetMode="External"/><Relationship Id="rId10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12" Type="http://schemas.openxmlformats.org/officeDocument/2006/relationships/hyperlink" Target="https://sede.minetur.gob.es/en-US/datosabiertos/catalogo/registro-productores-electrica" TargetMode="External"/><Relationship Id="rId1878" Type="http://schemas.openxmlformats.org/officeDocument/2006/relationships/hyperlink" Target="https://sede.minetur.gob.es/en-US/datosabiertos/catalogo/registro-productores-electrica" TargetMode="External"/><Relationship Id="rId2929" Type="http://schemas.openxmlformats.org/officeDocument/2006/relationships/hyperlink" Target="https://www.gov.uk/government/statistics/electricity-chapter-5-digest-of-united-kingdom-energy-statistics-dukes" TargetMode="External"/><Relationship Id="rId4077" Type="http://schemas.openxmlformats.org/officeDocument/2006/relationships/hyperlink" Target="https://www.nve.no/energiforsyning/kraftproduksjon/vannkraft/vannkraftdatabase/" TargetMode="External"/><Relationship Id="rId4284" Type="http://schemas.openxmlformats.org/officeDocument/2006/relationships/hyperlink" Target="https://www.nve.no/energiforsyning/kraftproduksjon/vannkraft/vannkraftdatabase/" TargetMode="External"/><Relationship Id="rId4491" Type="http://schemas.openxmlformats.org/officeDocument/2006/relationships/hyperlink" Target="https://www.nve.no/energiforsyning/kraftproduksjon/vannkraft/vannkraftdatabase/" TargetMode="External"/><Relationship Id="rId1738" Type="http://schemas.openxmlformats.org/officeDocument/2006/relationships/hyperlink" Target="https://sede.minetur.gob.es/en-US/datosabiertos/catalogo/registro-productores-electrica" TargetMode="External"/><Relationship Id="rId3093" Type="http://schemas.openxmlformats.org/officeDocument/2006/relationships/hyperlink" Target="https://www.gov.uk/government/statistics/electricity-chapter-5-digest-of-united-kingdom-energy-statistics-dukes" TargetMode="External"/><Relationship Id="rId4144" Type="http://schemas.openxmlformats.org/officeDocument/2006/relationships/hyperlink" Target="https://www.nve.no/energiforsyning/kraftproduksjon/vannkraft/vannkraftdatabase/" TargetMode="External"/><Relationship Id="rId4351" Type="http://schemas.openxmlformats.org/officeDocument/2006/relationships/hyperlink" Target="https://www.nve.no/energiforsyning/kraftproduksjon/vannkraft/vannkraftdatabase/" TargetMode="External"/><Relationship Id="rId1945" Type="http://schemas.openxmlformats.org/officeDocument/2006/relationships/hyperlink" Target="https://sede.minetur.gob.es/en-US/datosabiertos/catalogo/registro-productores-electrica" TargetMode="External"/><Relationship Id="rId3160" Type="http://schemas.openxmlformats.org/officeDocument/2006/relationships/hyperlink" Target="https://www.nve.no/energiforsyning/kraftproduksjon/vannkraft/vannkraftdatabase/" TargetMode="External"/><Relationship Id="rId4004" Type="http://schemas.openxmlformats.org/officeDocument/2006/relationships/hyperlink" Target="https://www.nve.no/energiforsyning/kraftproduksjon/vannkraft/vannkraftdatabase/" TargetMode="External"/><Relationship Id="rId4211" Type="http://schemas.openxmlformats.org/officeDocument/2006/relationships/hyperlink" Target="https://www.nve.no/energiforsyning/kraftproduksjon/vannkraft/vannkraftdatabase/" TargetMode="External"/><Relationship Id="rId1805" Type="http://schemas.openxmlformats.org/officeDocument/2006/relationships/hyperlink" Target="https://sede.minetur.gob.es/en-US/datosabiertos/catalogo/registro-productores-electrica" TargetMode="External"/><Relationship Id="rId3020" Type="http://schemas.openxmlformats.org/officeDocument/2006/relationships/hyperlink" Target="https://www.gov.uk/government/statistics/electricity-chapter-5-digest-of-united-kingdom-energy-statistics-dukes" TargetMode="External"/><Relationship Id="rId3977" Type="http://schemas.openxmlformats.org/officeDocument/2006/relationships/hyperlink" Target="https://www.nve.no/energiforsyning/kraftproduksjon/vannkraft/vannkraftdatabase/" TargetMode="External"/><Relationship Id="rId8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9" Type="http://schemas.openxmlformats.org/officeDocument/2006/relationships/hyperlink" Target="https://sede.minetur.gob.es/en-US/datosabiertos/catalogo/registro-productores-electrica" TargetMode="External"/><Relationship Id="rId2786" Type="http://schemas.openxmlformats.org/officeDocument/2006/relationships/hyperlink" Target="https://sede.minetur.gob.es/en-US/datosabiertos/catalogo/registro-productores-electrica" TargetMode="External"/><Relationship Id="rId2993" Type="http://schemas.openxmlformats.org/officeDocument/2006/relationships/hyperlink" Target="https://www.gov.uk/government/statistics/electricity-chapter-5-digest-of-united-kingdom-energy-statistics-dukes" TargetMode="External"/><Relationship Id="rId3837" Type="http://schemas.openxmlformats.org/officeDocument/2006/relationships/hyperlink" Target="https://www.nve.no/energiforsyning/kraftproduksjon/vannkraft/vannkraftdatabase/" TargetMode="External"/><Relationship Id="rId7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8" Type="http://schemas.openxmlformats.org/officeDocument/2006/relationships/hyperlink" Target="https://energiavirasto.fi/toimitusvarmuus" TargetMode="External"/><Relationship Id="rId1595" Type="http://schemas.openxmlformats.org/officeDocument/2006/relationships/hyperlink" Target="https://energiavirasto.fi/toimitusvarmuus" TargetMode="External"/><Relationship Id="rId2439" Type="http://schemas.openxmlformats.org/officeDocument/2006/relationships/hyperlink" Target="https://sede.minetur.gob.es/en-US/datosabiertos/catalogo/registro-productores-electrica" TargetMode="External"/><Relationship Id="rId2646" Type="http://schemas.openxmlformats.org/officeDocument/2006/relationships/hyperlink" Target="https://sede.minetur.gob.es/en-US/datosabiertos/catalogo/registro-productores-electrica" TargetMode="External"/><Relationship Id="rId2853" Type="http://schemas.openxmlformats.org/officeDocument/2006/relationships/hyperlink" Target="https://www.gov.uk/government/statistics/electricity-chapter-5-digest-of-united-kingdom-energy-statistics-dukes" TargetMode="External"/><Relationship Id="rId3904" Type="http://schemas.openxmlformats.org/officeDocument/2006/relationships/hyperlink" Target="https://www.nve.no/energiforsyning/kraftproduksjon/vannkraft/vannkraftdatabase/" TargetMode="External"/><Relationship Id="rId94" Type="http://schemas.openxmlformats.org/officeDocument/2006/relationships/hyperlink" Target="https://www.tennet.org/english/operational_management/export_data.aspx" TargetMode="External"/><Relationship Id="rId6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8" Type="http://schemas.openxmlformats.org/officeDocument/2006/relationships/hyperlink" Target="http://www2018.terna.it/it-it/sistemaelettrico/transparencyreport/generation/installedgenerationcapacity.aspx" TargetMode="External"/><Relationship Id="rId1455" Type="http://schemas.openxmlformats.org/officeDocument/2006/relationships/hyperlink" Target="https://energiavirasto.fi/toimitusvarmuus" TargetMode="External"/><Relationship Id="rId1662" Type="http://schemas.openxmlformats.org/officeDocument/2006/relationships/hyperlink" Target="https://energiavirasto.fi/toimitusvarmuus" TargetMode="External"/><Relationship Id="rId2506" Type="http://schemas.openxmlformats.org/officeDocument/2006/relationships/hyperlink" Target="https://sede.minetur.gob.es/en-US/datosabiertos/catalogo/registro-productores-electrica" TargetMode="External"/><Relationship Id="rId11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15" Type="http://schemas.openxmlformats.org/officeDocument/2006/relationships/hyperlink" Target="http://www2018.terna.it/it-it/sistemaelettrico/transparencyreport/generation/installedgenerationcapacity.aspx" TargetMode="External"/><Relationship Id="rId2713" Type="http://schemas.openxmlformats.org/officeDocument/2006/relationships/hyperlink" Target="https://sede.minetur.gob.es/en-US/datosabiertos/catalogo/registro-productores-electrica" TargetMode="External"/><Relationship Id="rId2920" Type="http://schemas.openxmlformats.org/officeDocument/2006/relationships/hyperlink" Target="https://www.gov.uk/government/statistics/electricity-chapter-5-digest-of-united-kingdom-energy-statistics-dukes" TargetMode="External"/><Relationship Id="rId4678" Type="http://schemas.openxmlformats.org/officeDocument/2006/relationships/hyperlink" Target="https://www.nve.no/energiforsyning/kraftproduksjon/vannkraft/vannkraftdatabase/" TargetMode="External"/><Relationship Id="rId1522" Type="http://schemas.openxmlformats.org/officeDocument/2006/relationships/hyperlink" Target="https://energiavirasto.fi/toimitusvarmuus" TargetMode="External"/><Relationship Id="rId4885" Type="http://schemas.openxmlformats.org/officeDocument/2006/relationships/hyperlink" Target="http://www.hse.si/en/group-hse/companies-in-slovenia/termoelektrarna-sostanj" TargetMode="External"/><Relationship Id="rId21" Type="http://schemas.openxmlformats.org/officeDocument/2006/relationships/hyperlink" Target="https://www.elia.be/en/grid-data/power-generation/generating-facilities" TargetMode="External"/><Relationship Id="rId2089" Type="http://schemas.openxmlformats.org/officeDocument/2006/relationships/hyperlink" Target="https://sede.minetur.gob.es/en-US/datosabiertos/catalogo/registro-productores-electrica" TargetMode="External"/><Relationship Id="rId3487" Type="http://schemas.openxmlformats.org/officeDocument/2006/relationships/hyperlink" Target="https://www.nve.no/energiforsyning/kraftproduksjon/vannkraft/vannkraftdatabase/" TargetMode="External"/><Relationship Id="rId3694" Type="http://schemas.openxmlformats.org/officeDocument/2006/relationships/hyperlink" Target="https://www.nve.no/energiforsyning/kraftproduksjon/vannkraft/vannkraftdatabase/" TargetMode="External"/><Relationship Id="rId4538" Type="http://schemas.openxmlformats.org/officeDocument/2006/relationships/hyperlink" Target="https://www.nve.no/energiforsyning/kraftproduksjon/vannkraft/vannkraftdatabase/" TargetMode="External"/><Relationship Id="rId4745" Type="http://schemas.openxmlformats.org/officeDocument/2006/relationships/hyperlink" Target="https://www.nve.no/energiforsyning/kraftproduksjon/vannkraft/vannkraftdatabase/" TargetMode="External"/><Relationship Id="rId4952" Type="http://schemas.openxmlformats.org/officeDocument/2006/relationships/hyperlink" Target="https://www.verbund.com/de-at/ueber-verbund/kraftwerke/unsere-kraftwerke" TargetMode="External"/><Relationship Id="rId2296" Type="http://schemas.openxmlformats.org/officeDocument/2006/relationships/hyperlink" Target="https://sede.minetur.gob.es/en-US/datosabiertos/catalogo/registro-productores-electrica" TargetMode="External"/><Relationship Id="rId3347" Type="http://schemas.openxmlformats.org/officeDocument/2006/relationships/hyperlink" Target="https://www.nve.no/energiforsyning/kraftproduksjon/vannkraft/vannkraftdatabase/" TargetMode="External"/><Relationship Id="rId3554" Type="http://schemas.openxmlformats.org/officeDocument/2006/relationships/hyperlink" Target="https://www.nve.no/energiforsyning/kraftproduksjon/vannkraft/vannkraftdatabase/" TargetMode="External"/><Relationship Id="rId3761" Type="http://schemas.openxmlformats.org/officeDocument/2006/relationships/hyperlink" Target="https://www.nve.no/energiforsyning/kraftproduksjon/vannkraft/vannkraftdatabase/" TargetMode="External"/><Relationship Id="rId4605" Type="http://schemas.openxmlformats.org/officeDocument/2006/relationships/hyperlink" Target="https://www.nve.no/energiforsyning/kraftproduksjon/vannkraft/vannkraftdatabase/" TargetMode="External"/><Relationship Id="rId4812" Type="http://schemas.openxmlformats.org/officeDocument/2006/relationships/hyperlink" Target="http://www.he-ss.si/eng/he-bostanj-general-info.html" TargetMode="External"/><Relationship Id="rId268" Type="http://schemas.openxmlformats.org/officeDocument/2006/relationships/hyperlink" Target="https://www.services-rte.com/en/view-data-published-by-rte/production-installed-capacity.html" TargetMode="External"/><Relationship Id="rId475" Type="http://schemas.openxmlformats.org/officeDocument/2006/relationships/hyperlink" Target="https://www.ceps.cz/cs/priprava-provozu" TargetMode="External"/><Relationship Id="rId6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6" Type="http://schemas.openxmlformats.org/officeDocument/2006/relationships/hyperlink" Target="https://sede.minetur.gob.es/en-US/datosabiertos/catalogo/registro-productores-electrica" TargetMode="External"/><Relationship Id="rId2363" Type="http://schemas.openxmlformats.org/officeDocument/2006/relationships/hyperlink" Target="https://sede.minetur.gob.es/en-US/datosabiertos/catalogo/registro-productores-electrica" TargetMode="External"/><Relationship Id="rId2570" Type="http://schemas.openxmlformats.org/officeDocument/2006/relationships/hyperlink" Target="https://sede.minetur.gob.es/en-US/datosabiertos/catalogo/registro-productores-electrica" TargetMode="External"/><Relationship Id="rId3207" Type="http://schemas.openxmlformats.org/officeDocument/2006/relationships/hyperlink" Target="https://www.nve.no/energiforsyning/kraftproduksjon/vannkraft/vannkraftdatabase/" TargetMode="External"/><Relationship Id="rId3414" Type="http://schemas.openxmlformats.org/officeDocument/2006/relationships/hyperlink" Target="https://www.nve.no/energiforsyning/kraftproduksjon/vannkraft/vannkraftdatabase/" TargetMode="External"/><Relationship Id="rId3621" Type="http://schemas.openxmlformats.org/officeDocument/2006/relationships/hyperlink" Target="https://www.nve.no/energiforsyning/kraftproduksjon/vannkraft/vannkraftdatabase/" TargetMode="External"/><Relationship Id="rId128" Type="http://schemas.openxmlformats.org/officeDocument/2006/relationships/hyperlink" Target="https://www.tennet.org/english/operational_management/export_data.aspx" TargetMode="External"/><Relationship Id="rId335" Type="http://schemas.openxmlformats.org/officeDocument/2006/relationships/hyperlink" Target="http://gpi.tge.pl/en/wykaz-jednostek" TargetMode="External"/><Relationship Id="rId542" Type="http://schemas.openxmlformats.org/officeDocument/2006/relationships/hyperlink" Target="https://www.ceps.cz/cs/priprava-provozu" TargetMode="External"/><Relationship Id="rId11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16" Type="http://schemas.openxmlformats.org/officeDocument/2006/relationships/hyperlink" Target="https://sede.minetur.gob.es/en-US/datosabiertos/catalogo/registro-productores-electrica" TargetMode="External"/><Relationship Id="rId2223" Type="http://schemas.openxmlformats.org/officeDocument/2006/relationships/hyperlink" Target="https://sede.minetur.gob.es/en-US/datosabiertos/catalogo/registro-productores-electrica" TargetMode="External"/><Relationship Id="rId2430" Type="http://schemas.openxmlformats.org/officeDocument/2006/relationships/hyperlink" Target="https://sede.minetur.gob.es/en-US/datosabiertos/catalogo/registro-productores-electrica" TargetMode="External"/><Relationship Id="rId402" Type="http://schemas.openxmlformats.org/officeDocument/2006/relationships/hyperlink" Target="http://gpi.tge.pl/en/wykaz-jednostek" TargetMode="External"/><Relationship Id="rId10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88" Type="http://schemas.openxmlformats.org/officeDocument/2006/relationships/hyperlink" Target="https://www.nve.no/energiforsyning/kraftproduksjon/vannkraft/vannkraftdatabase/" TargetMode="External"/><Relationship Id="rId4395" Type="http://schemas.openxmlformats.org/officeDocument/2006/relationships/hyperlink" Target="https://www.nve.no/energiforsyning/kraftproduksjon/vannkraft/vannkraftdatabase/" TargetMode="External"/><Relationship Id="rId1989" Type="http://schemas.openxmlformats.org/officeDocument/2006/relationships/hyperlink" Target="https://sede.minetur.gob.es/en-US/datosabiertos/catalogo/registro-productores-electrica" TargetMode="External"/><Relationship Id="rId4048" Type="http://schemas.openxmlformats.org/officeDocument/2006/relationships/hyperlink" Target="https://www.nve.no/energiforsyning/kraftproduksjon/vannkraft/vannkraftdatabase/" TargetMode="External"/><Relationship Id="rId4255" Type="http://schemas.openxmlformats.org/officeDocument/2006/relationships/hyperlink" Target="https://www.nve.no/energiforsyning/kraftproduksjon/vannkraft/vannkraftdatabase/" TargetMode="External"/><Relationship Id="rId1849" Type="http://schemas.openxmlformats.org/officeDocument/2006/relationships/hyperlink" Target="https://sede.minetur.gob.es/en-US/datosabiertos/catalogo/registro-productores-electrica" TargetMode="External"/><Relationship Id="rId3064" Type="http://schemas.openxmlformats.org/officeDocument/2006/relationships/hyperlink" Target="https://www.gov.uk/government/statistics/electricity-chapter-5-digest-of-united-kingdom-energy-statistics-dukes" TargetMode="External"/><Relationship Id="rId4462" Type="http://schemas.openxmlformats.org/officeDocument/2006/relationships/hyperlink" Target="https://www.nve.no/energiforsyning/kraftproduksjon/vannkraft/vannkraftdatabase/" TargetMode="External"/><Relationship Id="rId192" Type="http://schemas.openxmlformats.org/officeDocument/2006/relationships/hyperlink" Target="https://www.services-rte.com/en/view-data-published-by-rte/production-installed-capacity.html" TargetMode="External"/><Relationship Id="rId1709" Type="http://schemas.openxmlformats.org/officeDocument/2006/relationships/hyperlink" Target="https://sede.minetur.gob.es/en-US/datosabiertos/catalogo/registro-productores-electrica" TargetMode="External"/><Relationship Id="rId1916" Type="http://schemas.openxmlformats.org/officeDocument/2006/relationships/hyperlink" Target="https://sede.minetur.gob.es/en-US/datosabiertos/catalogo/registro-productores-electrica" TargetMode="External"/><Relationship Id="rId3271" Type="http://schemas.openxmlformats.org/officeDocument/2006/relationships/hyperlink" Target="https://www.nve.no/energiforsyning/kraftproduksjon/vannkraft/vannkraftdatabase/" TargetMode="External"/><Relationship Id="rId4115" Type="http://schemas.openxmlformats.org/officeDocument/2006/relationships/hyperlink" Target="https://www.nve.no/energiforsyning/kraftproduksjon/vannkraft/vannkraftdatabase/" TargetMode="External"/><Relationship Id="rId4322" Type="http://schemas.openxmlformats.org/officeDocument/2006/relationships/hyperlink" Target="https://www.nve.no/energiforsyning/kraftproduksjon/vannkraft/vannkraftdatabase/" TargetMode="External"/><Relationship Id="rId2080" Type="http://schemas.openxmlformats.org/officeDocument/2006/relationships/hyperlink" Target="https://sede.minetur.gob.es/en-US/datosabiertos/catalogo/registro-productores-electrica" TargetMode="External"/><Relationship Id="rId3131" Type="http://schemas.openxmlformats.org/officeDocument/2006/relationships/hyperlink" Target="https://www.nve.no/energiforsyning/kraftproduksjon/vannkraft/vannkraftdatabase/" TargetMode="External"/><Relationship Id="rId2897" Type="http://schemas.openxmlformats.org/officeDocument/2006/relationships/hyperlink" Target="https://www.gov.uk/government/statistics/electricity-chapter-5-digest-of-united-kingdom-energy-statistics-dukes" TargetMode="External"/><Relationship Id="rId3948" Type="http://schemas.openxmlformats.org/officeDocument/2006/relationships/hyperlink" Target="https://www.nve.no/energiforsyning/kraftproduksjon/vannkraft/vannkraftdatabase/" TargetMode="External"/><Relationship Id="rId8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9" Type="http://schemas.openxmlformats.org/officeDocument/2006/relationships/hyperlink" Target="https://energiavirasto.fi/toimitusvarmuus" TargetMode="External"/><Relationship Id="rId7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9" Type="http://schemas.openxmlformats.org/officeDocument/2006/relationships/hyperlink" Target="http://www2018.terna.it/it-it/sistemaelettrico/transparencyreport/generation/installedgenerationcapacity.aspx" TargetMode="External"/><Relationship Id="rId2757" Type="http://schemas.openxmlformats.org/officeDocument/2006/relationships/hyperlink" Target="https://sede.minetur.gob.es/en-US/datosabiertos/catalogo/registro-productores-electrica" TargetMode="External"/><Relationship Id="rId2964" Type="http://schemas.openxmlformats.org/officeDocument/2006/relationships/hyperlink" Target="https://www.gov.uk/government/statistics/electricity-chapter-5-digest-of-united-kingdom-energy-statistics-dukes" TargetMode="External"/><Relationship Id="rId3808" Type="http://schemas.openxmlformats.org/officeDocument/2006/relationships/hyperlink" Target="https://www.nve.no/energiforsyning/kraftproduksjon/vannkraft/vannkraftdatabase/" TargetMode="External"/><Relationship Id="rId5023" Type="http://schemas.openxmlformats.org/officeDocument/2006/relationships/hyperlink" Target="https://orsted.com/en/Media/Newsroom/News/2017/10/Denmarks-largest-power-station-replaces-coal-with-wood-pellets" TargetMode="External"/><Relationship Id="rId9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6" Type="http://schemas.openxmlformats.org/officeDocument/2006/relationships/hyperlink" Target="https://energiavirasto.fi/toimitusvarmuus" TargetMode="External"/><Relationship Id="rId1773" Type="http://schemas.openxmlformats.org/officeDocument/2006/relationships/hyperlink" Target="https://sede.minetur.gob.es/en-US/datosabiertos/catalogo/registro-productores-electrica" TargetMode="External"/><Relationship Id="rId1980" Type="http://schemas.openxmlformats.org/officeDocument/2006/relationships/hyperlink" Target="https://sede.minetur.gob.es/en-US/datosabiertos/catalogo/registro-productores-electrica" TargetMode="External"/><Relationship Id="rId2617" Type="http://schemas.openxmlformats.org/officeDocument/2006/relationships/hyperlink" Target="https://sede.minetur.gob.es/en-US/datosabiertos/catalogo/registro-productores-electrica" TargetMode="External"/><Relationship Id="rId2824" Type="http://schemas.openxmlformats.org/officeDocument/2006/relationships/hyperlink" Target="https://sede.minetur.gob.es/en-US/datosabiertos/catalogo/registro-productores-electrica" TargetMode="External"/><Relationship Id="rId65" Type="http://schemas.openxmlformats.org/officeDocument/2006/relationships/hyperlink" Target="https://www.elia.be/en/grid-data/power-generation/generating-facilities" TargetMode="External"/><Relationship Id="rId1426" Type="http://schemas.openxmlformats.org/officeDocument/2006/relationships/hyperlink" Target="https://energiavirasto.fi/toimitusvarmuus" TargetMode="External"/><Relationship Id="rId1633" Type="http://schemas.openxmlformats.org/officeDocument/2006/relationships/hyperlink" Target="https://energiavirasto.fi/toimitusvarmuus" TargetMode="External"/><Relationship Id="rId1840" Type="http://schemas.openxmlformats.org/officeDocument/2006/relationships/hyperlink" Target="https://sede.minetur.gob.es/en-US/datosabiertos/catalogo/registro-productores-electrica" TargetMode="External"/><Relationship Id="rId4789" Type="http://schemas.openxmlformats.org/officeDocument/2006/relationships/hyperlink" Target="https://www.nve.no/media/8967/termiske-kraftverk-i-norge-2019.xlsx" TargetMode="External"/><Relationship Id="rId4996" Type="http://schemas.openxmlformats.org/officeDocument/2006/relationships/hyperlink" Target="https://www.verbund.com/de-at/ueber-verbund/kraftwerke/unsere-kraftwerke" TargetMode="External"/><Relationship Id="rId1700" Type="http://schemas.openxmlformats.org/officeDocument/2006/relationships/hyperlink" Target="https://sede.minetur.gob.es/en-US/datosabiertos/catalogo/registro-productores-electrica" TargetMode="External"/><Relationship Id="rId3598" Type="http://schemas.openxmlformats.org/officeDocument/2006/relationships/hyperlink" Target="https://www.nve.no/energiforsyning/kraftproduksjon/vannkraft/vannkraftdatabase/" TargetMode="External"/><Relationship Id="rId4649" Type="http://schemas.openxmlformats.org/officeDocument/2006/relationships/hyperlink" Target="https://www.nve.no/energiforsyning/kraftproduksjon/vannkraft/vannkraftdatabase/" TargetMode="External"/><Relationship Id="rId4856" Type="http://schemas.openxmlformats.org/officeDocument/2006/relationships/hyperlink" Target="https://www.seng.si/en/hydropower-plants/small-hydropower-plants/" TargetMode="External"/><Relationship Id="rId3458" Type="http://schemas.openxmlformats.org/officeDocument/2006/relationships/hyperlink" Target="https://www.nve.no/energiforsyning/kraftproduksjon/vannkraft/vannkraftdatabase/" TargetMode="External"/><Relationship Id="rId3665" Type="http://schemas.openxmlformats.org/officeDocument/2006/relationships/hyperlink" Target="https://www.nve.no/energiforsyning/kraftproduksjon/vannkraft/vannkraftdatabase/" TargetMode="External"/><Relationship Id="rId3872" Type="http://schemas.openxmlformats.org/officeDocument/2006/relationships/hyperlink" Target="https://www.nve.no/energiforsyning/kraftproduksjon/vannkraft/vannkraftdatabase/" TargetMode="External"/><Relationship Id="rId4509" Type="http://schemas.openxmlformats.org/officeDocument/2006/relationships/hyperlink" Target="https://www.nve.no/energiforsyning/kraftproduksjon/vannkraft/vannkraftdatabase/" TargetMode="External"/><Relationship Id="rId4716" Type="http://schemas.openxmlformats.org/officeDocument/2006/relationships/hyperlink" Target="https://www.nve.no/energiforsyning/kraftproduksjon/vannkraft/vannkraftdatabase/" TargetMode="External"/><Relationship Id="rId379" Type="http://schemas.openxmlformats.org/officeDocument/2006/relationships/hyperlink" Target="http://gpi.tge.pl/en/wykaz-jednostek" TargetMode="External"/><Relationship Id="rId5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7" Type="http://schemas.openxmlformats.org/officeDocument/2006/relationships/hyperlink" Target="https://sede.minetur.gob.es/en-US/datosabiertos/catalogo/registro-productores-electrica" TargetMode="External"/><Relationship Id="rId2474" Type="http://schemas.openxmlformats.org/officeDocument/2006/relationships/hyperlink" Target="https://sede.minetur.gob.es/en-US/datosabiertos/catalogo/registro-productores-electrica" TargetMode="External"/><Relationship Id="rId2681" Type="http://schemas.openxmlformats.org/officeDocument/2006/relationships/hyperlink" Target="https://sede.minetur.gob.es/en-US/datosabiertos/catalogo/registro-productores-electrica" TargetMode="External"/><Relationship Id="rId3318" Type="http://schemas.openxmlformats.org/officeDocument/2006/relationships/hyperlink" Target="https://www.nve.no/energiforsyning/kraftproduksjon/vannkraft/vannkraftdatabase/" TargetMode="External"/><Relationship Id="rId3525" Type="http://schemas.openxmlformats.org/officeDocument/2006/relationships/hyperlink" Target="https://www.nve.no/energiforsyning/kraftproduksjon/vannkraft/vannkraftdatabase/" TargetMode="External"/><Relationship Id="rId4923" Type="http://schemas.openxmlformats.org/officeDocument/2006/relationships/hyperlink" Target="https://www.verbund.com/de-at/ueber-verbund/kraftwerke/unsere-kraftwerke" TargetMode="External"/><Relationship Id="rId239" Type="http://schemas.openxmlformats.org/officeDocument/2006/relationships/hyperlink" Target="https://www.services-rte.com/en/view-data-published-by-rte/production-installed-capacity.html" TargetMode="External"/><Relationship Id="rId446" Type="http://schemas.openxmlformats.org/officeDocument/2006/relationships/hyperlink" Target="https://www.ceps.cz/cs/priprava-provozu" TargetMode="External"/><Relationship Id="rId6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3" Type="http://schemas.openxmlformats.org/officeDocument/2006/relationships/hyperlink" Target="http://www2018.terna.it/it-it/sistemaelettrico/transparencyreport/generation/installedgenerationcapacity.aspx" TargetMode="External"/><Relationship Id="rId1490" Type="http://schemas.openxmlformats.org/officeDocument/2006/relationships/hyperlink" Target="https://energiavirasto.fi/toimitusvarmuus" TargetMode="External"/><Relationship Id="rId2127" Type="http://schemas.openxmlformats.org/officeDocument/2006/relationships/hyperlink" Target="https://sede.minetur.gob.es/en-US/datosabiertos/catalogo/registro-productores-electrica" TargetMode="External"/><Relationship Id="rId2334" Type="http://schemas.openxmlformats.org/officeDocument/2006/relationships/hyperlink" Target="https://sede.minetur.gob.es/en-US/datosabiertos/catalogo/registro-productores-electrica" TargetMode="External"/><Relationship Id="rId3732" Type="http://schemas.openxmlformats.org/officeDocument/2006/relationships/hyperlink" Target="https://www.nve.no/energiforsyning/kraftproduksjon/vannkraft/vannkraftdatabase/" TargetMode="External"/><Relationship Id="rId306" Type="http://schemas.openxmlformats.org/officeDocument/2006/relationships/hyperlink" Target="https://www.services-rte.com/en/view-data-published-by-rte/production-installed-capacity.html" TargetMode="External"/><Relationship Id="rId8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41" Type="http://schemas.openxmlformats.org/officeDocument/2006/relationships/hyperlink" Target="https://sede.minetur.gob.es/en-US/datosabiertos/catalogo/registro-productores-electrica" TargetMode="External"/><Relationship Id="rId4299" Type="http://schemas.openxmlformats.org/officeDocument/2006/relationships/hyperlink" Target="https://www.nve.no/energiforsyning/kraftproduksjon/vannkraft/vannkraftdatabase/" TargetMode="External"/><Relationship Id="rId513" Type="http://schemas.openxmlformats.org/officeDocument/2006/relationships/hyperlink" Target="https://www.ceps.cz/cs/priprava-provozu" TargetMode="External"/><Relationship Id="rId7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0" Type="http://schemas.openxmlformats.org/officeDocument/2006/relationships/hyperlink" Target="http://www2018.terna.it/it-it/sistemaelettrico/transparencyreport/generation/installedgenerationcapacity.aspx" TargetMode="External"/><Relationship Id="rId2401" Type="http://schemas.openxmlformats.org/officeDocument/2006/relationships/hyperlink" Target="https://sede.minetur.gob.es/en-US/datosabiertos/catalogo/registro-productores-electrica" TargetMode="External"/><Relationship Id="rId4159" Type="http://schemas.openxmlformats.org/officeDocument/2006/relationships/hyperlink" Target="https://www.nve.no/energiforsyning/kraftproduksjon/vannkraft/vannkraftdatabase/" TargetMode="External"/><Relationship Id="rId10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66" Type="http://schemas.openxmlformats.org/officeDocument/2006/relationships/hyperlink" Target="https://www.nve.no/energiforsyning/kraftproduksjon/vannkraft/vannkraftdatabase/" TargetMode="External"/><Relationship Id="rId4573" Type="http://schemas.openxmlformats.org/officeDocument/2006/relationships/hyperlink" Target="https://www.nve.no/energiforsyning/kraftproduksjon/vannkraft/vannkraftdatabase/" TargetMode="External"/><Relationship Id="rId4780" Type="http://schemas.openxmlformats.org/officeDocument/2006/relationships/hyperlink" Target="https://www.nve.no/media/8967/termiske-kraftverk-i-norge-2019.xlsx" TargetMode="External"/><Relationship Id="rId3175" Type="http://schemas.openxmlformats.org/officeDocument/2006/relationships/hyperlink" Target="https://www.nve.no/energiforsyning/kraftproduksjon/vannkraft/vannkraftdatabase/" TargetMode="External"/><Relationship Id="rId3382" Type="http://schemas.openxmlformats.org/officeDocument/2006/relationships/hyperlink" Target="https://www.nve.no/energiforsyning/kraftproduksjon/vannkraft/vannkraftdatabase/" TargetMode="External"/><Relationship Id="rId4019" Type="http://schemas.openxmlformats.org/officeDocument/2006/relationships/hyperlink" Target="https://www.nve.no/energiforsyning/kraftproduksjon/vannkraft/vannkraftdatabase/" TargetMode="External"/><Relationship Id="rId4226" Type="http://schemas.openxmlformats.org/officeDocument/2006/relationships/hyperlink" Target="https://www.nve.no/energiforsyning/kraftproduksjon/vannkraft/vannkraftdatabase/" TargetMode="External"/><Relationship Id="rId4433" Type="http://schemas.openxmlformats.org/officeDocument/2006/relationships/hyperlink" Target="https://www.nve.no/energiforsyning/kraftproduksjon/vannkraft/vannkraftdatabase/" TargetMode="External"/><Relationship Id="rId4640" Type="http://schemas.openxmlformats.org/officeDocument/2006/relationships/hyperlink" Target="https://www.nve.no/energiforsyning/kraftproduksjon/vannkraft/vannkraftdatabase/" TargetMode="External"/><Relationship Id="rId2191" Type="http://schemas.openxmlformats.org/officeDocument/2006/relationships/hyperlink" Target="https://sede.minetur.gob.es/en-US/datosabiertos/catalogo/registro-productores-electrica" TargetMode="External"/><Relationship Id="rId3035" Type="http://schemas.openxmlformats.org/officeDocument/2006/relationships/hyperlink" Target="https://www.gov.uk/government/statistics/electricity-chapter-5-digest-of-united-kingdom-energy-statistics-dukes" TargetMode="External"/><Relationship Id="rId3242" Type="http://schemas.openxmlformats.org/officeDocument/2006/relationships/hyperlink" Target="https://www.nve.no/energiforsyning/kraftproduksjon/vannkraft/vannkraftdatabase/" TargetMode="External"/><Relationship Id="rId4500" Type="http://schemas.openxmlformats.org/officeDocument/2006/relationships/hyperlink" Target="https://www.nve.no/energiforsyning/kraftproduksjon/vannkraft/vannkraftdatabase/" TargetMode="External"/><Relationship Id="rId163" Type="http://schemas.openxmlformats.org/officeDocument/2006/relationships/hyperlink" Target="https://www.tennet.org/english/operational_management/export_data.aspx" TargetMode="External"/><Relationship Id="rId370" Type="http://schemas.openxmlformats.org/officeDocument/2006/relationships/hyperlink" Target="http://gpi.tge.pl/en/wykaz-jednostek" TargetMode="External"/><Relationship Id="rId2051" Type="http://schemas.openxmlformats.org/officeDocument/2006/relationships/hyperlink" Target="https://sede.minetur.gob.es/en-US/datosabiertos/catalogo/registro-productores-electrica" TargetMode="External"/><Relationship Id="rId3102" Type="http://schemas.openxmlformats.org/officeDocument/2006/relationships/hyperlink" Target="https://www.nve.no/energiforsyning/kraftproduksjon/vannkraft/vannkraftdatabase/" TargetMode="External"/><Relationship Id="rId230" Type="http://schemas.openxmlformats.org/officeDocument/2006/relationships/hyperlink" Target="https://www.services-rte.com/en/view-data-published-by-rte/production-installed-capacity.html" TargetMode="External"/><Relationship Id="rId2868" Type="http://schemas.openxmlformats.org/officeDocument/2006/relationships/hyperlink" Target="https://www.gov.uk/government/statistics/electricity-chapter-5-digest-of-united-kingdom-energy-statistics-dukes" TargetMode="External"/><Relationship Id="rId3919" Type="http://schemas.openxmlformats.org/officeDocument/2006/relationships/hyperlink" Target="https://www.nve.no/energiforsyning/kraftproduksjon/vannkraft/vannkraftdatabase/" TargetMode="External"/><Relationship Id="rId4083" Type="http://schemas.openxmlformats.org/officeDocument/2006/relationships/hyperlink" Target="https://www.nve.no/energiforsyning/kraftproduksjon/vannkraft/vannkraftdatabase/" TargetMode="External"/><Relationship Id="rId1677" Type="http://schemas.openxmlformats.org/officeDocument/2006/relationships/hyperlink" Target="https://energiavirasto.fi/toimitusvarmuus" TargetMode="External"/><Relationship Id="rId1884" Type="http://schemas.openxmlformats.org/officeDocument/2006/relationships/hyperlink" Target="https://sede.minetur.gob.es/en-US/datosabiertos/catalogo/registro-productores-electrica" TargetMode="External"/><Relationship Id="rId2728" Type="http://schemas.openxmlformats.org/officeDocument/2006/relationships/hyperlink" Target="https://sede.minetur.gob.es/en-US/datosabiertos/catalogo/registro-productores-electrica" TargetMode="External"/><Relationship Id="rId2935" Type="http://schemas.openxmlformats.org/officeDocument/2006/relationships/hyperlink" Target="https://www.gov.uk/government/statistics/electricity-chapter-5-digest-of-united-kingdom-energy-statistics-dukes" TargetMode="External"/><Relationship Id="rId4290" Type="http://schemas.openxmlformats.org/officeDocument/2006/relationships/hyperlink" Target="https://www.nve.no/energiforsyning/kraftproduksjon/vannkraft/vannkraftdatabase/" TargetMode="External"/><Relationship Id="rId9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7" Type="http://schemas.openxmlformats.org/officeDocument/2006/relationships/hyperlink" Target="https://energiavirasto.fi/toimitusvarmuus" TargetMode="External"/><Relationship Id="rId1744" Type="http://schemas.openxmlformats.org/officeDocument/2006/relationships/hyperlink" Target="https://sede.minetur.gob.es/en-US/datosabiertos/catalogo/registro-productores-electrica" TargetMode="External"/><Relationship Id="rId1951" Type="http://schemas.openxmlformats.org/officeDocument/2006/relationships/hyperlink" Target="https://sede.minetur.gob.es/en-US/datosabiertos/catalogo/registro-productores-electrica" TargetMode="External"/><Relationship Id="rId4150" Type="http://schemas.openxmlformats.org/officeDocument/2006/relationships/hyperlink" Target="https://www.nve.no/energiforsyning/kraftproduksjon/vannkraft/vannkraftdatabase/" TargetMode="External"/><Relationship Id="rId36" Type="http://schemas.openxmlformats.org/officeDocument/2006/relationships/hyperlink" Target="https://www.elia.be/en/grid-data/power-generation/generating-facilities" TargetMode="External"/><Relationship Id="rId1604" Type="http://schemas.openxmlformats.org/officeDocument/2006/relationships/hyperlink" Target="https://energiavirasto.fi/toimitusvarmuus" TargetMode="External"/><Relationship Id="rId4010" Type="http://schemas.openxmlformats.org/officeDocument/2006/relationships/hyperlink" Target="https://www.nve.no/energiforsyning/kraftproduksjon/vannkraft/vannkraftdatabase/" TargetMode="External"/><Relationship Id="rId4967" Type="http://schemas.openxmlformats.org/officeDocument/2006/relationships/hyperlink" Target="https://www.verbund.com/de-at/ueber-verbund/kraftwerke/unsere-kraftwerke" TargetMode="External"/><Relationship Id="rId1811" Type="http://schemas.openxmlformats.org/officeDocument/2006/relationships/hyperlink" Target="https://sede.minetur.gob.es/en-US/datosabiertos/catalogo/registro-productores-electrica" TargetMode="External"/><Relationship Id="rId3569" Type="http://schemas.openxmlformats.org/officeDocument/2006/relationships/hyperlink" Target="https://www.nve.no/energiforsyning/kraftproduksjon/vannkraft/vannkraftdatabase/" TargetMode="External"/><Relationship Id="rId6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78" Type="http://schemas.openxmlformats.org/officeDocument/2006/relationships/hyperlink" Target="https://sede.minetur.gob.es/en-US/datosabiertos/catalogo/registro-productores-electrica" TargetMode="External"/><Relationship Id="rId3429" Type="http://schemas.openxmlformats.org/officeDocument/2006/relationships/hyperlink" Target="https://www.nve.no/energiforsyning/kraftproduksjon/vannkraft/vannkraftdatabase/" TargetMode="External"/><Relationship Id="rId3776" Type="http://schemas.openxmlformats.org/officeDocument/2006/relationships/hyperlink" Target="https://www.nve.no/energiforsyning/kraftproduksjon/vannkraft/vannkraftdatabase/" TargetMode="External"/><Relationship Id="rId3983" Type="http://schemas.openxmlformats.org/officeDocument/2006/relationships/hyperlink" Target="https://www.nve.no/energiforsyning/kraftproduksjon/vannkraft/vannkraftdatabase/" TargetMode="External"/><Relationship Id="rId4827" Type="http://schemas.openxmlformats.org/officeDocument/2006/relationships/hyperlink" Target="https://www.seng.si/en/hydropower-plants/large-hydropower-plants/" TargetMode="External"/><Relationship Id="rId11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85" Type="http://schemas.openxmlformats.org/officeDocument/2006/relationships/hyperlink" Target="https://sede.minetur.gob.es/en-US/datosabiertos/catalogo/registro-productores-electrica" TargetMode="External"/><Relationship Id="rId2792" Type="http://schemas.openxmlformats.org/officeDocument/2006/relationships/hyperlink" Target="https://sede.minetur.gob.es/en-US/datosabiertos/catalogo/registro-productores-electrica" TargetMode="External"/><Relationship Id="rId3636" Type="http://schemas.openxmlformats.org/officeDocument/2006/relationships/hyperlink" Target="https://www.nve.no/energiforsyning/kraftproduksjon/vannkraft/vannkraftdatabase/" TargetMode="External"/><Relationship Id="rId3843" Type="http://schemas.openxmlformats.org/officeDocument/2006/relationships/hyperlink" Target="https://www.nve.no/energiforsyning/kraftproduksjon/vannkraft/vannkraftdatabase/" TargetMode="External"/><Relationship Id="rId557" Type="http://schemas.openxmlformats.org/officeDocument/2006/relationships/hyperlink" Target="https://www.ceps.cz/cs/priprava-provozu" TargetMode="External"/><Relationship Id="rId7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4" Type="http://schemas.openxmlformats.org/officeDocument/2006/relationships/hyperlink" Target="https://energiavirasto.fi/toimitusvarmuus" TargetMode="External"/><Relationship Id="rId2238" Type="http://schemas.openxmlformats.org/officeDocument/2006/relationships/hyperlink" Target="https://sede.minetur.gob.es/en-US/datosabiertos/catalogo/registro-productores-electrica" TargetMode="External"/><Relationship Id="rId2445" Type="http://schemas.openxmlformats.org/officeDocument/2006/relationships/hyperlink" Target="https://sede.minetur.gob.es/en-US/datosabiertos/catalogo/registro-productores-electrica" TargetMode="External"/><Relationship Id="rId2652" Type="http://schemas.openxmlformats.org/officeDocument/2006/relationships/hyperlink" Target="https://sede.minetur.gob.es/en-US/datosabiertos/catalogo/registro-productores-electrica" TargetMode="External"/><Relationship Id="rId3703" Type="http://schemas.openxmlformats.org/officeDocument/2006/relationships/hyperlink" Target="https://www.nve.no/energiforsyning/kraftproduksjon/vannkraft/vannkraftdatabase/" TargetMode="External"/><Relationship Id="rId3910" Type="http://schemas.openxmlformats.org/officeDocument/2006/relationships/hyperlink" Target="https://www.nve.no/energiforsyning/kraftproduksjon/vannkraft/vannkraftdatabase/" TargetMode="External"/><Relationship Id="rId417" Type="http://schemas.openxmlformats.org/officeDocument/2006/relationships/hyperlink" Target="http://gpi.tge.pl/en/wykaz-jednostek" TargetMode="External"/><Relationship Id="rId6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4" Type="http://schemas.openxmlformats.org/officeDocument/2006/relationships/hyperlink" Target="http://www2018.terna.it/it-it/sistemaelettrico/transparencyreport/generation/installedgenerationcapacity.aspx" TargetMode="External"/><Relationship Id="rId1461" Type="http://schemas.openxmlformats.org/officeDocument/2006/relationships/hyperlink" Target="https://energiavirasto.fi/toimitusvarmuus" TargetMode="External"/><Relationship Id="rId2305" Type="http://schemas.openxmlformats.org/officeDocument/2006/relationships/hyperlink" Target="https://sede.minetur.gob.es/en-US/datosabiertos/catalogo/registro-productores-electrica" TargetMode="External"/><Relationship Id="rId2512" Type="http://schemas.openxmlformats.org/officeDocument/2006/relationships/hyperlink" Target="https://sede.minetur.gob.es/en-US/datosabiertos/catalogo/registro-productores-electrica" TargetMode="External"/><Relationship Id="rId11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1" Type="http://schemas.openxmlformats.org/officeDocument/2006/relationships/hyperlink" Target="http://www2018.terna.it/it-it/sistemaelettrico/transparencyreport/generation/installedgenerationcapacity.aspx" TargetMode="External"/><Relationship Id="rId4477" Type="http://schemas.openxmlformats.org/officeDocument/2006/relationships/hyperlink" Target="https://www.nve.no/energiforsyning/kraftproduksjon/vannkraft/vannkraftdatabase/" TargetMode="External"/><Relationship Id="rId4684" Type="http://schemas.openxmlformats.org/officeDocument/2006/relationships/hyperlink" Target="https://www.nve.no/energiforsyning/kraftproduksjon/vannkraft/vannkraftdatabase/" TargetMode="External"/><Relationship Id="rId4891" Type="http://schemas.openxmlformats.org/officeDocument/2006/relationships/hyperlink" Target="http://www.dem.si/en-gb/Power-plants-and-generation/General-data" TargetMode="External"/><Relationship Id="rId3079" Type="http://schemas.openxmlformats.org/officeDocument/2006/relationships/hyperlink" Target="https://www.gov.uk/government/statistics/electricity-chapter-5-digest-of-united-kingdom-energy-statistics-dukes" TargetMode="External"/><Relationship Id="rId3286" Type="http://schemas.openxmlformats.org/officeDocument/2006/relationships/hyperlink" Target="https://www.nve.no/energiforsyning/kraftproduksjon/vannkraft/vannkraftdatabase/" TargetMode="External"/><Relationship Id="rId3493" Type="http://schemas.openxmlformats.org/officeDocument/2006/relationships/hyperlink" Target="https://www.nve.no/energiforsyning/kraftproduksjon/vannkraft/vannkraftdatabase/" TargetMode="External"/><Relationship Id="rId4337" Type="http://schemas.openxmlformats.org/officeDocument/2006/relationships/hyperlink" Target="https://www.nve.no/energiforsyning/kraftproduksjon/vannkraft/vannkraftdatabase/" TargetMode="External"/><Relationship Id="rId4544" Type="http://schemas.openxmlformats.org/officeDocument/2006/relationships/hyperlink" Target="https://www.nve.no/energiforsyning/kraftproduksjon/vannkraft/vannkraftdatabase/" TargetMode="External"/><Relationship Id="rId2095" Type="http://schemas.openxmlformats.org/officeDocument/2006/relationships/hyperlink" Target="https://sede.minetur.gob.es/en-US/datosabiertos/catalogo/registro-productores-electrica" TargetMode="External"/><Relationship Id="rId3146" Type="http://schemas.openxmlformats.org/officeDocument/2006/relationships/hyperlink" Target="https://www.nve.no/energiforsyning/kraftproduksjon/vannkraft/vannkraftdatabase/" TargetMode="External"/><Relationship Id="rId3353" Type="http://schemas.openxmlformats.org/officeDocument/2006/relationships/hyperlink" Target="https://www.nve.no/energiforsyning/kraftproduksjon/vannkraft/vannkraftdatabase/" TargetMode="External"/><Relationship Id="rId4751" Type="http://schemas.openxmlformats.org/officeDocument/2006/relationships/hyperlink" Target="https://www.nve.no/energiforsyning/kraftproduksjon/vannkraft/vannkraftdatabase/" TargetMode="External"/><Relationship Id="rId274" Type="http://schemas.openxmlformats.org/officeDocument/2006/relationships/hyperlink" Target="https://www.services-rte.com/en/view-data-published-by-rte/production-installed-capacity.html" TargetMode="External"/><Relationship Id="rId481" Type="http://schemas.openxmlformats.org/officeDocument/2006/relationships/hyperlink" Target="https://www.ceps.cz/cs/priprava-provozu" TargetMode="External"/><Relationship Id="rId2162" Type="http://schemas.openxmlformats.org/officeDocument/2006/relationships/hyperlink" Target="https://sede.minetur.gob.es/en-US/datosabiertos/catalogo/registro-productores-electrica" TargetMode="External"/><Relationship Id="rId3006" Type="http://schemas.openxmlformats.org/officeDocument/2006/relationships/hyperlink" Target="https://www.gov.uk/government/statistics/electricity-chapter-5-digest-of-united-kingdom-energy-statistics-dukes" TargetMode="External"/><Relationship Id="rId3560" Type="http://schemas.openxmlformats.org/officeDocument/2006/relationships/hyperlink" Target="https://www.nve.no/energiforsyning/kraftproduksjon/vannkraft/vannkraftdatabase/" TargetMode="External"/><Relationship Id="rId4404" Type="http://schemas.openxmlformats.org/officeDocument/2006/relationships/hyperlink" Target="https://www.nve.no/energiforsyning/kraftproduksjon/vannkraft/vannkraftdatabase/" TargetMode="External"/><Relationship Id="rId4611" Type="http://schemas.openxmlformats.org/officeDocument/2006/relationships/hyperlink" Target="https://www.nve.no/energiforsyning/kraftproduksjon/vannkraft/vannkraftdatabase/" TargetMode="External"/><Relationship Id="rId134" Type="http://schemas.openxmlformats.org/officeDocument/2006/relationships/hyperlink" Target="https://www.tennet.org/english/operational_management/export_data.aspx" TargetMode="External"/><Relationship Id="rId3213" Type="http://schemas.openxmlformats.org/officeDocument/2006/relationships/hyperlink" Target="https://www.nve.no/energiforsyning/kraftproduksjon/vannkraft/vannkraftdatabase/" TargetMode="External"/><Relationship Id="rId3420" Type="http://schemas.openxmlformats.org/officeDocument/2006/relationships/hyperlink" Target="https://www.nve.no/energiforsyning/kraftproduksjon/vannkraft/vannkraftdatabase/" TargetMode="External"/><Relationship Id="rId341" Type="http://schemas.openxmlformats.org/officeDocument/2006/relationships/hyperlink" Target="http://gpi.tge.pl/en/wykaz-jednostek" TargetMode="External"/><Relationship Id="rId2022" Type="http://schemas.openxmlformats.org/officeDocument/2006/relationships/hyperlink" Target="https://sede.minetur.gob.es/en-US/datosabiertos/catalogo/registro-productores-electrica" TargetMode="External"/><Relationship Id="rId2979" Type="http://schemas.openxmlformats.org/officeDocument/2006/relationships/hyperlink" Target="https://www.gov.uk/government/statistics/electricity-chapter-5-digest-of-united-kingdom-energy-statistics-dukes" TargetMode="External"/><Relationship Id="rId201" Type="http://schemas.openxmlformats.org/officeDocument/2006/relationships/hyperlink" Target="https://www.services-rte.com/en/view-data-published-by-rte/production-installed-capacity.html" TargetMode="External"/><Relationship Id="rId1788" Type="http://schemas.openxmlformats.org/officeDocument/2006/relationships/hyperlink" Target="https://sede.minetur.gob.es/en-US/datosabiertos/catalogo/registro-productores-electrica" TargetMode="External"/><Relationship Id="rId1995" Type="http://schemas.openxmlformats.org/officeDocument/2006/relationships/hyperlink" Target="https://sede.minetur.gob.es/en-US/datosabiertos/catalogo/registro-productores-electrica" TargetMode="External"/><Relationship Id="rId2839" Type="http://schemas.openxmlformats.org/officeDocument/2006/relationships/hyperlink" Target="https://sede.minetur.gob.es/en-US/datosabiertos/catalogo/registro-productores-electrica" TargetMode="External"/><Relationship Id="rId4194" Type="http://schemas.openxmlformats.org/officeDocument/2006/relationships/hyperlink" Target="https://www.nve.no/energiforsyning/kraftproduksjon/vannkraft/vannkraftdatabase/" TargetMode="External"/><Relationship Id="rId5038" Type="http://schemas.openxmlformats.org/officeDocument/2006/relationships/vmlDrawing" Target="../drawings/vmlDrawing1.vml"/><Relationship Id="rId1648" Type="http://schemas.openxmlformats.org/officeDocument/2006/relationships/hyperlink" Target="https://energiavirasto.fi/toimitusvarmuus" TargetMode="External"/><Relationship Id="rId4054" Type="http://schemas.openxmlformats.org/officeDocument/2006/relationships/hyperlink" Target="https://www.nve.no/energiforsyning/kraftproduksjon/vannkraft/vannkraftdatabase/" TargetMode="External"/><Relationship Id="rId4261" Type="http://schemas.openxmlformats.org/officeDocument/2006/relationships/hyperlink" Target="https://www.nve.no/energiforsyning/kraftproduksjon/vannkraft/vannkraftdatabase/" TargetMode="External"/><Relationship Id="rId1508" Type="http://schemas.openxmlformats.org/officeDocument/2006/relationships/hyperlink" Target="https://energiavirasto.fi/toimitusvarmuus" TargetMode="External"/><Relationship Id="rId1855" Type="http://schemas.openxmlformats.org/officeDocument/2006/relationships/hyperlink" Target="https://sede.minetur.gob.es/en-US/datosabiertos/catalogo/registro-productores-electrica" TargetMode="External"/><Relationship Id="rId2906" Type="http://schemas.openxmlformats.org/officeDocument/2006/relationships/hyperlink" Target="https://www.gov.uk/government/statistics/electricity-chapter-5-digest-of-united-kingdom-energy-statistics-dukes" TargetMode="External"/><Relationship Id="rId3070" Type="http://schemas.openxmlformats.org/officeDocument/2006/relationships/hyperlink" Target="https://www.gov.uk/government/statistics/electricity-chapter-5-digest-of-united-kingdom-energy-statistics-dukes" TargetMode="External"/><Relationship Id="rId4121" Type="http://schemas.openxmlformats.org/officeDocument/2006/relationships/hyperlink" Target="https://www.nve.no/energiforsyning/kraftproduksjon/vannkraft/vannkraftdatabase/" TargetMode="External"/><Relationship Id="rId1715" Type="http://schemas.openxmlformats.org/officeDocument/2006/relationships/hyperlink" Target="https://sede.minetur.gob.es/en-US/datosabiertos/catalogo/registro-productores-electrica" TargetMode="External"/><Relationship Id="rId1922" Type="http://schemas.openxmlformats.org/officeDocument/2006/relationships/hyperlink" Target="https://sede.minetur.gob.es/en-US/datosabiertos/catalogo/registro-productores-electrica" TargetMode="External"/><Relationship Id="rId3887" Type="http://schemas.openxmlformats.org/officeDocument/2006/relationships/hyperlink" Target="https://www.nve.no/energiforsyning/kraftproduksjon/vannkraft/vannkraftdatabase/" TargetMode="External"/><Relationship Id="rId4938" Type="http://schemas.openxmlformats.org/officeDocument/2006/relationships/hyperlink" Target="https://www.verbund.com/de-at/ueber-verbund/kraftwerke/unsere-kraftwerke" TargetMode="External"/><Relationship Id="rId2489" Type="http://schemas.openxmlformats.org/officeDocument/2006/relationships/hyperlink" Target="https://sede.minetur.gob.es/en-US/datosabiertos/catalogo/registro-productores-electrica" TargetMode="External"/><Relationship Id="rId2696" Type="http://schemas.openxmlformats.org/officeDocument/2006/relationships/hyperlink" Target="https://sede.minetur.gob.es/en-US/datosabiertos/catalogo/registro-productores-electrica" TargetMode="External"/><Relationship Id="rId3747" Type="http://schemas.openxmlformats.org/officeDocument/2006/relationships/hyperlink" Target="https://www.nve.no/energiforsyning/kraftproduksjon/vannkraft/vannkraftdatabase/" TargetMode="External"/><Relationship Id="rId3954" Type="http://schemas.openxmlformats.org/officeDocument/2006/relationships/hyperlink" Target="https://www.nve.no/energiforsyning/kraftproduksjon/vannkraft/vannkraftdatabase/" TargetMode="External"/><Relationship Id="rId6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8" Type="http://schemas.openxmlformats.org/officeDocument/2006/relationships/hyperlink" Target="http://www2018.terna.it/it-it/sistemaelettrico/transparencyreport/generation/installedgenerationcapacity.aspx" TargetMode="External"/><Relationship Id="rId2349" Type="http://schemas.openxmlformats.org/officeDocument/2006/relationships/hyperlink" Target="https://sede.minetur.gob.es/en-US/datosabiertos/catalogo/registro-productores-electrica" TargetMode="External"/><Relationship Id="rId2556" Type="http://schemas.openxmlformats.org/officeDocument/2006/relationships/hyperlink" Target="https://sede.minetur.gob.es/en-US/datosabiertos/catalogo/registro-productores-electrica" TargetMode="External"/><Relationship Id="rId2763" Type="http://schemas.openxmlformats.org/officeDocument/2006/relationships/hyperlink" Target="https://sede.minetur.gob.es/en-US/datosabiertos/catalogo/registro-productores-electrica" TargetMode="External"/><Relationship Id="rId2970" Type="http://schemas.openxmlformats.org/officeDocument/2006/relationships/hyperlink" Target="https://www.gov.uk/government/statistics/electricity-chapter-5-digest-of-united-kingdom-energy-statistics-dukes" TargetMode="External"/><Relationship Id="rId3607" Type="http://schemas.openxmlformats.org/officeDocument/2006/relationships/hyperlink" Target="https://www.nve.no/energiforsyning/kraftproduksjon/vannkraft/vannkraftdatabase/" TargetMode="External"/><Relationship Id="rId3814" Type="http://schemas.openxmlformats.org/officeDocument/2006/relationships/hyperlink" Target="https://www.nve.no/energiforsyning/kraftproduksjon/vannkraft/vannkraftdatabase/" TargetMode="External"/><Relationship Id="rId528" Type="http://schemas.openxmlformats.org/officeDocument/2006/relationships/hyperlink" Target="https://www.ceps.cz/cs/priprava-provozu" TargetMode="External"/><Relationship Id="rId7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5" Type="http://schemas.openxmlformats.org/officeDocument/2006/relationships/hyperlink" Target="http://www2018.terna.it/it-it/sistemaelettrico/transparencyreport/generation/installedgenerationcapacity.aspx" TargetMode="External"/><Relationship Id="rId1572" Type="http://schemas.openxmlformats.org/officeDocument/2006/relationships/hyperlink" Target="https://energiavirasto.fi/toimitusvarmuus" TargetMode="External"/><Relationship Id="rId2209" Type="http://schemas.openxmlformats.org/officeDocument/2006/relationships/hyperlink" Target="https://sede.minetur.gob.es/en-US/datosabiertos/catalogo/registro-productores-electrica" TargetMode="External"/><Relationship Id="rId2416" Type="http://schemas.openxmlformats.org/officeDocument/2006/relationships/hyperlink" Target="https://sede.minetur.gob.es/en-US/datosabiertos/catalogo/registro-productores-electrica" TargetMode="External"/><Relationship Id="rId2623" Type="http://schemas.openxmlformats.org/officeDocument/2006/relationships/hyperlink" Target="https://sede.minetur.gob.es/en-US/datosabiertos/catalogo/registro-productores-electrica" TargetMode="External"/><Relationship Id="rId10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2" Type="http://schemas.openxmlformats.org/officeDocument/2006/relationships/hyperlink" Target="https://energiavirasto.fi/toimitusvarmuus" TargetMode="External"/><Relationship Id="rId2830" Type="http://schemas.openxmlformats.org/officeDocument/2006/relationships/hyperlink" Target="https://sede.minetur.gob.es/en-US/datosabiertos/catalogo/registro-productores-electrica" TargetMode="External"/><Relationship Id="rId4588" Type="http://schemas.openxmlformats.org/officeDocument/2006/relationships/hyperlink" Target="https://www.nve.no/energiforsyning/kraftproduksjon/vannkraft/vannkraftdatabase/" TargetMode="External"/><Relationship Id="rId71" Type="http://schemas.openxmlformats.org/officeDocument/2006/relationships/hyperlink" Target="https://www.elia.be/en/grid-data/power-generation/generating-facilities" TargetMode="External"/><Relationship Id="rId8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397" Type="http://schemas.openxmlformats.org/officeDocument/2006/relationships/hyperlink" Target="https://www.nve.no/energiforsyning/kraftproduksjon/vannkraft/vannkraftdatabase/" TargetMode="External"/><Relationship Id="rId4795" Type="http://schemas.openxmlformats.org/officeDocument/2006/relationships/hyperlink" Target="https://www.nve.no/media/8967/termiske-kraftverk-i-norge-2019.xlsx" TargetMode="External"/><Relationship Id="rId4448" Type="http://schemas.openxmlformats.org/officeDocument/2006/relationships/hyperlink" Target="https://www.nve.no/energiforsyning/kraftproduksjon/vannkraft/vannkraftdatabase/" TargetMode="External"/><Relationship Id="rId4655" Type="http://schemas.openxmlformats.org/officeDocument/2006/relationships/hyperlink" Target="https://www.nve.no/energiforsyning/kraftproduksjon/vannkraft/vannkraftdatabase/" TargetMode="External"/><Relationship Id="rId4862" Type="http://schemas.openxmlformats.org/officeDocument/2006/relationships/hyperlink" Target="http://www.he-ss.si/eng/he-mokrice-specifications.html" TargetMode="External"/><Relationship Id="rId178" Type="http://schemas.openxmlformats.org/officeDocument/2006/relationships/hyperlink" Target="https://www.services-rte.com/en/view-data-published-by-rte/production-installed-capacity.html" TargetMode="External"/><Relationship Id="rId3257" Type="http://schemas.openxmlformats.org/officeDocument/2006/relationships/hyperlink" Target="https://www.nve.no/energiforsyning/kraftproduksjon/vannkraft/vannkraftdatabase/" TargetMode="External"/><Relationship Id="rId3464" Type="http://schemas.openxmlformats.org/officeDocument/2006/relationships/hyperlink" Target="https://www.nve.no/energiforsyning/kraftproduksjon/vannkraft/vannkraftdatabase/" TargetMode="External"/><Relationship Id="rId3671" Type="http://schemas.openxmlformats.org/officeDocument/2006/relationships/hyperlink" Target="https://www.nve.no/energiforsyning/kraftproduksjon/vannkraft/vannkraftdatabase/" TargetMode="External"/><Relationship Id="rId4308" Type="http://schemas.openxmlformats.org/officeDocument/2006/relationships/hyperlink" Target="https://www.nve.no/energiforsyning/kraftproduksjon/vannkraft/vannkraftdatabase/" TargetMode="External"/><Relationship Id="rId4515" Type="http://schemas.openxmlformats.org/officeDocument/2006/relationships/hyperlink" Target="https://www.nve.no/energiforsyning/kraftproduksjon/vannkraft/vannkraftdatabase/" TargetMode="External"/><Relationship Id="rId4722" Type="http://schemas.openxmlformats.org/officeDocument/2006/relationships/hyperlink" Target="https://www.nve.no/energiforsyning/kraftproduksjon/vannkraft/vannkraftdatabase/" TargetMode="External"/><Relationship Id="rId385" Type="http://schemas.openxmlformats.org/officeDocument/2006/relationships/hyperlink" Target="http://gpi.tge.pl/en/wykaz-jednostek" TargetMode="External"/><Relationship Id="rId5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66" Type="http://schemas.openxmlformats.org/officeDocument/2006/relationships/hyperlink" Target="https://sede.minetur.gob.es/en-US/datosabiertos/catalogo/registro-productores-electrica" TargetMode="External"/><Relationship Id="rId2273" Type="http://schemas.openxmlformats.org/officeDocument/2006/relationships/hyperlink" Target="https://sede.minetur.gob.es/en-US/datosabiertos/catalogo/registro-productores-electrica" TargetMode="External"/><Relationship Id="rId2480" Type="http://schemas.openxmlformats.org/officeDocument/2006/relationships/hyperlink" Target="https://sede.minetur.gob.es/en-US/datosabiertos/catalogo/registro-productores-electrica" TargetMode="External"/><Relationship Id="rId3117" Type="http://schemas.openxmlformats.org/officeDocument/2006/relationships/hyperlink" Target="https://www.nve.no/energiforsyning/kraftproduksjon/vannkraft/vannkraftdatabase/" TargetMode="External"/><Relationship Id="rId3324" Type="http://schemas.openxmlformats.org/officeDocument/2006/relationships/hyperlink" Target="https://www.nve.no/energiforsyning/kraftproduksjon/vannkraft/vannkraftdatabase/" TargetMode="External"/><Relationship Id="rId3531" Type="http://schemas.openxmlformats.org/officeDocument/2006/relationships/hyperlink" Target="https://www.nve.no/energiforsyning/kraftproduksjon/vannkraft/vannkraftdatabase/" TargetMode="External"/><Relationship Id="rId245" Type="http://schemas.openxmlformats.org/officeDocument/2006/relationships/hyperlink" Target="https://www.services-rte.com/en/view-data-published-by-rte/production-installed-capacity.html" TargetMode="External"/><Relationship Id="rId452" Type="http://schemas.openxmlformats.org/officeDocument/2006/relationships/hyperlink" Target="https://www.ceps.cz/cs/priprava-provozu" TargetMode="External"/><Relationship Id="rId10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33" Type="http://schemas.openxmlformats.org/officeDocument/2006/relationships/hyperlink" Target="https://sede.minetur.gob.es/en-US/datosabiertos/catalogo/registro-productores-electrica" TargetMode="External"/><Relationship Id="rId2340" Type="http://schemas.openxmlformats.org/officeDocument/2006/relationships/hyperlink" Target="https://sede.minetur.gob.es/en-US/datosabiertos/catalogo/registro-productores-electrica" TargetMode="External"/><Relationship Id="rId105" Type="http://schemas.openxmlformats.org/officeDocument/2006/relationships/hyperlink" Target="https://www.tennet.org/english/operational_management/export_data.aspx" TargetMode="External"/><Relationship Id="rId312" Type="http://schemas.openxmlformats.org/officeDocument/2006/relationships/hyperlink" Target="https://www.services-rte.com/en/view-data-published-by-rte/production-installed-capacity.html" TargetMode="External"/><Relationship Id="rId2200" Type="http://schemas.openxmlformats.org/officeDocument/2006/relationships/hyperlink" Target="https://sede.minetur.gob.es/en-US/datosabiertos/catalogo/registro-productores-electrica" TargetMode="External"/><Relationship Id="rId4098" Type="http://schemas.openxmlformats.org/officeDocument/2006/relationships/hyperlink" Target="https://www.nve.no/energiforsyning/kraftproduksjon/vannkraft/vannkraftdatabase/" TargetMode="External"/><Relationship Id="rId1899" Type="http://schemas.openxmlformats.org/officeDocument/2006/relationships/hyperlink" Target="https://sede.minetur.gob.es/en-US/datosabiertos/catalogo/registro-productores-electrica" TargetMode="External"/><Relationship Id="rId4165" Type="http://schemas.openxmlformats.org/officeDocument/2006/relationships/hyperlink" Target="https://www.nve.no/energiforsyning/kraftproduksjon/vannkraft/vannkraftdatabase/" TargetMode="External"/><Relationship Id="rId4372" Type="http://schemas.openxmlformats.org/officeDocument/2006/relationships/hyperlink" Target="https://www.nve.no/energiforsyning/kraftproduksjon/vannkraft/vannkraftdatabase/" TargetMode="External"/><Relationship Id="rId5009" Type="http://schemas.openxmlformats.org/officeDocument/2006/relationships/hyperlink" Target="https://umwelterklaerung.wienenergie.at/downloads/WienEnergie_Umwelterkl%C3%A4rung_2019_screen.pdf" TargetMode="External"/><Relationship Id="rId1759" Type="http://schemas.openxmlformats.org/officeDocument/2006/relationships/hyperlink" Target="https://sede.minetur.gob.es/en-US/datosabiertos/catalogo/registro-productores-electrica" TargetMode="External"/><Relationship Id="rId1966" Type="http://schemas.openxmlformats.org/officeDocument/2006/relationships/hyperlink" Target="https://sede.minetur.gob.es/en-US/datosabiertos/catalogo/registro-productores-electrica" TargetMode="External"/><Relationship Id="rId3181" Type="http://schemas.openxmlformats.org/officeDocument/2006/relationships/hyperlink" Target="https://www.nve.no/energiforsyning/kraftproduksjon/vannkraft/vannkraftdatabase/" TargetMode="External"/><Relationship Id="rId4025" Type="http://schemas.openxmlformats.org/officeDocument/2006/relationships/hyperlink" Target="https://www.nve.no/energiforsyning/kraftproduksjon/vannkraft/vannkraftdatabase/" TargetMode="External"/><Relationship Id="rId1619" Type="http://schemas.openxmlformats.org/officeDocument/2006/relationships/hyperlink" Target="https://energiavirasto.fi/toimitusvarmuus" TargetMode="External"/><Relationship Id="rId1826" Type="http://schemas.openxmlformats.org/officeDocument/2006/relationships/hyperlink" Target="https://sede.minetur.gob.es/en-US/datosabiertos/catalogo/registro-productores-electrica" TargetMode="External"/><Relationship Id="rId4232" Type="http://schemas.openxmlformats.org/officeDocument/2006/relationships/hyperlink" Target="https://www.nve.no/energiforsyning/kraftproduksjon/vannkraft/vannkraftdatabase/" TargetMode="External"/><Relationship Id="rId3041" Type="http://schemas.openxmlformats.org/officeDocument/2006/relationships/hyperlink" Target="https://www.gov.uk/government/statistics/electricity-chapter-5-digest-of-united-kingdom-energy-statistics-dukes" TargetMode="External"/><Relationship Id="rId3998" Type="http://schemas.openxmlformats.org/officeDocument/2006/relationships/hyperlink" Target="https://www.nve.no/energiforsyning/kraftproduksjon/vannkraft/vannkraftdatabase/" TargetMode="External"/><Relationship Id="rId3858" Type="http://schemas.openxmlformats.org/officeDocument/2006/relationships/hyperlink" Target="https://www.nve.no/energiforsyning/kraftproduksjon/vannkraft/vannkraftdatabase/" TargetMode="External"/><Relationship Id="rId4909" Type="http://schemas.openxmlformats.org/officeDocument/2006/relationships/hyperlink" Target="https://www.verbund.com/de-at/ueber-verbund/kraftwerke/unsere-kraftwerke" TargetMode="External"/><Relationship Id="rId7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7" Type="http://schemas.openxmlformats.org/officeDocument/2006/relationships/hyperlink" Target="https://sede.minetur.gob.es/en-US/datosabiertos/catalogo/registro-productores-electrica" TargetMode="External"/><Relationship Id="rId3718" Type="http://schemas.openxmlformats.org/officeDocument/2006/relationships/hyperlink" Target="https://www.nve.no/energiforsyning/kraftproduksjon/vannkraft/vannkraftdatabase/" TargetMode="External"/><Relationship Id="rId6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9" Type="http://schemas.openxmlformats.org/officeDocument/2006/relationships/hyperlink" Target="http://www2018.terna.it/it-it/sistemaelettrico/transparencyreport/generation/installedgenerationcapacity.aspx" TargetMode="External"/><Relationship Id="rId1476" Type="http://schemas.openxmlformats.org/officeDocument/2006/relationships/hyperlink" Target="https://energiavirasto.fi/toimitusvarmuus" TargetMode="External"/><Relationship Id="rId2874" Type="http://schemas.openxmlformats.org/officeDocument/2006/relationships/hyperlink" Target="https://www.gov.uk/government/statistics/electricity-chapter-5-digest-of-united-kingdom-energy-statistics-dukes" TargetMode="External"/><Relationship Id="rId3925" Type="http://schemas.openxmlformats.org/officeDocument/2006/relationships/hyperlink" Target="https://www.nve.no/energiforsyning/kraftproduksjon/vannkraft/vannkraftdatabase/" TargetMode="External"/><Relationship Id="rId8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83" Type="http://schemas.openxmlformats.org/officeDocument/2006/relationships/hyperlink" Target="https://energiavirasto.fi/toimitusvarmuus" TargetMode="External"/><Relationship Id="rId1890" Type="http://schemas.openxmlformats.org/officeDocument/2006/relationships/hyperlink" Target="https://sede.minetur.gob.es/en-US/datosabiertos/catalogo/registro-productores-electrica" TargetMode="External"/><Relationship Id="rId2527" Type="http://schemas.openxmlformats.org/officeDocument/2006/relationships/hyperlink" Target="https://sede.minetur.gob.es/en-US/datosabiertos/catalogo/registro-productores-electrica" TargetMode="External"/><Relationship Id="rId2734" Type="http://schemas.openxmlformats.org/officeDocument/2006/relationships/hyperlink" Target="https://sede.minetur.gob.es/en-US/datosabiertos/catalogo/registro-productores-electrica" TargetMode="External"/><Relationship Id="rId2941" Type="http://schemas.openxmlformats.org/officeDocument/2006/relationships/hyperlink" Target="https://www.gov.uk/government/statistics/electricity-chapter-5-digest-of-united-kingdom-energy-statistics-dukes" TargetMode="External"/><Relationship Id="rId5000" Type="http://schemas.openxmlformats.org/officeDocument/2006/relationships/hyperlink" Target="https://www.verbund.com/de-at/ueber-verbund/kraftwerke/unsere-kraftwerke" TargetMode="External"/><Relationship Id="rId7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6" Type="http://schemas.openxmlformats.org/officeDocument/2006/relationships/hyperlink" Target="http://www2018.terna.it/it-it/sistemaelettrico/transparencyreport/generation/installedgenerationcapacity.aspx" TargetMode="External"/><Relationship Id="rId1543" Type="http://schemas.openxmlformats.org/officeDocument/2006/relationships/hyperlink" Target="https://energiavirasto.fi/toimitusvarmuus" TargetMode="External"/><Relationship Id="rId1750" Type="http://schemas.openxmlformats.org/officeDocument/2006/relationships/hyperlink" Target="https://sede.minetur.gob.es/en-US/datosabiertos/catalogo/registro-productores-electrica" TargetMode="External"/><Relationship Id="rId2801" Type="http://schemas.openxmlformats.org/officeDocument/2006/relationships/hyperlink" Target="https://sede.minetur.gob.es/en-US/datosabiertos/catalogo/registro-productores-electrica" TargetMode="External"/><Relationship Id="rId4699" Type="http://schemas.openxmlformats.org/officeDocument/2006/relationships/hyperlink" Target="https://www.nve.no/energiforsyning/kraftproduksjon/vannkraft/vannkraftdatabase/" TargetMode="External"/><Relationship Id="rId42" Type="http://schemas.openxmlformats.org/officeDocument/2006/relationships/hyperlink" Target="https://www.elia.be/en/grid-data/power-generation/generating-facilities" TargetMode="External"/><Relationship Id="rId1403" Type="http://schemas.openxmlformats.org/officeDocument/2006/relationships/hyperlink" Target="https://energiavirasto.fi/toimitusvarmuus" TargetMode="External"/><Relationship Id="rId1610" Type="http://schemas.openxmlformats.org/officeDocument/2006/relationships/hyperlink" Target="https://energiavirasto.fi/toimitusvarmuus" TargetMode="External"/><Relationship Id="rId4559" Type="http://schemas.openxmlformats.org/officeDocument/2006/relationships/hyperlink" Target="https://www.nve.no/energiforsyning/kraftproduksjon/vannkraft/vannkraftdatabase/" TargetMode="External"/><Relationship Id="rId4766" Type="http://schemas.openxmlformats.org/officeDocument/2006/relationships/hyperlink" Target="https://www.nve.no/energiforsyning/kraftproduksjon/vannkraft/vannkraftdatabase/" TargetMode="External"/><Relationship Id="rId4973" Type="http://schemas.openxmlformats.org/officeDocument/2006/relationships/hyperlink" Target="https://www.verbund.com/de-at/ueber-verbund/kraftwerke/unsere-kraftwerke" TargetMode="External"/><Relationship Id="rId3368" Type="http://schemas.openxmlformats.org/officeDocument/2006/relationships/hyperlink" Target="https://www.nve.no/energiforsyning/kraftproduksjon/vannkraft/vannkraftdatabase/" TargetMode="External"/><Relationship Id="rId3575" Type="http://schemas.openxmlformats.org/officeDocument/2006/relationships/hyperlink" Target="https://www.nve.no/energiforsyning/kraftproduksjon/vannkraft/vannkraftdatabase/" TargetMode="External"/><Relationship Id="rId3782" Type="http://schemas.openxmlformats.org/officeDocument/2006/relationships/hyperlink" Target="https://www.nve.no/energiforsyning/kraftproduksjon/vannkraft/vannkraftdatabase/" TargetMode="External"/><Relationship Id="rId4419" Type="http://schemas.openxmlformats.org/officeDocument/2006/relationships/hyperlink" Target="https://www.nve.no/energiforsyning/kraftproduksjon/vannkraft/vannkraftdatabase/" TargetMode="External"/><Relationship Id="rId4626" Type="http://schemas.openxmlformats.org/officeDocument/2006/relationships/hyperlink" Target="https://www.nve.no/energiforsyning/kraftproduksjon/vannkraft/vannkraftdatabase/" TargetMode="External"/><Relationship Id="rId4833" Type="http://schemas.openxmlformats.org/officeDocument/2006/relationships/hyperlink" Target="http://www.dem.si/en-gb/Power-plants-and-generation/General-data" TargetMode="External"/><Relationship Id="rId289" Type="http://schemas.openxmlformats.org/officeDocument/2006/relationships/hyperlink" Target="https://www.services-rte.com/en/view-data-published-by-rte/production-installed-capacity.html" TargetMode="External"/><Relationship Id="rId496" Type="http://schemas.openxmlformats.org/officeDocument/2006/relationships/hyperlink" Target="https://www.ceps.cz/cs/priprava-provozu" TargetMode="External"/><Relationship Id="rId2177" Type="http://schemas.openxmlformats.org/officeDocument/2006/relationships/hyperlink" Target="https://sede.minetur.gob.es/en-US/datosabiertos/catalogo/registro-productores-electrica" TargetMode="External"/><Relationship Id="rId2384" Type="http://schemas.openxmlformats.org/officeDocument/2006/relationships/hyperlink" Target="https://sede.minetur.gob.es/en-US/datosabiertos/catalogo/registro-productores-electrica" TargetMode="External"/><Relationship Id="rId2591" Type="http://schemas.openxmlformats.org/officeDocument/2006/relationships/hyperlink" Target="https://sede.minetur.gob.es/en-US/datosabiertos/catalogo/registro-productores-electrica" TargetMode="External"/><Relationship Id="rId3228" Type="http://schemas.openxmlformats.org/officeDocument/2006/relationships/hyperlink" Target="https://www.nve.no/energiforsyning/kraftproduksjon/vannkraft/vannkraftdatabase/" TargetMode="External"/><Relationship Id="rId3435" Type="http://schemas.openxmlformats.org/officeDocument/2006/relationships/hyperlink" Target="https://www.nve.no/energiforsyning/kraftproduksjon/vannkraft/vannkraftdatabase/" TargetMode="External"/><Relationship Id="rId3642" Type="http://schemas.openxmlformats.org/officeDocument/2006/relationships/hyperlink" Target="https://www.nve.no/energiforsyning/kraftproduksjon/vannkraft/vannkraftdatabase/" TargetMode="External"/><Relationship Id="rId149" Type="http://schemas.openxmlformats.org/officeDocument/2006/relationships/hyperlink" Target="https://www.tennet.org/english/operational_management/export_data.aspx" TargetMode="External"/><Relationship Id="rId356" Type="http://schemas.openxmlformats.org/officeDocument/2006/relationships/hyperlink" Target="http://gpi.tge.pl/en/wykaz-jednostek" TargetMode="External"/><Relationship Id="rId563" Type="http://schemas.openxmlformats.org/officeDocument/2006/relationships/hyperlink" Target="https://www.ceps.cz/cs/priprava-provozu" TargetMode="External"/><Relationship Id="rId7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37" Type="http://schemas.openxmlformats.org/officeDocument/2006/relationships/hyperlink" Target="https://sede.minetur.gob.es/en-US/datosabiertos/catalogo/registro-productores-electrica" TargetMode="External"/><Relationship Id="rId2244" Type="http://schemas.openxmlformats.org/officeDocument/2006/relationships/hyperlink" Target="https://sede.minetur.gob.es/en-US/datosabiertos/catalogo/registro-productores-electrica" TargetMode="External"/><Relationship Id="rId2451" Type="http://schemas.openxmlformats.org/officeDocument/2006/relationships/hyperlink" Target="https://sede.minetur.gob.es/en-US/datosabiertos/catalogo/registro-productores-electrica" TargetMode="External"/><Relationship Id="rId4900" Type="http://schemas.openxmlformats.org/officeDocument/2006/relationships/hyperlink" Target="https://www.verbund.com/de-at/ueber-verbund/kraftwerke/unsere-kraftwerke" TargetMode="External"/><Relationship Id="rId216" Type="http://schemas.openxmlformats.org/officeDocument/2006/relationships/hyperlink" Target="https://www.services-rte.com/en/view-data-published-by-rte/production-installed-capacity.html" TargetMode="External"/><Relationship Id="rId423" Type="http://schemas.openxmlformats.org/officeDocument/2006/relationships/hyperlink" Target="https://www.ceps.cz/cs/priprava-provozu" TargetMode="External"/><Relationship Id="rId10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0" Type="http://schemas.openxmlformats.org/officeDocument/2006/relationships/hyperlink" Target="http://www2018.terna.it/it-it/sistemaelettrico/transparencyreport/generation/installedgenerationcapacity.aspx" TargetMode="External"/><Relationship Id="rId2104" Type="http://schemas.openxmlformats.org/officeDocument/2006/relationships/hyperlink" Target="https://sede.minetur.gob.es/en-US/datosabiertos/catalogo/registro-productores-electrica" TargetMode="External"/><Relationship Id="rId3502" Type="http://schemas.openxmlformats.org/officeDocument/2006/relationships/hyperlink" Target="https://www.nve.no/energiforsyning/kraftproduksjon/vannkraft/vannkraftdatabase/" TargetMode="External"/><Relationship Id="rId6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11" Type="http://schemas.openxmlformats.org/officeDocument/2006/relationships/hyperlink" Target="https://sede.minetur.gob.es/en-US/datosabiertos/catalogo/registro-productores-electrica" TargetMode="External"/><Relationship Id="rId4069" Type="http://schemas.openxmlformats.org/officeDocument/2006/relationships/hyperlink" Target="https://www.nve.no/energiforsyning/kraftproduksjon/vannkraft/vannkraftdatabase/" TargetMode="External"/><Relationship Id="rId11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76" Type="http://schemas.openxmlformats.org/officeDocument/2006/relationships/hyperlink" Target="https://www.nve.no/energiforsyning/kraftproduksjon/vannkraft/vannkraftdatabase/" TargetMode="External"/><Relationship Id="rId4483" Type="http://schemas.openxmlformats.org/officeDocument/2006/relationships/hyperlink" Target="https://www.nve.no/energiforsyning/kraftproduksjon/vannkraft/vannkraftdatabase/" TargetMode="External"/><Relationship Id="rId4690" Type="http://schemas.openxmlformats.org/officeDocument/2006/relationships/hyperlink" Target="https://www.nve.no/energiforsyning/kraftproduksjon/vannkraft/vannkraftdatabase/" TargetMode="External"/><Relationship Id="rId1937" Type="http://schemas.openxmlformats.org/officeDocument/2006/relationships/hyperlink" Target="https://sede.minetur.gob.es/en-US/datosabiertos/catalogo/registro-productores-electrica" TargetMode="External"/><Relationship Id="rId3085" Type="http://schemas.openxmlformats.org/officeDocument/2006/relationships/hyperlink" Target="https://www.gov.uk/government/statistics/electricity-chapter-5-digest-of-united-kingdom-energy-statistics-dukes" TargetMode="External"/><Relationship Id="rId3292" Type="http://schemas.openxmlformats.org/officeDocument/2006/relationships/hyperlink" Target="https://www.nve.no/energiforsyning/kraftproduksjon/vannkraft/vannkraftdatabase/" TargetMode="External"/><Relationship Id="rId4136" Type="http://schemas.openxmlformats.org/officeDocument/2006/relationships/hyperlink" Target="https://www.nve.no/energiforsyning/kraftproduksjon/vannkraft/vannkraftdatabase/" TargetMode="External"/><Relationship Id="rId4343" Type="http://schemas.openxmlformats.org/officeDocument/2006/relationships/hyperlink" Target="https://www.nve.no/energiforsyning/kraftproduksjon/vannkraft/vannkraftdatabase/" TargetMode="External"/><Relationship Id="rId4550" Type="http://schemas.openxmlformats.org/officeDocument/2006/relationships/hyperlink" Target="https://www.nve.no/energiforsyning/kraftproduksjon/vannkraft/vannkraftdatabase/" TargetMode="External"/><Relationship Id="rId3152" Type="http://schemas.openxmlformats.org/officeDocument/2006/relationships/hyperlink" Target="https://www.nve.no/energiforsyning/kraftproduksjon/vannkraft/vannkraftdatabase/" TargetMode="External"/><Relationship Id="rId4203" Type="http://schemas.openxmlformats.org/officeDocument/2006/relationships/hyperlink" Target="https://www.nve.no/energiforsyning/kraftproduksjon/vannkraft/vannkraftdatabase/" TargetMode="External"/><Relationship Id="rId4410" Type="http://schemas.openxmlformats.org/officeDocument/2006/relationships/hyperlink" Target="https://www.nve.no/energiforsyning/kraftproduksjon/vannkraft/vannkraftdatabase/" TargetMode="External"/><Relationship Id="rId280" Type="http://schemas.openxmlformats.org/officeDocument/2006/relationships/hyperlink" Target="https://www.services-rte.com/en/view-data-published-by-rte/production-installed-capacity.html" TargetMode="External"/><Relationship Id="rId3012" Type="http://schemas.openxmlformats.org/officeDocument/2006/relationships/hyperlink" Target="https://www.gov.uk/government/statistics/electricity-chapter-5-digest-of-united-kingdom-energy-statistics-dukes" TargetMode="External"/><Relationship Id="rId140" Type="http://schemas.openxmlformats.org/officeDocument/2006/relationships/hyperlink" Target="https://www.tennet.org/english/operational_management/export_data.aspx" TargetMode="External"/><Relationship Id="rId3969" Type="http://schemas.openxmlformats.org/officeDocument/2006/relationships/hyperlink" Target="https://www.nve.no/energiforsyning/kraftproduksjon/vannkraft/vannkraftdatabase/" TargetMode="External"/><Relationship Id="rId6" Type="http://schemas.openxmlformats.org/officeDocument/2006/relationships/hyperlink" Target="https://www.elia.be/en/grid-data/power-generation/generating-facilities" TargetMode="External"/><Relationship Id="rId2778" Type="http://schemas.openxmlformats.org/officeDocument/2006/relationships/hyperlink" Target="https://sede.minetur.gob.es/en-US/datosabiertos/catalogo/registro-productores-electrica" TargetMode="External"/><Relationship Id="rId2985" Type="http://schemas.openxmlformats.org/officeDocument/2006/relationships/hyperlink" Target="https://www.gov.uk/government/statistics/electricity-chapter-5-digest-of-united-kingdom-energy-statistics-dukes" TargetMode="External"/><Relationship Id="rId3829" Type="http://schemas.openxmlformats.org/officeDocument/2006/relationships/hyperlink" Target="https://www.nve.no/energiforsyning/kraftproduksjon/vannkraft/vannkraftdatabase/" TargetMode="External"/><Relationship Id="rId9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7" Type="http://schemas.openxmlformats.org/officeDocument/2006/relationships/hyperlink" Target="https://energiavirasto.fi/toimitusvarmuus" TargetMode="External"/><Relationship Id="rId1794" Type="http://schemas.openxmlformats.org/officeDocument/2006/relationships/hyperlink" Target="https://sede.minetur.gob.es/en-US/datosabiertos/catalogo/registro-productores-electrica" TargetMode="External"/><Relationship Id="rId2638" Type="http://schemas.openxmlformats.org/officeDocument/2006/relationships/hyperlink" Target="https://sede.minetur.gob.es/en-US/datosabiertos/catalogo/registro-productores-electrica" TargetMode="External"/><Relationship Id="rId2845" Type="http://schemas.openxmlformats.org/officeDocument/2006/relationships/hyperlink" Target="https://sede.minetur.gob.es/en-US/datosabiertos/catalogo/registro-productores-electrica" TargetMode="External"/><Relationship Id="rId86" Type="http://schemas.openxmlformats.org/officeDocument/2006/relationships/hyperlink" Target="https://www.elia.be/en/grid-data/power-generation/generating-facilities" TargetMode="External"/><Relationship Id="rId8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7" Type="http://schemas.openxmlformats.org/officeDocument/2006/relationships/hyperlink" Target="https://energiavirasto.fi/toimitusvarmuus" TargetMode="External"/><Relationship Id="rId1654" Type="http://schemas.openxmlformats.org/officeDocument/2006/relationships/hyperlink" Target="https://energiavirasto.fi/toimitusvarmuus" TargetMode="External"/><Relationship Id="rId1861" Type="http://schemas.openxmlformats.org/officeDocument/2006/relationships/hyperlink" Target="https://sede.minetur.gob.es/en-US/datosabiertos/catalogo/registro-productores-electrica" TargetMode="External"/><Relationship Id="rId2705" Type="http://schemas.openxmlformats.org/officeDocument/2006/relationships/hyperlink" Target="https://sede.minetur.gob.es/en-US/datosabiertos/catalogo/registro-productores-electrica" TargetMode="External"/><Relationship Id="rId2912" Type="http://schemas.openxmlformats.org/officeDocument/2006/relationships/hyperlink" Target="https://www.gov.uk/government/statistics/electricity-chapter-5-digest-of-united-kingdom-energy-statistics-dukes" TargetMode="External"/><Relationship Id="rId4060" Type="http://schemas.openxmlformats.org/officeDocument/2006/relationships/hyperlink" Target="https://www.nve.no/energiforsyning/kraftproduksjon/vannkraft/vannkraftdatabase/" TargetMode="External"/><Relationship Id="rId1307" Type="http://schemas.openxmlformats.org/officeDocument/2006/relationships/hyperlink" Target="http://www2018.terna.it/it-it/sistemaelettrico/transparencyreport/generation/installedgenerationcapacity.aspx" TargetMode="External"/><Relationship Id="rId1514" Type="http://schemas.openxmlformats.org/officeDocument/2006/relationships/hyperlink" Target="https://energiavirasto.fi/toimitusvarmuus" TargetMode="External"/><Relationship Id="rId1721" Type="http://schemas.openxmlformats.org/officeDocument/2006/relationships/hyperlink" Target="https://sede.minetur.gob.es/en-US/datosabiertos/catalogo/registro-productores-electrica" TargetMode="External"/><Relationship Id="rId4877" Type="http://schemas.openxmlformats.org/officeDocument/2006/relationships/hyperlink" Target="http://www.dem.si/en-gb/Power-plants-and-generation/General-data" TargetMode="External"/><Relationship Id="rId13" Type="http://schemas.openxmlformats.org/officeDocument/2006/relationships/hyperlink" Target="https://www.elia.be/en/grid-data/power-generation/generating-facilities" TargetMode="External"/><Relationship Id="rId3479" Type="http://schemas.openxmlformats.org/officeDocument/2006/relationships/hyperlink" Target="https://www.nve.no/energiforsyning/kraftproduksjon/vannkraft/vannkraftdatabase/" TargetMode="External"/><Relationship Id="rId3686" Type="http://schemas.openxmlformats.org/officeDocument/2006/relationships/hyperlink" Target="https://www.nve.no/energiforsyning/kraftproduksjon/vannkraft/vannkraftdatabase/" TargetMode="External"/><Relationship Id="rId2288" Type="http://schemas.openxmlformats.org/officeDocument/2006/relationships/hyperlink" Target="https://sede.minetur.gob.es/en-US/datosabiertos/catalogo/registro-productores-electrica" TargetMode="External"/><Relationship Id="rId2495" Type="http://schemas.openxmlformats.org/officeDocument/2006/relationships/hyperlink" Target="https://sede.minetur.gob.es/en-US/datosabiertos/catalogo/registro-productores-electrica" TargetMode="External"/><Relationship Id="rId3339" Type="http://schemas.openxmlformats.org/officeDocument/2006/relationships/hyperlink" Target="https://www.nve.no/energiforsyning/kraftproduksjon/vannkraft/vannkraftdatabase/" TargetMode="External"/><Relationship Id="rId3893" Type="http://schemas.openxmlformats.org/officeDocument/2006/relationships/hyperlink" Target="https://www.nve.no/energiforsyning/kraftproduksjon/vannkraft/vannkraftdatabase/" TargetMode="External"/><Relationship Id="rId4737" Type="http://schemas.openxmlformats.org/officeDocument/2006/relationships/hyperlink" Target="https://www.nve.no/energiforsyning/kraftproduksjon/vannkraft/vannkraftdatabase/" TargetMode="External"/><Relationship Id="rId4944" Type="http://schemas.openxmlformats.org/officeDocument/2006/relationships/hyperlink" Target="https://www.verbund.com/de-at/ueber-verbund/kraftwerke/unsere-kraftwerke" TargetMode="External"/><Relationship Id="rId467" Type="http://schemas.openxmlformats.org/officeDocument/2006/relationships/hyperlink" Target="https://www.ceps.cz/cs/priprava-provozu" TargetMode="External"/><Relationship Id="rId10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8" Type="http://schemas.openxmlformats.org/officeDocument/2006/relationships/hyperlink" Target="https://sede.minetur.gob.es/en-US/datosabiertos/catalogo/registro-productores-electrica" TargetMode="External"/><Relationship Id="rId3546" Type="http://schemas.openxmlformats.org/officeDocument/2006/relationships/hyperlink" Target="https://www.nve.no/energiforsyning/kraftproduksjon/vannkraft/vannkraftdatabase/" TargetMode="External"/><Relationship Id="rId3753" Type="http://schemas.openxmlformats.org/officeDocument/2006/relationships/hyperlink" Target="https://www.nve.no/energiforsyning/kraftproduksjon/vannkraft/vannkraftdatabase/" TargetMode="External"/><Relationship Id="rId3960" Type="http://schemas.openxmlformats.org/officeDocument/2006/relationships/hyperlink" Target="https://www.nve.no/energiforsyning/kraftproduksjon/vannkraft/vannkraftdatabase/" TargetMode="External"/><Relationship Id="rId4804" Type="http://schemas.openxmlformats.org/officeDocument/2006/relationships/hyperlink" Target="https://www.seng.si/en/hydropower-plants/small-hydropower-plants/" TargetMode="External"/><Relationship Id="rId6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5" Type="http://schemas.openxmlformats.org/officeDocument/2006/relationships/hyperlink" Target="https://sede.minetur.gob.es/en-US/datosabiertos/catalogo/registro-productores-electrica" TargetMode="External"/><Relationship Id="rId2562" Type="http://schemas.openxmlformats.org/officeDocument/2006/relationships/hyperlink" Target="https://sede.minetur.gob.es/en-US/datosabiertos/catalogo/registro-productores-electrica" TargetMode="External"/><Relationship Id="rId3406" Type="http://schemas.openxmlformats.org/officeDocument/2006/relationships/hyperlink" Target="https://www.nve.no/energiforsyning/kraftproduksjon/vannkraft/vannkraftdatabase/" TargetMode="External"/><Relationship Id="rId3613" Type="http://schemas.openxmlformats.org/officeDocument/2006/relationships/hyperlink" Target="https://www.nve.no/energiforsyning/kraftproduksjon/vannkraft/vannkraftdatabase/" TargetMode="External"/><Relationship Id="rId3820" Type="http://schemas.openxmlformats.org/officeDocument/2006/relationships/hyperlink" Target="https://www.nve.no/energiforsyning/kraftproduksjon/vannkraft/vannkraftdatabase/" TargetMode="External"/><Relationship Id="rId327" Type="http://schemas.openxmlformats.org/officeDocument/2006/relationships/hyperlink" Target="http://gpi.tge.pl/en/wykaz-jednostek" TargetMode="External"/><Relationship Id="rId534" Type="http://schemas.openxmlformats.org/officeDocument/2006/relationships/hyperlink" Target="https://www.ceps.cz/cs/priprava-provozu" TargetMode="External"/><Relationship Id="rId7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1" Type="http://schemas.openxmlformats.org/officeDocument/2006/relationships/hyperlink" Target="http://www2018.terna.it/it-it/sistemaelettrico/transparencyreport/generation/installedgenerationcapacity.aspx" TargetMode="External"/><Relationship Id="rId2008" Type="http://schemas.openxmlformats.org/officeDocument/2006/relationships/hyperlink" Target="https://sede.minetur.gob.es/en-US/datosabiertos/catalogo/registro-productores-electrica" TargetMode="External"/><Relationship Id="rId2215" Type="http://schemas.openxmlformats.org/officeDocument/2006/relationships/hyperlink" Target="https://sede.minetur.gob.es/en-US/datosabiertos/catalogo/registro-productores-electrica" TargetMode="External"/><Relationship Id="rId2422" Type="http://schemas.openxmlformats.org/officeDocument/2006/relationships/hyperlink" Target="https://sede.minetur.gob.es/en-US/datosabiertos/catalogo/registro-productores-electrica" TargetMode="External"/><Relationship Id="rId6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87" Type="http://schemas.openxmlformats.org/officeDocument/2006/relationships/hyperlink" Target="https://www.nve.no/energiforsyning/kraftproduksjon/vannkraft/vannkraftdatabase/" TargetMode="External"/><Relationship Id="rId4594" Type="http://schemas.openxmlformats.org/officeDocument/2006/relationships/hyperlink" Target="https://www.nve.no/energiforsyning/kraftproduksjon/vannkraft/vannkraftdatabase/" TargetMode="External"/><Relationship Id="rId3196" Type="http://schemas.openxmlformats.org/officeDocument/2006/relationships/hyperlink" Target="https://www.nve.no/energiforsyning/kraftproduksjon/vannkraft/vannkraftdatabase/" TargetMode="External"/><Relationship Id="rId4247" Type="http://schemas.openxmlformats.org/officeDocument/2006/relationships/hyperlink" Target="https://www.nve.no/energiforsyning/kraftproduksjon/vannkraft/vannkraftdatabase/" TargetMode="External"/><Relationship Id="rId4454" Type="http://schemas.openxmlformats.org/officeDocument/2006/relationships/hyperlink" Target="https://www.nve.no/energiforsyning/kraftproduksjon/vannkraft/vannkraftdatabase/" TargetMode="External"/><Relationship Id="rId4661" Type="http://schemas.openxmlformats.org/officeDocument/2006/relationships/hyperlink" Target="https://www.nve.no/energiforsyning/kraftproduksjon/vannkraft/vannkraftdatabase/" TargetMode="External"/><Relationship Id="rId3056" Type="http://schemas.openxmlformats.org/officeDocument/2006/relationships/hyperlink" Target="https://www.gov.uk/government/statistics/electricity-chapter-5-digest-of-united-kingdom-energy-statistics-dukes" TargetMode="External"/><Relationship Id="rId3263" Type="http://schemas.openxmlformats.org/officeDocument/2006/relationships/hyperlink" Target="https://www.nve.no/energiforsyning/kraftproduksjon/vannkraft/vannkraftdatabase/" TargetMode="External"/><Relationship Id="rId3470" Type="http://schemas.openxmlformats.org/officeDocument/2006/relationships/hyperlink" Target="https://www.nve.no/energiforsyning/kraftproduksjon/vannkraft/vannkraftdatabase/" TargetMode="External"/><Relationship Id="rId4107" Type="http://schemas.openxmlformats.org/officeDocument/2006/relationships/hyperlink" Target="https://www.nve.no/energiforsyning/kraftproduksjon/vannkraft/vannkraftdatabase/" TargetMode="External"/><Relationship Id="rId4314" Type="http://schemas.openxmlformats.org/officeDocument/2006/relationships/hyperlink" Target="https://www.nve.no/energiforsyning/kraftproduksjon/vannkraft/vannkraftdatabase/" TargetMode="External"/><Relationship Id="rId184" Type="http://schemas.openxmlformats.org/officeDocument/2006/relationships/hyperlink" Target="https://www.services-rte.com/en/view-data-published-by-rte/production-installed-capacity.html" TargetMode="External"/><Relationship Id="rId391" Type="http://schemas.openxmlformats.org/officeDocument/2006/relationships/hyperlink" Target="http://gpi.tge.pl/en/wykaz-jednostek" TargetMode="External"/><Relationship Id="rId1908" Type="http://schemas.openxmlformats.org/officeDocument/2006/relationships/hyperlink" Target="https://sede.minetur.gob.es/en-US/datosabiertos/catalogo/registro-productores-electrica" TargetMode="External"/><Relationship Id="rId2072" Type="http://schemas.openxmlformats.org/officeDocument/2006/relationships/hyperlink" Target="https://sede.minetur.gob.es/en-US/datosabiertos/catalogo/registro-productores-electrica" TargetMode="External"/><Relationship Id="rId3123" Type="http://schemas.openxmlformats.org/officeDocument/2006/relationships/hyperlink" Target="https://www.nve.no/energiforsyning/kraftproduksjon/vannkraft/vannkraftdatabase/" TargetMode="External"/><Relationship Id="rId4521" Type="http://schemas.openxmlformats.org/officeDocument/2006/relationships/hyperlink" Target="https://www.nve.no/energiforsyning/kraftproduksjon/vannkraft/vannkraftdatabase/" TargetMode="External"/><Relationship Id="rId251" Type="http://schemas.openxmlformats.org/officeDocument/2006/relationships/hyperlink" Target="https://www.services-rte.com/en/view-data-published-by-rte/production-installed-capacity.html" TargetMode="External"/><Relationship Id="rId3330" Type="http://schemas.openxmlformats.org/officeDocument/2006/relationships/hyperlink" Target="https://www.nve.no/energiforsyning/kraftproduksjon/vannkraft/vannkraftdatabase/" TargetMode="External"/><Relationship Id="rId2889" Type="http://schemas.openxmlformats.org/officeDocument/2006/relationships/hyperlink" Target="https://www.gov.uk/government/statistics/electricity-chapter-5-digest-of-united-kingdom-energy-statistics-dukes" TargetMode="External"/><Relationship Id="rId111" Type="http://schemas.openxmlformats.org/officeDocument/2006/relationships/hyperlink" Target="https://www.tennet.org/english/operational_management/export_data.aspx" TargetMode="External"/><Relationship Id="rId1698" Type="http://schemas.openxmlformats.org/officeDocument/2006/relationships/hyperlink" Target="https://sede.minetur.gob.es/en-US/datosabiertos/catalogo/registro-productores-electrica" TargetMode="External"/><Relationship Id="rId2749" Type="http://schemas.openxmlformats.org/officeDocument/2006/relationships/hyperlink" Target="https://sede.minetur.gob.es/en-US/datosabiertos/catalogo/registro-productores-electrica" TargetMode="External"/><Relationship Id="rId2956" Type="http://schemas.openxmlformats.org/officeDocument/2006/relationships/hyperlink" Target="https://www.gov.uk/government/statistics/electricity-chapter-5-digest-of-united-kingdom-energy-statistics-dukes" TargetMode="External"/><Relationship Id="rId9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8" Type="http://schemas.openxmlformats.org/officeDocument/2006/relationships/hyperlink" Target="https://energiavirasto.fi/toimitusvarmuus" TargetMode="External"/><Relationship Id="rId1765" Type="http://schemas.openxmlformats.org/officeDocument/2006/relationships/hyperlink" Target="https://sede.minetur.gob.es/en-US/datosabiertos/catalogo/registro-productores-electrica" TargetMode="External"/><Relationship Id="rId2609" Type="http://schemas.openxmlformats.org/officeDocument/2006/relationships/hyperlink" Target="https://sede.minetur.gob.es/en-US/datosabiertos/catalogo/registro-productores-electrica" TargetMode="External"/><Relationship Id="rId4171" Type="http://schemas.openxmlformats.org/officeDocument/2006/relationships/hyperlink" Target="https://www.nve.no/energiforsyning/kraftproduksjon/vannkraft/vannkraftdatabase/" TargetMode="External"/><Relationship Id="rId5015" Type="http://schemas.openxmlformats.org/officeDocument/2006/relationships/hyperlink" Target="https://www.salzburg-ag.at/herkunft/unsere-kraftwerke/heizkraftwerk-salzburg-mitte-2604/" TargetMode="External"/><Relationship Id="rId57" Type="http://schemas.openxmlformats.org/officeDocument/2006/relationships/hyperlink" Target="https://www.elia.be/en/grid-data/power-generation/generating-facilities" TargetMode="External"/><Relationship Id="rId1418" Type="http://schemas.openxmlformats.org/officeDocument/2006/relationships/hyperlink" Target="https://energiavirasto.fi/toimitusvarmuus" TargetMode="External"/><Relationship Id="rId1972" Type="http://schemas.openxmlformats.org/officeDocument/2006/relationships/hyperlink" Target="https://sede.minetur.gob.es/en-US/datosabiertos/catalogo/registro-productores-electrica" TargetMode="External"/><Relationship Id="rId2816" Type="http://schemas.openxmlformats.org/officeDocument/2006/relationships/hyperlink" Target="https://sede.minetur.gob.es/en-US/datosabiertos/catalogo/registro-productores-electrica" TargetMode="External"/><Relationship Id="rId4031" Type="http://schemas.openxmlformats.org/officeDocument/2006/relationships/hyperlink" Target="https://www.nve.no/energiforsyning/kraftproduksjon/vannkraft/vannkraftdatabase/" TargetMode="External"/><Relationship Id="rId1625" Type="http://schemas.openxmlformats.org/officeDocument/2006/relationships/hyperlink" Target="https://energiavirasto.fi/toimitusvarmuus" TargetMode="External"/><Relationship Id="rId1832" Type="http://schemas.openxmlformats.org/officeDocument/2006/relationships/hyperlink" Target="https://sede.minetur.gob.es/en-US/datosabiertos/catalogo/registro-productores-electrica" TargetMode="External"/><Relationship Id="rId4988" Type="http://schemas.openxmlformats.org/officeDocument/2006/relationships/hyperlink" Target="https://www.verbund.com/de-at/ueber-verbund/kraftwerke/unsere-kraftwerke" TargetMode="External"/><Relationship Id="rId3797" Type="http://schemas.openxmlformats.org/officeDocument/2006/relationships/hyperlink" Target="https://www.nve.no/energiforsyning/kraftproduksjon/vannkraft/vannkraftdatabase/" TargetMode="External"/><Relationship Id="rId4848" Type="http://schemas.openxmlformats.org/officeDocument/2006/relationships/hyperlink" Target="https://www.energetika-lj.si/sites/www.jhl.si/files/dokumenti/energetika-id-brosura-ang-web.pdf" TargetMode="External"/><Relationship Id="rId2399" Type="http://schemas.openxmlformats.org/officeDocument/2006/relationships/hyperlink" Target="https://sede.minetur.gob.es/en-US/datosabiertos/catalogo/registro-productores-electrica" TargetMode="External"/><Relationship Id="rId3657" Type="http://schemas.openxmlformats.org/officeDocument/2006/relationships/hyperlink" Target="https://www.nve.no/energiforsyning/kraftproduksjon/vannkraft/vannkraftdatabase/" TargetMode="External"/><Relationship Id="rId3864" Type="http://schemas.openxmlformats.org/officeDocument/2006/relationships/hyperlink" Target="https://www.nve.no/energiforsyning/kraftproduksjon/vannkraft/vannkraftdatabase/" TargetMode="External"/><Relationship Id="rId4708" Type="http://schemas.openxmlformats.org/officeDocument/2006/relationships/hyperlink" Target="https://www.nve.no/energiforsyning/kraftproduksjon/vannkraft/vannkraftdatabase/" TargetMode="External"/><Relationship Id="rId4915" Type="http://schemas.openxmlformats.org/officeDocument/2006/relationships/hyperlink" Target="https://www.verbund.com/de-at/ueber-verbund/kraftwerke/unsere-kraftwerke" TargetMode="External"/><Relationship Id="rId5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59" Type="http://schemas.openxmlformats.org/officeDocument/2006/relationships/hyperlink" Target="https://sede.minetur.gob.es/en-US/datosabiertos/catalogo/registro-productores-electrica" TargetMode="External"/><Relationship Id="rId2466" Type="http://schemas.openxmlformats.org/officeDocument/2006/relationships/hyperlink" Target="https://sede.minetur.gob.es/en-US/datosabiertos/catalogo/registro-productores-electrica" TargetMode="External"/><Relationship Id="rId2673" Type="http://schemas.openxmlformats.org/officeDocument/2006/relationships/hyperlink" Target="https://sede.minetur.gob.es/en-US/datosabiertos/catalogo/registro-productores-electrica" TargetMode="External"/><Relationship Id="rId2880" Type="http://schemas.openxmlformats.org/officeDocument/2006/relationships/hyperlink" Target="https://www.gov.uk/government/statistics/electricity-chapter-5-digest-of-united-kingdom-energy-statistics-dukes" TargetMode="External"/><Relationship Id="rId3517" Type="http://schemas.openxmlformats.org/officeDocument/2006/relationships/hyperlink" Target="https://www.nve.no/energiforsyning/kraftproduksjon/vannkraft/vannkraftdatabase/" TargetMode="External"/><Relationship Id="rId3724" Type="http://schemas.openxmlformats.org/officeDocument/2006/relationships/hyperlink" Target="https://www.nve.no/energiforsyning/kraftproduksjon/vannkraft/vannkraftdatabase/" TargetMode="External"/><Relationship Id="rId3931" Type="http://schemas.openxmlformats.org/officeDocument/2006/relationships/hyperlink" Target="https://www.nve.no/energiforsyning/kraftproduksjon/vannkraft/vannkraftdatabase/" TargetMode="External"/><Relationship Id="rId438" Type="http://schemas.openxmlformats.org/officeDocument/2006/relationships/hyperlink" Target="https://www.ceps.cz/cs/priprava-provozu" TargetMode="External"/><Relationship Id="rId6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5" Type="http://schemas.openxmlformats.org/officeDocument/2006/relationships/hyperlink" Target="http://www2018.terna.it/it-it/sistemaelettrico/transparencyreport/generation/installedgenerationcapacity.aspx" TargetMode="External"/><Relationship Id="rId1482" Type="http://schemas.openxmlformats.org/officeDocument/2006/relationships/hyperlink" Target="https://energiavirasto.fi/toimitusvarmuus" TargetMode="External"/><Relationship Id="rId2119" Type="http://schemas.openxmlformats.org/officeDocument/2006/relationships/hyperlink" Target="https://sede.minetur.gob.es/en-US/datosabiertos/catalogo/registro-productores-electrica" TargetMode="External"/><Relationship Id="rId2326" Type="http://schemas.openxmlformats.org/officeDocument/2006/relationships/hyperlink" Target="https://sede.minetur.gob.es/en-US/datosabiertos/catalogo/registro-productores-electrica" TargetMode="External"/><Relationship Id="rId2533" Type="http://schemas.openxmlformats.org/officeDocument/2006/relationships/hyperlink" Target="https://sede.minetur.gob.es/en-US/datosabiertos/catalogo/registro-productores-electrica" TargetMode="External"/><Relationship Id="rId2740" Type="http://schemas.openxmlformats.org/officeDocument/2006/relationships/hyperlink" Target="https://sede.minetur.gob.es/en-US/datosabiertos/catalogo/registro-productores-electrica" TargetMode="External"/><Relationship Id="rId505" Type="http://schemas.openxmlformats.org/officeDocument/2006/relationships/hyperlink" Target="https://www.ceps.cz/cs/priprava-provozu" TargetMode="External"/><Relationship Id="rId7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2" Type="http://schemas.openxmlformats.org/officeDocument/2006/relationships/hyperlink" Target="http://www2018.terna.it/it-it/sistemaelettrico/transparencyreport/generation/installedgenerationcapacity.aspx" TargetMode="External"/><Relationship Id="rId4498" Type="http://schemas.openxmlformats.org/officeDocument/2006/relationships/hyperlink" Target="https://www.nve.no/energiforsyning/kraftproduksjon/vannkraft/vannkraftdatabase/" TargetMode="External"/><Relationship Id="rId12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00" Type="http://schemas.openxmlformats.org/officeDocument/2006/relationships/hyperlink" Target="https://sede.minetur.gob.es/en-US/datosabiertos/catalogo/registro-productores-electrica" TargetMode="External"/><Relationship Id="rId4358" Type="http://schemas.openxmlformats.org/officeDocument/2006/relationships/hyperlink" Target="https://www.nve.no/energiforsyning/kraftproduksjon/vannkraft/vannkraftdatabase/" TargetMode="External"/><Relationship Id="rId3167" Type="http://schemas.openxmlformats.org/officeDocument/2006/relationships/hyperlink" Target="https://www.nve.no/energiforsyning/kraftproduksjon/vannkraft/vannkraftdatabase/" TargetMode="External"/><Relationship Id="rId4565" Type="http://schemas.openxmlformats.org/officeDocument/2006/relationships/hyperlink" Target="https://www.nve.no/energiforsyning/kraftproduksjon/vannkraft/vannkraftdatabase/" TargetMode="External"/><Relationship Id="rId4772" Type="http://schemas.openxmlformats.org/officeDocument/2006/relationships/hyperlink" Target="https://www.nve.no/energiforsyning/kraftproduksjon/vannkraft/vannkraftdatabase/" TargetMode="External"/><Relationship Id="rId295" Type="http://schemas.openxmlformats.org/officeDocument/2006/relationships/hyperlink" Target="https://www.services-rte.com/en/view-data-published-by-rte/production-installed-capacity.html" TargetMode="External"/><Relationship Id="rId3374" Type="http://schemas.openxmlformats.org/officeDocument/2006/relationships/hyperlink" Target="https://www.nve.no/energiforsyning/kraftproduksjon/vannkraft/vannkraftdatabase/" TargetMode="External"/><Relationship Id="rId3581" Type="http://schemas.openxmlformats.org/officeDocument/2006/relationships/hyperlink" Target="https://www.nve.no/energiforsyning/kraftproduksjon/vannkraft/vannkraftdatabase/" TargetMode="External"/><Relationship Id="rId4218" Type="http://schemas.openxmlformats.org/officeDocument/2006/relationships/hyperlink" Target="https://www.nve.no/energiforsyning/kraftproduksjon/vannkraft/vannkraftdatabase/" TargetMode="External"/><Relationship Id="rId4425" Type="http://schemas.openxmlformats.org/officeDocument/2006/relationships/hyperlink" Target="https://www.nve.no/energiforsyning/kraftproduksjon/vannkraft/vannkraftdatabase/" TargetMode="External"/><Relationship Id="rId4632" Type="http://schemas.openxmlformats.org/officeDocument/2006/relationships/hyperlink" Target="https://www.nve.no/energiforsyning/kraftproduksjon/vannkraft/vannkraftdatabase/" TargetMode="External"/><Relationship Id="rId2183" Type="http://schemas.openxmlformats.org/officeDocument/2006/relationships/hyperlink" Target="https://sede.minetur.gob.es/en-US/datosabiertos/catalogo/registro-productores-electrica" TargetMode="External"/><Relationship Id="rId2390" Type="http://schemas.openxmlformats.org/officeDocument/2006/relationships/hyperlink" Target="https://sede.minetur.gob.es/en-US/datosabiertos/catalogo/registro-productores-electrica" TargetMode="External"/><Relationship Id="rId3027" Type="http://schemas.openxmlformats.org/officeDocument/2006/relationships/hyperlink" Target="https://www.gov.uk/government/statistics/electricity-chapter-5-digest-of-united-kingdom-energy-statistics-dukes" TargetMode="External"/><Relationship Id="rId3234" Type="http://schemas.openxmlformats.org/officeDocument/2006/relationships/hyperlink" Target="https://www.nve.no/energiforsyning/kraftproduksjon/vannkraft/vannkraftdatabase/" TargetMode="External"/><Relationship Id="rId3441" Type="http://schemas.openxmlformats.org/officeDocument/2006/relationships/hyperlink" Target="https://www.nve.no/energiforsyning/kraftproduksjon/vannkraft/vannkraftdatabase/" TargetMode="External"/><Relationship Id="rId155" Type="http://schemas.openxmlformats.org/officeDocument/2006/relationships/hyperlink" Target="https://www.tennet.org/english/operational_management/export_data.aspx" TargetMode="External"/><Relationship Id="rId362" Type="http://schemas.openxmlformats.org/officeDocument/2006/relationships/hyperlink" Target="http://gpi.tge.pl/en/wykaz-jednostek" TargetMode="External"/><Relationship Id="rId2043" Type="http://schemas.openxmlformats.org/officeDocument/2006/relationships/hyperlink" Target="https://sede.minetur.gob.es/en-US/datosabiertos/catalogo/registro-productores-electrica" TargetMode="External"/><Relationship Id="rId2250" Type="http://schemas.openxmlformats.org/officeDocument/2006/relationships/hyperlink" Target="https://sede.minetur.gob.es/en-US/datosabiertos/catalogo/registro-productores-electrica" TargetMode="External"/><Relationship Id="rId3301" Type="http://schemas.openxmlformats.org/officeDocument/2006/relationships/hyperlink" Target="https://www.nve.no/energiforsyning/kraftproduksjon/vannkraft/vannkraftdatabase/" TargetMode="External"/><Relationship Id="rId222" Type="http://schemas.openxmlformats.org/officeDocument/2006/relationships/hyperlink" Target="https://www.services-rte.com/en/view-data-published-by-rte/production-installed-capacity.html" TargetMode="External"/><Relationship Id="rId2110" Type="http://schemas.openxmlformats.org/officeDocument/2006/relationships/hyperlink" Target="https://sede.minetur.gob.es/en-US/datosabiertos/catalogo/registro-productores-electrica" TargetMode="External"/><Relationship Id="rId4075" Type="http://schemas.openxmlformats.org/officeDocument/2006/relationships/hyperlink" Target="https://www.nve.no/energiforsyning/kraftproduksjon/vannkraft/vannkraftdatabase/" TargetMode="External"/><Relationship Id="rId4282" Type="http://schemas.openxmlformats.org/officeDocument/2006/relationships/hyperlink" Target="https://www.nve.no/energiforsyning/kraftproduksjon/vannkraft/vannkraftdatabase/" TargetMode="External"/><Relationship Id="rId1669" Type="http://schemas.openxmlformats.org/officeDocument/2006/relationships/hyperlink" Target="https://energiavirasto.fi/toimitusvarmuus" TargetMode="External"/><Relationship Id="rId1876" Type="http://schemas.openxmlformats.org/officeDocument/2006/relationships/hyperlink" Target="https://sede.minetur.gob.es/en-US/datosabiertos/catalogo/registro-productores-electrica" TargetMode="External"/><Relationship Id="rId2927" Type="http://schemas.openxmlformats.org/officeDocument/2006/relationships/hyperlink" Target="https://www.gov.uk/government/statistics/electricity-chapter-5-digest-of-united-kingdom-energy-statistics-dukes" TargetMode="External"/><Relationship Id="rId3091" Type="http://schemas.openxmlformats.org/officeDocument/2006/relationships/hyperlink" Target="https://www.gov.uk/government/statistics/electricity-chapter-5-digest-of-united-kingdom-energy-statistics-dukes" TargetMode="External"/><Relationship Id="rId4142" Type="http://schemas.openxmlformats.org/officeDocument/2006/relationships/hyperlink" Target="https://www.nve.no/energiforsyning/kraftproduksjon/vannkraft/vannkraftdatabase/" TargetMode="External"/><Relationship Id="rId1529" Type="http://schemas.openxmlformats.org/officeDocument/2006/relationships/hyperlink" Target="https://energiavirasto.fi/toimitusvarmuus" TargetMode="External"/><Relationship Id="rId1736" Type="http://schemas.openxmlformats.org/officeDocument/2006/relationships/hyperlink" Target="https://sede.minetur.gob.es/en-US/datosabiertos/catalogo/registro-productores-electrica" TargetMode="External"/><Relationship Id="rId1943" Type="http://schemas.openxmlformats.org/officeDocument/2006/relationships/hyperlink" Target="https://sede.minetur.gob.es/en-US/datosabiertos/catalogo/registro-productores-electrica" TargetMode="External"/><Relationship Id="rId28" Type="http://schemas.openxmlformats.org/officeDocument/2006/relationships/hyperlink" Target="https://www.elia.be/en/grid-data/power-generation/generating-facilities" TargetMode="External"/><Relationship Id="rId1803" Type="http://schemas.openxmlformats.org/officeDocument/2006/relationships/hyperlink" Target="https://sede.minetur.gob.es/en-US/datosabiertos/catalogo/registro-productores-electrica" TargetMode="External"/><Relationship Id="rId4002" Type="http://schemas.openxmlformats.org/officeDocument/2006/relationships/hyperlink" Target="https://www.nve.no/energiforsyning/kraftproduksjon/vannkraft/vannkraftdatabase/" TargetMode="External"/><Relationship Id="rId4959" Type="http://schemas.openxmlformats.org/officeDocument/2006/relationships/hyperlink" Target="https://www.verbund.com/de-at/ueber-verbund/kraftwerke/unsere-kraftwerke" TargetMode="External"/><Relationship Id="rId3768" Type="http://schemas.openxmlformats.org/officeDocument/2006/relationships/hyperlink" Target="https://www.nve.no/energiforsyning/kraftproduksjon/vannkraft/vannkraftdatabase/" TargetMode="External"/><Relationship Id="rId3975" Type="http://schemas.openxmlformats.org/officeDocument/2006/relationships/hyperlink" Target="https://www.nve.no/energiforsyning/kraftproduksjon/vannkraft/vannkraftdatabase/" TargetMode="External"/><Relationship Id="rId4819" Type="http://schemas.openxmlformats.org/officeDocument/2006/relationships/hyperlink" Target="http://www.he-ss.si/eng/he-brezice-general-info.html" TargetMode="External"/><Relationship Id="rId6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7" Type="http://schemas.openxmlformats.org/officeDocument/2006/relationships/hyperlink" Target="https://sede.minetur.gob.es/en-US/datosabiertos/catalogo/registro-productores-electrica" TargetMode="External"/><Relationship Id="rId2784" Type="http://schemas.openxmlformats.org/officeDocument/2006/relationships/hyperlink" Target="https://sede.minetur.gob.es/en-US/datosabiertos/catalogo/registro-productores-electrica" TargetMode="External"/><Relationship Id="rId3628" Type="http://schemas.openxmlformats.org/officeDocument/2006/relationships/hyperlink" Target="https://www.nve.no/energiforsyning/kraftproduksjon/vannkraft/vannkraftdatabase/" TargetMode="External"/><Relationship Id="rId549" Type="http://schemas.openxmlformats.org/officeDocument/2006/relationships/hyperlink" Target="https://www.ceps.cz/cs/priprava-provozu" TargetMode="External"/><Relationship Id="rId7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6" Type="http://schemas.openxmlformats.org/officeDocument/2006/relationships/hyperlink" Target="https://energiavirasto.fi/toimitusvarmuus" TargetMode="External"/><Relationship Id="rId1593" Type="http://schemas.openxmlformats.org/officeDocument/2006/relationships/hyperlink" Target="https://energiavirasto.fi/toimitusvarmuus" TargetMode="External"/><Relationship Id="rId2437" Type="http://schemas.openxmlformats.org/officeDocument/2006/relationships/hyperlink" Target="https://sede.minetur.gob.es/en-US/datosabiertos/catalogo/registro-productores-electrica" TargetMode="External"/><Relationship Id="rId2991" Type="http://schemas.openxmlformats.org/officeDocument/2006/relationships/hyperlink" Target="https://www.gov.uk/government/statistics/electricity-chapter-5-digest-of-united-kingdom-energy-statistics-dukes" TargetMode="External"/><Relationship Id="rId3835" Type="http://schemas.openxmlformats.org/officeDocument/2006/relationships/hyperlink" Target="https://www.nve.no/energiforsyning/kraftproduksjon/vannkraft/vannkraftdatabase/" TargetMode="External"/><Relationship Id="rId409" Type="http://schemas.openxmlformats.org/officeDocument/2006/relationships/hyperlink" Target="http://gpi.tge.pl/en/wykaz-jednostek" TargetMode="External"/><Relationship Id="rId9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6" Type="http://schemas.openxmlformats.org/officeDocument/2006/relationships/hyperlink" Target="http://www2018.terna.it/it-it/sistemaelettrico/transparencyreport/generation/installedgenerationcapacity.aspx" TargetMode="External"/><Relationship Id="rId2644" Type="http://schemas.openxmlformats.org/officeDocument/2006/relationships/hyperlink" Target="https://sede.minetur.gob.es/en-US/datosabiertos/catalogo/registro-productores-electrica" TargetMode="External"/><Relationship Id="rId2851" Type="http://schemas.openxmlformats.org/officeDocument/2006/relationships/hyperlink" Target="https://sede.minetur.gob.es/en-US/datosabiertos/catalogo/registro-productores-electrica" TargetMode="External"/><Relationship Id="rId3902" Type="http://schemas.openxmlformats.org/officeDocument/2006/relationships/hyperlink" Target="https://www.nve.no/energiforsyning/kraftproduksjon/vannkraft/vannkraftdatabase/" TargetMode="External"/><Relationship Id="rId92" Type="http://schemas.openxmlformats.org/officeDocument/2006/relationships/hyperlink" Target="https://www.tennet.org/english/operational_management/export_data.aspx" TargetMode="External"/><Relationship Id="rId6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3" Type="http://schemas.openxmlformats.org/officeDocument/2006/relationships/hyperlink" Target="https://energiavirasto.fi/toimitusvarmuus" TargetMode="External"/><Relationship Id="rId1660" Type="http://schemas.openxmlformats.org/officeDocument/2006/relationships/hyperlink" Target="https://energiavirasto.fi/toimitusvarmuus" TargetMode="External"/><Relationship Id="rId2504" Type="http://schemas.openxmlformats.org/officeDocument/2006/relationships/hyperlink" Target="https://sede.minetur.gob.es/en-US/datosabiertos/catalogo/registro-productores-electrica" TargetMode="External"/><Relationship Id="rId2711" Type="http://schemas.openxmlformats.org/officeDocument/2006/relationships/hyperlink" Target="https://sede.minetur.gob.es/en-US/datosabiertos/catalogo/registro-productores-electrica" TargetMode="External"/><Relationship Id="rId11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13" Type="http://schemas.openxmlformats.org/officeDocument/2006/relationships/hyperlink" Target="http://www2018.terna.it/it-it/sistemaelettrico/transparencyreport/generation/installedgenerationcapacity.aspx" TargetMode="External"/><Relationship Id="rId1520" Type="http://schemas.openxmlformats.org/officeDocument/2006/relationships/hyperlink" Target="https://energiavirasto.fi/toimitusvarmuus" TargetMode="External"/><Relationship Id="rId4469" Type="http://schemas.openxmlformats.org/officeDocument/2006/relationships/hyperlink" Target="https://www.nve.no/energiforsyning/kraftproduksjon/vannkraft/vannkraftdatabase/" TargetMode="External"/><Relationship Id="rId4676" Type="http://schemas.openxmlformats.org/officeDocument/2006/relationships/hyperlink" Target="https://www.nve.no/energiforsyning/kraftproduksjon/vannkraft/vannkraftdatabase/" TargetMode="External"/><Relationship Id="rId4883" Type="http://schemas.openxmlformats.org/officeDocument/2006/relationships/hyperlink" Target="https://www.icis.com/explore/resources/news/2015/02/17/9861364/giant-unit-will-lower-slovenia-electricity-prices-from-mid-april-traders/" TargetMode="External"/><Relationship Id="rId3278" Type="http://schemas.openxmlformats.org/officeDocument/2006/relationships/hyperlink" Target="https://www.nve.no/energiforsyning/kraftproduksjon/vannkraft/vannkraftdatabase/" TargetMode="External"/><Relationship Id="rId3485" Type="http://schemas.openxmlformats.org/officeDocument/2006/relationships/hyperlink" Target="https://www.nve.no/energiforsyning/kraftproduksjon/vannkraft/vannkraftdatabase/" TargetMode="External"/><Relationship Id="rId3692" Type="http://schemas.openxmlformats.org/officeDocument/2006/relationships/hyperlink" Target="https://www.nve.no/energiforsyning/kraftproduksjon/vannkraft/vannkraftdatabase/" TargetMode="External"/><Relationship Id="rId4329" Type="http://schemas.openxmlformats.org/officeDocument/2006/relationships/hyperlink" Target="https://www.nve.no/energiforsyning/kraftproduksjon/vannkraft/vannkraftdatabase/" TargetMode="External"/><Relationship Id="rId4536" Type="http://schemas.openxmlformats.org/officeDocument/2006/relationships/hyperlink" Target="https://www.nve.no/energiforsyning/kraftproduksjon/vannkraft/vannkraftdatabase/" TargetMode="External"/><Relationship Id="rId4743" Type="http://schemas.openxmlformats.org/officeDocument/2006/relationships/hyperlink" Target="https://www.nve.no/energiforsyning/kraftproduksjon/vannkraft/vannkraftdatabase/" TargetMode="External"/><Relationship Id="rId4950" Type="http://schemas.openxmlformats.org/officeDocument/2006/relationships/hyperlink" Target="https://www.verbund.com/de-at/ueber-verbund/kraftwerke/unsere-kraftwerke" TargetMode="External"/><Relationship Id="rId199" Type="http://schemas.openxmlformats.org/officeDocument/2006/relationships/hyperlink" Target="https://www.services-rte.com/en/view-data-published-by-rte/production-installed-capacity.html" TargetMode="External"/><Relationship Id="rId2087" Type="http://schemas.openxmlformats.org/officeDocument/2006/relationships/hyperlink" Target="https://sede.minetur.gob.es/en-US/datosabiertos/catalogo/registro-productores-electrica" TargetMode="External"/><Relationship Id="rId2294" Type="http://schemas.openxmlformats.org/officeDocument/2006/relationships/hyperlink" Target="https://sede.minetur.gob.es/en-US/datosabiertos/catalogo/registro-productores-electrica" TargetMode="External"/><Relationship Id="rId3138" Type="http://schemas.openxmlformats.org/officeDocument/2006/relationships/hyperlink" Target="https://www.nve.no/energiforsyning/kraftproduksjon/vannkraft/vannkraftdatabase/" TargetMode="External"/><Relationship Id="rId3345" Type="http://schemas.openxmlformats.org/officeDocument/2006/relationships/hyperlink" Target="https://www.nve.no/energiforsyning/kraftproduksjon/vannkraft/vannkraftdatabase/" TargetMode="External"/><Relationship Id="rId3552" Type="http://schemas.openxmlformats.org/officeDocument/2006/relationships/hyperlink" Target="https://www.nve.no/energiforsyning/kraftproduksjon/vannkraft/vannkraftdatabase/" TargetMode="External"/><Relationship Id="rId4603" Type="http://schemas.openxmlformats.org/officeDocument/2006/relationships/hyperlink" Target="https://www.nve.no/energiforsyning/kraftproduksjon/vannkraft/vannkraftdatabase/" TargetMode="External"/><Relationship Id="rId266" Type="http://schemas.openxmlformats.org/officeDocument/2006/relationships/hyperlink" Target="https://www.services-rte.com/en/view-data-published-by-rte/production-installed-capacity.html" TargetMode="External"/><Relationship Id="rId473" Type="http://schemas.openxmlformats.org/officeDocument/2006/relationships/hyperlink" Target="https://www.ceps.cz/cs/priprava-provozu" TargetMode="External"/><Relationship Id="rId6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4" Type="http://schemas.openxmlformats.org/officeDocument/2006/relationships/hyperlink" Target="https://sede.minetur.gob.es/en-US/datosabiertos/catalogo/registro-productores-electrica" TargetMode="External"/><Relationship Id="rId2361" Type="http://schemas.openxmlformats.org/officeDocument/2006/relationships/hyperlink" Target="https://sede.minetur.gob.es/en-US/datosabiertos/catalogo/registro-productores-electrica" TargetMode="External"/><Relationship Id="rId3205" Type="http://schemas.openxmlformats.org/officeDocument/2006/relationships/hyperlink" Target="https://www.nve.no/energiforsyning/kraftproduksjon/vannkraft/vannkraftdatabase/" TargetMode="External"/><Relationship Id="rId3412" Type="http://schemas.openxmlformats.org/officeDocument/2006/relationships/hyperlink" Target="https://www.nve.no/energiforsyning/kraftproduksjon/vannkraft/vannkraftdatabase/" TargetMode="External"/><Relationship Id="rId4810" Type="http://schemas.openxmlformats.org/officeDocument/2006/relationships/hyperlink" Target="http://www.he-ss.si/eng/he-bostanj-general-info.html" TargetMode="External"/><Relationship Id="rId126" Type="http://schemas.openxmlformats.org/officeDocument/2006/relationships/hyperlink" Target="https://www.tennet.org/english/operational_management/export_data.aspx" TargetMode="External"/><Relationship Id="rId333" Type="http://schemas.openxmlformats.org/officeDocument/2006/relationships/hyperlink" Target="http://gpi.tge.pl/en/wykaz-jednostek" TargetMode="External"/><Relationship Id="rId540" Type="http://schemas.openxmlformats.org/officeDocument/2006/relationships/hyperlink" Target="https://www.ceps.cz/cs/priprava-provozu" TargetMode="External"/><Relationship Id="rId11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14" Type="http://schemas.openxmlformats.org/officeDocument/2006/relationships/hyperlink" Target="https://sede.minetur.gob.es/en-US/datosabiertos/catalogo/registro-productores-electrica" TargetMode="External"/><Relationship Id="rId2221" Type="http://schemas.openxmlformats.org/officeDocument/2006/relationships/hyperlink" Target="https://sede.minetur.gob.es/en-US/datosabiertos/catalogo/registro-productores-electrica" TargetMode="External"/><Relationship Id="rId10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86" Type="http://schemas.openxmlformats.org/officeDocument/2006/relationships/hyperlink" Target="https://www.nve.no/energiforsyning/kraftproduksjon/vannkraft/vannkraftdatabase/" TargetMode="External"/><Relationship Id="rId400" Type="http://schemas.openxmlformats.org/officeDocument/2006/relationships/hyperlink" Target="http://gpi.tge.pl/en/wykaz-jednostek" TargetMode="External"/><Relationship Id="rId1987" Type="http://schemas.openxmlformats.org/officeDocument/2006/relationships/hyperlink" Target="https://sede.minetur.gob.es/en-US/datosabiertos/catalogo/registro-productores-electrica" TargetMode="External"/><Relationship Id="rId4393" Type="http://schemas.openxmlformats.org/officeDocument/2006/relationships/hyperlink" Target="https://www.nve.no/energiforsyning/kraftproduksjon/vannkraft/vannkraftdatabase/" TargetMode="External"/><Relationship Id="rId1847" Type="http://schemas.openxmlformats.org/officeDocument/2006/relationships/hyperlink" Target="https://sede.minetur.gob.es/en-US/datosabiertos/catalogo/registro-productores-electrica" TargetMode="External"/><Relationship Id="rId4046" Type="http://schemas.openxmlformats.org/officeDocument/2006/relationships/hyperlink" Target="https://www.nve.no/energiforsyning/kraftproduksjon/vannkraft/vannkraftdatabase/" TargetMode="External"/><Relationship Id="rId4253" Type="http://schemas.openxmlformats.org/officeDocument/2006/relationships/hyperlink" Target="https://www.nve.no/energiforsyning/kraftproduksjon/vannkraft/vannkraftdatabase/" TargetMode="External"/><Relationship Id="rId4460" Type="http://schemas.openxmlformats.org/officeDocument/2006/relationships/hyperlink" Target="https://www.nve.no/energiforsyning/kraftproduksjon/vannkraft/vannkraftdatabase/" TargetMode="External"/><Relationship Id="rId1707" Type="http://schemas.openxmlformats.org/officeDocument/2006/relationships/hyperlink" Target="https://sede.minetur.gob.es/en-US/datosabiertos/catalogo/registro-productores-electrica" TargetMode="External"/><Relationship Id="rId3062" Type="http://schemas.openxmlformats.org/officeDocument/2006/relationships/hyperlink" Target="https://www.gov.uk/government/statistics/electricity-chapter-5-digest-of-united-kingdom-energy-statistics-dukes" TargetMode="External"/><Relationship Id="rId4113" Type="http://schemas.openxmlformats.org/officeDocument/2006/relationships/hyperlink" Target="https://www.nve.no/energiforsyning/kraftproduksjon/vannkraft/vannkraftdatabase/" TargetMode="External"/><Relationship Id="rId4320" Type="http://schemas.openxmlformats.org/officeDocument/2006/relationships/hyperlink" Target="https://www.nve.no/energiforsyning/kraftproduksjon/vannkraft/vannkraftdatabase/" TargetMode="External"/><Relationship Id="rId190" Type="http://schemas.openxmlformats.org/officeDocument/2006/relationships/hyperlink" Target="https://www.services-rte.com/en/view-data-published-by-rte/production-installed-capacity.html" TargetMode="External"/><Relationship Id="rId1914" Type="http://schemas.openxmlformats.org/officeDocument/2006/relationships/hyperlink" Target="https://sede.minetur.gob.es/en-US/datosabiertos/catalogo/registro-productores-electrica" TargetMode="External"/><Relationship Id="rId3879" Type="http://schemas.openxmlformats.org/officeDocument/2006/relationships/hyperlink" Target="https://www.nve.no/energiforsyning/kraftproduksjon/vannkraft/vannkraftdatabase/" TargetMode="External"/><Relationship Id="rId2688" Type="http://schemas.openxmlformats.org/officeDocument/2006/relationships/hyperlink" Target="https://sede.minetur.gob.es/en-US/datosabiertos/catalogo/registro-productores-electrica" TargetMode="External"/><Relationship Id="rId2895" Type="http://schemas.openxmlformats.org/officeDocument/2006/relationships/hyperlink" Target="https://www.gov.uk/government/statistics/electricity-chapter-5-digest-of-united-kingdom-energy-statistics-dukes" TargetMode="External"/><Relationship Id="rId3739" Type="http://schemas.openxmlformats.org/officeDocument/2006/relationships/hyperlink" Target="https://www.nve.no/energiforsyning/kraftproduksjon/vannkraft/vannkraftdatabase/" TargetMode="External"/><Relationship Id="rId3946" Type="http://schemas.openxmlformats.org/officeDocument/2006/relationships/hyperlink" Target="https://www.nve.no/energiforsyning/kraftproduksjon/vannkraft/vannkraftdatabase/" TargetMode="External"/><Relationship Id="rId8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7" Type="http://schemas.openxmlformats.org/officeDocument/2006/relationships/hyperlink" Target="https://energiavirasto.fi/toimitusvarmuus" TargetMode="External"/><Relationship Id="rId2548" Type="http://schemas.openxmlformats.org/officeDocument/2006/relationships/hyperlink" Target="https://sede.minetur.gob.es/en-US/datosabiertos/catalogo/registro-productores-electrica" TargetMode="External"/><Relationship Id="rId2755" Type="http://schemas.openxmlformats.org/officeDocument/2006/relationships/hyperlink" Target="https://sede.minetur.gob.es/en-US/datosabiertos/catalogo/registro-productores-electrica" TargetMode="External"/><Relationship Id="rId2962" Type="http://schemas.openxmlformats.org/officeDocument/2006/relationships/hyperlink" Target="https://www.gov.uk/government/statistics/electricity-chapter-5-digest-of-united-kingdom-energy-statistics-dukes" TargetMode="External"/><Relationship Id="rId3806" Type="http://schemas.openxmlformats.org/officeDocument/2006/relationships/hyperlink" Target="https://www.nve.no/energiforsyning/kraftproduksjon/vannkraft/vannkraftdatabase/" TargetMode="External"/><Relationship Id="rId7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7" Type="http://schemas.openxmlformats.org/officeDocument/2006/relationships/hyperlink" Target="http://www2018.terna.it/it-it/sistemaelettrico/transparencyreport/generation/installedgenerationcapacity.aspx" TargetMode="External"/><Relationship Id="rId1564" Type="http://schemas.openxmlformats.org/officeDocument/2006/relationships/hyperlink" Target="https://energiavirasto.fi/toimitusvarmuus" TargetMode="External"/><Relationship Id="rId1771" Type="http://schemas.openxmlformats.org/officeDocument/2006/relationships/hyperlink" Target="https://sede.minetur.gob.es/en-US/datosabiertos/catalogo/registro-productores-electrica" TargetMode="External"/><Relationship Id="rId2408" Type="http://schemas.openxmlformats.org/officeDocument/2006/relationships/hyperlink" Target="https://sede.minetur.gob.es/en-US/datosabiertos/catalogo/registro-productores-electrica" TargetMode="External"/><Relationship Id="rId2615" Type="http://schemas.openxmlformats.org/officeDocument/2006/relationships/hyperlink" Target="https://sede.minetur.gob.es/en-US/datosabiertos/catalogo/registro-productores-electrica" TargetMode="External"/><Relationship Id="rId2822" Type="http://schemas.openxmlformats.org/officeDocument/2006/relationships/hyperlink" Target="https://sede.minetur.gob.es/en-US/datosabiertos/catalogo/registro-productores-electrica" TargetMode="External"/><Relationship Id="rId5021" Type="http://schemas.openxmlformats.org/officeDocument/2006/relationships/hyperlink" Target="https://www.gem.wiki/Amager_power_station" TargetMode="External"/><Relationship Id="rId63" Type="http://schemas.openxmlformats.org/officeDocument/2006/relationships/hyperlink" Target="https://www.elia.be/en/grid-data/power-generation/generating-facilities" TargetMode="External"/><Relationship Id="rId12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24" Type="http://schemas.openxmlformats.org/officeDocument/2006/relationships/hyperlink" Target="https://energiavirasto.fi/toimitusvarmuus" TargetMode="External"/><Relationship Id="rId1631" Type="http://schemas.openxmlformats.org/officeDocument/2006/relationships/hyperlink" Target="https://energiavirasto.fi/toimitusvarmuus" TargetMode="External"/><Relationship Id="rId4787" Type="http://schemas.openxmlformats.org/officeDocument/2006/relationships/hyperlink" Target="https://www.nve.no/media/8967/termiske-kraftverk-i-norge-2019.xlsx" TargetMode="External"/><Relationship Id="rId4994" Type="http://schemas.openxmlformats.org/officeDocument/2006/relationships/hyperlink" Target="https://www.verbund.com/de-at/ueber-verbund/kraftwerke/unsere-kraftwerke" TargetMode="External"/><Relationship Id="rId3389" Type="http://schemas.openxmlformats.org/officeDocument/2006/relationships/hyperlink" Target="https://www.nve.no/energiforsyning/kraftproduksjon/vannkraft/vannkraftdatabase/" TargetMode="External"/><Relationship Id="rId3596" Type="http://schemas.openxmlformats.org/officeDocument/2006/relationships/hyperlink" Target="https://www.nve.no/energiforsyning/kraftproduksjon/vannkraft/vannkraftdatabase/" TargetMode="External"/><Relationship Id="rId4647" Type="http://schemas.openxmlformats.org/officeDocument/2006/relationships/hyperlink" Target="https://www.nve.no/energiforsyning/kraftproduksjon/vannkraft/vannkraftdatabase/" TargetMode="External"/><Relationship Id="rId2198" Type="http://schemas.openxmlformats.org/officeDocument/2006/relationships/hyperlink" Target="https://sede.minetur.gob.es/en-US/datosabiertos/catalogo/registro-productores-electrica" TargetMode="External"/><Relationship Id="rId3249" Type="http://schemas.openxmlformats.org/officeDocument/2006/relationships/hyperlink" Target="https://www.nve.no/energiforsyning/kraftproduksjon/vannkraft/vannkraftdatabase/" TargetMode="External"/><Relationship Id="rId3456" Type="http://schemas.openxmlformats.org/officeDocument/2006/relationships/hyperlink" Target="https://www.nve.no/energiforsyning/kraftproduksjon/vannkraft/vannkraftdatabase/" TargetMode="External"/><Relationship Id="rId4854" Type="http://schemas.openxmlformats.org/officeDocument/2006/relationships/hyperlink" Target="http://www.dem.si/en-gb/Power-plants-and-generation/General-data" TargetMode="External"/><Relationship Id="rId377" Type="http://schemas.openxmlformats.org/officeDocument/2006/relationships/hyperlink" Target="http://gpi.tge.pl/en/wykaz-jednostek" TargetMode="External"/><Relationship Id="rId5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8" Type="http://schemas.openxmlformats.org/officeDocument/2006/relationships/hyperlink" Target="https://sede.minetur.gob.es/en-US/datosabiertos/catalogo/registro-productores-electrica" TargetMode="External"/><Relationship Id="rId2265" Type="http://schemas.openxmlformats.org/officeDocument/2006/relationships/hyperlink" Target="https://sede.minetur.gob.es/en-US/datosabiertos/catalogo/registro-productores-electrica" TargetMode="External"/><Relationship Id="rId3109" Type="http://schemas.openxmlformats.org/officeDocument/2006/relationships/hyperlink" Target="https://www.nve.no/energiforsyning/kraftproduksjon/vannkraft/vannkraftdatabase/" TargetMode="External"/><Relationship Id="rId3663" Type="http://schemas.openxmlformats.org/officeDocument/2006/relationships/hyperlink" Target="https://www.nve.no/energiforsyning/kraftproduksjon/vannkraft/vannkraftdatabase/" TargetMode="External"/><Relationship Id="rId3870" Type="http://schemas.openxmlformats.org/officeDocument/2006/relationships/hyperlink" Target="https://www.nve.no/energiforsyning/kraftproduksjon/vannkraft/vannkraftdatabase/" TargetMode="External"/><Relationship Id="rId4507" Type="http://schemas.openxmlformats.org/officeDocument/2006/relationships/hyperlink" Target="https://www.nve.no/energiforsyning/kraftproduksjon/vannkraft/vannkraftdatabase/" TargetMode="External"/><Relationship Id="rId4714" Type="http://schemas.openxmlformats.org/officeDocument/2006/relationships/hyperlink" Target="https://www.nve.no/energiforsyning/kraftproduksjon/vannkraft/vannkraftdatabase/" TargetMode="External"/><Relationship Id="rId4921" Type="http://schemas.openxmlformats.org/officeDocument/2006/relationships/hyperlink" Target="https://www.verbund.com/de-at/ueber-verbund/kraftwerke/unsere-kraftwerke" TargetMode="External"/><Relationship Id="rId237" Type="http://schemas.openxmlformats.org/officeDocument/2006/relationships/hyperlink" Target="https://www.services-rte.com/en/view-data-published-by-rte/production-installed-capacity.html" TargetMode="External"/><Relationship Id="rId7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72" Type="http://schemas.openxmlformats.org/officeDocument/2006/relationships/hyperlink" Target="https://sede.minetur.gob.es/en-US/datosabiertos/catalogo/registro-productores-electrica" TargetMode="External"/><Relationship Id="rId3316" Type="http://schemas.openxmlformats.org/officeDocument/2006/relationships/hyperlink" Target="https://www.nve.no/energiforsyning/kraftproduksjon/vannkraft/vannkraftdatabase/" TargetMode="External"/><Relationship Id="rId3523" Type="http://schemas.openxmlformats.org/officeDocument/2006/relationships/hyperlink" Target="https://www.nve.no/energiforsyning/kraftproduksjon/vannkraft/vannkraftdatabase/" TargetMode="External"/><Relationship Id="rId3730" Type="http://schemas.openxmlformats.org/officeDocument/2006/relationships/hyperlink" Target="https://www.nve.no/energiforsyning/kraftproduksjon/vannkraft/vannkraftdatabase/" TargetMode="External"/><Relationship Id="rId444" Type="http://schemas.openxmlformats.org/officeDocument/2006/relationships/hyperlink" Target="https://www.ceps.cz/cs/priprava-provozu" TargetMode="External"/><Relationship Id="rId6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1" Type="http://schemas.openxmlformats.org/officeDocument/2006/relationships/hyperlink" Target="http://www2018.terna.it/it-it/sistemaelettrico/transparencyreport/generation/installedgenerationcapacity.aspx" TargetMode="External"/><Relationship Id="rId2125" Type="http://schemas.openxmlformats.org/officeDocument/2006/relationships/hyperlink" Target="https://sede.minetur.gob.es/en-US/datosabiertos/catalogo/registro-productores-electrica" TargetMode="External"/><Relationship Id="rId2332" Type="http://schemas.openxmlformats.org/officeDocument/2006/relationships/hyperlink" Target="https://sede.minetur.gob.es/en-US/datosabiertos/catalogo/registro-productores-electrica" TargetMode="External"/><Relationship Id="rId304" Type="http://schemas.openxmlformats.org/officeDocument/2006/relationships/hyperlink" Target="https://www.services-rte.com/en/view-data-published-by-rte/production-installed-capacity.html" TargetMode="External"/><Relationship Id="rId511" Type="http://schemas.openxmlformats.org/officeDocument/2006/relationships/hyperlink" Target="https://www.ceps.cz/cs/priprava-provozu" TargetMode="External"/><Relationship Id="rId11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97" Type="http://schemas.openxmlformats.org/officeDocument/2006/relationships/hyperlink" Target="https://www.nve.no/energiforsyning/kraftproduksjon/vannkraft/vannkraftdatabase/" TargetMode="External"/><Relationship Id="rId10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57" Type="http://schemas.openxmlformats.org/officeDocument/2006/relationships/hyperlink" Target="https://www.nve.no/energiforsyning/kraftproduksjon/vannkraft/vannkraftdatabase/" TargetMode="External"/><Relationship Id="rId4364" Type="http://schemas.openxmlformats.org/officeDocument/2006/relationships/hyperlink" Target="https://www.nve.no/energiforsyning/kraftproduksjon/vannkraft/vannkraftdatabase/" TargetMode="External"/><Relationship Id="rId4571" Type="http://schemas.openxmlformats.org/officeDocument/2006/relationships/hyperlink" Target="https://www.nve.no/energiforsyning/kraftproduksjon/vannkraft/vannkraftdatabase/" TargetMode="External"/><Relationship Id="rId1958" Type="http://schemas.openxmlformats.org/officeDocument/2006/relationships/hyperlink" Target="https://sede.minetur.gob.es/en-US/datosabiertos/catalogo/registro-productores-electrica" TargetMode="External"/><Relationship Id="rId3173" Type="http://schemas.openxmlformats.org/officeDocument/2006/relationships/hyperlink" Target="https://www.nve.no/energiforsyning/kraftproduksjon/vannkraft/vannkraftdatabase/" TargetMode="External"/><Relationship Id="rId3380" Type="http://schemas.openxmlformats.org/officeDocument/2006/relationships/hyperlink" Target="https://www.nve.no/energiforsyning/kraftproduksjon/vannkraft/vannkraftdatabase/" TargetMode="External"/><Relationship Id="rId4017" Type="http://schemas.openxmlformats.org/officeDocument/2006/relationships/hyperlink" Target="https://www.nve.no/energiforsyning/kraftproduksjon/vannkraft/vannkraftdatabase/" TargetMode="External"/><Relationship Id="rId4224" Type="http://schemas.openxmlformats.org/officeDocument/2006/relationships/hyperlink" Target="https://www.nve.no/energiforsyning/kraftproduksjon/vannkraft/vannkraftdatabase/" TargetMode="External"/><Relationship Id="rId4431" Type="http://schemas.openxmlformats.org/officeDocument/2006/relationships/hyperlink" Target="https://www.nve.no/energiforsyning/kraftproduksjon/vannkraft/vannkraftdatabase/" TargetMode="External"/><Relationship Id="rId1818" Type="http://schemas.openxmlformats.org/officeDocument/2006/relationships/hyperlink" Target="https://sede.minetur.gob.es/en-US/datosabiertos/catalogo/registro-productores-electrica" TargetMode="External"/><Relationship Id="rId3033" Type="http://schemas.openxmlformats.org/officeDocument/2006/relationships/hyperlink" Target="https://www.gov.uk/government/statistics/electricity-chapter-5-digest-of-united-kingdom-energy-statistics-dukes" TargetMode="External"/><Relationship Id="rId3240" Type="http://schemas.openxmlformats.org/officeDocument/2006/relationships/hyperlink" Target="https://www.nve.no/energiforsyning/kraftproduksjon/vannkraft/vannkraftdatabase/" TargetMode="External"/><Relationship Id="rId161" Type="http://schemas.openxmlformats.org/officeDocument/2006/relationships/hyperlink" Target="https://www.tennet.org/english/operational_management/export_data.aspx" TargetMode="External"/><Relationship Id="rId2799" Type="http://schemas.openxmlformats.org/officeDocument/2006/relationships/hyperlink" Target="https://sede.minetur.gob.es/en-US/datosabiertos/catalogo/registro-productores-electrica" TargetMode="External"/><Relationship Id="rId3100" Type="http://schemas.openxmlformats.org/officeDocument/2006/relationships/hyperlink" Target="https://www.nve.no/energiforsyning/kraftproduksjon/vannkraft/vannkraftdatabase/" TargetMode="External"/><Relationship Id="rId9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59" Type="http://schemas.openxmlformats.org/officeDocument/2006/relationships/hyperlink" Target="https://sede.minetur.gob.es/en-US/datosabiertos/catalogo/registro-productores-electrica" TargetMode="External"/><Relationship Id="rId2866" Type="http://schemas.openxmlformats.org/officeDocument/2006/relationships/hyperlink" Target="https://www.gov.uk/government/statistics/electricity-chapter-5-digest-of-united-kingdom-energy-statistics-dukes" TargetMode="External"/><Relationship Id="rId3917" Type="http://schemas.openxmlformats.org/officeDocument/2006/relationships/hyperlink" Target="https://www.nve.no/energiforsyning/kraftproduksjon/vannkraft/vannkraftdatabase/" TargetMode="External"/><Relationship Id="rId8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8" Type="http://schemas.openxmlformats.org/officeDocument/2006/relationships/hyperlink" Target="https://energiavirasto.fi/toimitusvarmuus" TargetMode="External"/><Relationship Id="rId1675" Type="http://schemas.openxmlformats.org/officeDocument/2006/relationships/hyperlink" Target="https://energiavirasto.fi/toimitusvarmuus" TargetMode="External"/><Relationship Id="rId1882" Type="http://schemas.openxmlformats.org/officeDocument/2006/relationships/hyperlink" Target="https://sede.minetur.gob.es/en-US/datosabiertos/catalogo/registro-productores-electrica" TargetMode="External"/><Relationship Id="rId2519" Type="http://schemas.openxmlformats.org/officeDocument/2006/relationships/hyperlink" Target="https://sede.minetur.gob.es/en-US/datosabiertos/catalogo/registro-productores-electrica" TargetMode="External"/><Relationship Id="rId2726" Type="http://schemas.openxmlformats.org/officeDocument/2006/relationships/hyperlink" Target="https://sede.minetur.gob.es/en-US/datosabiertos/catalogo/registro-productores-electrica" TargetMode="External"/><Relationship Id="rId4081" Type="http://schemas.openxmlformats.org/officeDocument/2006/relationships/hyperlink" Target="https://www.nve.no/energiforsyning/kraftproduksjon/vannkraft/vannkraftdatabase/" TargetMode="External"/><Relationship Id="rId1328" Type="http://schemas.openxmlformats.org/officeDocument/2006/relationships/hyperlink" Target="http://www2018.terna.it/it-it/sistemaelettrico/transparencyreport/generation/installedgenerationcapacity.aspx" TargetMode="External"/><Relationship Id="rId1535" Type="http://schemas.openxmlformats.org/officeDocument/2006/relationships/hyperlink" Target="https://energiavirasto.fi/toimitusvarmuus" TargetMode="External"/><Relationship Id="rId2933" Type="http://schemas.openxmlformats.org/officeDocument/2006/relationships/hyperlink" Target="https://www.gov.uk/government/statistics/electricity-chapter-5-digest-of-united-kingdom-energy-statistics-dukes" TargetMode="External"/><Relationship Id="rId9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42" Type="http://schemas.openxmlformats.org/officeDocument/2006/relationships/hyperlink" Target="https://sede.minetur.gob.es/en-US/datosabiertos/catalogo/registro-productores-electrica" TargetMode="External"/><Relationship Id="rId4898" Type="http://schemas.openxmlformats.org/officeDocument/2006/relationships/hyperlink" Target="https://www.verbund.com/de-at/ueber-verbund/kraftwerke/unsere-kraftwerke" TargetMode="External"/><Relationship Id="rId34" Type="http://schemas.openxmlformats.org/officeDocument/2006/relationships/hyperlink" Target="https://www.elia.be/en/grid-data/power-generation/generating-facilities" TargetMode="External"/><Relationship Id="rId1602" Type="http://schemas.openxmlformats.org/officeDocument/2006/relationships/hyperlink" Target="https://energiavirasto.fi/toimitusvarmuus" TargetMode="External"/><Relationship Id="rId4758" Type="http://schemas.openxmlformats.org/officeDocument/2006/relationships/hyperlink" Target="https://www.nve.no/energiforsyning/kraftproduksjon/vannkraft/vannkraftdatabase/" TargetMode="External"/><Relationship Id="rId4965" Type="http://schemas.openxmlformats.org/officeDocument/2006/relationships/hyperlink" Target="https://www.verbund.com/de-at/ueber-verbund/kraftwerke/unsere-kraftwerke" TargetMode="External"/><Relationship Id="rId3567" Type="http://schemas.openxmlformats.org/officeDocument/2006/relationships/hyperlink" Target="https://www.nve.no/energiforsyning/kraftproduksjon/vannkraft/vannkraftdatabase/" TargetMode="External"/><Relationship Id="rId3774" Type="http://schemas.openxmlformats.org/officeDocument/2006/relationships/hyperlink" Target="https://www.nve.no/energiforsyning/kraftproduksjon/vannkraft/vannkraftdatabase/" TargetMode="External"/><Relationship Id="rId3981" Type="http://schemas.openxmlformats.org/officeDocument/2006/relationships/hyperlink" Target="https://www.nve.no/energiforsyning/kraftproduksjon/vannkraft/vannkraftdatabase/" TargetMode="External"/><Relationship Id="rId4618" Type="http://schemas.openxmlformats.org/officeDocument/2006/relationships/hyperlink" Target="https://www.nve.no/energiforsyning/kraftproduksjon/vannkraft/vannkraftdatabase/" TargetMode="External"/><Relationship Id="rId4825" Type="http://schemas.openxmlformats.org/officeDocument/2006/relationships/hyperlink" Target="https://www.seng.si/en/hydropower-plants/large-hydropower-plants/" TargetMode="External"/><Relationship Id="rId488" Type="http://schemas.openxmlformats.org/officeDocument/2006/relationships/hyperlink" Target="https://www.ceps.cz/cs/priprava-provozu" TargetMode="External"/><Relationship Id="rId6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69" Type="http://schemas.openxmlformats.org/officeDocument/2006/relationships/hyperlink" Target="https://sede.minetur.gob.es/en-US/datosabiertos/catalogo/registro-productores-electrica" TargetMode="External"/><Relationship Id="rId2376" Type="http://schemas.openxmlformats.org/officeDocument/2006/relationships/hyperlink" Target="https://sede.minetur.gob.es/en-US/datosabiertos/catalogo/registro-productores-electrica" TargetMode="External"/><Relationship Id="rId2583" Type="http://schemas.openxmlformats.org/officeDocument/2006/relationships/hyperlink" Target="https://sede.minetur.gob.es/en-US/datosabiertos/catalogo/registro-productores-electrica" TargetMode="External"/><Relationship Id="rId2790" Type="http://schemas.openxmlformats.org/officeDocument/2006/relationships/hyperlink" Target="https://sede.minetur.gob.es/en-US/datosabiertos/catalogo/registro-productores-electrica" TargetMode="External"/><Relationship Id="rId3427" Type="http://schemas.openxmlformats.org/officeDocument/2006/relationships/hyperlink" Target="https://www.nve.no/energiforsyning/kraftproduksjon/vannkraft/vannkraftdatabase/" TargetMode="External"/><Relationship Id="rId3634" Type="http://schemas.openxmlformats.org/officeDocument/2006/relationships/hyperlink" Target="https://www.nve.no/energiforsyning/kraftproduksjon/vannkraft/vannkraftdatabase/" TargetMode="External"/><Relationship Id="rId3841" Type="http://schemas.openxmlformats.org/officeDocument/2006/relationships/hyperlink" Target="https://www.nve.no/energiforsyning/kraftproduksjon/vannkraft/vannkraftdatabase/" TargetMode="External"/><Relationship Id="rId348" Type="http://schemas.openxmlformats.org/officeDocument/2006/relationships/hyperlink" Target="http://gpi.tge.pl/en/wykaz-jednostek" TargetMode="External"/><Relationship Id="rId555" Type="http://schemas.openxmlformats.org/officeDocument/2006/relationships/hyperlink" Target="https://www.ceps.cz/cs/priprava-provozu" TargetMode="External"/><Relationship Id="rId7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2" Type="http://schemas.openxmlformats.org/officeDocument/2006/relationships/hyperlink" Target="https://energiavirasto.fi/toimitusvarmuus" TargetMode="External"/><Relationship Id="rId2029" Type="http://schemas.openxmlformats.org/officeDocument/2006/relationships/hyperlink" Target="https://sede.minetur.gob.es/en-US/datosabiertos/catalogo/registro-productores-electrica" TargetMode="External"/><Relationship Id="rId2236" Type="http://schemas.openxmlformats.org/officeDocument/2006/relationships/hyperlink" Target="https://sede.minetur.gob.es/en-US/datosabiertos/catalogo/registro-productores-electrica" TargetMode="External"/><Relationship Id="rId2443" Type="http://schemas.openxmlformats.org/officeDocument/2006/relationships/hyperlink" Target="https://sede.minetur.gob.es/en-US/datosabiertos/catalogo/registro-productores-electrica" TargetMode="External"/><Relationship Id="rId2650" Type="http://schemas.openxmlformats.org/officeDocument/2006/relationships/hyperlink" Target="https://sede.minetur.gob.es/en-US/datosabiertos/catalogo/registro-productores-electrica" TargetMode="External"/><Relationship Id="rId3701" Type="http://schemas.openxmlformats.org/officeDocument/2006/relationships/hyperlink" Target="https://www.nve.no/energiforsyning/kraftproduksjon/vannkraft/vannkraftdatabase/" TargetMode="External"/><Relationship Id="rId208" Type="http://schemas.openxmlformats.org/officeDocument/2006/relationships/hyperlink" Target="https://www.services-rte.com/en/view-data-published-by-rte/production-installed-capacity.html" TargetMode="External"/><Relationship Id="rId415" Type="http://schemas.openxmlformats.org/officeDocument/2006/relationships/hyperlink" Target="http://gpi.tge.pl/en/wykaz-jednostek" TargetMode="External"/><Relationship Id="rId6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2" Type="http://schemas.openxmlformats.org/officeDocument/2006/relationships/hyperlink" Target="http://www2018.terna.it/it-it/sistemaelettrico/transparencyreport/generation/installedgenerationcapacity.aspx" TargetMode="External"/><Relationship Id="rId2303" Type="http://schemas.openxmlformats.org/officeDocument/2006/relationships/hyperlink" Target="https://sede.minetur.gob.es/en-US/datosabiertos/catalogo/registro-productores-electrica" TargetMode="External"/><Relationship Id="rId2510" Type="http://schemas.openxmlformats.org/officeDocument/2006/relationships/hyperlink" Target="https://sede.minetur.gob.es/en-US/datosabiertos/catalogo/registro-productores-electrica" TargetMode="External"/><Relationship Id="rId11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68" Type="http://schemas.openxmlformats.org/officeDocument/2006/relationships/hyperlink" Target="https://www.nve.no/energiforsyning/kraftproduksjon/vannkraft/vannkraftdatabase/" TargetMode="External"/><Relationship Id="rId4475" Type="http://schemas.openxmlformats.org/officeDocument/2006/relationships/hyperlink" Target="https://www.nve.no/energiforsyning/kraftproduksjon/vannkraft/vannkraftdatabase/" TargetMode="External"/><Relationship Id="rId3077" Type="http://schemas.openxmlformats.org/officeDocument/2006/relationships/hyperlink" Target="https://www.gov.uk/government/statistics/electricity-chapter-5-digest-of-united-kingdom-energy-statistics-dukes" TargetMode="External"/><Relationship Id="rId3284" Type="http://schemas.openxmlformats.org/officeDocument/2006/relationships/hyperlink" Target="https://www.nve.no/energiforsyning/kraftproduksjon/vannkraft/vannkraftdatabase/" TargetMode="External"/><Relationship Id="rId4128" Type="http://schemas.openxmlformats.org/officeDocument/2006/relationships/hyperlink" Target="https://www.nve.no/energiforsyning/kraftproduksjon/vannkraft/vannkraftdatabase/" TargetMode="External"/><Relationship Id="rId4682" Type="http://schemas.openxmlformats.org/officeDocument/2006/relationships/hyperlink" Target="https://www.nve.no/energiforsyning/kraftproduksjon/vannkraft/vannkraftdatabase/" TargetMode="External"/><Relationship Id="rId1929" Type="http://schemas.openxmlformats.org/officeDocument/2006/relationships/hyperlink" Target="https://sede.minetur.gob.es/en-US/datosabiertos/catalogo/registro-productores-electrica" TargetMode="External"/><Relationship Id="rId2093" Type="http://schemas.openxmlformats.org/officeDocument/2006/relationships/hyperlink" Target="https://sede.minetur.gob.es/en-US/datosabiertos/catalogo/registro-productores-electrica" TargetMode="External"/><Relationship Id="rId3491" Type="http://schemas.openxmlformats.org/officeDocument/2006/relationships/hyperlink" Target="https://www.nve.no/energiforsyning/kraftproduksjon/vannkraft/vannkraftdatabase/" TargetMode="External"/><Relationship Id="rId4335" Type="http://schemas.openxmlformats.org/officeDocument/2006/relationships/hyperlink" Target="https://www.nve.no/energiforsyning/kraftproduksjon/vannkraft/vannkraftdatabase/" TargetMode="External"/><Relationship Id="rId4542" Type="http://schemas.openxmlformats.org/officeDocument/2006/relationships/hyperlink" Target="https://www.nve.no/energiforsyning/kraftproduksjon/vannkraft/vannkraftdatabase/" TargetMode="External"/><Relationship Id="rId3144" Type="http://schemas.openxmlformats.org/officeDocument/2006/relationships/hyperlink" Target="https://www.nve.no/energiforsyning/kraftproduksjon/vannkraft/vannkraftdatabase/" TargetMode="External"/><Relationship Id="rId3351" Type="http://schemas.openxmlformats.org/officeDocument/2006/relationships/hyperlink" Target="https://www.nve.no/energiforsyning/kraftproduksjon/vannkraft/vannkraftdatabase/" TargetMode="External"/><Relationship Id="rId4402" Type="http://schemas.openxmlformats.org/officeDocument/2006/relationships/hyperlink" Target="https://www.nve.no/energiforsyning/kraftproduksjon/vannkraft/vannkraftdatabase/" TargetMode="External"/><Relationship Id="rId272" Type="http://schemas.openxmlformats.org/officeDocument/2006/relationships/hyperlink" Target="https://www.services-rte.com/en/view-data-published-by-rte/production-installed-capacity.html" TargetMode="External"/><Relationship Id="rId2160" Type="http://schemas.openxmlformats.org/officeDocument/2006/relationships/hyperlink" Target="https://sede.minetur.gob.es/en-US/datosabiertos/catalogo/registro-productores-electrica" TargetMode="External"/><Relationship Id="rId3004" Type="http://schemas.openxmlformats.org/officeDocument/2006/relationships/hyperlink" Target="https://www.gov.uk/government/statistics/electricity-chapter-5-digest-of-united-kingdom-energy-statistics-dukes" TargetMode="External"/><Relationship Id="rId3211" Type="http://schemas.openxmlformats.org/officeDocument/2006/relationships/hyperlink" Target="https://www.nve.no/energiforsyning/kraftproduksjon/vannkraft/vannkraftdatabase/" TargetMode="External"/><Relationship Id="rId132" Type="http://schemas.openxmlformats.org/officeDocument/2006/relationships/hyperlink" Target="https://www.tennet.org/english/operational_management/export_data.aspx" TargetMode="External"/><Relationship Id="rId2020" Type="http://schemas.openxmlformats.org/officeDocument/2006/relationships/hyperlink" Target="https://sede.minetur.gob.es/en-US/datosabiertos/catalogo/registro-productores-electrica" TargetMode="External"/><Relationship Id="rId1579" Type="http://schemas.openxmlformats.org/officeDocument/2006/relationships/hyperlink" Target="https://energiavirasto.fi/toimitusvarmuus" TargetMode="External"/><Relationship Id="rId2977" Type="http://schemas.openxmlformats.org/officeDocument/2006/relationships/hyperlink" Target="https://www.gov.uk/government/statistics/electricity-chapter-5-digest-of-united-kingdom-energy-statistics-dukes" TargetMode="External"/><Relationship Id="rId4192" Type="http://schemas.openxmlformats.org/officeDocument/2006/relationships/hyperlink" Target="https://www.nve.no/energiforsyning/kraftproduksjon/vannkraft/vannkraftdatabase/" TargetMode="External"/><Relationship Id="rId5036" Type="http://schemas.openxmlformats.org/officeDocument/2006/relationships/hyperlink" Target="http://globalenergyobservatory.org/geoid/44220" TargetMode="External"/><Relationship Id="rId9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86" Type="http://schemas.openxmlformats.org/officeDocument/2006/relationships/hyperlink" Target="https://sede.minetur.gob.es/en-US/datosabiertos/catalogo/registro-productores-electrica" TargetMode="External"/><Relationship Id="rId1993" Type="http://schemas.openxmlformats.org/officeDocument/2006/relationships/hyperlink" Target="https://sede.minetur.gob.es/en-US/datosabiertos/catalogo/registro-productores-electrica" TargetMode="External"/><Relationship Id="rId2837" Type="http://schemas.openxmlformats.org/officeDocument/2006/relationships/hyperlink" Target="https://sede.minetur.gob.es/en-US/datosabiertos/catalogo/registro-productores-electrica" TargetMode="External"/><Relationship Id="rId4052" Type="http://schemas.openxmlformats.org/officeDocument/2006/relationships/hyperlink" Target="https://www.nve.no/energiforsyning/kraftproduksjon/vannkraft/vannkraftdatabase/" TargetMode="External"/><Relationship Id="rId78" Type="http://schemas.openxmlformats.org/officeDocument/2006/relationships/hyperlink" Target="https://www.elia.be/en/grid-data/power-generation/generating-facilities" TargetMode="External"/><Relationship Id="rId8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9" Type="http://schemas.openxmlformats.org/officeDocument/2006/relationships/hyperlink" Target="https://energiavirasto.fi/toimitusvarmuus" TargetMode="External"/><Relationship Id="rId1646" Type="http://schemas.openxmlformats.org/officeDocument/2006/relationships/hyperlink" Target="https://energiavirasto.fi/toimitusvarmuus" TargetMode="External"/><Relationship Id="rId1853" Type="http://schemas.openxmlformats.org/officeDocument/2006/relationships/hyperlink" Target="https://sede.minetur.gob.es/en-US/datosabiertos/catalogo/registro-productores-electrica" TargetMode="External"/><Relationship Id="rId2904" Type="http://schemas.openxmlformats.org/officeDocument/2006/relationships/hyperlink" Target="https://www.gov.uk/government/statistics/electricity-chapter-5-digest-of-united-kingdom-energy-statistics-dukes" TargetMode="External"/><Relationship Id="rId1506" Type="http://schemas.openxmlformats.org/officeDocument/2006/relationships/hyperlink" Target="https://energiavirasto.fi/toimitusvarmuus" TargetMode="External"/><Relationship Id="rId1713" Type="http://schemas.openxmlformats.org/officeDocument/2006/relationships/hyperlink" Target="https://sede.minetur.gob.es/en-US/datosabiertos/catalogo/registro-productores-electrica" TargetMode="External"/><Relationship Id="rId1920" Type="http://schemas.openxmlformats.org/officeDocument/2006/relationships/hyperlink" Target="https://sede.minetur.gob.es/en-US/datosabiertos/catalogo/registro-productores-electrica" TargetMode="External"/><Relationship Id="rId4869" Type="http://schemas.openxmlformats.org/officeDocument/2006/relationships/hyperlink" Target="http://www.dem.si/en-gb/Power-plants-and-generation/General-data" TargetMode="External"/><Relationship Id="rId3678" Type="http://schemas.openxmlformats.org/officeDocument/2006/relationships/hyperlink" Target="https://www.nve.no/energiforsyning/kraftproduksjon/vannkraft/vannkraftdatabase/" TargetMode="External"/><Relationship Id="rId3885" Type="http://schemas.openxmlformats.org/officeDocument/2006/relationships/hyperlink" Target="https://www.nve.no/energiforsyning/kraftproduksjon/vannkraft/vannkraftdatabase/" TargetMode="External"/><Relationship Id="rId4729" Type="http://schemas.openxmlformats.org/officeDocument/2006/relationships/hyperlink" Target="https://www.nve.no/energiforsyning/kraftproduksjon/vannkraft/vannkraftdatabase/" TargetMode="External"/><Relationship Id="rId4936" Type="http://schemas.openxmlformats.org/officeDocument/2006/relationships/hyperlink" Target="https://www.verbund.com/de-at/ueber-verbund/kraftwerke/unsere-kraftwerke" TargetMode="External"/><Relationship Id="rId5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87" Type="http://schemas.openxmlformats.org/officeDocument/2006/relationships/hyperlink" Target="https://sede.minetur.gob.es/en-US/datosabiertos/catalogo/registro-productores-electrica" TargetMode="External"/><Relationship Id="rId2694" Type="http://schemas.openxmlformats.org/officeDocument/2006/relationships/hyperlink" Target="https://sede.minetur.gob.es/en-US/datosabiertos/catalogo/registro-productores-electrica" TargetMode="External"/><Relationship Id="rId3538" Type="http://schemas.openxmlformats.org/officeDocument/2006/relationships/hyperlink" Target="https://www.nve.no/energiforsyning/kraftproduksjon/vannkraft/vannkraftdatabase/" TargetMode="External"/><Relationship Id="rId3745" Type="http://schemas.openxmlformats.org/officeDocument/2006/relationships/hyperlink" Target="https://www.nve.no/energiforsyning/kraftproduksjon/vannkraft/vannkraftdatabase/" TargetMode="External"/><Relationship Id="rId459" Type="http://schemas.openxmlformats.org/officeDocument/2006/relationships/hyperlink" Target="https://www.ceps.cz/cs/priprava-provozu" TargetMode="External"/><Relationship Id="rId6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6" Type="http://schemas.openxmlformats.org/officeDocument/2006/relationships/hyperlink" Target="http://www2018.terna.it/it-it/sistemaelettrico/transparencyreport/generation/installedgenerationcapacity.aspx" TargetMode="External"/><Relationship Id="rId2347" Type="http://schemas.openxmlformats.org/officeDocument/2006/relationships/hyperlink" Target="https://sede.minetur.gob.es/en-US/datosabiertos/catalogo/registro-productores-electrica" TargetMode="External"/><Relationship Id="rId2554" Type="http://schemas.openxmlformats.org/officeDocument/2006/relationships/hyperlink" Target="https://sede.minetur.gob.es/en-US/datosabiertos/catalogo/registro-productores-electrica" TargetMode="External"/><Relationship Id="rId3952" Type="http://schemas.openxmlformats.org/officeDocument/2006/relationships/hyperlink" Target="https://www.nve.no/energiforsyning/kraftproduksjon/vannkraft/vannkraftdatabase/" TargetMode="External"/><Relationship Id="rId319" Type="http://schemas.openxmlformats.org/officeDocument/2006/relationships/hyperlink" Target="http://gpi.tge.pl/en/wykaz-jednostek" TargetMode="External"/><Relationship Id="rId526" Type="http://schemas.openxmlformats.org/officeDocument/2006/relationships/hyperlink" Target="https://www.ceps.cz/cs/priprava-provozu" TargetMode="External"/><Relationship Id="rId11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3" Type="http://schemas.openxmlformats.org/officeDocument/2006/relationships/hyperlink" Target="http://www2018.terna.it/it-it/sistemaelettrico/transparencyreport/generation/installedgenerationcapacity.aspx" TargetMode="External"/><Relationship Id="rId2207" Type="http://schemas.openxmlformats.org/officeDocument/2006/relationships/hyperlink" Target="https://sede.minetur.gob.es/en-US/datosabiertos/catalogo/registro-productores-electrica" TargetMode="External"/><Relationship Id="rId2761" Type="http://schemas.openxmlformats.org/officeDocument/2006/relationships/hyperlink" Target="https://sede.minetur.gob.es/en-US/datosabiertos/catalogo/registro-productores-electrica" TargetMode="External"/><Relationship Id="rId3605" Type="http://schemas.openxmlformats.org/officeDocument/2006/relationships/hyperlink" Target="https://www.nve.no/energiforsyning/kraftproduksjon/vannkraft/vannkraftdatabase/" TargetMode="External"/><Relationship Id="rId3812" Type="http://schemas.openxmlformats.org/officeDocument/2006/relationships/hyperlink" Target="https://www.nve.no/energiforsyning/kraftproduksjon/vannkraft/vannkraftdatabase/" TargetMode="External"/><Relationship Id="rId7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0" Type="http://schemas.openxmlformats.org/officeDocument/2006/relationships/hyperlink" Target="https://energiavirasto.fi/toimitusvarmuus" TargetMode="External"/><Relationship Id="rId2414" Type="http://schemas.openxmlformats.org/officeDocument/2006/relationships/hyperlink" Target="https://sede.minetur.gob.es/en-US/datosabiertos/catalogo/registro-productores-electrica" TargetMode="External"/><Relationship Id="rId2621" Type="http://schemas.openxmlformats.org/officeDocument/2006/relationships/hyperlink" Target="https://sede.minetur.gob.es/en-US/datosabiertos/catalogo/registro-productores-electrica" TargetMode="External"/><Relationship Id="rId8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0" Type="http://schemas.openxmlformats.org/officeDocument/2006/relationships/hyperlink" Target="https://energiavirasto.fi/toimitusvarmuus" TargetMode="External"/><Relationship Id="rId4379" Type="http://schemas.openxmlformats.org/officeDocument/2006/relationships/hyperlink" Target="https://www.nve.no/energiforsyning/kraftproduksjon/vannkraft/vannkraftdatabase/" TargetMode="External"/><Relationship Id="rId4586" Type="http://schemas.openxmlformats.org/officeDocument/2006/relationships/hyperlink" Target="https://www.nve.no/energiforsyning/kraftproduksjon/vannkraft/vannkraftdatabase/" TargetMode="External"/><Relationship Id="rId4793" Type="http://schemas.openxmlformats.org/officeDocument/2006/relationships/hyperlink" Target="https://www.nve.no/media/8967/termiske-kraftverk-i-norge-2019.xlsx" TargetMode="External"/><Relationship Id="rId3188" Type="http://schemas.openxmlformats.org/officeDocument/2006/relationships/hyperlink" Target="https://www.nve.no/energiforsyning/kraftproduksjon/vannkraft/vannkraftdatabase/" TargetMode="External"/><Relationship Id="rId3395" Type="http://schemas.openxmlformats.org/officeDocument/2006/relationships/hyperlink" Target="https://www.nve.no/energiforsyning/kraftproduksjon/vannkraft/vannkraftdatabase/" TargetMode="External"/><Relationship Id="rId4239" Type="http://schemas.openxmlformats.org/officeDocument/2006/relationships/hyperlink" Target="https://www.nve.no/energiforsyning/kraftproduksjon/vannkraft/vannkraftdatabase/" TargetMode="External"/><Relationship Id="rId4446" Type="http://schemas.openxmlformats.org/officeDocument/2006/relationships/hyperlink" Target="https://www.nve.no/energiforsyning/kraftproduksjon/vannkraft/vannkraftdatabase/" TargetMode="External"/><Relationship Id="rId4653" Type="http://schemas.openxmlformats.org/officeDocument/2006/relationships/hyperlink" Target="https://www.nve.no/energiforsyning/kraftproduksjon/vannkraft/vannkraftdatabase/" TargetMode="External"/><Relationship Id="rId4860" Type="http://schemas.openxmlformats.org/officeDocument/2006/relationships/hyperlink" Target="https://www.seng.si/en/hydropower-plants/small-hydropower-plants/" TargetMode="External"/><Relationship Id="rId3048" Type="http://schemas.openxmlformats.org/officeDocument/2006/relationships/hyperlink" Target="https://www.gov.uk/government/statistics/electricity-chapter-5-digest-of-united-kingdom-energy-statistics-dukes" TargetMode="External"/><Relationship Id="rId3255" Type="http://schemas.openxmlformats.org/officeDocument/2006/relationships/hyperlink" Target="https://www.nve.no/energiforsyning/kraftproduksjon/vannkraft/vannkraftdatabase/" TargetMode="External"/><Relationship Id="rId3462" Type="http://schemas.openxmlformats.org/officeDocument/2006/relationships/hyperlink" Target="https://www.nve.no/energiforsyning/kraftproduksjon/vannkraft/vannkraftdatabase/" TargetMode="External"/><Relationship Id="rId4306" Type="http://schemas.openxmlformats.org/officeDocument/2006/relationships/hyperlink" Target="https://www.nve.no/energiforsyning/kraftproduksjon/vannkraft/vannkraftdatabase/" TargetMode="External"/><Relationship Id="rId4513" Type="http://schemas.openxmlformats.org/officeDocument/2006/relationships/hyperlink" Target="https://www.nve.no/energiforsyning/kraftproduksjon/vannkraft/vannkraftdatabase/" TargetMode="External"/><Relationship Id="rId4720" Type="http://schemas.openxmlformats.org/officeDocument/2006/relationships/hyperlink" Target="https://www.nve.no/energiforsyning/kraftproduksjon/vannkraft/vannkraftdatabase/" TargetMode="External"/><Relationship Id="rId176" Type="http://schemas.openxmlformats.org/officeDocument/2006/relationships/hyperlink" Target="https://www.services-rte.com/en/view-data-published-by-rte/production-installed-capacity.html" TargetMode="External"/><Relationship Id="rId383" Type="http://schemas.openxmlformats.org/officeDocument/2006/relationships/hyperlink" Target="http://gpi.tge.pl/en/wykaz-jednostek" TargetMode="External"/><Relationship Id="rId5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64" Type="http://schemas.openxmlformats.org/officeDocument/2006/relationships/hyperlink" Target="https://sede.minetur.gob.es/en-US/datosabiertos/catalogo/registro-productores-electrica" TargetMode="External"/><Relationship Id="rId2271" Type="http://schemas.openxmlformats.org/officeDocument/2006/relationships/hyperlink" Target="https://sede.minetur.gob.es/en-US/datosabiertos/catalogo/registro-productores-electrica" TargetMode="External"/><Relationship Id="rId3115" Type="http://schemas.openxmlformats.org/officeDocument/2006/relationships/hyperlink" Target="https://www.nve.no/energiforsyning/kraftproduksjon/vannkraft/vannkraftdatabase/" TargetMode="External"/><Relationship Id="rId3322" Type="http://schemas.openxmlformats.org/officeDocument/2006/relationships/hyperlink" Target="https://www.nve.no/energiforsyning/kraftproduksjon/vannkraft/vannkraftdatabase/" TargetMode="External"/><Relationship Id="rId243" Type="http://schemas.openxmlformats.org/officeDocument/2006/relationships/hyperlink" Target="https://www.services-rte.com/en/view-data-published-by-rte/production-installed-capacity.html" TargetMode="External"/><Relationship Id="rId450" Type="http://schemas.openxmlformats.org/officeDocument/2006/relationships/hyperlink" Target="https://www.ceps.cz/cs/priprava-provozu" TargetMode="External"/><Relationship Id="rId10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31" Type="http://schemas.openxmlformats.org/officeDocument/2006/relationships/hyperlink" Target="https://sede.minetur.gob.es/en-US/datosabiertos/catalogo/registro-productores-electrica" TargetMode="External"/><Relationship Id="rId103" Type="http://schemas.openxmlformats.org/officeDocument/2006/relationships/hyperlink" Target="https://www.tennet.org/english/operational_management/export_data.aspx" TargetMode="External"/><Relationship Id="rId310" Type="http://schemas.openxmlformats.org/officeDocument/2006/relationships/hyperlink" Target="https://www.services-rte.com/en/view-data-published-by-rte/production-installed-capacity.html" TargetMode="External"/><Relationship Id="rId4096" Type="http://schemas.openxmlformats.org/officeDocument/2006/relationships/hyperlink" Target="https://www.nve.no/energiforsyning/kraftproduksjon/vannkraft/vannkraftdatabase/" TargetMode="External"/><Relationship Id="rId1897" Type="http://schemas.openxmlformats.org/officeDocument/2006/relationships/hyperlink" Target="https://sede.minetur.gob.es/en-US/datosabiertos/catalogo/registro-productores-electrica" TargetMode="External"/><Relationship Id="rId2948" Type="http://schemas.openxmlformats.org/officeDocument/2006/relationships/hyperlink" Target="https://www.gov.uk/government/statistics/electricity-chapter-5-digest-of-united-kingdom-energy-statistics-dukes" TargetMode="External"/><Relationship Id="rId1757" Type="http://schemas.openxmlformats.org/officeDocument/2006/relationships/hyperlink" Target="https://sede.minetur.gob.es/en-US/datosabiertos/catalogo/registro-productores-electrica" TargetMode="External"/><Relationship Id="rId1964" Type="http://schemas.openxmlformats.org/officeDocument/2006/relationships/hyperlink" Target="https://sede.minetur.gob.es/en-US/datosabiertos/catalogo/registro-productores-electrica" TargetMode="External"/><Relationship Id="rId2808" Type="http://schemas.openxmlformats.org/officeDocument/2006/relationships/hyperlink" Target="https://sede.minetur.gob.es/en-US/datosabiertos/catalogo/registro-productores-electrica" TargetMode="External"/><Relationship Id="rId4163" Type="http://schemas.openxmlformats.org/officeDocument/2006/relationships/hyperlink" Target="https://www.nve.no/energiforsyning/kraftproduksjon/vannkraft/vannkraftdatabase/" TargetMode="External"/><Relationship Id="rId4370" Type="http://schemas.openxmlformats.org/officeDocument/2006/relationships/hyperlink" Target="https://www.nve.no/energiforsyning/kraftproduksjon/vannkraft/vannkraftdatabase/" TargetMode="External"/><Relationship Id="rId5007" Type="http://schemas.openxmlformats.org/officeDocument/2006/relationships/hyperlink" Target="https://umwelterklaerung.wienenergie.at/downloads/WienEnergie_Umwelterkl%C3%A4rung_2019_screen.pdf" TargetMode="External"/><Relationship Id="rId49" Type="http://schemas.openxmlformats.org/officeDocument/2006/relationships/hyperlink" Target="https://www.elia.be/en/grid-data/power-generation/generating-facilities" TargetMode="External"/><Relationship Id="rId1617" Type="http://schemas.openxmlformats.org/officeDocument/2006/relationships/hyperlink" Target="https://energiavirasto.fi/toimitusvarmuus" TargetMode="External"/><Relationship Id="rId1824" Type="http://schemas.openxmlformats.org/officeDocument/2006/relationships/hyperlink" Target="https://sede.minetur.gob.es/en-US/datosabiertos/catalogo/registro-productores-electrica" TargetMode="External"/><Relationship Id="rId4023" Type="http://schemas.openxmlformats.org/officeDocument/2006/relationships/hyperlink" Target="https://www.nve.no/energiforsyning/kraftproduksjon/vannkraft/vannkraftdatabase/" TargetMode="External"/><Relationship Id="rId4230" Type="http://schemas.openxmlformats.org/officeDocument/2006/relationships/hyperlink" Target="https://www.nve.no/energiforsyning/kraftproduksjon/vannkraft/vannkraftdatabase/" TargetMode="External"/><Relationship Id="rId3789" Type="http://schemas.openxmlformats.org/officeDocument/2006/relationships/hyperlink" Target="https://www.nve.no/energiforsyning/kraftproduksjon/vannkraft/vannkraftdatabase/" TargetMode="External"/><Relationship Id="rId2598" Type="http://schemas.openxmlformats.org/officeDocument/2006/relationships/hyperlink" Target="https://sede.minetur.gob.es/en-US/datosabiertos/catalogo/registro-productores-electrica" TargetMode="External"/><Relationship Id="rId3996" Type="http://schemas.openxmlformats.org/officeDocument/2006/relationships/hyperlink" Target="https://www.nve.no/energiforsyning/kraftproduksjon/vannkraft/vannkraftdatabase/" TargetMode="External"/><Relationship Id="rId3649" Type="http://schemas.openxmlformats.org/officeDocument/2006/relationships/hyperlink" Target="https://www.nve.no/energiforsyning/kraftproduksjon/vannkraft/vannkraftdatabase/" TargetMode="External"/><Relationship Id="rId3856" Type="http://schemas.openxmlformats.org/officeDocument/2006/relationships/hyperlink" Target="https://www.nve.no/energiforsyning/kraftproduksjon/vannkraft/vannkraftdatabase/" TargetMode="External"/><Relationship Id="rId4907" Type="http://schemas.openxmlformats.org/officeDocument/2006/relationships/hyperlink" Target="https://www.verbund.com/de-at/ueber-verbund/kraftwerke/unsere-kraftwerke" TargetMode="External"/><Relationship Id="rId7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8" Type="http://schemas.openxmlformats.org/officeDocument/2006/relationships/hyperlink" Target="https://sede.minetur.gob.es/en-US/datosabiertos/catalogo/registro-productores-electrica" TargetMode="External"/><Relationship Id="rId2665" Type="http://schemas.openxmlformats.org/officeDocument/2006/relationships/hyperlink" Target="https://sede.minetur.gob.es/en-US/datosabiertos/catalogo/registro-productores-electrica" TargetMode="External"/><Relationship Id="rId2872" Type="http://schemas.openxmlformats.org/officeDocument/2006/relationships/hyperlink" Target="https://www.gov.uk/government/statistics/electricity-chapter-5-digest-of-united-kingdom-energy-statistics-dukes" TargetMode="External"/><Relationship Id="rId3509" Type="http://schemas.openxmlformats.org/officeDocument/2006/relationships/hyperlink" Target="https://www.nve.no/energiforsyning/kraftproduksjon/vannkraft/vannkraftdatabase/" TargetMode="External"/><Relationship Id="rId3716" Type="http://schemas.openxmlformats.org/officeDocument/2006/relationships/hyperlink" Target="https://www.nve.no/energiforsyning/kraftproduksjon/vannkraft/vannkraftdatabase/" TargetMode="External"/><Relationship Id="rId3923" Type="http://schemas.openxmlformats.org/officeDocument/2006/relationships/hyperlink" Target="https://www.nve.no/energiforsyning/kraftproduksjon/vannkraft/vannkraftdatabase/" TargetMode="External"/><Relationship Id="rId6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7" Type="http://schemas.openxmlformats.org/officeDocument/2006/relationships/hyperlink" Target="http://www2018.terna.it/it-it/sistemaelettrico/transparencyreport/generation/installedgenerationcapacity.aspx" TargetMode="External"/><Relationship Id="rId1474" Type="http://schemas.openxmlformats.org/officeDocument/2006/relationships/hyperlink" Target="https://energiavirasto.fi/toimitusvarmuus" TargetMode="External"/><Relationship Id="rId1681" Type="http://schemas.openxmlformats.org/officeDocument/2006/relationships/hyperlink" Target="https://energiavirasto.fi/toimitusvarmuus" TargetMode="External"/><Relationship Id="rId2318" Type="http://schemas.openxmlformats.org/officeDocument/2006/relationships/hyperlink" Target="https://sede.minetur.gob.es/en-US/datosabiertos/catalogo/registro-productores-electrica" TargetMode="External"/><Relationship Id="rId2525" Type="http://schemas.openxmlformats.org/officeDocument/2006/relationships/hyperlink" Target="https://sede.minetur.gob.es/en-US/datosabiertos/catalogo/registro-productores-electrica" TargetMode="External"/><Relationship Id="rId2732" Type="http://schemas.openxmlformats.org/officeDocument/2006/relationships/hyperlink" Target="https://sede.minetur.gob.es/en-US/datosabiertos/catalogo/registro-productores-electrica" TargetMode="External"/><Relationship Id="rId7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4" Type="http://schemas.openxmlformats.org/officeDocument/2006/relationships/hyperlink" Target="http://www2018.terna.it/it-it/sistemaelettrico/transparencyreport/generation/installedgenerationcapacity.aspx" TargetMode="External"/><Relationship Id="rId1541" Type="http://schemas.openxmlformats.org/officeDocument/2006/relationships/hyperlink" Target="https://energiavirasto.fi/toimitusvarmuus" TargetMode="External"/><Relationship Id="rId4697" Type="http://schemas.openxmlformats.org/officeDocument/2006/relationships/hyperlink" Target="https://www.nve.no/energiforsyning/kraftproduksjon/vannkraft/vannkraftdatabase/" TargetMode="External"/><Relationship Id="rId40" Type="http://schemas.openxmlformats.org/officeDocument/2006/relationships/hyperlink" Target="https://www.elia.be/en/grid-data/power-generation/generating-facilities" TargetMode="External"/><Relationship Id="rId1401" Type="http://schemas.openxmlformats.org/officeDocument/2006/relationships/hyperlink" Target="https://energiavirasto.fi/toimitusvarmuus" TargetMode="External"/><Relationship Id="rId3299" Type="http://schemas.openxmlformats.org/officeDocument/2006/relationships/hyperlink" Target="https://www.nve.no/energiforsyning/kraftproduksjon/vannkraft/vannkraftdatabase/" TargetMode="External"/><Relationship Id="rId4557" Type="http://schemas.openxmlformats.org/officeDocument/2006/relationships/hyperlink" Target="https://www.nve.no/energiforsyning/kraftproduksjon/vannkraft/vannkraftdatabase/" TargetMode="External"/><Relationship Id="rId4764" Type="http://schemas.openxmlformats.org/officeDocument/2006/relationships/hyperlink" Target="https://www.nve.no/energiforsyning/kraftproduksjon/vannkraft/vannkraftdatabase/" TargetMode="External"/><Relationship Id="rId3159" Type="http://schemas.openxmlformats.org/officeDocument/2006/relationships/hyperlink" Target="https://www.nve.no/energiforsyning/kraftproduksjon/vannkraft/vannkraftdatabase/" TargetMode="External"/><Relationship Id="rId3366" Type="http://schemas.openxmlformats.org/officeDocument/2006/relationships/hyperlink" Target="https://www.nve.no/energiforsyning/kraftproduksjon/vannkraft/vannkraftdatabase/" TargetMode="External"/><Relationship Id="rId3573" Type="http://schemas.openxmlformats.org/officeDocument/2006/relationships/hyperlink" Target="https://www.nve.no/energiforsyning/kraftproduksjon/vannkraft/vannkraftdatabase/" TargetMode="External"/><Relationship Id="rId4417" Type="http://schemas.openxmlformats.org/officeDocument/2006/relationships/hyperlink" Target="https://www.nve.no/energiforsyning/kraftproduksjon/vannkraft/vannkraftdatabase/" TargetMode="External"/><Relationship Id="rId4971" Type="http://schemas.openxmlformats.org/officeDocument/2006/relationships/hyperlink" Target="https://www.verbund.com/de-at/ueber-verbund/kraftwerke/unsere-kraftwerke" TargetMode="External"/><Relationship Id="rId287" Type="http://schemas.openxmlformats.org/officeDocument/2006/relationships/hyperlink" Target="https://www.services-rte.com/en/view-data-published-by-rte/production-installed-capacity.html" TargetMode="External"/><Relationship Id="rId494" Type="http://schemas.openxmlformats.org/officeDocument/2006/relationships/hyperlink" Target="https://www.ceps.cz/cs/priprava-provozu" TargetMode="External"/><Relationship Id="rId2175" Type="http://schemas.openxmlformats.org/officeDocument/2006/relationships/hyperlink" Target="https://sede.minetur.gob.es/en-US/datosabiertos/catalogo/registro-productores-electrica" TargetMode="External"/><Relationship Id="rId2382" Type="http://schemas.openxmlformats.org/officeDocument/2006/relationships/hyperlink" Target="https://sede.minetur.gob.es/en-US/datosabiertos/catalogo/registro-productores-electrica" TargetMode="External"/><Relationship Id="rId3019" Type="http://schemas.openxmlformats.org/officeDocument/2006/relationships/hyperlink" Target="https://www.gov.uk/government/statistics/electricity-chapter-5-digest-of-united-kingdom-energy-statistics-dukes" TargetMode="External"/><Relationship Id="rId3226" Type="http://schemas.openxmlformats.org/officeDocument/2006/relationships/hyperlink" Target="https://www.nve.no/energiforsyning/kraftproduksjon/vannkraft/vannkraftdatabase/" TargetMode="External"/><Relationship Id="rId3780" Type="http://schemas.openxmlformats.org/officeDocument/2006/relationships/hyperlink" Target="https://www.nve.no/energiforsyning/kraftproduksjon/vannkraft/vannkraftdatabase/" TargetMode="External"/><Relationship Id="rId4624" Type="http://schemas.openxmlformats.org/officeDocument/2006/relationships/hyperlink" Target="https://www.nve.no/energiforsyning/kraftproduksjon/vannkraft/vannkraftdatabase/" TargetMode="External"/><Relationship Id="rId4831" Type="http://schemas.openxmlformats.org/officeDocument/2006/relationships/hyperlink" Target="http://www.dem.si/en-gb/Power-plants-and-generation/General-data" TargetMode="External"/><Relationship Id="rId147" Type="http://schemas.openxmlformats.org/officeDocument/2006/relationships/hyperlink" Target="https://www.tennet.org/english/operational_management/export_data.aspx" TargetMode="External"/><Relationship Id="rId354" Type="http://schemas.openxmlformats.org/officeDocument/2006/relationships/hyperlink" Target="http://gpi.tge.pl/en/wykaz-jednostek" TargetMode="External"/><Relationship Id="rId11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35" Type="http://schemas.openxmlformats.org/officeDocument/2006/relationships/hyperlink" Target="https://sede.minetur.gob.es/en-US/datosabiertos/catalogo/registro-productores-electrica" TargetMode="External"/><Relationship Id="rId3433" Type="http://schemas.openxmlformats.org/officeDocument/2006/relationships/hyperlink" Target="https://www.nve.no/energiforsyning/kraftproduksjon/vannkraft/vannkraftdatabase/" TargetMode="External"/><Relationship Id="rId3640" Type="http://schemas.openxmlformats.org/officeDocument/2006/relationships/hyperlink" Target="https://www.nve.no/energiforsyning/kraftproduksjon/vannkraft/vannkraftdatabase/" TargetMode="External"/><Relationship Id="rId561" Type="http://schemas.openxmlformats.org/officeDocument/2006/relationships/hyperlink" Target="https://www.ceps.cz/cs/priprava-provozu" TargetMode="External"/><Relationship Id="rId2242" Type="http://schemas.openxmlformats.org/officeDocument/2006/relationships/hyperlink" Target="https://sede.minetur.gob.es/en-US/datosabiertos/catalogo/registro-productores-electrica" TargetMode="External"/><Relationship Id="rId3500" Type="http://schemas.openxmlformats.org/officeDocument/2006/relationships/hyperlink" Target="https://www.nve.no/energiforsyning/kraftproduksjon/vannkraft/vannkraftdatabase/" TargetMode="External"/><Relationship Id="rId214" Type="http://schemas.openxmlformats.org/officeDocument/2006/relationships/hyperlink" Target="https://www.services-rte.com/en/view-data-published-by-rte/production-installed-capacity.html" TargetMode="External"/><Relationship Id="rId421" Type="http://schemas.openxmlformats.org/officeDocument/2006/relationships/hyperlink" Target="https://www.ceps.cz/cs/priprava-provozu" TargetMode="External"/><Relationship Id="rId10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02" Type="http://schemas.openxmlformats.org/officeDocument/2006/relationships/hyperlink" Target="https://sede.minetur.gob.es/en-US/datosabiertos/catalogo/registro-productores-electrica" TargetMode="External"/><Relationship Id="rId1868" Type="http://schemas.openxmlformats.org/officeDocument/2006/relationships/hyperlink" Target="https://sede.minetur.gob.es/en-US/datosabiertos/catalogo/registro-productores-electrica" TargetMode="External"/><Relationship Id="rId4067" Type="http://schemas.openxmlformats.org/officeDocument/2006/relationships/hyperlink" Target="https://www.nve.no/energiforsyning/kraftproduksjon/vannkraft/vannkraftdatabase/" TargetMode="External"/><Relationship Id="rId4274" Type="http://schemas.openxmlformats.org/officeDocument/2006/relationships/hyperlink" Target="https://www.nve.no/energiforsyning/kraftproduksjon/vannkraft/vannkraftdatabase/" TargetMode="External"/><Relationship Id="rId4481" Type="http://schemas.openxmlformats.org/officeDocument/2006/relationships/hyperlink" Target="https://www.nve.no/energiforsyning/kraftproduksjon/vannkraft/vannkraftdatabase/" TargetMode="External"/><Relationship Id="rId2919" Type="http://schemas.openxmlformats.org/officeDocument/2006/relationships/hyperlink" Target="https://www.gov.uk/government/statistics/electricity-chapter-5-digest-of-united-kingdom-energy-statistics-dukes" TargetMode="External"/><Relationship Id="rId3083" Type="http://schemas.openxmlformats.org/officeDocument/2006/relationships/hyperlink" Target="https://www.gov.uk/government/statistics/electricity-chapter-5-digest-of-united-kingdom-energy-statistics-dukes" TargetMode="External"/><Relationship Id="rId3290" Type="http://schemas.openxmlformats.org/officeDocument/2006/relationships/hyperlink" Target="https://www.nve.no/energiforsyning/kraftproduksjon/vannkraft/vannkraftdatabase/" TargetMode="External"/><Relationship Id="rId4134" Type="http://schemas.openxmlformats.org/officeDocument/2006/relationships/hyperlink" Target="https://www.nve.no/energiforsyning/kraftproduksjon/vannkraft/vannkraftdatabase/" TargetMode="External"/><Relationship Id="rId4341" Type="http://schemas.openxmlformats.org/officeDocument/2006/relationships/hyperlink" Target="https://www.nve.no/energiforsyning/kraftproduksjon/vannkraft/vannkraftdatabase/" TargetMode="External"/><Relationship Id="rId1728" Type="http://schemas.openxmlformats.org/officeDocument/2006/relationships/hyperlink" Target="https://sede.minetur.gob.es/en-US/datosabiertos/catalogo/registro-productores-electrica" TargetMode="External"/><Relationship Id="rId1935" Type="http://schemas.openxmlformats.org/officeDocument/2006/relationships/hyperlink" Target="https://sede.minetur.gob.es/en-US/datosabiertos/catalogo/registro-productores-electrica" TargetMode="External"/><Relationship Id="rId3150" Type="http://schemas.openxmlformats.org/officeDocument/2006/relationships/hyperlink" Target="https://www.nve.no/energiforsyning/kraftproduksjon/vannkraft/vannkraftdatabase/" TargetMode="External"/><Relationship Id="rId4201" Type="http://schemas.openxmlformats.org/officeDocument/2006/relationships/hyperlink" Target="https://www.nve.no/energiforsyning/kraftproduksjon/vannkraft/vannkraftdatabase/" TargetMode="External"/><Relationship Id="rId3010" Type="http://schemas.openxmlformats.org/officeDocument/2006/relationships/hyperlink" Target="https://www.gov.uk/government/statistics/electricity-chapter-5-digest-of-united-kingdom-energy-statistics-dukes" TargetMode="External"/><Relationship Id="rId3967" Type="http://schemas.openxmlformats.org/officeDocument/2006/relationships/hyperlink" Target="https://www.nve.no/energiforsyning/kraftproduksjon/vannkraft/vannkraftdatabase/" TargetMode="External"/><Relationship Id="rId4" Type="http://schemas.openxmlformats.org/officeDocument/2006/relationships/hyperlink" Target="https://www.elia.be/en/grid-data/power-generation/generating-facilities" TargetMode="External"/><Relationship Id="rId8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69" Type="http://schemas.openxmlformats.org/officeDocument/2006/relationships/hyperlink" Target="https://sede.minetur.gob.es/en-US/datosabiertos/catalogo/registro-productores-electrica" TargetMode="External"/><Relationship Id="rId2776" Type="http://schemas.openxmlformats.org/officeDocument/2006/relationships/hyperlink" Target="https://sede.minetur.gob.es/en-US/datosabiertos/catalogo/registro-productores-electrica" TargetMode="External"/><Relationship Id="rId2983" Type="http://schemas.openxmlformats.org/officeDocument/2006/relationships/hyperlink" Target="https://www.gov.uk/government/statistics/electricity-chapter-5-digest-of-united-kingdom-energy-statistics-dukes" TargetMode="External"/><Relationship Id="rId3827" Type="http://schemas.openxmlformats.org/officeDocument/2006/relationships/hyperlink" Target="https://www.nve.no/energiforsyning/kraftproduksjon/vannkraft/vannkraftdatabase/" TargetMode="External"/><Relationship Id="rId7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8" Type="http://schemas.openxmlformats.org/officeDocument/2006/relationships/hyperlink" Target="http://www2018.terna.it/it-it/sistemaelettrico/transparencyreport/generation/installedgenerationcapacity.aspx" TargetMode="External"/><Relationship Id="rId1585" Type="http://schemas.openxmlformats.org/officeDocument/2006/relationships/hyperlink" Target="https://energiavirasto.fi/toimitusvarmuus" TargetMode="External"/><Relationship Id="rId1792" Type="http://schemas.openxmlformats.org/officeDocument/2006/relationships/hyperlink" Target="https://sede.minetur.gob.es/en-US/datosabiertos/catalogo/registro-productores-electrica" TargetMode="External"/><Relationship Id="rId2429" Type="http://schemas.openxmlformats.org/officeDocument/2006/relationships/hyperlink" Target="https://sede.minetur.gob.es/en-US/datosabiertos/catalogo/registro-productores-electrica" TargetMode="External"/><Relationship Id="rId2636" Type="http://schemas.openxmlformats.org/officeDocument/2006/relationships/hyperlink" Target="https://sede.minetur.gob.es/en-US/datosabiertos/catalogo/registro-productores-electrica" TargetMode="External"/><Relationship Id="rId2843" Type="http://schemas.openxmlformats.org/officeDocument/2006/relationships/hyperlink" Target="https://sede.minetur.gob.es/en-US/datosabiertos/catalogo/registro-productores-electrica" TargetMode="External"/><Relationship Id="rId84" Type="http://schemas.openxmlformats.org/officeDocument/2006/relationships/hyperlink" Target="https://www.elia.be/en/grid-data/power-generation/generating-facilities" TargetMode="External"/><Relationship Id="rId6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5" Type="http://schemas.openxmlformats.org/officeDocument/2006/relationships/hyperlink" Target="https://energiavirasto.fi/toimitusvarmuus" TargetMode="External"/><Relationship Id="rId1652" Type="http://schemas.openxmlformats.org/officeDocument/2006/relationships/hyperlink" Target="https://energiavirasto.fi/toimitusvarmuus" TargetMode="External"/><Relationship Id="rId1305" Type="http://schemas.openxmlformats.org/officeDocument/2006/relationships/hyperlink" Target="http://www2018.terna.it/it-it/sistemaelettrico/transparencyreport/generation/installedgenerationcapacity.aspx" TargetMode="External"/><Relationship Id="rId2703" Type="http://schemas.openxmlformats.org/officeDocument/2006/relationships/hyperlink" Target="https://sede.minetur.gob.es/en-US/datosabiertos/catalogo/registro-productores-electrica" TargetMode="External"/><Relationship Id="rId2910" Type="http://schemas.openxmlformats.org/officeDocument/2006/relationships/hyperlink" Target="https://www.gov.uk/government/statistics/electricity-chapter-5-digest-of-united-kingdom-energy-statistics-dukes" TargetMode="External"/><Relationship Id="rId1512" Type="http://schemas.openxmlformats.org/officeDocument/2006/relationships/hyperlink" Target="https://energiavirasto.fi/toimitusvarmuus" TargetMode="External"/><Relationship Id="rId4668" Type="http://schemas.openxmlformats.org/officeDocument/2006/relationships/hyperlink" Target="https://www.nve.no/energiforsyning/kraftproduksjon/vannkraft/vannkraftdatabase/" TargetMode="External"/><Relationship Id="rId4875" Type="http://schemas.openxmlformats.org/officeDocument/2006/relationships/hyperlink" Target="https://www.seng.si/en/hydropower-plants/small-hydropower-plants/" TargetMode="External"/><Relationship Id="rId11" Type="http://schemas.openxmlformats.org/officeDocument/2006/relationships/hyperlink" Target="https://www.elia.be/en/grid-data/power-generation/generating-facilities" TargetMode="External"/><Relationship Id="rId398" Type="http://schemas.openxmlformats.org/officeDocument/2006/relationships/hyperlink" Target="http://gpi.tge.pl/en/wykaz-jednostek" TargetMode="External"/><Relationship Id="rId2079" Type="http://schemas.openxmlformats.org/officeDocument/2006/relationships/hyperlink" Target="https://sede.minetur.gob.es/en-US/datosabiertos/catalogo/registro-productores-electrica" TargetMode="External"/><Relationship Id="rId3477" Type="http://schemas.openxmlformats.org/officeDocument/2006/relationships/hyperlink" Target="https://www.nve.no/energiforsyning/kraftproduksjon/vannkraft/vannkraftdatabase/" TargetMode="External"/><Relationship Id="rId3684" Type="http://schemas.openxmlformats.org/officeDocument/2006/relationships/hyperlink" Target="https://www.nve.no/energiforsyning/kraftproduksjon/vannkraft/vannkraftdatabase/" TargetMode="External"/><Relationship Id="rId3891" Type="http://schemas.openxmlformats.org/officeDocument/2006/relationships/hyperlink" Target="https://www.nve.no/energiforsyning/kraftproduksjon/vannkraft/vannkraftdatabase/" TargetMode="External"/><Relationship Id="rId4528" Type="http://schemas.openxmlformats.org/officeDocument/2006/relationships/hyperlink" Target="https://www.nve.no/energiforsyning/kraftproduksjon/vannkraft/vannkraftdatabase/" TargetMode="External"/><Relationship Id="rId4735" Type="http://schemas.openxmlformats.org/officeDocument/2006/relationships/hyperlink" Target="https://www.nve.no/energiforsyning/kraftproduksjon/vannkraft/vannkraftdatabase/" TargetMode="External"/><Relationship Id="rId4942" Type="http://schemas.openxmlformats.org/officeDocument/2006/relationships/hyperlink" Target="https://www.verbund.com/de-at/ueber-verbund/kraftwerke/unsere-kraftwerke" TargetMode="External"/><Relationship Id="rId2286" Type="http://schemas.openxmlformats.org/officeDocument/2006/relationships/hyperlink" Target="https://sede.minetur.gob.es/en-US/datosabiertos/catalogo/registro-productores-electrica" TargetMode="External"/><Relationship Id="rId2493" Type="http://schemas.openxmlformats.org/officeDocument/2006/relationships/hyperlink" Target="https://sede.minetur.gob.es/en-US/datosabiertos/catalogo/registro-productores-electrica" TargetMode="External"/><Relationship Id="rId3337" Type="http://schemas.openxmlformats.org/officeDocument/2006/relationships/hyperlink" Target="https://www.nve.no/energiforsyning/kraftproduksjon/vannkraft/vannkraftdatabase/" TargetMode="External"/><Relationship Id="rId3544" Type="http://schemas.openxmlformats.org/officeDocument/2006/relationships/hyperlink" Target="https://www.nve.no/energiforsyning/kraftproduksjon/vannkraft/vannkraftdatabase/" TargetMode="External"/><Relationship Id="rId3751" Type="http://schemas.openxmlformats.org/officeDocument/2006/relationships/hyperlink" Target="https://www.nve.no/energiforsyning/kraftproduksjon/vannkraft/vannkraftdatabase/" TargetMode="External"/><Relationship Id="rId4802" Type="http://schemas.openxmlformats.org/officeDocument/2006/relationships/hyperlink" Target="https://www.nve.no/media/8967/termiske-kraftverk-i-norge-2019.xlsx" TargetMode="External"/><Relationship Id="rId258" Type="http://schemas.openxmlformats.org/officeDocument/2006/relationships/hyperlink" Target="https://www.services-rte.com/en/view-data-published-by-rte/production-installed-capacity.html" TargetMode="External"/><Relationship Id="rId465" Type="http://schemas.openxmlformats.org/officeDocument/2006/relationships/hyperlink" Target="https://www.ceps.cz/cs/priprava-provozu" TargetMode="External"/><Relationship Id="rId6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6" Type="http://schemas.openxmlformats.org/officeDocument/2006/relationships/hyperlink" Target="https://sede.minetur.gob.es/en-US/datosabiertos/catalogo/registro-productores-electrica" TargetMode="External"/><Relationship Id="rId2353" Type="http://schemas.openxmlformats.org/officeDocument/2006/relationships/hyperlink" Target="https://sede.minetur.gob.es/en-US/datosabiertos/catalogo/registro-productores-electrica" TargetMode="External"/><Relationship Id="rId2560" Type="http://schemas.openxmlformats.org/officeDocument/2006/relationships/hyperlink" Target="https://sede.minetur.gob.es/en-US/datosabiertos/catalogo/registro-productores-electrica" TargetMode="External"/><Relationship Id="rId3404" Type="http://schemas.openxmlformats.org/officeDocument/2006/relationships/hyperlink" Target="https://www.nve.no/energiforsyning/kraftproduksjon/vannkraft/vannkraftdatabase/" TargetMode="External"/><Relationship Id="rId3611" Type="http://schemas.openxmlformats.org/officeDocument/2006/relationships/hyperlink" Target="https://www.nve.no/energiforsyning/kraftproduksjon/vannkraft/vannkraftdatabase/" TargetMode="External"/><Relationship Id="rId118" Type="http://schemas.openxmlformats.org/officeDocument/2006/relationships/hyperlink" Target="https://www.tennet.org/english/operational_management/export_data.aspx" TargetMode="External"/><Relationship Id="rId325" Type="http://schemas.openxmlformats.org/officeDocument/2006/relationships/hyperlink" Target="http://gpi.tge.pl/en/wykaz-jednostek" TargetMode="External"/><Relationship Id="rId532" Type="http://schemas.openxmlformats.org/officeDocument/2006/relationships/hyperlink" Target="https://www.ceps.cz/cs/priprava-provozu" TargetMode="External"/><Relationship Id="rId11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06" Type="http://schemas.openxmlformats.org/officeDocument/2006/relationships/hyperlink" Target="https://sede.minetur.gob.es/en-US/datosabiertos/catalogo/registro-productores-electrica" TargetMode="External"/><Relationship Id="rId2213" Type="http://schemas.openxmlformats.org/officeDocument/2006/relationships/hyperlink" Target="https://sede.minetur.gob.es/en-US/datosabiertos/catalogo/registro-productores-electrica" TargetMode="External"/><Relationship Id="rId2420" Type="http://schemas.openxmlformats.org/officeDocument/2006/relationships/hyperlink" Target="https://sede.minetur.gob.es/en-US/datosabiertos/catalogo/registro-productores-electrica" TargetMode="External"/><Relationship Id="rId10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78" Type="http://schemas.openxmlformats.org/officeDocument/2006/relationships/hyperlink" Target="https://www.nve.no/energiforsyning/kraftproduksjon/vannkraft/vannkraftdatabase/" TargetMode="External"/><Relationship Id="rId4385" Type="http://schemas.openxmlformats.org/officeDocument/2006/relationships/hyperlink" Target="https://www.nve.no/energiforsyning/kraftproduksjon/vannkraft/vannkraftdatabase/" TargetMode="External"/><Relationship Id="rId4592" Type="http://schemas.openxmlformats.org/officeDocument/2006/relationships/hyperlink" Target="https://www.nve.no/energiforsyning/kraftproduksjon/vannkraft/vannkraftdatabase/" TargetMode="External"/><Relationship Id="rId1979" Type="http://schemas.openxmlformats.org/officeDocument/2006/relationships/hyperlink" Target="https://sede.minetur.gob.es/en-US/datosabiertos/catalogo/registro-productores-electrica" TargetMode="External"/><Relationship Id="rId3194" Type="http://schemas.openxmlformats.org/officeDocument/2006/relationships/hyperlink" Target="https://www.nve.no/energiforsyning/kraftproduksjon/vannkraft/vannkraftdatabase/" TargetMode="External"/><Relationship Id="rId4038" Type="http://schemas.openxmlformats.org/officeDocument/2006/relationships/hyperlink" Target="https://www.nve.no/energiforsyning/kraftproduksjon/vannkraft/vannkraftdatabase/" TargetMode="External"/><Relationship Id="rId4245" Type="http://schemas.openxmlformats.org/officeDocument/2006/relationships/hyperlink" Target="https://www.nve.no/energiforsyning/kraftproduksjon/vannkraft/vannkraftdatabase/" TargetMode="External"/><Relationship Id="rId1839" Type="http://schemas.openxmlformats.org/officeDocument/2006/relationships/hyperlink" Target="https://sede.minetur.gob.es/en-US/datosabiertos/catalogo/registro-productores-electrica" TargetMode="External"/><Relationship Id="rId3054" Type="http://schemas.openxmlformats.org/officeDocument/2006/relationships/hyperlink" Target="https://www.gov.uk/government/statistics/electricity-chapter-5-digest-of-united-kingdom-energy-statistics-dukes" TargetMode="External"/><Relationship Id="rId4452" Type="http://schemas.openxmlformats.org/officeDocument/2006/relationships/hyperlink" Target="https://www.nve.no/energiforsyning/kraftproduksjon/vannkraft/vannkraftdatabase/" TargetMode="External"/><Relationship Id="rId182" Type="http://schemas.openxmlformats.org/officeDocument/2006/relationships/hyperlink" Target="https://www.services-rte.com/en/view-data-published-by-rte/production-installed-capacity.html" TargetMode="External"/><Relationship Id="rId1906" Type="http://schemas.openxmlformats.org/officeDocument/2006/relationships/hyperlink" Target="https://sede.minetur.gob.es/en-US/datosabiertos/catalogo/registro-productores-electrica" TargetMode="External"/><Relationship Id="rId3261" Type="http://schemas.openxmlformats.org/officeDocument/2006/relationships/hyperlink" Target="https://www.nve.no/energiforsyning/kraftproduksjon/vannkraft/vannkraftdatabase/" TargetMode="External"/><Relationship Id="rId4105" Type="http://schemas.openxmlformats.org/officeDocument/2006/relationships/hyperlink" Target="https://www.nve.no/energiforsyning/kraftproduksjon/vannkraft/vannkraftdatabase/" TargetMode="External"/><Relationship Id="rId4312" Type="http://schemas.openxmlformats.org/officeDocument/2006/relationships/hyperlink" Target="https://www.nve.no/energiforsyning/kraftproduksjon/vannkraft/vannkraftdatabase/" TargetMode="External"/><Relationship Id="rId2070" Type="http://schemas.openxmlformats.org/officeDocument/2006/relationships/hyperlink" Target="https://sede.minetur.gob.es/en-US/datosabiertos/catalogo/registro-productores-electrica" TargetMode="External"/><Relationship Id="rId3121" Type="http://schemas.openxmlformats.org/officeDocument/2006/relationships/hyperlink" Target="https://www.nve.no/energiforsyning/kraftproduksjon/vannkraft/vannkraftdatabase/" TargetMode="External"/><Relationship Id="rId9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887" Type="http://schemas.openxmlformats.org/officeDocument/2006/relationships/hyperlink" Target="https://www.gov.uk/government/statistics/electricity-chapter-5-digest-of-united-kingdom-energy-statistics-dukes" TargetMode="External"/><Relationship Id="rId8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9" Type="http://schemas.openxmlformats.org/officeDocument/2006/relationships/hyperlink" Target="https://energiavirasto.fi/toimitusvarmuus" TargetMode="External"/><Relationship Id="rId1696" Type="http://schemas.openxmlformats.org/officeDocument/2006/relationships/hyperlink" Target="https://energiavirasto.fi/toimitusvarmuus" TargetMode="External"/><Relationship Id="rId3938" Type="http://schemas.openxmlformats.org/officeDocument/2006/relationships/hyperlink" Target="https://www.nve.no/energiforsyning/kraftproduksjon/vannkraft/vannkraftdatabase/" TargetMode="External"/><Relationship Id="rId1349" Type="http://schemas.openxmlformats.org/officeDocument/2006/relationships/hyperlink" Target="http://www2018.terna.it/it-it/sistemaelettrico/transparencyreport/generation/installedgenerationcapacity.aspx" TargetMode="External"/><Relationship Id="rId2747" Type="http://schemas.openxmlformats.org/officeDocument/2006/relationships/hyperlink" Target="https://sede.minetur.gob.es/en-US/datosabiertos/catalogo/registro-productores-electrica" TargetMode="External"/><Relationship Id="rId2954" Type="http://schemas.openxmlformats.org/officeDocument/2006/relationships/hyperlink" Target="https://www.gov.uk/government/statistics/electricity-chapter-5-digest-of-united-kingdom-energy-statistics-dukes" TargetMode="External"/><Relationship Id="rId5013" Type="http://schemas.openxmlformats.org/officeDocument/2006/relationships/hyperlink" Target="http://www.linzag.at/portal/portal/linzag/linzag/linzstrom/kraftwerke/linzsd/centerWindow?plaginit=1&amp;action=1" TargetMode="External"/><Relationship Id="rId7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6" Type="http://schemas.openxmlformats.org/officeDocument/2006/relationships/hyperlink" Target="https://energiavirasto.fi/toimitusvarmuus" TargetMode="External"/><Relationship Id="rId1763" Type="http://schemas.openxmlformats.org/officeDocument/2006/relationships/hyperlink" Target="https://sede.minetur.gob.es/en-US/datosabiertos/catalogo/registro-productores-electrica" TargetMode="External"/><Relationship Id="rId1970" Type="http://schemas.openxmlformats.org/officeDocument/2006/relationships/hyperlink" Target="https://sede.minetur.gob.es/en-US/datosabiertos/catalogo/registro-productores-electrica" TargetMode="External"/><Relationship Id="rId2607" Type="http://schemas.openxmlformats.org/officeDocument/2006/relationships/hyperlink" Target="https://sede.minetur.gob.es/en-US/datosabiertos/catalogo/registro-productores-electrica" TargetMode="External"/><Relationship Id="rId2814" Type="http://schemas.openxmlformats.org/officeDocument/2006/relationships/hyperlink" Target="https://sede.minetur.gob.es/en-US/datosabiertos/catalogo/registro-productores-electrica" TargetMode="External"/><Relationship Id="rId55" Type="http://schemas.openxmlformats.org/officeDocument/2006/relationships/hyperlink" Target="https://www.elia.be/en/grid-data/power-generation/generating-facilities" TargetMode="External"/><Relationship Id="rId12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6" Type="http://schemas.openxmlformats.org/officeDocument/2006/relationships/hyperlink" Target="https://energiavirasto.fi/toimitusvarmuus" TargetMode="External"/><Relationship Id="rId1623" Type="http://schemas.openxmlformats.org/officeDocument/2006/relationships/hyperlink" Target="https://energiavirasto.fi/toimitusvarmuus" TargetMode="External"/><Relationship Id="rId1830" Type="http://schemas.openxmlformats.org/officeDocument/2006/relationships/hyperlink" Target="https://sede.minetur.gob.es/en-US/datosabiertos/catalogo/registro-productores-electrica" TargetMode="External"/><Relationship Id="rId4779" Type="http://schemas.openxmlformats.org/officeDocument/2006/relationships/hyperlink" Target="https://www.nve.no/media/8967/termiske-kraftverk-i-norge-2019.xlsx" TargetMode="External"/><Relationship Id="rId4986" Type="http://schemas.openxmlformats.org/officeDocument/2006/relationships/hyperlink" Target="https://www.verbund.com/de-at/ueber-verbund/kraftwerke/unsere-kraftwerke" TargetMode="External"/><Relationship Id="rId3588" Type="http://schemas.openxmlformats.org/officeDocument/2006/relationships/hyperlink" Target="https://www.nve.no/energiforsyning/kraftproduksjon/vannkraft/vannkraftdatabase/" TargetMode="External"/><Relationship Id="rId3795" Type="http://schemas.openxmlformats.org/officeDocument/2006/relationships/hyperlink" Target="https://www.nve.no/energiforsyning/kraftproduksjon/vannkraft/vannkraftdatabase/" TargetMode="External"/><Relationship Id="rId4639" Type="http://schemas.openxmlformats.org/officeDocument/2006/relationships/hyperlink" Target="https://www.nve.no/energiforsyning/kraftproduksjon/vannkraft/vannkraftdatabase/" TargetMode="External"/><Relationship Id="rId4846" Type="http://schemas.openxmlformats.org/officeDocument/2006/relationships/hyperlink" Target="http://www.he-ss.si/eng/he-krsko-general-info.html" TargetMode="External"/><Relationship Id="rId2397" Type="http://schemas.openxmlformats.org/officeDocument/2006/relationships/hyperlink" Target="https://sede.minetur.gob.es/en-US/datosabiertos/catalogo/registro-productores-electrica" TargetMode="External"/><Relationship Id="rId3448" Type="http://schemas.openxmlformats.org/officeDocument/2006/relationships/hyperlink" Target="https://www.nve.no/energiforsyning/kraftproduksjon/vannkraft/vannkraftdatabase/" TargetMode="External"/><Relationship Id="rId3655" Type="http://schemas.openxmlformats.org/officeDocument/2006/relationships/hyperlink" Target="https://www.nve.no/energiforsyning/kraftproduksjon/vannkraft/vannkraftdatabase/" TargetMode="External"/><Relationship Id="rId3862" Type="http://schemas.openxmlformats.org/officeDocument/2006/relationships/hyperlink" Target="https://www.nve.no/energiforsyning/kraftproduksjon/vannkraft/vannkraftdatabase/" TargetMode="External"/><Relationship Id="rId4706" Type="http://schemas.openxmlformats.org/officeDocument/2006/relationships/hyperlink" Target="https://www.nve.no/energiforsyning/kraftproduksjon/vannkraft/vannkraftdatabase/" TargetMode="External"/><Relationship Id="rId369" Type="http://schemas.openxmlformats.org/officeDocument/2006/relationships/hyperlink" Target="http://gpi.tge.pl/en/wykaz-jednostek" TargetMode="External"/><Relationship Id="rId5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57" Type="http://schemas.openxmlformats.org/officeDocument/2006/relationships/hyperlink" Target="https://sede.minetur.gob.es/en-US/datosabiertos/catalogo/registro-productores-electrica" TargetMode="External"/><Relationship Id="rId2464" Type="http://schemas.openxmlformats.org/officeDocument/2006/relationships/hyperlink" Target="https://sede.minetur.gob.es/en-US/datosabiertos/catalogo/registro-productores-electrica" TargetMode="External"/><Relationship Id="rId2671" Type="http://schemas.openxmlformats.org/officeDocument/2006/relationships/hyperlink" Target="https://sede.minetur.gob.es/en-US/datosabiertos/catalogo/registro-productores-electrica" TargetMode="External"/><Relationship Id="rId3308" Type="http://schemas.openxmlformats.org/officeDocument/2006/relationships/hyperlink" Target="https://www.nve.no/energiforsyning/kraftproduksjon/vannkraft/vannkraftdatabase/" TargetMode="External"/><Relationship Id="rId3515" Type="http://schemas.openxmlformats.org/officeDocument/2006/relationships/hyperlink" Target="https://www.nve.no/energiforsyning/kraftproduksjon/vannkraft/vannkraftdatabase/" TargetMode="External"/><Relationship Id="rId4913" Type="http://schemas.openxmlformats.org/officeDocument/2006/relationships/hyperlink" Target="https://www.verbund.com/de-at/ueber-verbund/kraftwerke/unsere-kraftwerke" TargetMode="External"/><Relationship Id="rId229" Type="http://schemas.openxmlformats.org/officeDocument/2006/relationships/hyperlink" Target="https://www.services-rte.com/en/view-data-published-by-rte/production-installed-capacity.html" TargetMode="External"/><Relationship Id="rId436" Type="http://schemas.openxmlformats.org/officeDocument/2006/relationships/hyperlink" Target="https://www.ceps.cz/cs/priprava-provozu" TargetMode="External"/><Relationship Id="rId6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3" Type="http://schemas.openxmlformats.org/officeDocument/2006/relationships/hyperlink" Target="http://www2018.terna.it/it-it/sistemaelettrico/transparencyreport/generation/installedgenerationcapacity.aspx" TargetMode="External"/><Relationship Id="rId1480" Type="http://schemas.openxmlformats.org/officeDocument/2006/relationships/hyperlink" Target="https://energiavirasto.fi/toimitusvarmuus" TargetMode="External"/><Relationship Id="rId2117" Type="http://schemas.openxmlformats.org/officeDocument/2006/relationships/hyperlink" Target="https://sede.minetur.gob.es/en-US/datosabiertos/catalogo/registro-productores-electrica" TargetMode="External"/><Relationship Id="rId2324" Type="http://schemas.openxmlformats.org/officeDocument/2006/relationships/hyperlink" Target="https://sede.minetur.gob.es/en-US/datosabiertos/catalogo/registro-productores-electrica" TargetMode="External"/><Relationship Id="rId3722" Type="http://schemas.openxmlformats.org/officeDocument/2006/relationships/hyperlink" Target="https://www.nve.no/energiforsyning/kraftproduksjon/vannkraft/vannkraftdatabase/" TargetMode="External"/><Relationship Id="rId8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31" Type="http://schemas.openxmlformats.org/officeDocument/2006/relationships/hyperlink" Target="https://sede.minetur.gob.es/en-US/datosabiertos/catalogo/registro-productores-electrica" TargetMode="External"/><Relationship Id="rId4289" Type="http://schemas.openxmlformats.org/officeDocument/2006/relationships/hyperlink" Target="https://www.nve.no/energiforsyning/kraftproduksjon/vannkraft/vannkraftdatabase/" TargetMode="External"/><Relationship Id="rId503" Type="http://schemas.openxmlformats.org/officeDocument/2006/relationships/hyperlink" Target="https://www.ceps.cz/cs/priprava-provozu" TargetMode="External"/><Relationship Id="rId7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0" Type="http://schemas.openxmlformats.org/officeDocument/2006/relationships/hyperlink" Target="http://www2018.terna.it/it-it/sistemaelettrico/transparencyreport/generation/installedgenerationcapacity.aspx" TargetMode="External"/><Relationship Id="rId3098" Type="http://schemas.openxmlformats.org/officeDocument/2006/relationships/hyperlink" Target="https://www.nve.no/energiforsyning/kraftproduksjon/vannkraft/vannkraftdatabase/" TargetMode="External"/><Relationship Id="rId4496" Type="http://schemas.openxmlformats.org/officeDocument/2006/relationships/hyperlink" Target="https://www.nve.no/energiforsyning/kraftproduksjon/vannkraft/vannkraftdatabase/" TargetMode="External"/><Relationship Id="rId12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49" Type="http://schemas.openxmlformats.org/officeDocument/2006/relationships/hyperlink" Target="https://www.nve.no/energiforsyning/kraftproduksjon/vannkraft/vannkraftdatabase/" TargetMode="External"/><Relationship Id="rId4356" Type="http://schemas.openxmlformats.org/officeDocument/2006/relationships/hyperlink" Target="https://www.nve.no/energiforsyning/kraftproduksjon/vannkraft/vannkraftdatabase/" TargetMode="External"/><Relationship Id="rId4563" Type="http://schemas.openxmlformats.org/officeDocument/2006/relationships/hyperlink" Target="https://www.nve.no/energiforsyning/kraftproduksjon/vannkraft/vannkraftdatabase/" TargetMode="External"/><Relationship Id="rId4770" Type="http://schemas.openxmlformats.org/officeDocument/2006/relationships/hyperlink" Target="https://www.nve.no/energiforsyning/kraftproduksjon/vannkraft/vannkraftdatabase/" TargetMode="External"/><Relationship Id="rId3165" Type="http://schemas.openxmlformats.org/officeDocument/2006/relationships/hyperlink" Target="https://www.nve.no/energiforsyning/kraftproduksjon/vannkraft/vannkraftdatabase/" TargetMode="External"/><Relationship Id="rId3372" Type="http://schemas.openxmlformats.org/officeDocument/2006/relationships/hyperlink" Target="https://www.nve.no/energiforsyning/kraftproduksjon/vannkraft/vannkraftdatabase/" TargetMode="External"/><Relationship Id="rId4009" Type="http://schemas.openxmlformats.org/officeDocument/2006/relationships/hyperlink" Target="https://www.nve.no/energiforsyning/kraftproduksjon/vannkraft/vannkraftdatabase/" TargetMode="External"/><Relationship Id="rId4216" Type="http://schemas.openxmlformats.org/officeDocument/2006/relationships/hyperlink" Target="https://www.nve.no/energiforsyning/kraftproduksjon/vannkraft/vannkraftdatabase/" TargetMode="External"/><Relationship Id="rId4423" Type="http://schemas.openxmlformats.org/officeDocument/2006/relationships/hyperlink" Target="https://www.nve.no/energiforsyning/kraftproduksjon/vannkraft/vannkraftdatabase/" TargetMode="External"/><Relationship Id="rId4630" Type="http://schemas.openxmlformats.org/officeDocument/2006/relationships/hyperlink" Target="https://www.nve.no/energiforsyning/kraftproduksjon/vannkraft/vannkraftdatabase/" TargetMode="External"/><Relationship Id="rId293" Type="http://schemas.openxmlformats.org/officeDocument/2006/relationships/hyperlink" Target="https://www.services-rte.com/en/view-data-published-by-rte/production-installed-capacity.html" TargetMode="External"/><Relationship Id="rId2181" Type="http://schemas.openxmlformats.org/officeDocument/2006/relationships/hyperlink" Target="https://sede.minetur.gob.es/en-US/datosabiertos/catalogo/registro-productores-electrica" TargetMode="External"/><Relationship Id="rId3025" Type="http://schemas.openxmlformats.org/officeDocument/2006/relationships/hyperlink" Target="https://www.gov.uk/government/statistics/electricity-chapter-5-digest-of-united-kingdom-energy-statistics-dukes" TargetMode="External"/><Relationship Id="rId3232" Type="http://schemas.openxmlformats.org/officeDocument/2006/relationships/hyperlink" Target="https://www.nve.no/energiforsyning/kraftproduksjon/vannkraft/vannkraftdatabase/" TargetMode="External"/><Relationship Id="rId153" Type="http://schemas.openxmlformats.org/officeDocument/2006/relationships/hyperlink" Target="https://www.tennet.org/english/operational_management/export_data.aspx" TargetMode="External"/><Relationship Id="rId360" Type="http://schemas.openxmlformats.org/officeDocument/2006/relationships/hyperlink" Target="http://gpi.tge.pl/en/wykaz-jednostek" TargetMode="External"/><Relationship Id="rId2041" Type="http://schemas.openxmlformats.org/officeDocument/2006/relationships/hyperlink" Target="https://sede.minetur.gob.es/en-US/datosabiertos/catalogo/registro-productores-electrica" TargetMode="External"/><Relationship Id="rId220" Type="http://schemas.openxmlformats.org/officeDocument/2006/relationships/hyperlink" Target="https://www.services-rte.com/en/view-data-published-by-rte/production-installed-capacity.html" TargetMode="External"/><Relationship Id="rId2998" Type="http://schemas.openxmlformats.org/officeDocument/2006/relationships/hyperlink" Target="https://www.gov.uk/government/statistics/electricity-chapter-5-digest-of-united-kingdom-energy-statistics-dukes" TargetMode="External"/><Relationship Id="rId2858" Type="http://schemas.openxmlformats.org/officeDocument/2006/relationships/hyperlink" Target="https://www.gov.uk/government/statistics/electricity-chapter-5-digest-of-united-kingdom-energy-statistics-dukes" TargetMode="External"/><Relationship Id="rId3909" Type="http://schemas.openxmlformats.org/officeDocument/2006/relationships/hyperlink" Target="https://www.nve.no/energiforsyning/kraftproduksjon/vannkraft/vannkraftdatabase/" TargetMode="External"/><Relationship Id="rId4073" Type="http://schemas.openxmlformats.org/officeDocument/2006/relationships/hyperlink" Target="https://www.nve.no/energiforsyning/kraftproduksjon/vannkraft/vannkraftdatabase/" TargetMode="External"/><Relationship Id="rId99" Type="http://schemas.openxmlformats.org/officeDocument/2006/relationships/hyperlink" Target="https://www.tennet.org/english/operational_management/export_data.aspx" TargetMode="External"/><Relationship Id="rId1667" Type="http://schemas.openxmlformats.org/officeDocument/2006/relationships/hyperlink" Target="https://energiavirasto.fi/toimitusvarmuus" TargetMode="External"/><Relationship Id="rId1874" Type="http://schemas.openxmlformats.org/officeDocument/2006/relationships/hyperlink" Target="https://sede.minetur.gob.es/en-US/datosabiertos/catalogo/registro-productores-electrica" TargetMode="External"/><Relationship Id="rId2718" Type="http://schemas.openxmlformats.org/officeDocument/2006/relationships/hyperlink" Target="https://sede.minetur.gob.es/en-US/datosabiertos/catalogo/registro-productores-electrica" TargetMode="External"/><Relationship Id="rId2925" Type="http://schemas.openxmlformats.org/officeDocument/2006/relationships/hyperlink" Target="https://www.gov.uk/government/statistics/electricity-chapter-5-digest-of-united-kingdom-energy-statistics-dukes" TargetMode="External"/><Relationship Id="rId4280" Type="http://schemas.openxmlformats.org/officeDocument/2006/relationships/hyperlink" Target="https://www.nve.no/energiforsyning/kraftproduksjon/vannkraft/vannkraftdatabase/" TargetMode="External"/><Relationship Id="rId1527" Type="http://schemas.openxmlformats.org/officeDocument/2006/relationships/hyperlink" Target="https://energiavirasto.fi/toimitusvarmuus" TargetMode="External"/><Relationship Id="rId1734" Type="http://schemas.openxmlformats.org/officeDocument/2006/relationships/hyperlink" Target="https://sede.minetur.gob.es/en-US/datosabiertos/catalogo/registro-productores-electrica" TargetMode="External"/><Relationship Id="rId1941" Type="http://schemas.openxmlformats.org/officeDocument/2006/relationships/hyperlink" Target="https://sede.minetur.gob.es/en-US/datosabiertos/catalogo/registro-productores-electrica" TargetMode="External"/><Relationship Id="rId4140" Type="http://schemas.openxmlformats.org/officeDocument/2006/relationships/hyperlink" Target="https://www.nve.no/energiforsyning/kraftproduksjon/vannkraft/vannkraftdatabase/" TargetMode="External"/><Relationship Id="rId26" Type="http://schemas.openxmlformats.org/officeDocument/2006/relationships/hyperlink" Target="https://www.elia.be/en/grid-data/power-generation/generating-facilities" TargetMode="External"/><Relationship Id="rId3699" Type="http://schemas.openxmlformats.org/officeDocument/2006/relationships/hyperlink" Target="https://www.nve.no/energiforsyning/kraftproduksjon/vannkraft/vannkraftdatabase/" TargetMode="External"/><Relationship Id="rId4000" Type="http://schemas.openxmlformats.org/officeDocument/2006/relationships/hyperlink" Target="https://www.nve.no/energiforsyning/kraftproduksjon/vannkraft/vannkraftdatabase/" TargetMode="External"/><Relationship Id="rId1801" Type="http://schemas.openxmlformats.org/officeDocument/2006/relationships/hyperlink" Target="https://sede.minetur.gob.es/en-US/datosabiertos/catalogo/registro-productores-electrica" TargetMode="External"/><Relationship Id="rId3559" Type="http://schemas.openxmlformats.org/officeDocument/2006/relationships/hyperlink" Target="https://www.nve.no/energiforsyning/kraftproduksjon/vannkraft/vannkraftdatabase/" TargetMode="External"/><Relationship Id="rId4957" Type="http://schemas.openxmlformats.org/officeDocument/2006/relationships/hyperlink" Target="https://www.verbund.com/de-at/ueber-verbund/kraftwerke/unsere-kraftwerke" TargetMode="External"/><Relationship Id="rId6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68" Type="http://schemas.openxmlformats.org/officeDocument/2006/relationships/hyperlink" Target="https://sede.minetur.gob.es/en-US/datosabiertos/catalogo/registro-productores-electrica" TargetMode="External"/><Relationship Id="rId3766" Type="http://schemas.openxmlformats.org/officeDocument/2006/relationships/hyperlink" Target="https://www.nve.no/energiforsyning/kraftproduksjon/vannkraft/vannkraftdatabase/" TargetMode="External"/><Relationship Id="rId3973" Type="http://schemas.openxmlformats.org/officeDocument/2006/relationships/hyperlink" Target="https://www.nve.no/energiforsyning/kraftproduksjon/vannkraft/vannkraftdatabase/" TargetMode="External"/><Relationship Id="rId4817" Type="http://schemas.openxmlformats.org/officeDocument/2006/relationships/hyperlink" Target="http://www.teb.si/en/production-units" TargetMode="External"/><Relationship Id="rId8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5" Type="http://schemas.openxmlformats.org/officeDocument/2006/relationships/hyperlink" Target="https://sede.minetur.gob.es/en-US/datosabiertos/catalogo/registro-productores-electrica" TargetMode="External"/><Relationship Id="rId2782" Type="http://schemas.openxmlformats.org/officeDocument/2006/relationships/hyperlink" Target="https://sede.minetur.gob.es/en-US/datosabiertos/catalogo/registro-productores-electrica" TargetMode="External"/><Relationship Id="rId3419" Type="http://schemas.openxmlformats.org/officeDocument/2006/relationships/hyperlink" Target="https://www.nve.no/energiforsyning/kraftproduksjon/vannkraft/vannkraftdatabase/" TargetMode="External"/><Relationship Id="rId3626" Type="http://schemas.openxmlformats.org/officeDocument/2006/relationships/hyperlink" Target="https://www.nve.no/energiforsyning/kraftproduksjon/vannkraft/vannkraftdatabase/" TargetMode="External"/><Relationship Id="rId3833" Type="http://schemas.openxmlformats.org/officeDocument/2006/relationships/hyperlink" Target="https://www.nve.no/energiforsyning/kraftproduksjon/vannkraft/vannkraftdatabase/" TargetMode="External"/><Relationship Id="rId547" Type="http://schemas.openxmlformats.org/officeDocument/2006/relationships/hyperlink" Target="https://www.ceps.cz/cs/priprava-provozu" TargetMode="External"/><Relationship Id="rId7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4" Type="http://schemas.openxmlformats.org/officeDocument/2006/relationships/hyperlink" Target="http://www2018.terna.it/it-it/sistemaelettrico/transparencyreport/generation/installedgenerationcapacity.aspx" TargetMode="External"/><Relationship Id="rId1591" Type="http://schemas.openxmlformats.org/officeDocument/2006/relationships/hyperlink" Target="https://energiavirasto.fi/toimitusvarmuus" TargetMode="External"/><Relationship Id="rId2228" Type="http://schemas.openxmlformats.org/officeDocument/2006/relationships/hyperlink" Target="https://sede.minetur.gob.es/en-US/datosabiertos/catalogo/registro-productores-electrica" TargetMode="External"/><Relationship Id="rId2435" Type="http://schemas.openxmlformats.org/officeDocument/2006/relationships/hyperlink" Target="https://sede.minetur.gob.es/en-US/datosabiertos/catalogo/registro-productores-electrica" TargetMode="External"/><Relationship Id="rId2642" Type="http://schemas.openxmlformats.org/officeDocument/2006/relationships/hyperlink" Target="https://sede.minetur.gob.es/en-US/datosabiertos/catalogo/registro-productores-electrica" TargetMode="External"/><Relationship Id="rId3900" Type="http://schemas.openxmlformats.org/officeDocument/2006/relationships/hyperlink" Target="https://www.nve.no/energiforsyning/kraftproduksjon/vannkraft/vannkraftdatabase/" TargetMode="External"/><Relationship Id="rId90" Type="http://schemas.openxmlformats.org/officeDocument/2006/relationships/hyperlink" Target="https://www.elia.be/en/grid-data/power-generation/generating-facilities" TargetMode="External"/><Relationship Id="rId407" Type="http://schemas.openxmlformats.org/officeDocument/2006/relationships/hyperlink" Target="http://gpi.tge.pl/en/wykaz-jednostek" TargetMode="External"/><Relationship Id="rId6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4" Type="http://schemas.openxmlformats.org/officeDocument/2006/relationships/hyperlink" Target="http://www2018.terna.it/it-it/sistemaelettrico/transparencyreport/generation/installedgenerationcapacity.aspx" TargetMode="External"/><Relationship Id="rId1451" Type="http://schemas.openxmlformats.org/officeDocument/2006/relationships/hyperlink" Target="https://energiavirasto.fi/toimitusvarmuus" TargetMode="External"/><Relationship Id="rId2502" Type="http://schemas.openxmlformats.org/officeDocument/2006/relationships/hyperlink" Target="https://sede.minetur.gob.es/en-US/datosabiertos/catalogo/registro-productores-electrica" TargetMode="External"/><Relationship Id="rId11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11" Type="http://schemas.openxmlformats.org/officeDocument/2006/relationships/hyperlink" Target="http://www2018.terna.it/it-it/sistemaelettrico/transparencyreport/generation/installedgenerationcapacity.aspx" TargetMode="External"/><Relationship Id="rId4467" Type="http://schemas.openxmlformats.org/officeDocument/2006/relationships/hyperlink" Target="https://www.nve.no/energiforsyning/kraftproduksjon/vannkraft/vannkraftdatabase/" TargetMode="External"/><Relationship Id="rId4674" Type="http://schemas.openxmlformats.org/officeDocument/2006/relationships/hyperlink" Target="https://www.nve.no/energiforsyning/kraftproduksjon/vannkraft/vannkraftdatabase/" TargetMode="External"/><Relationship Id="rId4881" Type="http://schemas.openxmlformats.org/officeDocument/2006/relationships/hyperlink" Target="https://www.seng.si/en/hydropower-plants/large-hydropower-plants/" TargetMode="External"/><Relationship Id="rId3069" Type="http://schemas.openxmlformats.org/officeDocument/2006/relationships/hyperlink" Target="https://www.gov.uk/government/statistics/electricity-chapter-5-digest-of-united-kingdom-energy-statistics-dukes" TargetMode="External"/><Relationship Id="rId3276" Type="http://schemas.openxmlformats.org/officeDocument/2006/relationships/hyperlink" Target="https://www.nve.no/energiforsyning/kraftproduksjon/vannkraft/vannkraftdatabase/" TargetMode="External"/><Relationship Id="rId3483" Type="http://schemas.openxmlformats.org/officeDocument/2006/relationships/hyperlink" Target="https://www.nve.no/energiforsyning/kraftproduksjon/vannkraft/vannkraftdatabase/" TargetMode="External"/><Relationship Id="rId3690" Type="http://schemas.openxmlformats.org/officeDocument/2006/relationships/hyperlink" Target="https://www.nve.no/energiforsyning/kraftproduksjon/vannkraft/vannkraftdatabase/" TargetMode="External"/><Relationship Id="rId4327" Type="http://schemas.openxmlformats.org/officeDocument/2006/relationships/hyperlink" Target="https://www.nve.no/energiforsyning/kraftproduksjon/vannkraft/vannkraftdatabase/" TargetMode="External"/><Relationship Id="rId4534" Type="http://schemas.openxmlformats.org/officeDocument/2006/relationships/hyperlink" Target="https://www.nve.no/energiforsyning/kraftproduksjon/vannkraft/vannkraftdatabase/" TargetMode="External"/><Relationship Id="rId197" Type="http://schemas.openxmlformats.org/officeDocument/2006/relationships/hyperlink" Target="https://www.services-rte.com/en/view-data-published-by-rte/production-installed-capacity.html" TargetMode="External"/><Relationship Id="rId2085" Type="http://schemas.openxmlformats.org/officeDocument/2006/relationships/hyperlink" Target="https://sede.minetur.gob.es/en-US/datosabiertos/catalogo/registro-productores-electrica" TargetMode="External"/><Relationship Id="rId2292" Type="http://schemas.openxmlformats.org/officeDocument/2006/relationships/hyperlink" Target="https://sede.minetur.gob.es/en-US/datosabiertos/catalogo/registro-productores-electrica" TargetMode="External"/><Relationship Id="rId3136" Type="http://schemas.openxmlformats.org/officeDocument/2006/relationships/hyperlink" Target="https://www.nve.no/energiforsyning/kraftproduksjon/vannkraft/vannkraftdatabase/" TargetMode="External"/><Relationship Id="rId3343" Type="http://schemas.openxmlformats.org/officeDocument/2006/relationships/hyperlink" Target="https://www.nve.no/energiforsyning/kraftproduksjon/vannkraft/vannkraftdatabase/" TargetMode="External"/><Relationship Id="rId4741" Type="http://schemas.openxmlformats.org/officeDocument/2006/relationships/hyperlink" Target="https://www.nve.no/energiforsyning/kraftproduksjon/vannkraft/vannkraftdatabase/" TargetMode="External"/><Relationship Id="rId264" Type="http://schemas.openxmlformats.org/officeDocument/2006/relationships/hyperlink" Target="https://www.services-rte.com/en/view-data-published-by-rte/production-installed-capacity.html" TargetMode="External"/><Relationship Id="rId471" Type="http://schemas.openxmlformats.org/officeDocument/2006/relationships/hyperlink" Target="https://www.ceps.cz/cs/priprava-provozu" TargetMode="External"/><Relationship Id="rId2152" Type="http://schemas.openxmlformats.org/officeDocument/2006/relationships/hyperlink" Target="https://sede.minetur.gob.es/en-US/datosabiertos/catalogo/registro-productores-electrica" TargetMode="External"/><Relationship Id="rId3550" Type="http://schemas.openxmlformats.org/officeDocument/2006/relationships/hyperlink" Target="https://www.nve.no/energiforsyning/kraftproduksjon/vannkraft/vannkraftdatabase/" TargetMode="External"/><Relationship Id="rId4601" Type="http://schemas.openxmlformats.org/officeDocument/2006/relationships/hyperlink" Target="https://www.nve.no/energiforsyning/kraftproduksjon/vannkraft/vannkraftdatabase/" TargetMode="External"/><Relationship Id="rId124" Type="http://schemas.openxmlformats.org/officeDocument/2006/relationships/hyperlink" Target="https://www.tennet.org/english/operational_management/export_data.aspx" TargetMode="External"/><Relationship Id="rId3203" Type="http://schemas.openxmlformats.org/officeDocument/2006/relationships/hyperlink" Target="https://www.nve.no/energiforsyning/kraftproduksjon/vannkraft/vannkraftdatabase/" TargetMode="External"/><Relationship Id="rId3410" Type="http://schemas.openxmlformats.org/officeDocument/2006/relationships/hyperlink" Target="https://www.nve.no/energiforsyning/kraftproduksjon/vannkraft/vannkraftdatabase/" TargetMode="External"/><Relationship Id="rId331" Type="http://schemas.openxmlformats.org/officeDocument/2006/relationships/hyperlink" Target="http://gpi.tge.pl/en/wykaz-jednostek" TargetMode="External"/><Relationship Id="rId2012" Type="http://schemas.openxmlformats.org/officeDocument/2006/relationships/hyperlink" Target="https://sede.minetur.gob.es/en-US/datosabiertos/catalogo/registro-productores-electrica" TargetMode="External"/><Relationship Id="rId2969" Type="http://schemas.openxmlformats.org/officeDocument/2006/relationships/hyperlink" Target="https://www.gov.uk/government/statistics/electricity-chapter-5-digest-of-united-kingdom-energy-statistics-dukes" TargetMode="External"/><Relationship Id="rId1778" Type="http://schemas.openxmlformats.org/officeDocument/2006/relationships/hyperlink" Target="https://sede.minetur.gob.es/en-US/datosabiertos/catalogo/registro-productores-electrica" TargetMode="External"/><Relationship Id="rId1985" Type="http://schemas.openxmlformats.org/officeDocument/2006/relationships/hyperlink" Target="https://sede.minetur.gob.es/en-US/datosabiertos/catalogo/registro-productores-electrica" TargetMode="External"/><Relationship Id="rId2829" Type="http://schemas.openxmlformats.org/officeDocument/2006/relationships/hyperlink" Target="https://sede.minetur.gob.es/en-US/datosabiertos/catalogo/registro-productores-electrica" TargetMode="External"/><Relationship Id="rId4184" Type="http://schemas.openxmlformats.org/officeDocument/2006/relationships/hyperlink" Target="https://www.nve.no/energiforsyning/kraftproduksjon/vannkraft/vannkraftdatabase/" TargetMode="External"/><Relationship Id="rId4391" Type="http://schemas.openxmlformats.org/officeDocument/2006/relationships/hyperlink" Target="https://www.nve.no/energiforsyning/kraftproduksjon/vannkraft/vannkraftdatabase/" TargetMode="External"/><Relationship Id="rId5028" Type="http://schemas.openxmlformats.org/officeDocument/2006/relationships/hyperlink" Target="https://www.bwsc.com/references/herning-power-plant" TargetMode="External"/><Relationship Id="rId1638" Type="http://schemas.openxmlformats.org/officeDocument/2006/relationships/hyperlink" Target="https://energiavirasto.fi/toimitusvarmuus" TargetMode="External"/><Relationship Id="rId4044" Type="http://schemas.openxmlformats.org/officeDocument/2006/relationships/hyperlink" Target="https://www.nve.no/energiforsyning/kraftproduksjon/vannkraft/vannkraftdatabase/" TargetMode="External"/><Relationship Id="rId4251" Type="http://schemas.openxmlformats.org/officeDocument/2006/relationships/hyperlink" Target="https://www.nve.no/energiforsyning/kraftproduksjon/vannkraft/vannkraftdatabase/" TargetMode="External"/><Relationship Id="rId1845" Type="http://schemas.openxmlformats.org/officeDocument/2006/relationships/hyperlink" Target="https://sede.minetur.gob.es/en-US/datosabiertos/catalogo/registro-productores-electrica" TargetMode="External"/><Relationship Id="rId3060" Type="http://schemas.openxmlformats.org/officeDocument/2006/relationships/hyperlink" Target="https://www.gov.uk/government/statistics/electricity-chapter-5-digest-of-united-kingdom-energy-statistics-dukes" TargetMode="External"/><Relationship Id="rId4111" Type="http://schemas.openxmlformats.org/officeDocument/2006/relationships/hyperlink" Target="https://www.nve.no/energiforsyning/kraftproduksjon/vannkraft/vannkraftdatabase/" TargetMode="External"/><Relationship Id="rId1705" Type="http://schemas.openxmlformats.org/officeDocument/2006/relationships/hyperlink" Target="https://sede.minetur.gob.es/en-US/datosabiertos/catalogo/registro-productores-electrica" TargetMode="External"/><Relationship Id="rId1912" Type="http://schemas.openxmlformats.org/officeDocument/2006/relationships/hyperlink" Target="https://sede.minetur.gob.es/en-US/datosabiertos/catalogo/registro-productores-electrica" TargetMode="External"/><Relationship Id="rId3877" Type="http://schemas.openxmlformats.org/officeDocument/2006/relationships/hyperlink" Target="https://www.nve.no/energiforsyning/kraftproduksjon/vannkraft/vannkraftdatabase/" TargetMode="External"/><Relationship Id="rId4928" Type="http://schemas.openxmlformats.org/officeDocument/2006/relationships/hyperlink" Target="https://www.verbund.com/de-at/ueber-verbund/kraftwerke/unsere-kraftwerke" TargetMode="External"/><Relationship Id="rId7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79" Type="http://schemas.openxmlformats.org/officeDocument/2006/relationships/hyperlink" Target="https://sede.minetur.gob.es/en-US/datosabiertos/catalogo/registro-productores-electrica" TargetMode="External"/><Relationship Id="rId2686" Type="http://schemas.openxmlformats.org/officeDocument/2006/relationships/hyperlink" Target="https://sede.minetur.gob.es/en-US/datosabiertos/catalogo/registro-productores-electrica" TargetMode="External"/><Relationship Id="rId2893" Type="http://schemas.openxmlformats.org/officeDocument/2006/relationships/hyperlink" Target="https://www.gov.uk/government/statistics/electricity-chapter-5-digest-of-united-kingdom-energy-statistics-dukes" TargetMode="External"/><Relationship Id="rId3737" Type="http://schemas.openxmlformats.org/officeDocument/2006/relationships/hyperlink" Target="https://www.nve.no/energiforsyning/kraftproduksjon/vannkraft/vannkraftdatabase/" TargetMode="External"/><Relationship Id="rId3944" Type="http://schemas.openxmlformats.org/officeDocument/2006/relationships/hyperlink" Target="https://www.nve.no/energiforsyning/kraftproduksjon/vannkraft/vannkraftdatabase/" TargetMode="External"/><Relationship Id="rId6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8" Type="http://schemas.openxmlformats.org/officeDocument/2006/relationships/hyperlink" Target="http://www2018.terna.it/it-it/sistemaelettrico/transparencyreport/generation/installedgenerationcapacity.aspx" TargetMode="External"/><Relationship Id="rId1495" Type="http://schemas.openxmlformats.org/officeDocument/2006/relationships/hyperlink" Target="https://energiavirasto.fi/toimitusvarmuus" TargetMode="External"/><Relationship Id="rId2339" Type="http://schemas.openxmlformats.org/officeDocument/2006/relationships/hyperlink" Target="https://sede.minetur.gob.es/en-US/datosabiertos/catalogo/registro-productores-electrica" TargetMode="External"/><Relationship Id="rId2546" Type="http://schemas.openxmlformats.org/officeDocument/2006/relationships/hyperlink" Target="https://sede.minetur.gob.es/en-US/datosabiertos/catalogo/registro-productores-electrica" TargetMode="External"/><Relationship Id="rId2753" Type="http://schemas.openxmlformats.org/officeDocument/2006/relationships/hyperlink" Target="https://sede.minetur.gob.es/en-US/datosabiertos/catalogo/registro-productores-electrica" TargetMode="External"/><Relationship Id="rId2960" Type="http://schemas.openxmlformats.org/officeDocument/2006/relationships/hyperlink" Target="https://www.gov.uk/government/statistics/electricity-chapter-5-digest-of-united-kingdom-energy-statistics-dukes" TargetMode="External"/><Relationship Id="rId3804" Type="http://schemas.openxmlformats.org/officeDocument/2006/relationships/hyperlink" Target="https://www.nve.no/energiforsyning/kraftproduksjon/vannkraft/vannkraftdatabase/" TargetMode="External"/><Relationship Id="rId518" Type="http://schemas.openxmlformats.org/officeDocument/2006/relationships/hyperlink" Target="https://www.ceps.cz/cs/priprava-provozu" TargetMode="External"/><Relationship Id="rId7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5" Type="http://schemas.openxmlformats.org/officeDocument/2006/relationships/hyperlink" Target="http://www2018.terna.it/it-it/sistemaelettrico/transparencyreport/generation/installedgenerationcapacity.aspx" TargetMode="External"/><Relationship Id="rId1562" Type="http://schemas.openxmlformats.org/officeDocument/2006/relationships/hyperlink" Target="https://energiavirasto.fi/toimitusvarmuus" TargetMode="External"/><Relationship Id="rId2406" Type="http://schemas.openxmlformats.org/officeDocument/2006/relationships/hyperlink" Target="https://sede.minetur.gob.es/en-US/datosabiertos/catalogo/registro-productores-electrica" TargetMode="External"/><Relationship Id="rId2613" Type="http://schemas.openxmlformats.org/officeDocument/2006/relationships/hyperlink" Target="https://sede.minetur.gob.es/en-US/datosabiertos/catalogo/registro-productores-electrica" TargetMode="External"/><Relationship Id="rId10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22" Type="http://schemas.openxmlformats.org/officeDocument/2006/relationships/hyperlink" Target="https://energiavirasto.fi/toimitusvarmuus" TargetMode="External"/><Relationship Id="rId2820" Type="http://schemas.openxmlformats.org/officeDocument/2006/relationships/hyperlink" Target="https://sede.minetur.gob.es/en-US/datosabiertos/catalogo/registro-productores-electrica" TargetMode="External"/><Relationship Id="rId4578" Type="http://schemas.openxmlformats.org/officeDocument/2006/relationships/hyperlink" Target="https://www.nve.no/energiforsyning/kraftproduksjon/vannkraft/vannkraftdatabase/" TargetMode="External"/><Relationship Id="rId61" Type="http://schemas.openxmlformats.org/officeDocument/2006/relationships/hyperlink" Target="https://www.elia.be/en/grid-data/power-generation/generating-facilities" TargetMode="External"/><Relationship Id="rId3387" Type="http://schemas.openxmlformats.org/officeDocument/2006/relationships/hyperlink" Target="https://www.nve.no/energiforsyning/kraftproduksjon/vannkraft/vannkraftdatabase/" TargetMode="External"/><Relationship Id="rId4785" Type="http://schemas.openxmlformats.org/officeDocument/2006/relationships/hyperlink" Target="https://www.nve.no/media/8967/termiske-kraftverk-i-norge-2019.xlsx" TargetMode="External"/><Relationship Id="rId4992" Type="http://schemas.openxmlformats.org/officeDocument/2006/relationships/hyperlink" Target="https://www.verbund.com/de-at/ueber-verbund/kraftwerke/unsere-kraftwerke" TargetMode="External"/><Relationship Id="rId2196" Type="http://schemas.openxmlformats.org/officeDocument/2006/relationships/hyperlink" Target="https://sede.minetur.gob.es/en-US/datosabiertos/catalogo/registro-productores-electrica" TargetMode="External"/><Relationship Id="rId3594" Type="http://schemas.openxmlformats.org/officeDocument/2006/relationships/hyperlink" Target="https://www.nve.no/energiforsyning/kraftproduksjon/vannkraft/vannkraftdatabase/" TargetMode="External"/><Relationship Id="rId4438" Type="http://schemas.openxmlformats.org/officeDocument/2006/relationships/hyperlink" Target="https://www.nve.no/energiforsyning/kraftproduksjon/vannkraft/vannkraftdatabase/" TargetMode="External"/><Relationship Id="rId4645" Type="http://schemas.openxmlformats.org/officeDocument/2006/relationships/hyperlink" Target="https://www.nve.no/energiforsyning/kraftproduksjon/vannkraft/vannkraftdatabase/" TargetMode="External"/><Relationship Id="rId4852" Type="http://schemas.openxmlformats.org/officeDocument/2006/relationships/hyperlink" Target="http://www.dem.si/en-gb/Power-plants-and-generation/General-data" TargetMode="External"/><Relationship Id="rId168" Type="http://schemas.openxmlformats.org/officeDocument/2006/relationships/hyperlink" Target="https://www.services-rte.com/en/view-data-published-by-rte/production-installed-capacity.html" TargetMode="External"/><Relationship Id="rId3247" Type="http://schemas.openxmlformats.org/officeDocument/2006/relationships/hyperlink" Target="https://www.nve.no/energiforsyning/kraftproduksjon/vannkraft/vannkraftdatabase/" TargetMode="External"/><Relationship Id="rId3454" Type="http://schemas.openxmlformats.org/officeDocument/2006/relationships/hyperlink" Target="https://www.nve.no/energiforsyning/kraftproduksjon/vannkraft/vannkraftdatabase/" TargetMode="External"/><Relationship Id="rId3661" Type="http://schemas.openxmlformats.org/officeDocument/2006/relationships/hyperlink" Target="https://www.nve.no/energiforsyning/kraftproduksjon/vannkraft/vannkraftdatabase/" TargetMode="External"/><Relationship Id="rId4505" Type="http://schemas.openxmlformats.org/officeDocument/2006/relationships/hyperlink" Target="https://www.nve.no/energiforsyning/kraftproduksjon/vannkraft/vannkraftdatabase/" TargetMode="External"/><Relationship Id="rId4712" Type="http://schemas.openxmlformats.org/officeDocument/2006/relationships/hyperlink" Target="https://www.nve.no/energiforsyning/kraftproduksjon/vannkraft/vannkraftdatabase/" TargetMode="External"/><Relationship Id="rId375" Type="http://schemas.openxmlformats.org/officeDocument/2006/relationships/hyperlink" Target="http://gpi.tge.pl/en/wykaz-jednostek" TargetMode="External"/><Relationship Id="rId5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6" Type="http://schemas.openxmlformats.org/officeDocument/2006/relationships/hyperlink" Target="https://sede.minetur.gob.es/en-US/datosabiertos/catalogo/registro-productores-electrica" TargetMode="External"/><Relationship Id="rId2263" Type="http://schemas.openxmlformats.org/officeDocument/2006/relationships/hyperlink" Target="https://sede.minetur.gob.es/en-US/datosabiertos/catalogo/registro-productores-electrica" TargetMode="External"/><Relationship Id="rId2470" Type="http://schemas.openxmlformats.org/officeDocument/2006/relationships/hyperlink" Target="https://sede.minetur.gob.es/en-US/datosabiertos/catalogo/registro-productores-electrica" TargetMode="External"/><Relationship Id="rId3107" Type="http://schemas.openxmlformats.org/officeDocument/2006/relationships/hyperlink" Target="https://www.nve.no/energiforsyning/kraftproduksjon/vannkraft/vannkraftdatabase/" TargetMode="External"/><Relationship Id="rId3314" Type="http://schemas.openxmlformats.org/officeDocument/2006/relationships/hyperlink" Target="https://www.nve.no/energiforsyning/kraftproduksjon/vannkraft/vannkraftdatabase/" TargetMode="External"/><Relationship Id="rId3521" Type="http://schemas.openxmlformats.org/officeDocument/2006/relationships/hyperlink" Target="https://www.nve.no/energiforsyning/kraftproduksjon/vannkraft/vannkraftdatabase/" TargetMode="External"/><Relationship Id="rId235" Type="http://schemas.openxmlformats.org/officeDocument/2006/relationships/hyperlink" Target="https://www.services-rte.com/en/view-data-published-by-rte/production-installed-capacity.html" TargetMode="External"/><Relationship Id="rId442" Type="http://schemas.openxmlformats.org/officeDocument/2006/relationships/hyperlink" Target="https://www.ceps.cz/cs/priprava-provozu" TargetMode="External"/><Relationship Id="rId10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3" Type="http://schemas.openxmlformats.org/officeDocument/2006/relationships/hyperlink" Target="https://sede.minetur.gob.es/en-US/datosabiertos/catalogo/registro-productores-electrica" TargetMode="External"/><Relationship Id="rId2330" Type="http://schemas.openxmlformats.org/officeDocument/2006/relationships/hyperlink" Target="https://sede.minetur.gob.es/en-US/datosabiertos/catalogo/registro-productores-electrica" TargetMode="External"/><Relationship Id="rId302" Type="http://schemas.openxmlformats.org/officeDocument/2006/relationships/hyperlink" Target="https://www.services-rte.com/en/view-data-published-by-rte/production-installed-capacity.html" TargetMode="External"/><Relationship Id="rId4088" Type="http://schemas.openxmlformats.org/officeDocument/2006/relationships/hyperlink" Target="https://www.nve.no/energiforsyning/kraftproduksjon/vannkraft/vannkraftdatabase/" TargetMode="External"/><Relationship Id="rId4295" Type="http://schemas.openxmlformats.org/officeDocument/2006/relationships/hyperlink" Target="https://www.nve.no/energiforsyning/kraftproduksjon/vannkraft/vannkraftdatabase/" TargetMode="External"/><Relationship Id="rId1889" Type="http://schemas.openxmlformats.org/officeDocument/2006/relationships/hyperlink" Target="https://sede.minetur.gob.es/en-US/datosabiertos/catalogo/registro-productores-electrica" TargetMode="External"/><Relationship Id="rId4155" Type="http://schemas.openxmlformats.org/officeDocument/2006/relationships/hyperlink" Target="https://www.nve.no/energiforsyning/kraftproduksjon/vannkraft/vannkraftdatabase/" TargetMode="External"/><Relationship Id="rId4362" Type="http://schemas.openxmlformats.org/officeDocument/2006/relationships/hyperlink" Target="https://www.nve.no/energiforsyning/kraftproduksjon/vannkraft/vannkraftdatabase/" TargetMode="External"/><Relationship Id="rId1749" Type="http://schemas.openxmlformats.org/officeDocument/2006/relationships/hyperlink" Target="https://sede.minetur.gob.es/en-US/datosabiertos/catalogo/registro-productores-electrica" TargetMode="External"/><Relationship Id="rId1956" Type="http://schemas.openxmlformats.org/officeDocument/2006/relationships/hyperlink" Target="https://sede.minetur.gob.es/en-US/datosabiertos/catalogo/registro-productores-electrica" TargetMode="External"/><Relationship Id="rId3171" Type="http://schemas.openxmlformats.org/officeDocument/2006/relationships/hyperlink" Target="https://www.nve.no/energiforsyning/kraftproduksjon/vannkraft/vannkraftdatabase/" TargetMode="External"/><Relationship Id="rId4015" Type="http://schemas.openxmlformats.org/officeDocument/2006/relationships/hyperlink" Target="https://www.nve.no/energiforsyning/kraftproduksjon/vannkraft/vannkraftdatabase/" TargetMode="External"/><Relationship Id="rId1609" Type="http://schemas.openxmlformats.org/officeDocument/2006/relationships/hyperlink" Target="https://energiavirasto.fi/toimitusvarmuus" TargetMode="External"/><Relationship Id="rId1816" Type="http://schemas.openxmlformats.org/officeDocument/2006/relationships/hyperlink" Target="https://sede.minetur.gob.es/en-US/datosabiertos/catalogo/registro-productores-electrica" TargetMode="External"/><Relationship Id="rId4222" Type="http://schemas.openxmlformats.org/officeDocument/2006/relationships/hyperlink" Target="https://www.nve.no/energiforsyning/kraftproduksjon/vannkraft/vannkraftdatabase/" TargetMode="External"/><Relationship Id="rId3031" Type="http://schemas.openxmlformats.org/officeDocument/2006/relationships/hyperlink" Target="https://www.gov.uk/government/statistics/electricity-chapter-5-digest-of-united-kingdom-energy-statistics-dukes" TargetMode="External"/><Relationship Id="rId3988" Type="http://schemas.openxmlformats.org/officeDocument/2006/relationships/hyperlink" Target="https://www.nve.no/energiforsyning/kraftproduksjon/vannkraft/vannkraftdatabase/" TargetMode="External"/><Relationship Id="rId2797" Type="http://schemas.openxmlformats.org/officeDocument/2006/relationships/hyperlink" Target="https://sede.minetur.gob.es/en-US/datosabiertos/catalogo/registro-productores-electrica" TargetMode="External"/><Relationship Id="rId3848" Type="http://schemas.openxmlformats.org/officeDocument/2006/relationships/hyperlink" Target="https://www.nve.no/energiforsyning/kraftproduksjon/vannkraft/vannkraftdatabase/" TargetMode="External"/><Relationship Id="rId7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9" Type="http://schemas.openxmlformats.org/officeDocument/2006/relationships/hyperlink" Target="https://energiavirasto.fi/toimitusvarmuus" TargetMode="External"/><Relationship Id="rId2657" Type="http://schemas.openxmlformats.org/officeDocument/2006/relationships/hyperlink" Target="https://sede.minetur.gob.es/en-US/datosabiertos/catalogo/registro-productores-electrica" TargetMode="External"/><Relationship Id="rId6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9" Type="http://schemas.openxmlformats.org/officeDocument/2006/relationships/hyperlink" Target="http://www2018.terna.it/it-it/sistemaelettrico/transparencyreport/generation/installedgenerationcapacity.aspx" TargetMode="External"/><Relationship Id="rId1466" Type="http://schemas.openxmlformats.org/officeDocument/2006/relationships/hyperlink" Target="https://energiavirasto.fi/toimitusvarmuus" TargetMode="External"/><Relationship Id="rId2864" Type="http://schemas.openxmlformats.org/officeDocument/2006/relationships/hyperlink" Target="https://www.gov.uk/government/statistics/electricity-chapter-5-digest-of-united-kingdom-energy-statistics-dukes" TargetMode="External"/><Relationship Id="rId3708" Type="http://schemas.openxmlformats.org/officeDocument/2006/relationships/hyperlink" Target="https://www.nve.no/energiforsyning/kraftproduksjon/vannkraft/vannkraftdatabase/" TargetMode="External"/><Relationship Id="rId3915" Type="http://schemas.openxmlformats.org/officeDocument/2006/relationships/hyperlink" Target="https://www.nve.no/energiforsyning/kraftproduksjon/vannkraft/vannkraftdatabase/" TargetMode="External"/><Relationship Id="rId8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73" Type="http://schemas.openxmlformats.org/officeDocument/2006/relationships/hyperlink" Target="https://energiavirasto.fi/toimitusvarmuus" TargetMode="External"/><Relationship Id="rId1880" Type="http://schemas.openxmlformats.org/officeDocument/2006/relationships/hyperlink" Target="https://sede.minetur.gob.es/en-US/datosabiertos/catalogo/registro-productores-electrica" TargetMode="External"/><Relationship Id="rId2517" Type="http://schemas.openxmlformats.org/officeDocument/2006/relationships/hyperlink" Target="https://sede.minetur.gob.es/en-US/datosabiertos/catalogo/registro-productores-electrica" TargetMode="External"/><Relationship Id="rId2724" Type="http://schemas.openxmlformats.org/officeDocument/2006/relationships/hyperlink" Target="https://sede.minetur.gob.es/en-US/datosabiertos/catalogo/registro-productores-electrica" TargetMode="External"/><Relationship Id="rId2931" Type="http://schemas.openxmlformats.org/officeDocument/2006/relationships/hyperlink" Target="https://www.gov.uk/government/statistics/electricity-chapter-5-digest-of-united-kingdom-energy-statistics-dukes" TargetMode="External"/><Relationship Id="rId9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6" Type="http://schemas.openxmlformats.org/officeDocument/2006/relationships/hyperlink" Target="http://www2018.terna.it/it-it/sistemaelettrico/transparencyreport/generation/installedgenerationcapacity.aspx" TargetMode="External"/><Relationship Id="rId1533" Type="http://schemas.openxmlformats.org/officeDocument/2006/relationships/hyperlink" Target="https://energiavirasto.fi/toimitusvarmuus" TargetMode="External"/><Relationship Id="rId1740" Type="http://schemas.openxmlformats.org/officeDocument/2006/relationships/hyperlink" Target="https://sede.minetur.gob.es/en-US/datosabiertos/catalogo/registro-productores-electrica" TargetMode="External"/><Relationship Id="rId4689" Type="http://schemas.openxmlformats.org/officeDocument/2006/relationships/hyperlink" Target="https://www.nve.no/energiforsyning/kraftproduksjon/vannkraft/vannkraftdatabase/" TargetMode="External"/><Relationship Id="rId4896" Type="http://schemas.openxmlformats.org/officeDocument/2006/relationships/hyperlink" Target="http://www.dem.si/en-gb/Power-plants-and-generation/General-data" TargetMode="External"/><Relationship Id="rId32" Type="http://schemas.openxmlformats.org/officeDocument/2006/relationships/hyperlink" Target="https://www.elia.be/en/grid-data/power-generation/generating-facilities" TargetMode="External"/><Relationship Id="rId1600" Type="http://schemas.openxmlformats.org/officeDocument/2006/relationships/hyperlink" Target="https://energiavirasto.fi/toimitusvarmuus" TargetMode="External"/><Relationship Id="rId3498" Type="http://schemas.openxmlformats.org/officeDocument/2006/relationships/hyperlink" Target="https://www.nve.no/energiforsyning/kraftproduksjon/vannkraft/vannkraftdatabase/" TargetMode="External"/><Relationship Id="rId4549" Type="http://schemas.openxmlformats.org/officeDocument/2006/relationships/hyperlink" Target="https://www.nve.no/energiforsyning/kraftproduksjon/vannkraft/vannkraftdatabase/" TargetMode="External"/><Relationship Id="rId4756" Type="http://schemas.openxmlformats.org/officeDocument/2006/relationships/hyperlink" Target="https://www.nve.no/energiforsyning/kraftproduksjon/vannkraft/vannkraftdatabase/" TargetMode="External"/><Relationship Id="rId4963" Type="http://schemas.openxmlformats.org/officeDocument/2006/relationships/hyperlink" Target="https://www.verbund.com/de-at/ueber-verbund/kraftwerke/unsere-kraftwerke" TargetMode="External"/><Relationship Id="rId3358" Type="http://schemas.openxmlformats.org/officeDocument/2006/relationships/hyperlink" Target="https://www.nve.no/energiforsyning/kraftproduksjon/vannkraft/vannkraftdatabase/" TargetMode="External"/><Relationship Id="rId3565" Type="http://schemas.openxmlformats.org/officeDocument/2006/relationships/hyperlink" Target="https://www.nve.no/energiforsyning/kraftproduksjon/vannkraft/vannkraftdatabase/" TargetMode="External"/><Relationship Id="rId3772" Type="http://schemas.openxmlformats.org/officeDocument/2006/relationships/hyperlink" Target="https://www.nve.no/energiforsyning/kraftproduksjon/vannkraft/vannkraftdatabase/" TargetMode="External"/><Relationship Id="rId4409" Type="http://schemas.openxmlformats.org/officeDocument/2006/relationships/hyperlink" Target="https://www.nve.no/energiforsyning/kraftproduksjon/vannkraft/vannkraftdatabase/" TargetMode="External"/><Relationship Id="rId4616" Type="http://schemas.openxmlformats.org/officeDocument/2006/relationships/hyperlink" Target="https://www.nve.no/energiforsyning/kraftproduksjon/vannkraft/vannkraftdatabase/" TargetMode="External"/><Relationship Id="rId4823" Type="http://schemas.openxmlformats.org/officeDocument/2006/relationships/hyperlink" Target="http://www.dem.si/en-gb/Power-plants-and-generation/General-data" TargetMode="External"/><Relationship Id="rId279" Type="http://schemas.openxmlformats.org/officeDocument/2006/relationships/hyperlink" Target="https://www.services-rte.com/en/view-data-published-by-rte/production-installed-capacity.html" TargetMode="External"/><Relationship Id="rId486" Type="http://schemas.openxmlformats.org/officeDocument/2006/relationships/hyperlink" Target="https://www.ceps.cz/cs/priprava-provozu" TargetMode="External"/><Relationship Id="rId6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67" Type="http://schemas.openxmlformats.org/officeDocument/2006/relationships/hyperlink" Target="https://sede.minetur.gob.es/en-US/datosabiertos/catalogo/registro-productores-electrica" TargetMode="External"/><Relationship Id="rId2374" Type="http://schemas.openxmlformats.org/officeDocument/2006/relationships/hyperlink" Target="https://sede.minetur.gob.es/en-US/datosabiertos/catalogo/registro-productores-electrica" TargetMode="External"/><Relationship Id="rId2581" Type="http://schemas.openxmlformats.org/officeDocument/2006/relationships/hyperlink" Target="https://sede.minetur.gob.es/en-US/datosabiertos/catalogo/registro-productores-electrica" TargetMode="External"/><Relationship Id="rId3218" Type="http://schemas.openxmlformats.org/officeDocument/2006/relationships/hyperlink" Target="https://www.nve.no/energiforsyning/kraftproduksjon/vannkraft/vannkraftdatabase/" TargetMode="External"/><Relationship Id="rId3425" Type="http://schemas.openxmlformats.org/officeDocument/2006/relationships/hyperlink" Target="https://www.nve.no/energiforsyning/kraftproduksjon/vannkraft/vannkraftdatabase/" TargetMode="External"/><Relationship Id="rId3632" Type="http://schemas.openxmlformats.org/officeDocument/2006/relationships/hyperlink" Target="https://www.nve.no/energiforsyning/kraftproduksjon/vannkraft/vannkraftdatabase/" TargetMode="External"/><Relationship Id="rId139" Type="http://schemas.openxmlformats.org/officeDocument/2006/relationships/hyperlink" Target="https://www.tennet.org/english/operational_management/export_data.aspx" TargetMode="External"/><Relationship Id="rId346" Type="http://schemas.openxmlformats.org/officeDocument/2006/relationships/hyperlink" Target="http://gpi.tge.pl/en/wykaz-jednostek" TargetMode="External"/><Relationship Id="rId553" Type="http://schemas.openxmlformats.org/officeDocument/2006/relationships/hyperlink" Target="https://www.ceps.cz/cs/priprava-provozu" TargetMode="External"/><Relationship Id="rId7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0" Type="http://schemas.openxmlformats.org/officeDocument/2006/relationships/hyperlink" Target="https://energiavirasto.fi/toimitusvarmuus" TargetMode="External"/><Relationship Id="rId2027" Type="http://schemas.openxmlformats.org/officeDocument/2006/relationships/hyperlink" Target="https://sede.minetur.gob.es/en-US/datosabiertos/catalogo/registro-productores-electrica" TargetMode="External"/><Relationship Id="rId2234" Type="http://schemas.openxmlformats.org/officeDocument/2006/relationships/hyperlink" Target="https://sede.minetur.gob.es/en-US/datosabiertos/catalogo/registro-productores-electrica" TargetMode="External"/><Relationship Id="rId2441" Type="http://schemas.openxmlformats.org/officeDocument/2006/relationships/hyperlink" Target="https://sede.minetur.gob.es/en-US/datosabiertos/catalogo/registro-productores-electrica" TargetMode="External"/><Relationship Id="rId206" Type="http://schemas.openxmlformats.org/officeDocument/2006/relationships/hyperlink" Target="https://www.services-rte.com/en/view-data-published-by-rte/production-installed-capacity.html" TargetMode="External"/><Relationship Id="rId413" Type="http://schemas.openxmlformats.org/officeDocument/2006/relationships/hyperlink" Target="http://gpi.tge.pl/en/wykaz-jednostek" TargetMode="External"/><Relationship Id="rId10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99" Type="http://schemas.openxmlformats.org/officeDocument/2006/relationships/hyperlink" Target="https://www.nve.no/energiforsyning/kraftproduksjon/vannkraft/vannkraftdatabase/" TargetMode="External"/><Relationship Id="rId6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0" Type="http://schemas.openxmlformats.org/officeDocument/2006/relationships/hyperlink" Target="http://www2018.terna.it/it-it/sistemaelettrico/transparencyreport/generation/installedgenerationcapacity.aspx" TargetMode="External"/><Relationship Id="rId2301" Type="http://schemas.openxmlformats.org/officeDocument/2006/relationships/hyperlink" Target="https://sede.minetur.gob.es/en-US/datosabiertos/catalogo/registro-productores-electrica" TargetMode="External"/><Relationship Id="rId4059" Type="http://schemas.openxmlformats.org/officeDocument/2006/relationships/hyperlink" Target="https://www.nve.no/energiforsyning/kraftproduksjon/vannkraft/vannkraftdatabase/" TargetMode="External"/><Relationship Id="rId11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66" Type="http://schemas.openxmlformats.org/officeDocument/2006/relationships/hyperlink" Target="https://www.nve.no/energiforsyning/kraftproduksjon/vannkraft/vannkraftdatabase/" TargetMode="External"/><Relationship Id="rId4473" Type="http://schemas.openxmlformats.org/officeDocument/2006/relationships/hyperlink" Target="https://www.nve.no/energiforsyning/kraftproduksjon/vannkraft/vannkraftdatabase/" TargetMode="External"/><Relationship Id="rId4680" Type="http://schemas.openxmlformats.org/officeDocument/2006/relationships/hyperlink" Target="https://www.nve.no/energiforsyning/kraftproduksjon/vannkraft/vannkraftdatabase/" TargetMode="External"/><Relationship Id="rId1927" Type="http://schemas.openxmlformats.org/officeDocument/2006/relationships/hyperlink" Target="https://sede.minetur.gob.es/en-US/datosabiertos/catalogo/registro-productores-electrica" TargetMode="External"/><Relationship Id="rId3075" Type="http://schemas.openxmlformats.org/officeDocument/2006/relationships/hyperlink" Target="https://www.gov.uk/government/statistics/electricity-chapter-5-digest-of-united-kingdom-energy-statistics-dukes" TargetMode="External"/><Relationship Id="rId3282" Type="http://schemas.openxmlformats.org/officeDocument/2006/relationships/hyperlink" Target="https://www.nve.no/energiforsyning/kraftproduksjon/vannkraft/vannkraftdatabase/" TargetMode="External"/><Relationship Id="rId4126" Type="http://schemas.openxmlformats.org/officeDocument/2006/relationships/hyperlink" Target="https://www.nve.no/energiforsyning/kraftproduksjon/vannkraft/vannkraftdatabase/" TargetMode="External"/><Relationship Id="rId4333" Type="http://schemas.openxmlformats.org/officeDocument/2006/relationships/hyperlink" Target="https://www.nve.no/energiforsyning/kraftproduksjon/vannkraft/vannkraftdatabase/" TargetMode="External"/><Relationship Id="rId4540" Type="http://schemas.openxmlformats.org/officeDocument/2006/relationships/hyperlink" Target="https://www.nve.no/energiforsyning/kraftproduksjon/vannkraft/vannkraftdatabase/" TargetMode="External"/><Relationship Id="rId2091" Type="http://schemas.openxmlformats.org/officeDocument/2006/relationships/hyperlink" Target="https://sede.minetur.gob.es/en-US/datosabiertos/catalogo/registro-productores-electrica" TargetMode="External"/><Relationship Id="rId3142" Type="http://schemas.openxmlformats.org/officeDocument/2006/relationships/hyperlink" Target="https://www.nve.no/energiforsyning/kraftproduksjon/vannkraft/vannkraftdatabase/" TargetMode="External"/><Relationship Id="rId4400" Type="http://schemas.openxmlformats.org/officeDocument/2006/relationships/hyperlink" Target="https://www.nve.no/energiforsyning/kraftproduksjon/vannkraft/vannkraftdatabase/" TargetMode="External"/><Relationship Id="rId270" Type="http://schemas.openxmlformats.org/officeDocument/2006/relationships/hyperlink" Target="https://www.services-rte.com/en/view-data-published-by-rte/production-installed-capacity.html" TargetMode="External"/><Relationship Id="rId3002" Type="http://schemas.openxmlformats.org/officeDocument/2006/relationships/hyperlink" Target="https://www.gov.uk/government/statistics/electricity-chapter-5-digest-of-united-kingdom-energy-statistics-dukes" TargetMode="External"/><Relationship Id="rId130" Type="http://schemas.openxmlformats.org/officeDocument/2006/relationships/hyperlink" Target="https://www.tennet.org/english/operational_management/export_data.aspx" TargetMode="External"/><Relationship Id="rId3959" Type="http://schemas.openxmlformats.org/officeDocument/2006/relationships/hyperlink" Target="https://www.nve.no/energiforsyning/kraftproduksjon/vannkraft/vannkraftdatabase/" TargetMode="External"/><Relationship Id="rId2768" Type="http://schemas.openxmlformats.org/officeDocument/2006/relationships/hyperlink" Target="https://sede.minetur.gob.es/en-US/datosabiertos/catalogo/registro-productores-electrica" TargetMode="External"/><Relationship Id="rId2975" Type="http://schemas.openxmlformats.org/officeDocument/2006/relationships/hyperlink" Target="https://www.gov.uk/government/statistics/electricity-chapter-5-digest-of-united-kingdom-energy-statistics-dukes" TargetMode="External"/><Relationship Id="rId3819" Type="http://schemas.openxmlformats.org/officeDocument/2006/relationships/hyperlink" Target="https://www.nve.no/energiforsyning/kraftproduksjon/vannkraft/vannkraftdatabase/" TargetMode="External"/><Relationship Id="rId5034" Type="http://schemas.openxmlformats.org/officeDocument/2006/relationships/hyperlink" Target="https://www.bwsc.com/references/nordjylland-power-plant" TargetMode="External"/><Relationship Id="rId9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7" Type="http://schemas.openxmlformats.org/officeDocument/2006/relationships/hyperlink" Target="https://energiavirasto.fi/toimitusvarmuus" TargetMode="External"/><Relationship Id="rId1784" Type="http://schemas.openxmlformats.org/officeDocument/2006/relationships/hyperlink" Target="https://sede.minetur.gob.es/en-US/datosabiertos/catalogo/registro-productores-electrica" TargetMode="External"/><Relationship Id="rId1991" Type="http://schemas.openxmlformats.org/officeDocument/2006/relationships/hyperlink" Target="https://sede.minetur.gob.es/en-US/datosabiertos/catalogo/registro-productores-electrica" TargetMode="External"/><Relationship Id="rId2628" Type="http://schemas.openxmlformats.org/officeDocument/2006/relationships/hyperlink" Target="https://sede.minetur.gob.es/en-US/datosabiertos/catalogo/registro-productores-electrica" TargetMode="External"/><Relationship Id="rId2835" Type="http://schemas.openxmlformats.org/officeDocument/2006/relationships/hyperlink" Target="https://sede.minetur.gob.es/en-US/datosabiertos/catalogo/registro-productores-electrica" TargetMode="External"/><Relationship Id="rId4190" Type="http://schemas.openxmlformats.org/officeDocument/2006/relationships/hyperlink" Target="https://www.nve.no/energiforsyning/kraftproduksjon/vannkraft/vannkraftdatabase/" TargetMode="External"/><Relationship Id="rId76" Type="http://schemas.openxmlformats.org/officeDocument/2006/relationships/hyperlink" Target="https://www.elia.be/en/grid-data/power-generation/generating-facilities" TargetMode="External"/><Relationship Id="rId8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7" Type="http://schemas.openxmlformats.org/officeDocument/2006/relationships/hyperlink" Target="https://energiavirasto.fi/toimitusvarmuus" TargetMode="External"/><Relationship Id="rId1644" Type="http://schemas.openxmlformats.org/officeDocument/2006/relationships/hyperlink" Target="https://energiavirasto.fi/toimitusvarmuus" TargetMode="External"/><Relationship Id="rId1851" Type="http://schemas.openxmlformats.org/officeDocument/2006/relationships/hyperlink" Target="https://sede.minetur.gob.es/en-US/datosabiertos/catalogo/registro-productores-electrica" TargetMode="External"/><Relationship Id="rId2902" Type="http://schemas.openxmlformats.org/officeDocument/2006/relationships/hyperlink" Target="https://www.gov.uk/government/statistics/electricity-chapter-5-digest-of-united-kingdom-energy-statistics-dukes" TargetMode="External"/><Relationship Id="rId4050" Type="http://schemas.openxmlformats.org/officeDocument/2006/relationships/hyperlink" Target="https://www.nve.no/energiforsyning/kraftproduksjon/vannkraft/vannkraftdatabase/" TargetMode="External"/><Relationship Id="rId1504" Type="http://schemas.openxmlformats.org/officeDocument/2006/relationships/hyperlink" Target="https://energiavirasto.fi/toimitusvarmuus" TargetMode="External"/><Relationship Id="rId1711" Type="http://schemas.openxmlformats.org/officeDocument/2006/relationships/hyperlink" Target="https://sede.minetur.gob.es/en-US/datosabiertos/catalogo/registro-productores-electrica" TargetMode="External"/><Relationship Id="rId4867" Type="http://schemas.openxmlformats.org/officeDocument/2006/relationships/hyperlink" Target="http://www.dem.si/en-gb/Power-plants-and-generation/General-data" TargetMode="External"/><Relationship Id="rId3469" Type="http://schemas.openxmlformats.org/officeDocument/2006/relationships/hyperlink" Target="https://www.nve.no/energiforsyning/kraftproduksjon/vannkraft/vannkraftdatabase/" TargetMode="External"/><Relationship Id="rId3676" Type="http://schemas.openxmlformats.org/officeDocument/2006/relationships/hyperlink" Target="https://www.nve.no/energiforsyning/kraftproduksjon/vannkraft/vannkraftdatabase/" TargetMode="External"/><Relationship Id="rId5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8" Type="http://schemas.openxmlformats.org/officeDocument/2006/relationships/hyperlink" Target="https://sede.minetur.gob.es/en-US/datosabiertos/catalogo/registro-productores-electrica" TargetMode="External"/><Relationship Id="rId2485" Type="http://schemas.openxmlformats.org/officeDocument/2006/relationships/hyperlink" Target="https://sede.minetur.gob.es/en-US/datosabiertos/catalogo/registro-productores-electrica" TargetMode="External"/><Relationship Id="rId3329" Type="http://schemas.openxmlformats.org/officeDocument/2006/relationships/hyperlink" Target="https://www.nve.no/energiforsyning/kraftproduksjon/vannkraft/vannkraftdatabase/" TargetMode="External"/><Relationship Id="rId3883" Type="http://schemas.openxmlformats.org/officeDocument/2006/relationships/hyperlink" Target="https://www.nve.no/energiforsyning/kraftproduksjon/vannkraft/vannkraftdatabase/" TargetMode="External"/><Relationship Id="rId4727" Type="http://schemas.openxmlformats.org/officeDocument/2006/relationships/hyperlink" Target="https://www.nve.no/energiforsyning/kraftproduksjon/vannkraft/vannkraftdatabase/" TargetMode="External"/><Relationship Id="rId4934" Type="http://schemas.openxmlformats.org/officeDocument/2006/relationships/hyperlink" Target="https://www.verbund.com/de-at/ueber-verbund/kraftwerke/unsere-kraftwerke" TargetMode="External"/><Relationship Id="rId457" Type="http://schemas.openxmlformats.org/officeDocument/2006/relationships/hyperlink" Target="https://www.ceps.cz/cs/priprava-provozu" TargetMode="External"/><Relationship Id="rId10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4" Type="http://schemas.openxmlformats.org/officeDocument/2006/relationships/hyperlink" Target="http://www2018.terna.it/it-it/sistemaelettrico/transparencyreport/generation/installedgenerationcapacity.aspx" TargetMode="External"/><Relationship Id="rId2138" Type="http://schemas.openxmlformats.org/officeDocument/2006/relationships/hyperlink" Target="https://sede.minetur.gob.es/en-US/datosabiertos/catalogo/registro-productores-electrica" TargetMode="External"/><Relationship Id="rId2692" Type="http://schemas.openxmlformats.org/officeDocument/2006/relationships/hyperlink" Target="https://sede.minetur.gob.es/en-US/datosabiertos/catalogo/registro-productores-electrica" TargetMode="External"/><Relationship Id="rId3536" Type="http://schemas.openxmlformats.org/officeDocument/2006/relationships/hyperlink" Target="https://www.nve.no/energiforsyning/kraftproduksjon/vannkraft/vannkraftdatabase/" TargetMode="External"/><Relationship Id="rId3743" Type="http://schemas.openxmlformats.org/officeDocument/2006/relationships/hyperlink" Target="https://www.nve.no/energiforsyning/kraftproduksjon/vannkraft/vannkraftdatabase/" TargetMode="External"/><Relationship Id="rId3950" Type="http://schemas.openxmlformats.org/officeDocument/2006/relationships/hyperlink" Target="https://www.nve.no/energiforsyning/kraftproduksjon/vannkraft/vannkraftdatabase/" TargetMode="External"/><Relationship Id="rId6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45" Type="http://schemas.openxmlformats.org/officeDocument/2006/relationships/hyperlink" Target="https://sede.minetur.gob.es/en-US/datosabiertos/catalogo/registro-productores-electrica" TargetMode="External"/><Relationship Id="rId2552" Type="http://schemas.openxmlformats.org/officeDocument/2006/relationships/hyperlink" Target="https://sede.minetur.gob.es/en-US/datosabiertos/catalogo/registro-productores-electrica" TargetMode="External"/><Relationship Id="rId3603" Type="http://schemas.openxmlformats.org/officeDocument/2006/relationships/hyperlink" Target="https://www.nve.no/energiforsyning/kraftproduksjon/vannkraft/vannkraftdatabase/" TargetMode="External"/><Relationship Id="rId3810" Type="http://schemas.openxmlformats.org/officeDocument/2006/relationships/hyperlink" Target="https://www.nve.no/energiforsyning/kraftproduksjon/vannkraft/vannkraftdatabase/" TargetMode="External"/><Relationship Id="rId317" Type="http://schemas.openxmlformats.org/officeDocument/2006/relationships/hyperlink" Target="http://gpi.tge.pl/en/wykaz-jednostek" TargetMode="External"/><Relationship Id="rId524" Type="http://schemas.openxmlformats.org/officeDocument/2006/relationships/hyperlink" Target="https://www.ceps.cz/cs/priprava-provozu" TargetMode="External"/><Relationship Id="rId7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1" Type="http://schemas.openxmlformats.org/officeDocument/2006/relationships/hyperlink" Target="http://www2018.terna.it/it-it/sistemaelettrico/transparencyreport/generation/installedgenerationcapacity.aspx" TargetMode="External"/><Relationship Id="rId2205" Type="http://schemas.openxmlformats.org/officeDocument/2006/relationships/hyperlink" Target="https://sede.minetur.gob.es/en-US/datosabiertos/catalogo/registro-productores-electrica" TargetMode="External"/><Relationship Id="rId2412" Type="http://schemas.openxmlformats.org/officeDocument/2006/relationships/hyperlink" Target="https://sede.minetur.gob.es/en-US/datosabiertos/catalogo/registro-productores-electrica" TargetMode="External"/><Relationship Id="rId10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77" Type="http://schemas.openxmlformats.org/officeDocument/2006/relationships/hyperlink" Target="https://www.nve.no/energiforsyning/kraftproduksjon/vannkraft/vannkraftdatabase/" TargetMode="External"/><Relationship Id="rId4584" Type="http://schemas.openxmlformats.org/officeDocument/2006/relationships/hyperlink" Target="https://www.nve.no/energiforsyning/kraftproduksjon/vannkraft/vannkraftdatabase/" TargetMode="External"/><Relationship Id="rId4791" Type="http://schemas.openxmlformats.org/officeDocument/2006/relationships/hyperlink" Target="https://www.nve.no/media/8967/termiske-kraftverk-i-norge-2019.xlsx" TargetMode="External"/><Relationship Id="rId3186" Type="http://schemas.openxmlformats.org/officeDocument/2006/relationships/hyperlink" Target="https://www.nve.no/energiforsyning/kraftproduksjon/vannkraft/vannkraftdatabase/" TargetMode="External"/><Relationship Id="rId3393" Type="http://schemas.openxmlformats.org/officeDocument/2006/relationships/hyperlink" Target="https://www.nve.no/energiforsyning/kraftproduksjon/vannkraft/vannkraftdatabase/" TargetMode="External"/><Relationship Id="rId4237" Type="http://schemas.openxmlformats.org/officeDocument/2006/relationships/hyperlink" Target="https://www.nve.no/energiforsyning/kraftproduksjon/vannkraft/vannkraftdatabase/" TargetMode="External"/><Relationship Id="rId4444" Type="http://schemas.openxmlformats.org/officeDocument/2006/relationships/hyperlink" Target="https://www.nve.no/energiforsyning/kraftproduksjon/vannkraft/vannkraftdatabase/" TargetMode="External"/><Relationship Id="rId4651" Type="http://schemas.openxmlformats.org/officeDocument/2006/relationships/hyperlink" Target="https://www.nve.no/energiforsyning/kraftproduksjon/vannkraft/vannkraftdatabase/" TargetMode="External"/><Relationship Id="rId3046" Type="http://schemas.openxmlformats.org/officeDocument/2006/relationships/hyperlink" Target="https://www.gov.uk/government/statistics/electricity-chapter-5-digest-of-united-kingdom-energy-statistics-dukes" TargetMode="External"/><Relationship Id="rId3253" Type="http://schemas.openxmlformats.org/officeDocument/2006/relationships/hyperlink" Target="https://www.nve.no/energiforsyning/kraftproduksjon/vannkraft/vannkraftdatabase/" TargetMode="External"/><Relationship Id="rId3460" Type="http://schemas.openxmlformats.org/officeDocument/2006/relationships/hyperlink" Target="https://www.nve.no/energiforsyning/kraftproduksjon/vannkraft/vannkraftdatabase/" TargetMode="External"/><Relationship Id="rId4304" Type="http://schemas.openxmlformats.org/officeDocument/2006/relationships/hyperlink" Target="https://www.nve.no/energiforsyning/kraftproduksjon/vannkraft/vannkraftdatabase/" TargetMode="External"/><Relationship Id="rId174" Type="http://schemas.openxmlformats.org/officeDocument/2006/relationships/hyperlink" Target="https://www.services-rte.com/en/view-data-published-by-rte/production-installed-capacity.html" TargetMode="External"/><Relationship Id="rId381" Type="http://schemas.openxmlformats.org/officeDocument/2006/relationships/hyperlink" Target="http://gpi.tge.pl/en/wykaz-jednostek" TargetMode="External"/><Relationship Id="rId2062" Type="http://schemas.openxmlformats.org/officeDocument/2006/relationships/hyperlink" Target="https://sede.minetur.gob.es/en-US/datosabiertos/catalogo/registro-productores-electrica" TargetMode="External"/><Relationship Id="rId3113" Type="http://schemas.openxmlformats.org/officeDocument/2006/relationships/hyperlink" Target="https://www.nve.no/energiforsyning/kraftproduksjon/vannkraft/vannkraftdatabase/" TargetMode="External"/><Relationship Id="rId4511" Type="http://schemas.openxmlformats.org/officeDocument/2006/relationships/hyperlink" Target="https://www.nve.no/energiforsyning/kraftproduksjon/vannkraft/vannkraftdatabase/" TargetMode="External"/><Relationship Id="rId241" Type="http://schemas.openxmlformats.org/officeDocument/2006/relationships/hyperlink" Target="https://www.services-rte.com/en/view-data-published-by-rte/production-installed-capacity.html" TargetMode="External"/><Relationship Id="rId3320" Type="http://schemas.openxmlformats.org/officeDocument/2006/relationships/hyperlink" Target="https://www.nve.no/energiforsyning/kraftproduksjon/vannkraft/vannkraftdatabase/" TargetMode="External"/><Relationship Id="rId2879" Type="http://schemas.openxmlformats.org/officeDocument/2006/relationships/hyperlink" Target="https://www.gov.uk/government/statistics/electricity-chapter-5-digest-of-united-kingdom-energy-statistics-dukes" TargetMode="External"/><Relationship Id="rId101" Type="http://schemas.openxmlformats.org/officeDocument/2006/relationships/hyperlink" Target="https://www.tennet.org/english/operational_management/export_data.aspx" TargetMode="External"/><Relationship Id="rId1688" Type="http://schemas.openxmlformats.org/officeDocument/2006/relationships/hyperlink" Target="https://energiavirasto.fi/toimitusvarmuus" TargetMode="External"/><Relationship Id="rId1895" Type="http://schemas.openxmlformats.org/officeDocument/2006/relationships/hyperlink" Target="https://sede.minetur.gob.es/en-US/datosabiertos/catalogo/registro-productores-electrica" TargetMode="External"/><Relationship Id="rId2739" Type="http://schemas.openxmlformats.org/officeDocument/2006/relationships/hyperlink" Target="https://sede.minetur.gob.es/en-US/datosabiertos/catalogo/registro-productores-electrica" TargetMode="External"/><Relationship Id="rId2946" Type="http://schemas.openxmlformats.org/officeDocument/2006/relationships/hyperlink" Target="https://www.gov.uk/government/statistics/electricity-chapter-5-digest-of-united-kingdom-energy-statistics-dukes" TargetMode="External"/><Relationship Id="rId4094" Type="http://schemas.openxmlformats.org/officeDocument/2006/relationships/hyperlink" Target="https://www.nve.no/energiforsyning/kraftproduksjon/vannkraft/vannkraftdatabase/" TargetMode="External"/><Relationship Id="rId9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8" Type="http://schemas.openxmlformats.org/officeDocument/2006/relationships/hyperlink" Target="https://energiavirasto.fi/toimitusvarmuus" TargetMode="External"/><Relationship Id="rId1755" Type="http://schemas.openxmlformats.org/officeDocument/2006/relationships/hyperlink" Target="https://sede.minetur.gob.es/en-US/datosabiertos/catalogo/registro-productores-electrica" TargetMode="External"/><Relationship Id="rId4161" Type="http://schemas.openxmlformats.org/officeDocument/2006/relationships/hyperlink" Target="https://www.nve.no/energiforsyning/kraftproduksjon/vannkraft/vannkraftdatabase/" TargetMode="External"/><Relationship Id="rId5005" Type="http://schemas.openxmlformats.org/officeDocument/2006/relationships/hyperlink" Target="https://www.verbund.com/de-de/ueber-verbund/kraftwerke/unsere-kraftwerke" TargetMode="External"/><Relationship Id="rId1408" Type="http://schemas.openxmlformats.org/officeDocument/2006/relationships/hyperlink" Target="https://energiavirasto.fi/toimitusvarmuus" TargetMode="External"/><Relationship Id="rId1962" Type="http://schemas.openxmlformats.org/officeDocument/2006/relationships/hyperlink" Target="https://sede.minetur.gob.es/en-US/datosabiertos/catalogo/registro-productores-electrica" TargetMode="External"/><Relationship Id="rId2806" Type="http://schemas.openxmlformats.org/officeDocument/2006/relationships/hyperlink" Target="https://sede.minetur.gob.es/en-US/datosabiertos/catalogo/registro-productores-electrica" TargetMode="External"/><Relationship Id="rId4021" Type="http://schemas.openxmlformats.org/officeDocument/2006/relationships/hyperlink" Target="https://www.nve.no/energiforsyning/kraftproduksjon/vannkraft/vannkraftdatabase/" TargetMode="External"/><Relationship Id="rId47" Type="http://schemas.openxmlformats.org/officeDocument/2006/relationships/hyperlink" Target="https://www.elia.be/en/grid-data/power-generation/generating-facilities" TargetMode="External"/><Relationship Id="rId1615" Type="http://schemas.openxmlformats.org/officeDocument/2006/relationships/hyperlink" Target="https://energiavirasto.fi/toimitusvarmuus" TargetMode="External"/><Relationship Id="rId1822" Type="http://schemas.openxmlformats.org/officeDocument/2006/relationships/hyperlink" Target="https://sede.minetur.gob.es/en-US/datosabiertos/catalogo/registro-productores-electrica" TargetMode="External"/><Relationship Id="rId4978" Type="http://schemas.openxmlformats.org/officeDocument/2006/relationships/hyperlink" Target="https://www.verbund.com/de-at/ueber-verbund/kraftwerke/unsere-kraftwerke" TargetMode="External"/><Relationship Id="rId3787" Type="http://schemas.openxmlformats.org/officeDocument/2006/relationships/hyperlink" Target="https://www.nve.no/energiforsyning/kraftproduksjon/vannkraft/vannkraftdatabase/" TargetMode="External"/><Relationship Id="rId3994" Type="http://schemas.openxmlformats.org/officeDocument/2006/relationships/hyperlink" Target="https://www.nve.no/energiforsyning/kraftproduksjon/vannkraft/vannkraftdatabase/" TargetMode="External"/><Relationship Id="rId4838" Type="http://schemas.openxmlformats.org/officeDocument/2006/relationships/hyperlink" Target="https://www.seng.si/en/hydropower-plants/small-hydropower-plants/" TargetMode="External"/><Relationship Id="rId2389" Type="http://schemas.openxmlformats.org/officeDocument/2006/relationships/hyperlink" Target="https://sede.minetur.gob.es/en-US/datosabiertos/catalogo/registro-productores-electrica" TargetMode="External"/><Relationship Id="rId2596" Type="http://schemas.openxmlformats.org/officeDocument/2006/relationships/hyperlink" Target="https://sede.minetur.gob.es/en-US/datosabiertos/catalogo/registro-productores-electrica" TargetMode="External"/><Relationship Id="rId3647" Type="http://schemas.openxmlformats.org/officeDocument/2006/relationships/hyperlink" Target="https://www.nve.no/energiforsyning/kraftproduksjon/vannkraft/vannkraftdatabase/" TargetMode="External"/><Relationship Id="rId3854" Type="http://schemas.openxmlformats.org/officeDocument/2006/relationships/hyperlink" Target="https://www.nve.no/energiforsyning/kraftproduksjon/vannkraft/vannkraftdatabase/" TargetMode="External"/><Relationship Id="rId4905" Type="http://schemas.openxmlformats.org/officeDocument/2006/relationships/hyperlink" Target="https://www.verbund.com/de-at/ueber-verbund/kraftwerke/unsere-kraftwerke" TargetMode="External"/><Relationship Id="rId568" Type="http://schemas.openxmlformats.org/officeDocument/2006/relationships/hyperlink" Target="https://www.ceps.cz/cs/priprava-provozu" TargetMode="External"/><Relationship Id="rId7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49" Type="http://schemas.openxmlformats.org/officeDocument/2006/relationships/hyperlink" Target="https://sede.minetur.gob.es/en-US/datosabiertos/catalogo/registro-productores-electrica" TargetMode="External"/><Relationship Id="rId2456" Type="http://schemas.openxmlformats.org/officeDocument/2006/relationships/hyperlink" Target="https://sede.minetur.gob.es/en-US/datosabiertos/catalogo/registro-productores-electrica" TargetMode="External"/><Relationship Id="rId2663" Type="http://schemas.openxmlformats.org/officeDocument/2006/relationships/hyperlink" Target="https://sede.minetur.gob.es/en-US/datosabiertos/catalogo/registro-productores-electrica" TargetMode="External"/><Relationship Id="rId2870" Type="http://schemas.openxmlformats.org/officeDocument/2006/relationships/hyperlink" Target="https://www.gov.uk/government/statistics/electricity-chapter-5-digest-of-united-kingdom-energy-statistics-dukes" TargetMode="External"/><Relationship Id="rId3507" Type="http://schemas.openxmlformats.org/officeDocument/2006/relationships/hyperlink" Target="https://www.nve.no/energiforsyning/kraftproduksjon/vannkraft/vannkraftdatabase/" TargetMode="External"/><Relationship Id="rId3714" Type="http://schemas.openxmlformats.org/officeDocument/2006/relationships/hyperlink" Target="https://www.nve.no/energiforsyning/kraftproduksjon/vannkraft/vannkraftdatabase/" TargetMode="External"/><Relationship Id="rId3921" Type="http://schemas.openxmlformats.org/officeDocument/2006/relationships/hyperlink" Target="https://www.nve.no/energiforsyning/kraftproduksjon/vannkraft/vannkraftdatabase/" TargetMode="External"/><Relationship Id="rId428" Type="http://schemas.openxmlformats.org/officeDocument/2006/relationships/hyperlink" Target="https://www.ceps.cz/cs/priprava-provozu" TargetMode="External"/><Relationship Id="rId6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5" Type="http://schemas.openxmlformats.org/officeDocument/2006/relationships/hyperlink" Target="http://www2018.terna.it/it-it/sistemaelettrico/transparencyreport/generation/installedgenerationcapacity.aspx" TargetMode="External"/><Relationship Id="rId1472" Type="http://schemas.openxmlformats.org/officeDocument/2006/relationships/hyperlink" Target="https://energiavirasto.fi/toimitusvarmuus" TargetMode="External"/><Relationship Id="rId2109" Type="http://schemas.openxmlformats.org/officeDocument/2006/relationships/hyperlink" Target="https://sede.minetur.gob.es/en-US/datosabiertos/catalogo/registro-productores-electrica" TargetMode="External"/><Relationship Id="rId2316" Type="http://schemas.openxmlformats.org/officeDocument/2006/relationships/hyperlink" Target="https://sede.minetur.gob.es/en-US/datosabiertos/catalogo/registro-productores-electrica" TargetMode="External"/><Relationship Id="rId2523" Type="http://schemas.openxmlformats.org/officeDocument/2006/relationships/hyperlink" Target="https://sede.minetur.gob.es/en-US/datosabiertos/catalogo/registro-productores-electrica" TargetMode="External"/><Relationship Id="rId2730" Type="http://schemas.openxmlformats.org/officeDocument/2006/relationships/hyperlink" Target="https://sede.minetur.gob.es/en-US/datosabiertos/catalogo/registro-productores-electrica" TargetMode="External"/><Relationship Id="rId7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2" Type="http://schemas.openxmlformats.org/officeDocument/2006/relationships/hyperlink" Target="http://www2018.terna.it/it-it/sistemaelettrico/transparencyreport/generation/installedgenerationcapacity.aspx" TargetMode="External"/><Relationship Id="rId4488" Type="http://schemas.openxmlformats.org/officeDocument/2006/relationships/hyperlink" Target="https://www.nve.no/energiforsyning/kraftproduksjon/vannkraft/vannkraftdatabase/" TargetMode="External"/><Relationship Id="rId4695" Type="http://schemas.openxmlformats.org/officeDocument/2006/relationships/hyperlink" Target="https://www.nve.no/energiforsyning/kraftproduksjon/vannkraft/vannkraftdatabase/" TargetMode="External"/><Relationship Id="rId3297" Type="http://schemas.openxmlformats.org/officeDocument/2006/relationships/hyperlink" Target="https://www.nve.no/energiforsyning/kraftproduksjon/vannkraft/vannkraftdatabase/" TargetMode="External"/><Relationship Id="rId4348" Type="http://schemas.openxmlformats.org/officeDocument/2006/relationships/hyperlink" Target="https://www.nve.no/energiforsyning/kraftproduksjon/vannkraft/vannkraftdatabase/" TargetMode="External"/><Relationship Id="rId3157" Type="http://schemas.openxmlformats.org/officeDocument/2006/relationships/hyperlink" Target="https://www.nve.no/energiforsyning/kraftproduksjon/vannkraft/vannkraftdatabase/" TargetMode="External"/><Relationship Id="rId4555" Type="http://schemas.openxmlformats.org/officeDocument/2006/relationships/hyperlink" Target="https://www.nve.no/energiforsyning/kraftproduksjon/vannkraft/vannkraftdatabase/" TargetMode="External"/><Relationship Id="rId4762" Type="http://schemas.openxmlformats.org/officeDocument/2006/relationships/hyperlink" Target="https://www.nve.no/energiforsyning/kraftproduksjon/vannkraft/vannkraftdatabase/" TargetMode="External"/><Relationship Id="rId285" Type="http://schemas.openxmlformats.org/officeDocument/2006/relationships/hyperlink" Target="https://www.services-rte.com/en/view-data-published-by-rte/production-installed-capacity.html" TargetMode="External"/><Relationship Id="rId3364" Type="http://schemas.openxmlformats.org/officeDocument/2006/relationships/hyperlink" Target="https://www.nve.no/energiforsyning/kraftproduksjon/vannkraft/vannkraftdatabase/" TargetMode="External"/><Relationship Id="rId3571" Type="http://schemas.openxmlformats.org/officeDocument/2006/relationships/hyperlink" Target="https://www.nve.no/energiforsyning/kraftproduksjon/vannkraft/vannkraftdatabase/" TargetMode="External"/><Relationship Id="rId4208" Type="http://schemas.openxmlformats.org/officeDocument/2006/relationships/hyperlink" Target="https://www.nve.no/energiforsyning/kraftproduksjon/vannkraft/vannkraftdatabase/" TargetMode="External"/><Relationship Id="rId4415" Type="http://schemas.openxmlformats.org/officeDocument/2006/relationships/hyperlink" Target="https://www.nve.no/energiforsyning/kraftproduksjon/vannkraft/vannkraftdatabase/" TargetMode="External"/><Relationship Id="rId4622" Type="http://schemas.openxmlformats.org/officeDocument/2006/relationships/hyperlink" Target="https://www.nve.no/energiforsyning/kraftproduksjon/vannkraft/vannkraftdatabase/" TargetMode="External"/><Relationship Id="rId492" Type="http://schemas.openxmlformats.org/officeDocument/2006/relationships/hyperlink" Target="https://www.ceps.cz/cs/priprava-provozu" TargetMode="External"/><Relationship Id="rId2173" Type="http://schemas.openxmlformats.org/officeDocument/2006/relationships/hyperlink" Target="https://sede.minetur.gob.es/en-US/datosabiertos/catalogo/registro-productores-electrica" TargetMode="External"/><Relationship Id="rId2380" Type="http://schemas.openxmlformats.org/officeDocument/2006/relationships/hyperlink" Target="https://sede.minetur.gob.es/en-US/datosabiertos/catalogo/registro-productores-electrica" TargetMode="External"/><Relationship Id="rId3017" Type="http://schemas.openxmlformats.org/officeDocument/2006/relationships/hyperlink" Target="https://www.gov.uk/government/statistics/electricity-chapter-5-digest-of-united-kingdom-energy-statistics-dukes" TargetMode="External"/><Relationship Id="rId3224" Type="http://schemas.openxmlformats.org/officeDocument/2006/relationships/hyperlink" Target="https://www.nve.no/energiforsyning/kraftproduksjon/vannkraft/vannkraftdatabase/" TargetMode="External"/><Relationship Id="rId3431" Type="http://schemas.openxmlformats.org/officeDocument/2006/relationships/hyperlink" Target="https://www.nve.no/energiforsyning/kraftproduksjon/vannkraft/vannkraftdatabase/" TargetMode="External"/><Relationship Id="rId145" Type="http://schemas.openxmlformats.org/officeDocument/2006/relationships/hyperlink" Target="https://www.tennet.org/english/operational_management/export_data.aspx" TargetMode="External"/><Relationship Id="rId352" Type="http://schemas.openxmlformats.org/officeDocument/2006/relationships/hyperlink" Target="http://gpi.tge.pl/en/wykaz-jednostek" TargetMode="External"/><Relationship Id="rId2033" Type="http://schemas.openxmlformats.org/officeDocument/2006/relationships/hyperlink" Target="https://sede.minetur.gob.es/en-US/datosabiertos/catalogo/registro-productores-electrica" TargetMode="External"/><Relationship Id="rId2240" Type="http://schemas.openxmlformats.org/officeDocument/2006/relationships/hyperlink" Target="https://sede.minetur.gob.es/en-US/datosabiertos/catalogo/registro-productores-electrica" TargetMode="External"/><Relationship Id="rId212" Type="http://schemas.openxmlformats.org/officeDocument/2006/relationships/hyperlink" Target="https://www.services-rte.com/en/view-data-published-by-rte/production-installed-capacity.html" TargetMode="External"/><Relationship Id="rId1799" Type="http://schemas.openxmlformats.org/officeDocument/2006/relationships/hyperlink" Target="https://sede.minetur.gob.es/en-US/datosabiertos/catalogo/registro-productores-electrica" TargetMode="External"/><Relationship Id="rId2100" Type="http://schemas.openxmlformats.org/officeDocument/2006/relationships/hyperlink" Target="https://sede.minetur.gob.es/en-US/datosabiertos/catalogo/registro-productores-electrica" TargetMode="External"/><Relationship Id="rId4065" Type="http://schemas.openxmlformats.org/officeDocument/2006/relationships/hyperlink" Target="https://www.nve.no/energiforsyning/kraftproduksjon/vannkraft/vannkraftdatabase/" TargetMode="External"/><Relationship Id="rId4272" Type="http://schemas.openxmlformats.org/officeDocument/2006/relationships/hyperlink" Target="https://www.nve.no/energiforsyning/kraftproduksjon/vannkraft/vannkraftdatabase/" TargetMode="External"/><Relationship Id="rId1659" Type="http://schemas.openxmlformats.org/officeDocument/2006/relationships/hyperlink" Target="https://energiavirasto.fi/toimitusvarmuus" TargetMode="External"/><Relationship Id="rId1866" Type="http://schemas.openxmlformats.org/officeDocument/2006/relationships/hyperlink" Target="https://sede.minetur.gob.es/en-US/datosabiertos/catalogo/registro-productores-electrica" TargetMode="External"/><Relationship Id="rId2917" Type="http://schemas.openxmlformats.org/officeDocument/2006/relationships/hyperlink" Target="https://www.gov.uk/government/statistics/electricity-chapter-5-digest-of-united-kingdom-energy-statistics-dukes" TargetMode="External"/><Relationship Id="rId3081" Type="http://schemas.openxmlformats.org/officeDocument/2006/relationships/hyperlink" Target="https://www.gov.uk/government/statistics/electricity-chapter-5-digest-of-united-kingdom-energy-statistics-dukes" TargetMode="External"/><Relationship Id="rId4132" Type="http://schemas.openxmlformats.org/officeDocument/2006/relationships/hyperlink" Target="https://www.nve.no/energiforsyning/kraftproduksjon/vannkraft/vannkraftdatabase/" TargetMode="External"/><Relationship Id="rId1519" Type="http://schemas.openxmlformats.org/officeDocument/2006/relationships/hyperlink" Target="https://energiavirasto.fi/toimitusvarmuus" TargetMode="External"/><Relationship Id="rId1726" Type="http://schemas.openxmlformats.org/officeDocument/2006/relationships/hyperlink" Target="https://sede.minetur.gob.es/en-US/datosabiertos/catalogo/registro-productores-electrica" TargetMode="External"/><Relationship Id="rId1933" Type="http://schemas.openxmlformats.org/officeDocument/2006/relationships/hyperlink" Target="https://sede.minetur.gob.es/en-US/datosabiertos/catalogo/registro-productores-electrica" TargetMode="External"/><Relationship Id="rId18" Type="http://schemas.openxmlformats.org/officeDocument/2006/relationships/hyperlink" Target="https://www.elia.be/en/grid-data/power-generation/generating-facilities" TargetMode="External"/><Relationship Id="rId3898" Type="http://schemas.openxmlformats.org/officeDocument/2006/relationships/hyperlink" Target="https://www.nve.no/energiforsyning/kraftproduksjon/vannkraft/vannkraftdatabase/" TargetMode="External"/><Relationship Id="rId4949" Type="http://schemas.openxmlformats.org/officeDocument/2006/relationships/hyperlink" Target="https://www.verbund.com/de-at/ueber-verbund/kraftwerke/unsere-kraftwerke" TargetMode="External"/><Relationship Id="rId3758" Type="http://schemas.openxmlformats.org/officeDocument/2006/relationships/hyperlink" Target="https://www.nve.no/energiforsyning/kraftproduksjon/vannkraft/vannkraftdatabase/" TargetMode="External"/><Relationship Id="rId3965" Type="http://schemas.openxmlformats.org/officeDocument/2006/relationships/hyperlink" Target="https://www.nve.no/energiforsyning/kraftproduksjon/vannkraft/vannkraftdatabase/" TargetMode="External"/><Relationship Id="rId4809" Type="http://schemas.openxmlformats.org/officeDocument/2006/relationships/hyperlink" Target="https://www.seng.si/en/hydropower-plants/small-hydropower-plants/" TargetMode="External"/><Relationship Id="rId6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67" Type="http://schemas.openxmlformats.org/officeDocument/2006/relationships/hyperlink" Target="https://sede.minetur.gob.es/en-US/datosabiertos/catalogo/registro-productores-electrica" TargetMode="External"/><Relationship Id="rId2774" Type="http://schemas.openxmlformats.org/officeDocument/2006/relationships/hyperlink" Target="https://sede.minetur.gob.es/en-US/datosabiertos/catalogo/registro-productores-electrica" TargetMode="External"/><Relationship Id="rId3618" Type="http://schemas.openxmlformats.org/officeDocument/2006/relationships/hyperlink" Target="https://www.nve.no/energiforsyning/kraftproduksjon/vannkraft/vannkraftdatabase/" TargetMode="External"/><Relationship Id="rId2" Type="http://schemas.openxmlformats.org/officeDocument/2006/relationships/hyperlink" Target="https://www.elia.be/en/grid-data/power-generation/generating-facilities" TargetMode="External"/><Relationship Id="rId539" Type="http://schemas.openxmlformats.org/officeDocument/2006/relationships/hyperlink" Target="https://www.ceps.cz/cs/priprava-provozu" TargetMode="External"/><Relationship Id="rId7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6" Type="http://schemas.openxmlformats.org/officeDocument/2006/relationships/hyperlink" Target="http://www2018.terna.it/it-it/sistemaelettrico/transparencyreport/generation/installedgenerationcapacity.aspx" TargetMode="External"/><Relationship Id="rId1583" Type="http://schemas.openxmlformats.org/officeDocument/2006/relationships/hyperlink" Target="https://energiavirasto.fi/toimitusvarmuus" TargetMode="External"/><Relationship Id="rId2427" Type="http://schemas.openxmlformats.org/officeDocument/2006/relationships/hyperlink" Target="https://sede.minetur.gob.es/en-US/datosabiertos/catalogo/registro-productores-electrica" TargetMode="External"/><Relationship Id="rId2981" Type="http://schemas.openxmlformats.org/officeDocument/2006/relationships/hyperlink" Target="https://www.gov.uk/government/statistics/electricity-chapter-5-digest-of-united-kingdom-energy-statistics-dukes" TargetMode="External"/><Relationship Id="rId3825" Type="http://schemas.openxmlformats.org/officeDocument/2006/relationships/hyperlink" Target="https://www.nve.no/energiforsyning/kraftproduksjon/vannkraft/vannkraftdatabase/" TargetMode="External"/><Relationship Id="rId5040" Type="http://schemas.microsoft.com/office/2017/10/relationships/threadedComment" Target="../threadedComments/threadedComment1.xml"/><Relationship Id="rId9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90" Type="http://schemas.openxmlformats.org/officeDocument/2006/relationships/hyperlink" Target="https://sede.minetur.gob.es/en-US/datosabiertos/catalogo/registro-productores-electrica" TargetMode="External"/><Relationship Id="rId2634" Type="http://schemas.openxmlformats.org/officeDocument/2006/relationships/hyperlink" Target="https://sede.minetur.gob.es/en-US/datosabiertos/catalogo/registro-productores-electrica" TargetMode="External"/><Relationship Id="rId2841" Type="http://schemas.openxmlformats.org/officeDocument/2006/relationships/hyperlink" Target="https://sede.minetur.gob.es/en-US/datosabiertos/catalogo/registro-productores-electrica" TargetMode="External"/><Relationship Id="rId82" Type="http://schemas.openxmlformats.org/officeDocument/2006/relationships/hyperlink" Target="https://www.elia.be/en/grid-data/power-generation/generating-facilities" TargetMode="External"/><Relationship Id="rId6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3" Type="http://schemas.openxmlformats.org/officeDocument/2006/relationships/hyperlink" Target="https://energiavirasto.fi/toimitusvarmuus" TargetMode="External"/><Relationship Id="rId1650" Type="http://schemas.openxmlformats.org/officeDocument/2006/relationships/hyperlink" Target="https://energiavirasto.fi/toimitusvarmuus" TargetMode="External"/><Relationship Id="rId2701" Type="http://schemas.openxmlformats.org/officeDocument/2006/relationships/hyperlink" Target="https://sede.minetur.gob.es/en-US/datosabiertos/catalogo/registro-productores-electrica" TargetMode="External"/><Relationship Id="rId4599" Type="http://schemas.openxmlformats.org/officeDocument/2006/relationships/hyperlink" Target="https://www.nve.no/energiforsyning/kraftproduksjon/vannkraft/vannkraftdatabase/" TargetMode="External"/><Relationship Id="rId1303" Type="http://schemas.openxmlformats.org/officeDocument/2006/relationships/hyperlink" Target="http://www2018.terna.it/it-it/sistemaelettrico/transparencyreport/generation/installedgenerationcapacity.aspx" TargetMode="External"/><Relationship Id="rId1510" Type="http://schemas.openxmlformats.org/officeDocument/2006/relationships/hyperlink" Target="https://energiavirasto.fi/toimitusvarmuus" TargetMode="External"/><Relationship Id="rId4459" Type="http://schemas.openxmlformats.org/officeDocument/2006/relationships/hyperlink" Target="https://www.nve.no/energiforsyning/kraftproduksjon/vannkraft/vannkraftdatabase/" TargetMode="External"/><Relationship Id="rId4666" Type="http://schemas.openxmlformats.org/officeDocument/2006/relationships/hyperlink" Target="https://www.nve.no/energiforsyning/kraftproduksjon/vannkraft/vannkraftdatabase/" TargetMode="External"/><Relationship Id="rId4873" Type="http://schemas.openxmlformats.org/officeDocument/2006/relationships/hyperlink" Target="https://www.seng.si/en/hydropower-plants/large-hydropower-plants/" TargetMode="External"/><Relationship Id="rId3268" Type="http://schemas.openxmlformats.org/officeDocument/2006/relationships/hyperlink" Target="https://www.nve.no/energiforsyning/kraftproduksjon/vannkraft/vannkraftdatabase/" TargetMode="External"/><Relationship Id="rId3475" Type="http://schemas.openxmlformats.org/officeDocument/2006/relationships/hyperlink" Target="https://www.nve.no/energiforsyning/kraftproduksjon/vannkraft/vannkraftdatabase/" TargetMode="External"/><Relationship Id="rId3682" Type="http://schemas.openxmlformats.org/officeDocument/2006/relationships/hyperlink" Target="https://www.nve.no/energiforsyning/kraftproduksjon/vannkraft/vannkraftdatabase/" TargetMode="External"/><Relationship Id="rId4319" Type="http://schemas.openxmlformats.org/officeDocument/2006/relationships/hyperlink" Target="https://www.nve.no/energiforsyning/kraftproduksjon/vannkraft/vannkraftdatabase/" TargetMode="External"/><Relationship Id="rId4526" Type="http://schemas.openxmlformats.org/officeDocument/2006/relationships/hyperlink" Target="https://www.nve.no/energiforsyning/kraftproduksjon/vannkraft/vannkraftdatabase/" TargetMode="External"/><Relationship Id="rId4733" Type="http://schemas.openxmlformats.org/officeDocument/2006/relationships/hyperlink" Target="https://www.nve.no/energiforsyning/kraftproduksjon/vannkraft/vannkraftdatabase/" TargetMode="External"/><Relationship Id="rId4940" Type="http://schemas.openxmlformats.org/officeDocument/2006/relationships/hyperlink" Target="https://www.verbund.com/de-at/ueber-verbund/kraftwerke/unsere-kraftwerke" TargetMode="External"/><Relationship Id="rId189" Type="http://schemas.openxmlformats.org/officeDocument/2006/relationships/hyperlink" Target="https://www.services-rte.com/en/view-data-published-by-rte/production-installed-capacity.html" TargetMode="External"/><Relationship Id="rId396" Type="http://schemas.openxmlformats.org/officeDocument/2006/relationships/hyperlink" Target="http://gpi.tge.pl/en/wykaz-jednostek" TargetMode="External"/><Relationship Id="rId2077" Type="http://schemas.openxmlformats.org/officeDocument/2006/relationships/hyperlink" Target="https://sede.minetur.gob.es/en-US/datosabiertos/catalogo/registro-productores-electrica" TargetMode="External"/><Relationship Id="rId2284" Type="http://schemas.openxmlformats.org/officeDocument/2006/relationships/hyperlink" Target="https://sede.minetur.gob.es/en-US/datosabiertos/catalogo/registro-productores-electrica" TargetMode="External"/><Relationship Id="rId2491" Type="http://schemas.openxmlformats.org/officeDocument/2006/relationships/hyperlink" Target="https://sede.minetur.gob.es/en-US/datosabiertos/catalogo/registro-productores-electrica" TargetMode="External"/><Relationship Id="rId3128" Type="http://schemas.openxmlformats.org/officeDocument/2006/relationships/hyperlink" Target="https://www.nve.no/energiforsyning/kraftproduksjon/vannkraft/vannkraftdatabase/" TargetMode="External"/><Relationship Id="rId3335" Type="http://schemas.openxmlformats.org/officeDocument/2006/relationships/hyperlink" Target="https://www.nve.no/energiforsyning/kraftproduksjon/vannkraft/vannkraftdatabase/" TargetMode="External"/><Relationship Id="rId3542" Type="http://schemas.openxmlformats.org/officeDocument/2006/relationships/hyperlink" Target="https://www.nve.no/energiforsyning/kraftproduksjon/vannkraft/vannkraftdatabase/" TargetMode="External"/><Relationship Id="rId256" Type="http://schemas.openxmlformats.org/officeDocument/2006/relationships/hyperlink" Target="https://www.services-rte.com/en/view-data-published-by-rte/production-installed-capacity.html" TargetMode="External"/><Relationship Id="rId463" Type="http://schemas.openxmlformats.org/officeDocument/2006/relationships/hyperlink" Target="https://www.ceps.cz/cs/priprava-provozu" TargetMode="External"/><Relationship Id="rId6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4" Type="http://schemas.openxmlformats.org/officeDocument/2006/relationships/hyperlink" Target="https://sede.minetur.gob.es/en-US/datosabiertos/catalogo/registro-productores-electrica" TargetMode="External"/><Relationship Id="rId2351" Type="http://schemas.openxmlformats.org/officeDocument/2006/relationships/hyperlink" Target="https://sede.minetur.gob.es/en-US/datosabiertos/catalogo/registro-productores-electrica" TargetMode="External"/><Relationship Id="rId3402" Type="http://schemas.openxmlformats.org/officeDocument/2006/relationships/hyperlink" Target="https://www.nve.no/energiforsyning/kraftproduksjon/vannkraft/vannkraftdatabase/" TargetMode="External"/><Relationship Id="rId4800" Type="http://schemas.openxmlformats.org/officeDocument/2006/relationships/hyperlink" Target="https://www.nve.no/media/8967/termiske-kraftverk-i-norge-2019.xlsx" TargetMode="External"/><Relationship Id="rId116" Type="http://schemas.openxmlformats.org/officeDocument/2006/relationships/hyperlink" Target="https://www.tennet.org/english/operational_management/export_data.aspx" TargetMode="External"/><Relationship Id="rId323" Type="http://schemas.openxmlformats.org/officeDocument/2006/relationships/hyperlink" Target="http://gpi.tge.pl/en/wykaz-jednostek" TargetMode="External"/><Relationship Id="rId530" Type="http://schemas.openxmlformats.org/officeDocument/2006/relationships/hyperlink" Target="https://www.ceps.cz/cs/priprava-provozu" TargetMode="External"/><Relationship Id="rId11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04" Type="http://schemas.openxmlformats.org/officeDocument/2006/relationships/hyperlink" Target="https://sede.minetur.gob.es/en-US/datosabiertos/catalogo/registro-productores-electrica" TargetMode="External"/><Relationship Id="rId2211" Type="http://schemas.openxmlformats.org/officeDocument/2006/relationships/hyperlink" Target="https://sede.minetur.gob.es/en-US/datosabiertos/catalogo/registro-productores-electrica" TargetMode="External"/><Relationship Id="rId4176" Type="http://schemas.openxmlformats.org/officeDocument/2006/relationships/hyperlink" Target="https://www.nve.no/energiforsyning/kraftproduksjon/vannkraft/vannkraftdatabase/" TargetMode="External"/><Relationship Id="rId10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77" Type="http://schemas.openxmlformats.org/officeDocument/2006/relationships/hyperlink" Target="https://sede.minetur.gob.es/en-US/datosabiertos/catalogo/registro-productores-electrica" TargetMode="External"/><Relationship Id="rId4383" Type="http://schemas.openxmlformats.org/officeDocument/2006/relationships/hyperlink" Target="https://www.nve.no/energiforsyning/kraftproduksjon/vannkraft/vannkraftdatabase/" TargetMode="External"/><Relationship Id="rId4590" Type="http://schemas.openxmlformats.org/officeDocument/2006/relationships/hyperlink" Target="https://www.nve.no/energiforsyning/kraftproduksjon/vannkraft/vannkraftdatabase/" TargetMode="External"/><Relationship Id="rId1837" Type="http://schemas.openxmlformats.org/officeDocument/2006/relationships/hyperlink" Target="https://sede.minetur.gob.es/en-US/datosabiertos/catalogo/registro-productores-electrica" TargetMode="External"/><Relationship Id="rId3192" Type="http://schemas.openxmlformats.org/officeDocument/2006/relationships/hyperlink" Target="https://www.nve.no/energiforsyning/kraftproduksjon/vannkraft/vannkraftdatabase/" TargetMode="External"/><Relationship Id="rId4036" Type="http://schemas.openxmlformats.org/officeDocument/2006/relationships/hyperlink" Target="https://www.nve.no/energiforsyning/kraftproduksjon/vannkraft/vannkraftdatabase/" TargetMode="External"/><Relationship Id="rId4243" Type="http://schemas.openxmlformats.org/officeDocument/2006/relationships/hyperlink" Target="https://www.nve.no/energiforsyning/kraftproduksjon/vannkraft/vannkraftdatabase/" TargetMode="External"/><Relationship Id="rId4450" Type="http://schemas.openxmlformats.org/officeDocument/2006/relationships/hyperlink" Target="https://www.nve.no/energiforsyning/kraftproduksjon/vannkraft/vannkraftdatabase/" TargetMode="External"/><Relationship Id="rId3052" Type="http://schemas.openxmlformats.org/officeDocument/2006/relationships/hyperlink" Target="https://www.gov.uk/government/statistics/electricity-chapter-5-digest-of-united-kingdom-energy-statistics-dukes" TargetMode="External"/><Relationship Id="rId4103" Type="http://schemas.openxmlformats.org/officeDocument/2006/relationships/hyperlink" Target="https://www.nve.no/energiforsyning/kraftproduksjon/vannkraft/vannkraftdatabase/" TargetMode="External"/><Relationship Id="rId4310" Type="http://schemas.openxmlformats.org/officeDocument/2006/relationships/hyperlink" Target="https://www.nve.no/energiforsyning/kraftproduksjon/vannkraft/vannkraftdatabase/" TargetMode="External"/><Relationship Id="rId180" Type="http://schemas.openxmlformats.org/officeDocument/2006/relationships/hyperlink" Target="https://www.services-rte.com/en/view-data-published-by-rte/production-installed-capacity.html" TargetMode="External"/><Relationship Id="rId1904" Type="http://schemas.openxmlformats.org/officeDocument/2006/relationships/hyperlink" Target="https://sede.minetur.gob.es/en-US/datosabiertos/catalogo/registro-productores-electrica" TargetMode="External"/><Relationship Id="rId3869" Type="http://schemas.openxmlformats.org/officeDocument/2006/relationships/hyperlink" Target="https://www.nve.no/energiforsyning/kraftproduksjon/vannkraft/vannkraftdatabase/" TargetMode="External"/><Relationship Id="rId9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8" Type="http://schemas.openxmlformats.org/officeDocument/2006/relationships/hyperlink" Target="https://sede.minetur.gob.es/en-US/datosabiertos/catalogo/registro-productores-electrica" TargetMode="External"/><Relationship Id="rId2885" Type="http://schemas.openxmlformats.org/officeDocument/2006/relationships/hyperlink" Target="https://www.gov.uk/government/statistics/electricity-chapter-5-digest-of-united-kingdom-energy-statistics-dukes" TargetMode="External"/><Relationship Id="rId3729" Type="http://schemas.openxmlformats.org/officeDocument/2006/relationships/hyperlink" Target="https://www.nve.no/energiforsyning/kraftproduksjon/vannkraft/vannkraftdatabase/" TargetMode="External"/><Relationship Id="rId3936" Type="http://schemas.openxmlformats.org/officeDocument/2006/relationships/hyperlink" Target="https://www.nve.no/energiforsyning/kraftproduksjon/vannkraft/vannkraftdatabase/" TargetMode="External"/><Relationship Id="rId8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7" Type="http://schemas.openxmlformats.org/officeDocument/2006/relationships/hyperlink" Target="https://energiavirasto.fi/toimitusvarmuus" TargetMode="External"/><Relationship Id="rId1694" Type="http://schemas.openxmlformats.org/officeDocument/2006/relationships/hyperlink" Target="https://energiavirasto.fi/toimitusvarmuus" TargetMode="External"/><Relationship Id="rId2538" Type="http://schemas.openxmlformats.org/officeDocument/2006/relationships/hyperlink" Target="https://sede.minetur.gob.es/en-US/datosabiertos/catalogo/registro-productores-electrica" TargetMode="External"/><Relationship Id="rId2745" Type="http://schemas.openxmlformats.org/officeDocument/2006/relationships/hyperlink" Target="https://sede.minetur.gob.es/en-US/datosabiertos/catalogo/registro-productores-electrica" TargetMode="External"/><Relationship Id="rId2952" Type="http://schemas.openxmlformats.org/officeDocument/2006/relationships/hyperlink" Target="https://www.gov.uk/government/statistics/electricity-chapter-5-digest-of-united-kingdom-energy-statistics-dukes" TargetMode="External"/><Relationship Id="rId7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7" Type="http://schemas.openxmlformats.org/officeDocument/2006/relationships/hyperlink" Target="http://www2018.terna.it/it-it/sistemaelettrico/transparencyreport/generation/installedgenerationcapacity.aspx" TargetMode="External"/><Relationship Id="rId1554" Type="http://schemas.openxmlformats.org/officeDocument/2006/relationships/hyperlink" Target="https://energiavirasto.fi/toimitusvarmuus" TargetMode="External"/><Relationship Id="rId1761" Type="http://schemas.openxmlformats.org/officeDocument/2006/relationships/hyperlink" Target="https://sede.minetur.gob.es/en-US/datosabiertos/catalogo/registro-productores-electrica" TargetMode="External"/><Relationship Id="rId2605" Type="http://schemas.openxmlformats.org/officeDocument/2006/relationships/hyperlink" Target="https://sede.minetur.gob.es/en-US/datosabiertos/catalogo/registro-productores-electrica" TargetMode="External"/><Relationship Id="rId2812" Type="http://schemas.openxmlformats.org/officeDocument/2006/relationships/hyperlink" Target="https://sede.minetur.gob.es/en-US/datosabiertos/catalogo/registro-productores-electrica" TargetMode="External"/><Relationship Id="rId5011" Type="http://schemas.openxmlformats.org/officeDocument/2006/relationships/hyperlink" Target="https://www.verbund.com/de-de/ueber-verbund/kraftwerke/unsere-kraftwerke" TargetMode="External"/><Relationship Id="rId53" Type="http://schemas.openxmlformats.org/officeDocument/2006/relationships/hyperlink" Target="https://www.elia.be/en/grid-data/power-generation/generating-facilities" TargetMode="External"/><Relationship Id="rId12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4" Type="http://schemas.openxmlformats.org/officeDocument/2006/relationships/hyperlink" Target="https://energiavirasto.fi/toimitusvarmuus" TargetMode="External"/><Relationship Id="rId1621" Type="http://schemas.openxmlformats.org/officeDocument/2006/relationships/hyperlink" Target="https://energiavirasto.fi/toimitusvarmuus" TargetMode="External"/><Relationship Id="rId4777" Type="http://schemas.openxmlformats.org/officeDocument/2006/relationships/hyperlink" Target="https://www.nve.no/energiforsyning/kraftproduksjon/vannkraft/vannkraftdatabase/" TargetMode="External"/><Relationship Id="rId4984" Type="http://schemas.openxmlformats.org/officeDocument/2006/relationships/hyperlink" Target="https://www.verbund.com/de-at/ueber-verbund/kraftwerke/unsere-kraftwerke" TargetMode="External"/><Relationship Id="rId3379" Type="http://schemas.openxmlformats.org/officeDocument/2006/relationships/hyperlink" Target="https://www.nve.no/energiforsyning/kraftproduksjon/vannkraft/vannkraftdatabase/" TargetMode="External"/><Relationship Id="rId3586" Type="http://schemas.openxmlformats.org/officeDocument/2006/relationships/hyperlink" Target="https://www.nve.no/energiforsyning/kraftproduksjon/vannkraft/vannkraftdatabase/" TargetMode="External"/><Relationship Id="rId3793" Type="http://schemas.openxmlformats.org/officeDocument/2006/relationships/hyperlink" Target="https://www.nve.no/energiforsyning/kraftproduksjon/vannkraft/vannkraftdatabase/" TargetMode="External"/><Relationship Id="rId4637" Type="http://schemas.openxmlformats.org/officeDocument/2006/relationships/hyperlink" Target="https://www.nve.no/energiforsyning/kraftproduksjon/vannkraft/vannkraftdatabase/" TargetMode="External"/><Relationship Id="rId2188" Type="http://schemas.openxmlformats.org/officeDocument/2006/relationships/hyperlink" Target="https://sede.minetur.gob.es/en-US/datosabiertos/catalogo/registro-productores-electrica" TargetMode="External"/><Relationship Id="rId2395" Type="http://schemas.openxmlformats.org/officeDocument/2006/relationships/hyperlink" Target="https://sede.minetur.gob.es/en-US/datosabiertos/catalogo/registro-productores-electrica" TargetMode="External"/><Relationship Id="rId3239" Type="http://schemas.openxmlformats.org/officeDocument/2006/relationships/hyperlink" Target="https://www.nve.no/energiforsyning/kraftproduksjon/vannkraft/vannkraftdatabase/" TargetMode="External"/><Relationship Id="rId3446" Type="http://schemas.openxmlformats.org/officeDocument/2006/relationships/hyperlink" Target="https://www.nve.no/energiforsyning/kraftproduksjon/vannkraft/vannkraftdatabase/" TargetMode="External"/><Relationship Id="rId4844" Type="http://schemas.openxmlformats.org/officeDocument/2006/relationships/hyperlink" Target="http://www.he-ss.si/eng/he-krsko-general-info.html" TargetMode="External"/><Relationship Id="rId367" Type="http://schemas.openxmlformats.org/officeDocument/2006/relationships/hyperlink" Target="http://gpi.tge.pl/en/wykaz-jednostek" TargetMode="External"/><Relationship Id="rId5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48" Type="http://schemas.openxmlformats.org/officeDocument/2006/relationships/hyperlink" Target="https://sede.minetur.gob.es/en-US/datosabiertos/catalogo/registro-productores-electrica" TargetMode="External"/><Relationship Id="rId2255" Type="http://schemas.openxmlformats.org/officeDocument/2006/relationships/hyperlink" Target="https://sede.minetur.gob.es/en-US/datosabiertos/catalogo/registro-productores-electrica" TargetMode="External"/><Relationship Id="rId3653" Type="http://schemas.openxmlformats.org/officeDocument/2006/relationships/hyperlink" Target="https://www.nve.no/energiforsyning/kraftproduksjon/vannkraft/vannkraftdatabase/" TargetMode="External"/><Relationship Id="rId3860" Type="http://schemas.openxmlformats.org/officeDocument/2006/relationships/hyperlink" Target="https://www.nve.no/energiforsyning/kraftproduksjon/vannkraft/vannkraftdatabase/" TargetMode="External"/><Relationship Id="rId4704" Type="http://schemas.openxmlformats.org/officeDocument/2006/relationships/hyperlink" Target="https://www.nve.no/energiforsyning/kraftproduksjon/vannkraft/vannkraftdatabase/" TargetMode="External"/><Relationship Id="rId4911" Type="http://schemas.openxmlformats.org/officeDocument/2006/relationships/hyperlink" Target="https://www.verbund.com/de-at/ueber-verbund/kraftwerke/unsere-kraftwerke" TargetMode="External"/><Relationship Id="rId227" Type="http://schemas.openxmlformats.org/officeDocument/2006/relationships/hyperlink" Target="https://www.services-rte.com/en/view-data-published-by-rte/production-installed-capacity.html" TargetMode="External"/><Relationship Id="rId7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2" Type="http://schemas.openxmlformats.org/officeDocument/2006/relationships/hyperlink" Target="https://sede.minetur.gob.es/en-US/datosabiertos/catalogo/registro-productores-electrica" TargetMode="External"/><Relationship Id="rId3306" Type="http://schemas.openxmlformats.org/officeDocument/2006/relationships/hyperlink" Target="https://www.nve.no/energiforsyning/kraftproduksjon/vannkraft/vannkraftdatabase/" TargetMode="External"/><Relationship Id="rId3513" Type="http://schemas.openxmlformats.org/officeDocument/2006/relationships/hyperlink" Target="https://www.nve.no/energiforsyning/kraftproduksjon/vannkraft/vannkraftdatabase/" TargetMode="External"/><Relationship Id="rId3720" Type="http://schemas.openxmlformats.org/officeDocument/2006/relationships/hyperlink" Target="https://www.nve.no/energiforsyning/kraftproduksjon/vannkraft/vannkraftdatabase/" TargetMode="External"/><Relationship Id="rId434" Type="http://schemas.openxmlformats.org/officeDocument/2006/relationships/hyperlink" Target="https://www.ceps.cz/cs/priprava-provozu" TargetMode="External"/><Relationship Id="rId6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1" Type="http://schemas.openxmlformats.org/officeDocument/2006/relationships/hyperlink" Target="http://www2018.terna.it/it-it/sistemaelettrico/transparencyreport/generation/installedgenerationcapacity.aspx" TargetMode="External"/><Relationship Id="rId2115" Type="http://schemas.openxmlformats.org/officeDocument/2006/relationships/hyperlink" Target="https://sede.minetur.gob.es/en-US/datosabiertos/catalogo/registro-productores-electrica" TargetMode="External"/><Relationship Id="rId2322" Type="http://schemas.openxmlformats.org/officeDocument/2006/relationships/hyperlink" Target="https://sede.minetur.gob.es/en-US/datosabiertos/catalogo/registro-productores-electrica" TargetMode="External"/><Relationship Id="rId501" Type="http://schemas.openxmlformats.org/officeDocument/2006/relationships/hyperlink" Target="https://www.ceps.cz/cs/priprava-provozu" TargetMode="External"/><Relationship Id="rId11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87" Type="http://schemas.openxmlformats.org/officeDocument/2006/relationships/hyperlink" Target="https://www.nve.no/energiforsyning/kraftproduksjon/vannkraft/vannkraftdatabase/" TargetMode="External"/><Relationship Id="rId4494" Type="http://schemas.openxmlformats.org/officeDocument/2006/relationships/hyperlink" Target="https://www.nve.no/energiforsyning/kraftproduksjon/vannkraft/vannkraftdatabase/" TargetMode="External"/><Relationship Id="rId3096" Type="http://schemas.openxmlformats.org/officeDocument/2006/relationships/hyperlink" Target="https://www.gov.uk/government/statistics/electricity-chapter-5-digest-of-united-kingdom-energy-statistics-dukes" TargetMode="External"/><Relationship Id="rId4147" Type="http://schemas.openxmlformats.org/officeDocument/2006/relationships/hyperlink" Target="https://www.nve.no/energiforsyning/kraftproduksjon/vannkraft/vannkraftdatabase/" TargetMode="External"/><Relationship Id="rId4354" Type="http://schemas.openxmlformats.org/officeDocument/2006/relationships/hyperlink" Target="https://www.nve.no/energiforsyning/kraftproduksjon/vannkraft/vannkraftdatabase/" TargetMode="External"/><Relationship Id="rId4561" Type="http://schemas.openxmlformats.org/officeDocument/2006/relationships/hyperlink" Target="https://www.nve.no/energiforsyning/kraftproduksjon/vannkraft/vannkraftdatabase/" TargetMode="External"/><Relationship Id="rId1948" Type="http://schemas.openxmlformats.org/officeDocument/2006/relationships/hyperlink" Target="https://sede.minetur.gob.es/en-US/datosabiertos/catalogo/registro-productores-electrica" TargetMode="External"/><Relationship Id="rId3163" Type="http://schemas.openxmlformats.org/officeDocument/2006/relationships/hyperlink" Target="https://www.nve.no/energiforsyning/kraftproduksjon/vannkraft/vannkraftdatabase/" TargetMode="External"/><Relationship Id="rId3370" Type="http://schemas.openxmlformats.org/officeDocument/2006/relationships/hyperlink" Target="https://www.nve.no/energiforsyning/kraftproduksjon/vannkraft/vannkraftdatabase/" TargetMode="External"/><Relationship Id="rId4007" Type="http://schemas.openxmlformats.org/officeDocument/2006/relationships/hyperlink" Target="https://www.nve.no/energiforsyning/kraftproduksjon/vannkraft/vannkraftdatabase/" TargetMode="External"/><Relationship Id="rId4214" Type="http://schemas.openxmlformats.org/officeDocument/2006/relationships/hyperlink" Target="https://www.nve.no/energiforsyning/kraftproduksjon/vannkraft/vannkraftdatabase/" TargetMode="External"/><Relationship Id="rId4421" Type="http://schemas.openxmlformats.org/officeDocument/2006/relationships/hyperlink" Target="https://www.nve.no/energiforsyning/kraftproduksjon/vannkraft/vannkraftdatabase/" TargetMode="External"/><Relationship Id="rId291" Type="http://schemas.openxmlformats.org/officeDocument/2006/relationships/hyperlink" Target="https://www.services-rte.com/en/view-data-published-by-rte/production-installed-capacity.html" TargetMode="External"/><Relationship Id="rId1808" Type="http://schemas.openxmlformats.org/officeDocument/2006/relationships/hyperlink" Target="https://sede.minetur.gob.es/en-US/datosabiertos/catalogo/registro-productores-electrica" TargetMode="External"/><Relationship Id="rId3023" Type="http://schemas.openxmlformats.org/officeDocument/2006/relationships/hyperlink" Target="https://www.gov.uk/government/statistics/electricity-chapter-5-digest-of-united-kingdom-energy-statistics-dukes" TargetMode="External"/><Relationship Id="rId151" Type="http://schemas.openxmlformats.org/officeDocument/2006/relationships/hyperlink" Target="https://www.tennet.org/english/operational_management/export_data.aspx" TargetMode="External"/><Relationship Id="rId3230" Type="http://schemas.openxmlformats.org/officeDocument/2006/relationships/hyperlink" Target="https://www.nve.no/energiforsyning/kraftproduksjon/vannkraft/vannkraftdatabase/" TargetMode="External"/><Relationship Id="rId2789" Type="http://schemas.openxmlformats.org/officeDocument/2006/relationships/hyperlink" Target="https://sede.minetur.gob.es/en-US/datosabiertos/catalogo/registro-productores-electrica" TargetMode="External"/><Relationship Id="rId2996" Type="http://schemas.openxmlformats.org/officeDocument/2006/relationships/hyperlink" Target="https://www.gov.uk/government/statistics/electricity-chapter-5-digest-of-united-kingdom-energy-statistics-dukes" TargetMode="External"/><Relationship Id="rId9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8" Type="http://schemas.openxmlformats.org/officeDocument/2006/relationships/hyperlink" Target="https://energiavirasto.fi/toimitusvarmuus" TargetMode="External"/><Relationship Id="rId2649" Type="http://schemas.openxmlformats.org/officeDocument/2006/relationships/hyperlink" Target="https://sede.minetur.gob.es/en-US/datosabiertos/catalogo/registro-productores-electrica" TargetMode="External"/><Relationship Id="rId2856" Type="http://schemas.openxmlformats.org/officeDocument/2006/relationships/hyperlink" Target="https://www.gov.uk/government/statistics/electricity-chapter-5-digest-of-united-kingdom-energy-statistics-dukes" TargetMode="External"/><Relationship Id="rId3907" Type="http://schemas.openxmlformats.org/officeDocument/2006/relationships/hyperlink" Target="https://www.nve.no/energiforsyning/kraftproduksjon/vannkraft/vannkraftdatabase/" TargetMode="External"/><Relationship Id="rId97" Type="http://schemas.openxmlformats.org/officeDocument/2006/relationships/hyperlink" Target="https://www.tennet.org/english/operational_management/export_data.aspx" TargetMode="External"/><Relationship Id="rId8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8" Type="http://schemas.openxmlformats.org/officeDocument/2006/relationships/hyperlink" Target="https://energiavirasto.fi/toimitusvarmuus" TargetMode="External"/><Relationship Id="rId1665" Type="http://schemas.openxmlformats.org/officeDocument/2006/relationships/hyperlink" Target="https://energiavirasto.fi/toimitusvarmuus" TargetMode="External"/><Relationship Id="rId1872" Type="http://schemas.openxmlformats.org/officeDocument/2006/relationships/hyperlink" Target="https://sede.minetur.gob.es/en-US/datosabiertos/catalogo/registro-productores-electrica" TargetMode="External"/><Relationship Id="rId2509" Type="http://schemas.openxmlformats.org/officeDocument/2006/relationships/hyperlink" Target="https://sede.minetur.gob.es/en-US/datosabiertos/catalogo/registro-productores-electrica" TargetMode="External"/><Relationship Id="rId2716" Type="http://schemas.openxmlformats.org/officeDocument/2006/relationships/hyperlink" Target="https://sede.minetur.gob.es/en-US/datosabiertos/catalogo/registro-productores-electrica" TargetMode="External"/><Relationship Id="rId4071" Type="http://schemas.openxmlformats.org/officeDocument/2006/relationships/hyperlink" Target="https://www.nve.no/energiforsyning/kraftproduksjon/vannkraft/vannkraftdatabase/" TargetMode="External"/><Relationship Id="rId1318" Type="http://schemas.openxmlformats.org/officeDocument/2006/relationships/hyperlink" Target="http://www2018.terna.it/it-it/sistemaelettrico/transparencyreport/generation/installedgenerationcapacity.aspx" TargetMode="External"/><Relationship Id="rId1525" Type="http://schemas.openxmlformats.org/officeDocument/2006/relationships/hyperlink" Target="https://energiavirasto.fi/toimitusvarmuus" TargetMode="External"/><Relationship Id="rId2923" Type="http://schemas.openxmlformats.org/officeDocument/2006/relationships/hyperlink" Target="https://www.gov.uk/government/statistics/electricity-chapter-5-digest-of-united-kingdom-energy-statistics-dukes" TargetMode="External"/><Relationship Id="rId1732" Type="http://schemas.openxmlformats.org/officeDocument/2006/relationships/hyperlink" Target="https://sede.minetur.gob.es/en-US/datosabiertos/catalogo/registro-productores-electrica" TargetMode="External"/><Relationship Id="rId4888" Type="http://schemas.openxmlformats.org/officeDocument/2006/relationships/hyperlink" Target="https://www.sel.si/HE-vrhovo" TargetMode="External"/><Relationship Id="rId24" Type="http://schemas.openxmlformats.org/officeDocument/2006/relationships/hyperlink" Target="https://www.elia.be/en/grid-data/power-generation/generating-facilities" TargetMode="External"/><Relationship Id="rId2299" Type="http://schemas.openxmlformats.org/officeDocument/2006/relationships/hyperlink" Target="https://sede.minetur.gob.es/en-US/datosabiertos/catalogo/registro-productores-electrica" TargetMode="External"/><Relationship Id="rId3697" Type="http://schemas.openxmlformats.org/officeDocument/2006/relationships/hyperlink" Target="https://www.nve.no/energiforsyning/kraftproduksjon/vannkraft/vannkraftdatabase/" TargetMode="External"/><Relationship Id="rId4748" Type="http://schemas.openxmlformats.org/officeDocument/2006/relationships/hyperlink" Target="https://www.nve.no/energiforsyning/kraftproduksjon/vannkraft/vannkraftdatabase/" TargetMode="External"/><Relationship Id="rId4955" Type="http://schemas.openxmlformats.org/officeDocument/2006/relationships/hyperlink" Target="https://www.verbund.com/de-at/ueber-verbund/kraftwerke/unsere-kraftwerke" TargetMode="External"/><Relationship Id="rId3557" Type="http://schemas.openxmlformats.org/officeDocument/2006/relationships/hyperlink" Target="https://www.nve.no/energiforsyning/kraftproduksjon/vannkraft/vannkraftdatabase/" TargetMode="External"/><Relationship Id="rId3764" Type="http://schemas.openxmlformats.org/officeDocument/2006/relationships/hyperlink" Target="https://www.nve.no/energiforsyning/kraftproduksjon/vannkraft/vannkraftdatabase/" TargetMode="External"/><Relationship Id="rId3971" Type="http://schemas.openxmlformats.org/officeDocument/2006/relationships/hyperlink" Target="https://www.nve.no/energiforsyning/kraftproduksjon/vannkraft/vannkraftdatabase/" TargetMode="External"/><Relationship Id="rId4608" Type="http://schemas.openxmlformats.org/officeDocument/2006/relationships/hyperlink" Target="https://www.nve.no/energiforsyning/kraftproduksjon/vannkraft/vannkraftdatabase/" TargetMode="External"/><Relationship Id="rId4815" Type="http://schemas.openxmlformats.org/officeDocument/2006/relationships/hyperlink" Target="http://www.teb.si/en/production-units" TargetMode="External"/><Relationship Id="rId478" Type="http://schemas.openxmlformats.org/officeDocument/2006/relationships/hyperlink" Target="https://www.ceps.cz/cs/priprava-provozu" TargetMode="External"/><Relationship Id="rId6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9" Type="http://schemas.openxmlformats.org/officeDocument/2006/relationships/hyperlink" Target="https://sede.minetur.gob.es/en-US/datosabiertos/catalogo/registro-productores-electrica" TargetMode="External"/><Relationship Id="rId2366" Type="http://schemas.openxmlformats.org/officeDocument/2006/relationships/hyperlink" Target="https://sede.minetur.gob.es/en-US/datosabiertos/catalogo/registro-productores-electrica" TargetMode="External"/><Relationship Id="rId2573" Type="http://schemas.openxmlformats.org/officeDocument/2006/relationships/hyperlink" Target="https://sede.minetur.gob.es/en-US/datosabiertos/catalogo/registro-productores-electrica" TargetMode="External"/><Relationship Id="rId2780" Type="http://schemas.openxmlformats.org/officeDocument/2006/relationships/hyperlink" Target="https://sede.minetur.gob.es/en-US/datosabiertos/catalogo/registro-productores-electrica" TargetMode="External"/><Relationship Id="rId3417" Type="http://schemas.openxmlformats.org/officeDocument/2006/relationships/hyperlink" Target="https://www.nve.no/energiforsyning/kraftproduksjon/vannkraft/vannkraftdatabase/" TargetMode="External"/><Relationship Id="rId3624" Type="http://schemas.openxmlformats.org/officeDocument/2006/relationships/hyperlink" Target="https://www.nve.no/energiforsyning/kraftproduksjon/vannkraft/vannkraftdatabase/" TargetMode="External"/><Relationship Id="rId3831" Type="http://schemas.openxmlformats.org/officeDocument/2006/relationships/hyperlink" Target="https://www.nve.no/energiforsyning/kraftproduksjon/vannkraft/vannkraftdatabase/" TargetMode="External"/><Relationship Id="rId338" Type="http://schemas.openxmlformats.org/officeDocument/2006/relationships/hyperlink" Target="http://gpi.tge.pl/en/wykaz-jednostek" TargetMode="External"/><Relationship Id="rId545" Type="http://schemas.openxmlformats.org/officeDocument/2006/relationships/hyperlink" Target="https://www.ceps.cz/cs/priprava-provozu" TargetMode="External"/><Relationship Id="rId7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2" Type="http://schemas.openxmlformats.org/officeDocument/2006/relationships/hyperlink" Target="http://www2018.terna.it/it-it/sistemaelettrico/transparencyreport/generation/installedgenerationcapacity.aspx" TargetMode="External"/><Relationship Id="rId2019" Type="http://schemas.openxmlformats.org/officeDocument/2006/relationships/hyperlink" Target="https://sede.minetur.gob.es/en-US/datosabiertos/catalogo/registro-productores-electrica" TargetMode="External"/><Relationship Id="rId2226" Type="http://schemas.openxmlformats.org/officeDocument/2006/relationships/hyperlink" Target="https://sede.minetur.gob.es/en-US/datosabiertos/catalogo/registro-productores-electrica" TargetMode="External"/><Relationship Id="rId2433" Type="http://schemas.openxmlformats.org/officeDocument/2006/relationships/hyperlink" Target="https://sede.minetur.gob.es/en-US/datosabiertos/catalogo/registro-productores-electrica" TargetMode="External"/><Relationship Id="rId2640" Type="http://schemas.openxmlformats.org/officeDocument/2006/relationships/hyperlink" Target="https://sede.minetur.gob.es/en-US/datosabiertos/catalogo/registro-productores-electrica" TargetMode="External"/><Relationship Id="rId405" Type="http://schemas.openxmlformats.org/officeDocument/2006/relationships/hyperlink" Target="http://gpi.tge.pl/en/wykaz-jednostek" TargetMode="External"/><Relationship Id="rId6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2" Type="http://schemas.openxmlformats.org/officeDocument/2006/relationships/hyperlink" Target="http://www2018.terna.it/it-it/sistemaelettrico/transparencyreport/generation/installedgenerationcapacity.aspx" TargetMode="External"/><Relationship Id="rId2500" Type="http://schemas.openxmlformats.org/officeDocument/2006/relationships/hyperlink" Target="https://sede.minetur.gob.es/en-US/datosabiertos/catalogo/registro-productores-electrica" TargetMode="External"/><Relationship Id="rId4398" Type="http://schemas.openxmlformats.org/officeDocument/2006/relationships/hyperlink" Target="https://www.nve.no/energiforsyning/kraftproduksjon/vannkraft/vannkraftdatabase/" TargetMode="External"/><Relationship Id="rId11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58" Type="http://schemas.openxmlformats.org/officeDocument/2006/relationships/hyperlink" Target="https://www.nve.no/energiforsyning/kraftproduksjon/vannkraft/vannkraftdatabase/" TargetMode="External"/><Relationship Id="rId4465" Type="http://schemas.openxmlformats.org/officeDocument/2006/relationships/hyperlink" Target="https://www.nve.no/energiforsyning/kraftproduksjon/vannkraft/vannkraftdatabase/" TargetMode="External"/><Relationship Id="rId3067" Type="http://schemas.openxmlformats.org/officeDocument/2006/relationships/hyperlink" Target="https://www.gov.uk/government/statistics/electricity-chapter-5-digest-of-united-kingdom-energy-statistics-dukes" TargetMode="External"/><Relationship Id="rId3274" Type="http://schemas.openxmlformats.org/officeDocument/2006/relationships/hyperlink" Target="https://www.nve.no/energiforsyning/kraftproduksjon/vannkraft/vannkraftdatabase/" TargetMode="External"/><Relationship Id="rId4118" Type="http://schemas.openxmlformats.org/officeDocument/2006/relationships/hyperlink" Target="https://www.nve.no/energiforsyning/kraftproduksjon/vannkraft/vannkraftdatabase/" TargetMode="External"/><Relationship Id="rId4672" Type="http://schemas.openxmlformats.org/officeDocument/2006/relationships/hyperlink" Target="https://www.nve.no/energiforsyning/kraftproduksjon/vannkraft/vannkraftdatabase/" TargetMode="External"/><Relationship Id="rId195" Type="http://schemas.openxmlformats.org/officeDocument/2006/relationships/hyperlink" Target="https://www.services-rte.com/en/view-data-published-by-rte/production-installed-capacity.html" TargetMode="External"/><Relationship Id="rId1919" Type="http://schemas.openxmlformats.org/officeDocument/2006/relationships/hyperlink" Target="https://sede.minetur.gob.es/en-US/datosabiertos/catalogo/registro-productores-electrica" TargetMode="External"/><Relationship Id="rId3481" Type="http://schemas.openxmlformats.org/officeDocument/2006/relationships/hyperlink" Target="https://www.nve.no/energiforsyning/kraftproduksjon/vannkraft/vannkraftdatabase/" TargetMode="External"/><Relationship Id="rId4325" Type="http://schemas.openxmlformats.org/officeDocument/2006/relationships/hyperlink" Target="https://www.nve.no/energiforsyning/kraftproduksjon/vannkraft/vannkraftdatabase/" TargetMode="External"/><Relationship Id="rId4532" Type="http://schemas.openxmlformats.org/officeDocument/2006/relationships/hyperlink" Target="https://www.nve.no/energiforsyning/kraftproduksjon/vannkraft/vannkraftdatabase/" TargetMode="External"/><Relationship Id="rId2083" Type="http://schemas.openxmlformats.org/officeDocument/2006/relationships/hyperlink" Target="https://sede.minetur.gob.es/en-US/datosabiertos/catalogo/registro-productores-electrica" TargetMode="External"/><Relationship Id="rId2290" Type="http://schemas.openxmlformats.org/officeDocument/2006/relationships/hyperlink" Target="https://sede.minetur.gob.es/en-US/datosabiertos/catalogo/registro-productores-electrica" TargetMode="External"/><Relationship Id="rId3134" Type="http://schemas.openxmlformats.org/officeDocument/2006/relationships/hyperlink" Target="https://www.nve.no/energiforsyning/kraftproduksjon/vannkraft/vannkraftdatabase/" TargetMode="External"/><Relationship Id="rId3341" Type="http://schemas.openxmlformats.org/officeDocument/2006/relationships/hyperlink" Target="https://www.nve.no/energiforsyning/kraftproduksjon/vannkraft/vannkraftdatabase/" TargetMode="External"/><Relationship Id="rId262" Type="http://schemas.openxmlformats.org/officeDocument/2006/relationships/hyperlink" Target="https://www.services-rte.com/en/view-data-published-by-rte/production-installed-capacity.html" TargetMode="External"/><Relationship Id="rId2150" Type="http://schemas.openxmlformats.org/officeDocument/2006/relationships/hyperlink" Target="https://sede.minetur.gob.es/en-US/datosabiertos/catalogo/registro-productores-electrica" TargetMode="External"/><Relationship Id="rId3201" Type="http://schemas.openxmlformats.org/officeDocument/2006/relationships/hyperlink" Target="https://www.nve.no/energiforsyning/kraftproduksjon/vannkraft/vannkraftdatabase/" TargetMode="External"/><Relationship Id="rId122" Type="http://schemas.openxmlformats.org/officeDocument/2006/relationships/hyperlink" Target="https://www.tennet.org/english/operational_management/export_data.aspx" TargetMode="External"/><Relationship Id="rId2010" Type="http://schemas.openxmlformats.org/officeDocument/2006/relationships/hyperlink" Target="https://sede.minetur.gob.es/en-US/datosabiertos/catalogo/registro-productores-electrica" TargetMode="External"/><Relationship Id="rId1569" Type="http://schemas.openxmlformats.org/officeDocument/2006/relationships/hyperlink" Target="https://energiavirasto.fi/toimitusvarmuus" TargetMode="External"/><Relationship Id="rId2967" Type="http://schemas.openxmlformats.org/officeDocument/2006/relationships/hyperlink" Target="https://www.gov.uk/government/statistics/electricity-chapter-5-digest-of-united-kingdom-energy-statistics-dukes" TargetMode="External"/><Relationship Id="rId4182" Type="http://schemas.openxmlformats.org/officeDocument/2006/relationships/hyperlink" Target="https://www.nve.no/energiforsyning/kraftproduksjon/vannkraft/vannkraftdatabase/" TargetMode="External"/><Relationship Id="rId5026" Type="http://schemas.openxmlformats.org/officeDocument/2006/relationships/hyperlink" Target="https://www.gem.wiki/Fyns_power_station" TargetMode="External"/><Relationship Id="rId9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76" Type="http://schemas.openxmlformats.org/officeDocument/2006/relationships/hyperlink" Target="https://sede.minetur.gob.es/en-US/datosabiertos/catalogo/registro-productores-electrica" TargetMode="External"/><Relationship Id="rId1983" Type="http://schemas.openxmlformats.org/officeDocument/2006/relationships/hyperlink" Target="https://sede.minetur.gob.es/en-US/datosabiertos/catalogo/registro-productores-electrica" TargetMode="External"/><Relationship Id="rId2827" Type="http://schemas.openxmlformats.org/officeDocument/2006/relationships/hyperlink" Target="https://sede.minetur.gob.es/en-US/datosabiertos/catalogo/registro-productores-electrica" TargetMode="External"/><Relationship Id="rId4042" Type="http://schemas.openxmlformats.org/officeDocument/2006/relationships/hyperlink" Target="https://www.nve.no/energiforsyning/kraftproduksjon/vannkraft/vannkraftdatabase/" TargetMode="External"/><Relationship Id="rId68" Type="http://schemas.openxmlformats.org/officeDocument/2006/relationships/hyperlink" Target="https://www.elia.be/en/grid-data/power-generation/generating-facilities" TargetMode="External"/><Relationship Id="rId1429" Type="http://schemas.openxmlformats.org/officeDocument/2006/relationships/hyperlink" Target="https://energiavirasto.fi/toimitusvarmuus" TargetMode="External"/><Relationship Id="rId1636" Type="http://schemas.openxmlformats.org/officeDocument/2006/relationships/hyperlink" Target="https://energiavirasto.fi/toimitusvarmuus" TargetMode="External"/><Relationship Id="rId1843" Type="http://schemas.openxmlformats.org/officeDocument/2006/relationships/hyperlink" Target="https://sede.minetur.gob.es/en-US/datosabiertos/catalogo/registro-productores-electrica" TargetMode="External"/><Relationship Id="rId4999" Type="http://schemas.openxmlformats.org/officeDocument/2006/relationships/hyperlink" Target="https://www.verbund.com/de-at/ueber-verbund/kraftwerke/unsere-kraftwerke" TargetMode="External"/><Relationship Id="rId1703" Type="http://schemas.openxmlformats.org/officeDocument/2006/relationships/hyperlink" Target="https://sede.minetur.gob.es/en-US/datosabiertos/catalogo/registro-productores-electrica" TargetMode="External"/><Relationship Id="rId1910" Type="http://schemas.openxmlformats.org/officeDocument/2006/relationships/hyperlink" Target="https://sede.minetur.gob.es/en-US/datosabiertos/catalogo/registro-productores-electrica" TargetMode="External"/><Relationship Id="rId4859" Type="http://schemas.openxmlformats.org/officeDocument/2006/relationships/hyperlink" Target="http://www.dem.si/en-gb/Power-plants-and-generation/General-data" TargetMode="External"/><Relationship Id="rId3668" Type="http://schemas.openxmlformats.org/officeDocument/2006/relationships/hyperlink" Target="https://www.nve.no/energiforsyning/kraftproduksjon/vannkraft/vannkraftdatabase/" TargetMode="External"/><Relationship Id="rId3875" Type="http://schemas.openxmlformats.org/officeDocument/2006/relationships/hyperlink" Target="https://www.nve.no/energiforsyning/kraftproduksjon/vannkraft/vannkraftdatabase/" TargetMode="External"/><Relationship Id="rId4719" Type="http://schemas.openxmlformats.org/officeDocument/2006/relationships/hyperlink" Target="https://www.nve.no/energiforsyning/kraftproduksjon/vannkraft/vannkraftdatabase/" TargetMode="External"/><Relationship Id="rId4926" Type="http://schemas.openxmlformats.org/officeDocument/2006/relationships/hyperlink" Target="https://www.verbund.com/de-at/ueber-verbund/kraftwerke/unsere-kraftwerke" TargetMode="External"/><Relationship Id="rId5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77" Type="http://schemas.openxmlformats.org/officeDocument/2006/relationships/hyperlink" Target="https://sede.minetur.gob.es/en-US/datosabiertos/catalogo/registro-productores-electrica" TargetMode="External"/><Relationship Id="rId2684" Type="http://schemas.openxmlformats.org/officeDocument/2006/relationships/hyperlink" Target="https://sede.minetur.gob.es/en-US/datosabiertos/catalogo/registro-productores-electrica" TargetMode="External"/><Relationship Id="rId3528" Type="http://schemas.openxmlformats.org/officeDocument/2006/relationships/hyperlink" Target="https://www.nve.no/energiforsyning/kraftproduksjon/vannkraft/vannkraftdatabase/" TargetMode="External"/><Relationship Id="rId3735" Type="http://schemas.openxmlformats.org/officeDocument/2006/relationships/hyperlink" Target="https://www.nve.no/energiforsyning/kraftproduksjon/vannkraft/vannkraftdatabase/" TargetMode="External"/><Relationship Id="rId449" Type="http://schemas.openxmlformats.org/officeDocument/2006/relationships/hyperlink" Target="https://www.ceps.cz/cs/priprava-provozu" TargetMode="External"/><Relationship Id="rId6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6" Type="http://schemas.openxmlformats.org/officeDocument/2006/relationships/hyperlink" Target="http://www2018.terna.it/it-it/sistemaelettrico/transparencyreport/generation/installedgenerationcapacity.aspx" TargetMode="External"/><Relationship Id="rId1493" Type="http://schemas.openxmlformats.org/officeDocument/2006/relationships/hyperlink" Target="https://energiavirasto.fi/toimitusvarmuus" TargetMode="External"/><Relationship Id="rId2337" Type="http://schemas.openxmlformats.org/officeDocument/2006/relationships/hyperlink" Target="https://sede.minetur.gob.es/en-US/datosabiertos/catalogo/registro-productores-electrica" TargetMode="External"/><Relationship Id="rId2544" Type="http://schemas.openxmlformats.org/officeDocument/2006/relationships/hyperlink" Target="https://sede.minetur.gob.es/en-US/datosabiertos/catalogo/registro-productores-electrica" TargetMode="External"/><Relationship Id="rId2891" Type="http://schemas.openxmlformats.org/officeDocument/2006/relationships/hyperlink" Target="https://www.gov.uk/government/statistics/electricity-chapter-5-digest-of-united-kingdom-energy-statistics-dukes" TargetMode="External"/><Relationship Id="rId3942" Type="http://schemas.openxmlformats.org/officeDocument/2006/relationships/hyperlink" Target="https://www.nve.no/energiforsyning/kraftproduksjon/vannkraft/vannkraftdatabase/" TargetMode="External"/><Relationship Id="rId309" Type="http://schemas.openxmlformats.org/officeDocument/2006/relationships/hyperlink" Target="https://www.services-rte.com/en/view-data-published-by-rte/production-installed-capacity.html" TargetMode="External"/><Relationship Id="rId516" Type="http://schemas.openxmlformats.org/officeDocument/2006/relationships/hyperlink" Target="https://www.ceps.cz/cs/priprava-provozu" TargetMode="External"/><Relationship Id="rId11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751" Type="http://schemas.openxmlformats.org/officeDocument/2006/relationships/hyperlink" Target="https://sede.minetur.gob.es/en-US/datosabiertos/catalogo/registro-productores-electrica" TargetMode="External"/><Relationship Id="rId3802" Type="http://schemas.openxmlformats.org/officeDocument/2006/relationships/hyperlink" Target="https://www.nve.no/energiforsyning/kraftproduksjon/vannkraft/vannkraftdatabase/" TargetMode="External"/><Relationship Id="rId7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3" Type="http://schemas.openxmlformats.org/officeDocument/2006/relationships/hyperlink" Target="http://www2018.terna.it/it-it/sistemaelettrico/transparencyreport/generation/installedgenerationcapacity.aspx" TargetMode="External"/><Relationship Id="rId1560" Type="http://schemas.openxmlformats.org/officeDocument/2006/relationships/hyperlink" Target="https://energiavirasto.fi/toimitusvarmuus" TargetMode="External"/><Relationship Id="rId2404" Type="http://schemas.openxmlformats.org/officeDocument/2006/relationships/hyperlink" Target="https://sede.minetur.gob.es/en-US/datosabiertos/catalogo/registro-productores-electrica" TargetMode="External"/><Relationship Id="rId2611" Type="http://schemas.openxmlformats.org/officeDocument/2006/relationships/hyperlink" Target="https://sede.minetur.gob.es/en-US/datosabiertos/catalogo/registro-productores-electrica" TargetMode="External"/><Relationship Id="rId12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20" Type="http://schemas.openxmlformats.org/officeDocument/2006/relationships/hyperlink" Target="https://energiavirasto.fi/toimitusvarmuus" TargetMode="External"/><Relationship Id="rId4369" Type="http://schemas.openxmlformats.org/officeDocument/2006/relationships/hyperlink" Target="https://www.nve.no/energiforsyning/kraftproduksjon/vannkraft/vannkraftdatabase/" TargetMode="External"/><Relationship Id="rId4576" Type="http://schemas.openxmlformats.org/officeDocument/2006/relationships/hyperlink" Target="https://www.nve.no/energiforsyning/kraftproduksjon/vannkraft/vannkraftdatabase/" TargetMode="External"/><Relationship Id="rId4783" Type="http://schemas.openxmlformats.org/officeDocument/2006/relationships/hyperlink" Target="https://www.nve.no/media/8967/termiske-kraftverk-i-norge-2019.xlsx" TargetMode="External"/><Relationship Id="rId4990" Type="http://schemas.openxmlformats.org/officeDocument/2006/relationships/hyperlink" Target="https://www.verbund.com/de-at/ueber-verbund/kraftwerke/unsere-kraftwerke" TargetMode="External"/><Relationship Id="rId3178" Type="http://schemas.openxmlformats.org/officeDocument/2006/relationships/hyperlink" Target="https://www.nve.no/energiforsyning/kraftproduksjon/vannkraft/vannkraftdatabase/" TargetMode="External"/><Relationship Id="rId3385" Type="http://schemas.openxmlformats.org/officeDocument/2006/relationships/hyperlink" Target="https://www.nve.no/energiforsyning/kraftproduksjon/vannkraft/vannkraftdatabase/" TargetMode="External"/><Relationship Id="rId3592" Type="http://schemas.openxmlformats.org/officeDocument/2006/relationships/hyperlink" Target="https://www.nve.no/energiforsyning/kraftproduksjon/vannkraft/vannkraftdatabase/" TargetMode="External"/><Relationship Id="rId4229" Type="http://schemas.openxmlformats.org/officeDocument/2006/relationships/hyperlink" Target="https://www.nve.no/energiforsyning/kraftproduksjon/vannkraft/vannkraftdatabase/" TargetMode="External"/><Relationship Id="rId4436" Type="http://schemas.openxmlformats.org/officeDocument/2006/relationships/hyperlink" Target="https://www.nve.no/energiforsyning/kraftproduksjon/vannkraft/vannkraftdatabase/" TargetMode="External"/><Relationship Id="rId4643" Type="http://schemas.openxmlformats.org/officeDocument/2006/relationships/hyperlink" Target="https://www.nve.no/energiforsyning/kraftproduksjon/vannkraft/vannkraftdatabase/" TargetMode="External"/><Relationship Id="rId4850" Type="http://schemas.openxmlformats.org/officeDocument/2006/relationships/hyperlink" Target="https://www.seng.si/en/hydropower-plants/small-hydropower-plants/" TargetMode="External"/><Relationship Id="rId2194" Type="http://schemas.openxmlformats.org/officeDocument/2006/relationships/hyperlink" Target="https://sede.minetur.gob.es/en-US/datosabiertos/catalogo/registro-productores-electrica" TargetMode="External"/><Relationship Id="rId3038" Type="http://schemas.openxmlformats.org/officeDocument/2006/relationships/hyperlink" Target="https://www.gov.uk/government/statistics/electricity-chapter-5-digest-of-united-kingdom-energy-statistics-dukes" TargetMode="External"/><Relationship Id="rId3245" Type="http://schemas.openxmlformats.org/officeDocument/2006/relationships/hyperlink" Target="https://www.nve.no/energiforsyning/kraftproduksjon/vannkraft/vannkraftdatabase/" TargetMode="External"/><Relationship Id="rId3452" Type="http://schemas.openxmlformats.org/officeDocument/2006/relationships/hyperlink" Target="https://www.nve.no/energiforsyning/kraftproduksjon/vannkraft/vannkraftdatabase/" TargetMode="External"/><Relationship Id="rId4503" Type="http://schemas.openxmlformats.org/officeDocument/2006/relationships/hyperlink" Target="https://www.nve.no/energiforsyning/kraftproduksjon/vannkraft/vannkraftdatabase/" TargetMode="External"/><Relationship Id="rId4710" Type="http://schemas.openxmlformats.org/officeDocument/2006/relationships/hyperlink" Target="https://www.nve.no/energiforsyning/kraftproduksjon/vannkraft/vannkraftdatabase/" TargetMode="External"/><Relationship Id="rId166" Type="http://schemas.openxmlformats.org/officeDocument/2006/relationships/hyperlink" Target="https://www.services-rte.com/en/view-data-published-by-rte/production-installed-capacity.html" TargetMode="External"/><Relationship Id="rId373" Type="http://schemas.openxmlformats.org/officeDocument/2006/relationships/hyperlink" Target="http://gpi.tge.pl/en/wykaz-jednostek" TargetMode="External"/><Relationship Id="rId5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4" Type="http://schemas.openxmlformats.org/officeDocument/2006/relationships/hyperlink" Target="https://sede.minetur.gob.es/en-US/datosabiertos/catalogo/registro-productores-electrica" TargetMode="External"/><Relationship Id="rId2261" Type="http://schemas.openxmlformats.org/officeDocument/2006/relationships/hyperlink" Target="https://sede.minetur.gob.es/en-US/datosabiertos/catalogo/registro-productores-electrica" TargetMode="External"/><Relationship Id="rId3105" Type="http://schemas.openxmlformats.org/officeDocument/2006/relationships/hyperlink" Target="https://www.nve.no/energiforsyning/kraftproduksjon/vannkraft/vannkraftdatabase/" TargetMode="External"/><Relationship Id="rId3312" Type="http://schemas.openxmlformats.org/officeDocument/2006/relationships/hyperlink" Target="https://www.nve.no/energiforsyning/kraftproduksjon/vannkraft/vannkraftdatabase/" TargetMode="External"/><Relationship Id="rId233" Type="http://schemas.openxmlformats.org/officeDocument/2006/relationships/hyperlink" Target="https://www.services-rte.com/en/view-data-published-by-rte/production-installed-capacity.html" TargetMode="External"/><Relationship Id="rId440" Type="http://schemas.openxmlformats.org/officeDocument/2006/relationships/hyperlink" Target="https://www.ceps.cz/cs/priprava-provozu" TargetMode="External"/><Relationship Id="rId10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1" Type="http://schemas.openxmlformats.org/officeDocument/2006/relationships/hyperlink" Target="https://sede.minetur.gob.es/en-US/datosabiertos/catalogo/registro-productores-electrica" TargetMode="External"/><Relationship Id="rId300" Type="http://schemas.openxmlformats.org/officeDocument/2006/relationships/hyperlink" Target="https://www.services-rte.com/en/view-data-published-by-rte/production-installed-capacity.html" TargetMode="External"/><Relationship Id="rId4086" Type="http://schemas.openxmlformats.org/officeDocument/2006/relationships/hyperlink" Target="https://www.nve.no/energiforsyning/kraftproduksjon/vannkraft/vannkraftdatabase/" TargetMode="External"/><Relationship Id="rId1887" Type="http://schemas.openxmlformats.org/officeDocument/2006/relationships/hyperlink" Target="https://sede.minetur.gob.es/en-US/datosabiertos/catalogo/registro-productores-electrica" TargetMode="External"/><Relationship Id="rId2938" Type="http://schemas.openxmlformats.org/officeDocument/2006/relationships/hyperlink" Target="https://www.gov.uk/government/statistics/electricity-chapter-5-digest-of-united-kingdom-energy-statistics-dukes" TargetMode="External"/><Relationship Id="rId4293" Type="http://schemas.openxmlformats.org/officeDocument/2006/relationships/hyperlink" Target="https://www.nve.no/energiforsyning/kraftproduksjon/vannkraft/vannkraftdatabase/" TargetMode="External"/><Relationship Id="rId1747" Type="http://schemas.openxmlformats.org/officeDocument/2006/relationships/hyperlink" Target="https://sede.minetur.gob.es/en-US/datosabiertos/catalogo/registro-productores-electrica" TargetMode="External"/><Relationship Id="rId1954" Type="http://schemas.openxmlformats.org/officeDocument/2006/relationships/hyperlink" Target="https://sede.minetur.gob.es/en-US/datosabiertos/catalogo/registro-productores-electrica" TargetMode="External"/><Relationship Id="rId4153" Type="http://schemas.openxmlformats.org/officeDocument/2006/relationships/hyperlink" Target="https://www.nve.no/energiforsyning/kraftproduksjon/vannkraft/vannkraftdatabase/" TargetMode="External"/><Relationship Id="rId4360" Type="http://schemas.openxmlformats.org/officeDocument/2006/relationships/hyperlink" Target="https://www.nve.no/energiforsyning/kraftproduksjon/vannkraft/vannkraftdatabase/" TargetMode="External"/><Relationship Id="rId39" Type="http://schemas.openxmlformats.org/officeDocument/2006/relationships/hyperlink" Target="https://www.elia.be/en/grid-data/power-generation/generating-facilities" TargetMode="External"/><Relationship Id="rId1607" Type="http://schemas.openxmlformats.org/officeDocument/2006/relationships/hyperlink" Target="https://energiavirasto.fi/toimitusvarmuus" TargetMode="External"/><Relationship Id="rId1814" Type="http://schemas.openxmlformats.org/officeDocument/2006/relationships/hyperlink" Target="https://sede.minetur.gob.es/en-US/datosabiertos/catalogo/registro-productores-electrica" TargetMode="External"/><Relationship Id="rId4013" Type="http://schemas.openxmlformats.org/officeDocument/2006/relationships/hyperlink" Target="https://www.nve.no/energiforsyning/kraftproduksjon/vannkraft/vannkraftdatabase/" TargetMode="External"/><Relationship Id="rId4220" Type="http://schemas.openxmlformats.org/officeDocument/2006/relationships/hyperlink" Target="https://www.nve.no/energiforsyning/kraftproduksjon/vannkraft/vannkraftdatabase/" TargetMode="External"/><Relationship Id="rId3779" Type="http://schemas.openxmlformats.org/officeDocument/2006/relationships/hyperlink" Target="https://www.nve.no/energiforsyning/kraftproduksjon/vannkraft/vannkraftdatabase/" TargetMode="External"/><Relationship Id="rId2588" Type="http://schemas.openxmlformats.org/officeDocument/2006/relationships/hyperlink" Target="https://sede.minetur.gob.es/en-US/datosabiertos/catalogo/registro-productores-electrica" TargetMode="External"/><Relationship Id="rId3986" Type="http://schemas.openxmlformats.org/officeDocument/2006/relationships/hyperlink" Target="https://www.nve.no/energiforsyning/kraftproduksjon/vannkraft/vannkraftdatabase/" TargetMode="External"/><Relationship Id="rId1397" Type="http://schemas.openxmlformats.org/officeDocument/2006/relationships/hyperlink" Target="https://energiavirasto.fi/toimitusvarmuus" TargetMode="External"/><Relationship Id="rId2795" Type="http://schemas.openxmlformats.org/officeDocument/2006/relationships/hyperlink" Target="https://sede.minetur.gob.es/en-US/datosabiertos/catalogo/registro-productores-electrica" TargetMode="External"/><Relationship Id="rId3639" Type="http://schemas.openxmlformats.org/officeDocument/2006/relationships/hyperlink" Target="https://www.nve.no/energiforsyning/kraftproduksjon/vannkraft/vannkraftdatabase/" TargetMode="External"/><Relationship Id="rId3846" Type="http://schemas.openxmlformats.org/officeDocument/2006/relationships/hyperlink" Target="https://www.nve.no/energiforsyning/kraftproduksjon/vannkraft/vannkraftdatabase/" TargetMode="External"/><Relationship Id="rId7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48" Type="http://schemas.openxmlformats.org/officeDocument/2006/relationships/hyperlink" Target="https://sede.minetur.gob.es/en-US/datosabiertos/catalogo/registro-productores-electrica" TargetMode="External"/><Relationship Id="rId2655" Type="http://schemas.openxmlformats.org/officeDocument/2006/relationships/hyperlink" Target="https://sede.minetur.gob.es/en-US/datosabiertos/catalogo/registro-productores-electrica" TargetMode="External"/><Relationship Id="rId2862" Type="http://schemas.openxmlformats.org/officeDocument/2006/relationships/hyperlink" Target="https://www.gov.uk/government/statistics/electricity-chapter-5-digest-of-united-kingdom-energy-statistics-dukes" TargetMode="External"/><Relationship Id="rId3706" Type="http://schemas.openxmlformats.org/officeDocument/2006/relationships/hyperlink" Target="https://www.nve.no/energiforsyning/kraftproduksjon/vannkraft/vannkraftdatabase/" TargetMode="External"/><Relationship Id="rId3913" Type="http://schemas.openxmlformats.org/officeDocument/2006/relationships/hyperlink" Target="https://www.nve.no/energiforsyning/kraftproduksjon/vannkraft/vannkraftdatabase/" TargetMode="External"/><Relationship Id="rId6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7" Type="http://schemas.openxmlformats.org/officeDocument/2006/relationships/hyperlink" Target="http://www2018.terna.it/it-it/sistemaelettrico/transparencyreport/generation/installedgenerationcapacity.aspx" TargetMode="External"/><Relationship Id="rId1464" Type="http://schemas.openxmlformats.org/officeDocument/2006/relationships/hyperlink" Target="https://energiavirasto.fi/toimitusvarmuus" TargetMode="External"/><Relationship Id="rId1671" Type="http://schemas.openxmlformats.org/officeDocument/2006/relationships/hyperlink" Target="https://energiavirasto.fi/toimitusvarmuus" TargetMode="External"/><Relationship Id="rId2308" Type="http://schemas.openxmlformats.org/officeDocument/2006/relationships/hyperlink" Target="https://sede.minetur.gob.es/en-US/datosabiertos/catalogo/registro-productores-electrica" TargetMode="External"/><Relationship Id="rId2515" Type="http://schemas.openxmlformats.org/officeDocument/2006/relationships/hyperlink" Target="https://sede.minetur.gob.es/en-US/datosabiertos/catalogo/registro-productores-electrica" TargetMode="External"/><Relationship Id="rId2722" Type="http://schemas.openxmlformats.org/officeDocument/2006/relationships/hyperlink" Target="https://sede.minetur.gob.es/en-US/datosabiertos/catalogo/registro-productores-electrica" TargetMode="External"/><Relationship Id="rId9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4" Type="http://schemas.openxmlformats.org/officeDocument/2006/relationships/hyperlink" Target="http://www2018.terna.it/it-it/sistemaelettrico/transparencyreport/generation/installedgenerationcapacity.aspx" TargetMode="External"/><Relationship Id="rId1531" Type="http://schemas.openxmlformats.org/officeDocument/2006/relationships/hyperlink" Target="https://energiavirasto.fi/toimitusvarmuus" TargetMode="External"/><Relationship Id="rId4687" Type="http://schemas.openxmlformats.org/officeDocument/2006/relationships/hyperlink" Target="https://www.nve.no/energiforsyning/kraftproduksjon/vannkraft/vannkraftdatabase/" TargetMode="External"/><Relationship Id="rId4894" Type="http://schemas.openxmlformats.org/officeDocument/2006/relationships/hyperlink" Target="http://www.dem.si/en-gb/Power-plants-and-generation/General-data" TargetMode="External"/><Relationship Id="rId30" Type="http://schemas.openxmlformats.org/officeDocument/2006/relationships/hyperlink" Target="https://www.elia.be/en/grid-data/power-generation/generating-facilities" TargetMode="External"/><Relationship Id="rId3289" Type="http://schemas.openxmlformats.org/officeDocument/2006/relationships/hyperlink" Target="https://www.nve.no/energiforsyning/kraftproduksjon/vannkraft/vannkraftdatabase/" TargetMode="External"/><Relationship Id="rId3496" Type="http://schemas.openxmlformats.org/officeDocument/2006/relationships/hyperlink" Target="https://www.nve.no/energiforsyning/kraftproduksjon/vannkraft/vannkraftdatabase/" TargetMode="External"/><Relationship Id="rId4547" Type="http://schemas.openxmlformats.org/officeDocument/2006/relationships/hyperlink" Target="https://www.nve.no/energiforsyning/kraftproduksjon/vannkraft/vannkraftdatabase/" TargetMode="External"/><Relationship Id="rId4754" Type="http://schemas.openxmlformats.org/officeDocument/2006/relationships/hyperlink" Target="https://www.nve.no/energiforsyning/kraftproduksjon/vannkraft/vannkraftdatabase/" TargetMode="External"/><Relationship Id="rId2098" Type="http://schemas.openxmlformats.org/officeDocument/2006/relationships/hyperlink" Target="https://sede.minetur.gob.es/en-US/datosabiertos/catalogo/registro-productores-electrica" TargetMode="External"/><Relationship Id="rId3149" Type="http://schemas.openxmlformats.org/officeDocument/2006/relationships/hyperlink" Target="https://www.nve.no/energiforsyning/kraftproduksjon/vannkraft/vannkraftdatabase/" TargetMode="External"/><Relationship Id="rId3356" Type="http://schemas.openxmlformats.org/officeDocument/2006/relationships/hyperlink" Target="https://www.nve.no/energiforsyning/kraftproduksjon/vannkraft/vannkraftdatabase/" TargetMode="External"/><Relationship Id="rId3563" Type="http://schemas.openxmlformats.org/officeDocument/2006/relationships/hyperlink" Target="https://www.nve.no/energiforsyning/kraftproduksjon/vannkraft/vannkraftdatabase/" TargetMode="External"/><Relationship Id="rId4407" Type="http://schemas.openxmlformats.org/officeDocument/2006/relationships/hyperlink" Target="https://www.nve.no/energiforsyning/kraftproduksjon/vannkraft/vannkraftdatabase/" TargetMode="External"/><Relationship Id="rId4961" Type="http://schemas.openxmlformats.org/officeDocument/2006/relationships/hyperlink" Target="https://www.verbund.com/de-at/ueber-verbund/kraftwerke/unsere-kraftwerke" TargetMode="External"/><Relationship Id="rId277" Type="http://schemas.openxmlformats.org/officeDocument/2006/relationships/hyperlink" Target="https://www.services-rte.com/en/view-data-published-by-rte/production-installed-capacity.html" TargetMode="External"/><Relationship Id="rId484" Type="http://schemas.openxmlformats.org/officeDocument/2006/relationships/hyperlink" Target="https://www.ceps.cz/cs/priprava-provozu" TargetMode="External"/><Relationship Id="rId2165" Type="http://schemas.openxmlformats.org/officeDocument/2006/relationships/hyperlink" Target="https://sede.minetur.gob.es/en-US/datosabiertos/catalogo/registro-productores-electrica" TargetMode="External"/><Relationship Id="rId3009" Type="http://schemas.openxmlformats.org/officeDocument/2006/relationships/hyperlink" Target="https://www.gov.uk/government/statistics/electricity-chapter-5-digest-of-united-kingdom-energy-statistics-dukes" TargetMode="External"/><Relationship Id="rId3216" Type="http://schemas.openxmlformats.org/officeDocument/2006/relationships/hyperlink" Target="https://www.nve.no/energiforsyning/kraftproduksjon/vannkraft/vannkraftdatabase/" TargetMode="External"/><Relationship Id="rId3770" Type="http://schemas.openxmlformats.org/officeDocument/2006/relationships/hyperlink" Target="https://www.nve.no/energiforsyning/kraftproduksjon/vannkraft/vannkraftdatabase/" TargetMode="External"/><Relationship Id="rId4614" Type="http://schemas.openxmlformats.org/officeDocument/2006/relationships/hyperlink" Target="https://www.nve.no/energiforsyning/kraftproduksjon/vannkraft/vannkraftdatabase/" TargetMode="External"/><Relationship Id="rId4821" Type="http://schemas.openxmlformats.org/officeDocument/2006/relationships/hyperlink" Target="http://www.he-ss.si/eng/he-brezice-general-info.html" TargetMode="External"/><Relationship Id="rId137" Type="http://schemas.openxmlformats.org/officeDocument/2006/relationships/hyperlink" Target="https://www.tennet.org/english/operational_management/export_data.aspx" TargetMode="External"/><Relationship Id="rId344" Type="http://schemas.openxmlformats.org/officeDocument/2006/relationships/hyperlink" Target="http://gpi.tge.pl/en/wykaz-jednostek" TargetMode="External"/><Relationship Id="rId6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25" Type="http://schemas.openxmlformats.org/officeDocument/2006/relationships/hyperlink" Target="https://sede.minetur.gob.es/en-US/datosabiertos/catalogo/registro-productores-electrica" TargetMode="External"/><Relationship Id="rId2372" Type="http://schemas.openxmlformats.org/officeDocument/2006/relationships/hyperlink" Target="https://sede.minetur.gob.es/en-US/datosabiertos/catalogo/registro-productores-electrica" TargetMode="External"/><Relationship Id="rId3423" Type="http://schemas.openxmlformats.org/officeDocument/2006/relationships/hyperlink" Target="https://www.nve.no/energiforsyning/kraftproduksjon/vannkraft/vannkraftdatabase/" TargetMode="External"/><Relationship Id="rId3630" Type="http://schemas.openxmlformats.org/officeDocument/2006/relationships/hyperlink" Target="https://www.nve.no/energiforsyning/kraftproduksjon/vannkraft/vannkraftdatabase/" TargetMode="External"/><Relationship Id="rId551" Type="http://schemas.openxmlformats.org/officeDocument/2006/relationships/hyperlink" Target="https://www.ceps.cz/cs/priprava-provozu" TargetMode="External"/><Relationship Id="rId11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32" Type="http://schemas.openxmlformats.org/officeDocument/2006/relationships/hyperlink" Target="https://sede.minetur.gob.es/en-US/datosabiertos/catalogo/registro-productores-electrica" TargetMode="External"/><Relationship Id="rId204" Type="http://schemas.openxmlformats.org/officeDocument/2006/relationships/hyperlink" Target="https://www.services-rte.com/en/view-data-published-by-rte/production-installed-capacity.html" TargetMode="External"/><Relationship Id="rId411" Type="http://schemas.openxmlformats.org/officeDocument/2006/relationships/hyperlink" Target="http://gpi.tge.pl/en/wykaz-jednostek" TargetMode="External"/><Relationship Id="rId10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98" Type="http://schemas.openxmlformats.org/officeDocument/2006/relationships/hyperlink" Target="https://sede.minetur.gob.es/en-US/datosabiertos/catalogo/registro-productores-electrica" TargetMode="External"/><Relationship Id="rId4197" Type="http://schemas.openxmlformats.org/officeDocument/2006/relationships/hyperlink" Target="https://www.nve.no/energiforsyning/kraftproduksjon/vannkraft/vannkraftdatabase/" TargetMode="External"/><Relationship Id="rId1858" Type="http://schemas.openxmlformats.org/officeDocument/2006/relationships/hyperlink" Target="https://sede.minetur.gob.es/en-US/datosabiertos/catalogo/registro-productores-electrica" TargetMode="External"/><Relationship Id="rId4057" Type="http://schemas.openxmlformats.org/officeDocument/2006/relationships/hyperlink" Target="https://www.nve.no/energiforsyning/kraftproduksjon/vannkraft/vannkraftdatabase/" TargetMode="External"/><Relationship Id="rId4264" Type="http://schemas.openxmlformats.org/officeDocument/2006/relationships/hyperlink" Target="https://www.nve.no/energiforsyning/kraftproduksjon/vannkraft/vannkraftdatabase/" TargetMode="External"/><Relationship Id="rId4471" Type="http://schemas.openxmlformats.org/officeDocument/2006/relationships/hyperlink" Target="https://www.nve.no/energiforsyning/kraftproduksjon/vannkraft/vannkraftdatabase/" TargetMode="External"/><Relationship Id="rId2909" Type="http://schemas.openxmlformats.org/officeDocument/2006/relationships/hyperlink" Target="https://www.gov.uk/government/statistics/electricity-chapter-5-digest-of-united-kingdom-energy-statistics-dukes" TargetMode="External"/><Relationship Id="rId3073" Type="http://schemas.openxmlformats.org/officeDocument/2006/relationships/hyperlink" Target="https://www.gov.uk/government/statistics/electricity-chapter-5-digest-of-united-kingdom-energy-statistics-dukes" TargetMode="External"/><Relationship Id="rId3280" Type="http://schemas.openxmlformats.org/officeDocument/2006/relationships/hyperlink" Target="https://www.nve.no/energiforsyning/kraftproduksjon/vannkraft/vannkraftdatabase/" TargetMode="External"/><Relationship Id="rId4124" Type="http://schemas.openxmlformats.org/officeDocument/2006/relationships/hyperlink" Target="https://www.nve.no/energiforsyning/kraftproduksjon/vannkraft/vannkraftdatabase/" TargetMode="External"/><Relationship Id="rId4331" Type="http://schemas.openxmlformats.org/officeDocument/2006/relationships/hyperlink" Target="https://www.nve.no/energiforsyning/kraftproduksjon/vannkraft/vannkraftdatabase/" TargetMode="External"/><Relationship Id="rId1718" Type="http://schemas.openxmlformats.org/officeDocument/2006/relationships/hyperlink" Target="https://sede.minetur.gob.es/en-US/datosabiertos/catalogo/registro-productores-electrica" TargetMode="External"/><Relationship Id="rId1925" Type="http://schemas.openxmlformats.org/officeDocument/2006/relationships/hyperlink" Target="https://sede.minetur.gob.es/en-US/datosabiertos/catalogo/registro-productores-electrica" TargetMode="External"/><Relationship Id="rId3140" Type="http://schemas.openxmlformats.org/officeDocument/2006/relationships/hyperlink" Target="https://www.nve.no/energiforsyning/kraftproduksjon/vannkraft/vannkraftdatabase/" TargetMode="External"/><Relationship Id="rId2699" Type="http://schemas.openxmlformats.org/officeDocument/2006/relationships/hyperlink" Target="https://sede.minetur.gob.es/en-US/datosabiertos/catalogo/registro-productores-electrica" TargetMode="External"/><Relationship Id="rId3000" Type="http://schemas.openxmlformats.org/officeDocument/2006/relationships/hyperlink" Target="https://www.gov.uk/government/statistics/electricity-chapter-5-digest-of-united-kingdom-energy-statistics-dukes" TargetMode="External"/><Relationship Id="rId3957" Type="http://schemas.openxmlformats.org/officeDocument/2006/relationships/hyperlink" Target="https://www.nve.no/energiforsyning/kraftproduksjon/vannkraft/vannkraftdatabase/" TargetMode="External"/><Relationship Id="rId8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59" Type="http://schemas.openxmlformats.org/officeDocument/2006/relationships/hyperlink" Target="https://sede.minetur.gob.es/en-US/datosabiertos/catalogo/registro-productores-electrica" TargetMode="External"/><Relationship Id="rId2766" Type="http://schemas.openxmlformats.org/officeDocument/2006/relationships/hyperlink" Target="https://sede.minetur.gob.es/en-US/datosabiertos/catalogo/registro-productores-electrica" TargetMode="External"/><Relationship Id="rId2973" Type="http://schemas.openxmlformats.org/officeDocument/2006/relationships/hyperlink" Target="https://www.gov.uk/government/statistics/electricity-chapter-5-digest-of-united-kingdom-energy-statistics-dukes" TargetMode="External"/><Relationship Id="rId3817" Type="http://schemas.openxmlformats.org/officeDocument/2006/relationships/hyperlink" Target="https://www.nve.no/energiforsyning/kraftproduksjon/vannkraft/vannkraftdatabase/" TargetMode="External"/><Relationship Id="rId7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8" Type="http://schemas.openxmlformats.org/officeDocument/2006/relationships/hyperlink" Target="http://www2018.terna.it/it-it/sistemaelettrico/transparencyreport/generation/installedgenerationcapacity.aspx" TargetMode="External"/><Relationship Id="rId1575" Type="http://schemas.openxmlformats.org/officeDocument/2006/relationships/hyperlink" Target="https://energiavirasto.fi/toimitusvarmuus" TargetMode="External"/><Relationship Id="rId1782" Type="http://schemas.openxmlformats.org/officeDocument/2006/relationships/hyperlink" Target="https://sede.minetur.gob.es/en-US/datosabiertos/catalogo/registro-productores-electrica" TargetMode="External"/><Relationship Id="rId2419" Type="http://schemas.openxmlformats.org/officeDocument/2006/relationships/hyperlink" Target="https://sede.minetur.gob.es/en-US/datosabiertos/catalogo/registro-productores-electrica" TargetMode="External"/><Relationship Id="rId2626" Type="http://schemas.openxmlformats.org/officeDocument/2006/relationships/hyperlink" Target="https://sede.minetur.gob.es/en-US/datosabiertos/catalogo/registro-productores-electrica" TargetMode="External"/><Relationship Id="rId2833" Type="http://schemas.openxmlformats.org/officeDocument/2006/relationships/hyperlink" Target="https://sede.minetur.gob.es/en-US/datosabiertos/catalogo/registro-productores-electrica" TargetMode="External"/><Relationship Id="rId5032" Type="http://schemas.openxmlformats.org/officeDocument/2006/relationships/hyperlink" Target="http://ipaper.ipapercms.dk/DONGENERGY/Internet/DK/ThermalPower/KYVbrochure2012DK/?page=12" TargetMode="External"/><Relationship Id="rId74" Type="http://schemas.openxmlformats.org/officeDocument/2006/relationships/hyperlink" Target="https://www.elia.be/en/grid-data/power-generation/generating-facilities" TargetMode="External"/><Relationship Id="rId8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5" Type="http://schemas.openxmlformats.org/officeDocument/2006/relationships/hyperlink" Target="https://energiavirasto.fi/toimitusvarmuus" TargetMode="External"/><Relationship Id="rId4798" Type="http://schemas.openxmlformats.org/officeDocument/2006/relationships/hyperlink" Target="https://www.nve.no/media/8967/termiske-kraftverk-i-norge-2019.xlsx" TargetMode="External"/><Relationship Id="rId1642" Type="http://schemas.openxmlformats.org/officeDocument/2006/relationships/hyperlink" Target="https://energiavirasto.fi/toimitusvarmuus" TargetMode="External"/><Relationship Id="rId2900" Type="http://schemas.openxmlformats.org/officeDocument/2006/relationships/hyperlink" Target="https://www.gov.uk/government/statistics/electricity-chapter-5-digest-of-united-kingdom-energy-statistics-dukes" TargetMode="External"/><Relationship Id="rId1502" Type="http://schemas.openxmlformats.org/officeDocument/2006/relationships/hyperlink" Target="https://energiavirasto.fi/toimitusvarmuus" TargetMode="External"/><Relationship Id="rId4658" Type="http://schemas.openxmlformats.org/officeDocument/2006/relationships/hyperlink" Target="https://www.nve.no/energiforsyning/kraftproduksjon/vannkraft/vannkraftdatabase/" TargetMode="External"/><Relationship Id="rId4865" Type="http://schemas.openxmlformats.org/officeDocument/2006/relationships/hyperlink" Target="https://www.seng.si/en/hydropower-plants/small-hydropower-plants/" TargetMode="External"/><Relationship Id="rId388" Type="http://schemas.openxmlformats.org/officeDocument/2006/relationships/hyperlink" Target="http://gpi.tge.pl/en/wykaz-jednostek" TargetMode="External"/><Relationship Id="rId2069" Type="http://schemas.openxmlformats.org/officeDocument/2006/relationships/hyperlink" Target="https://sede.minetur.gob.es/en-US/datosabiertos/catalogo/registro-productores-electrica" TargetMode="External"/><Relationship Id="rId3467" Type="http://schemas.openxmlformats.org/officeDocument/2006/relationships/hyperlink" Target="https://www.nve.no/energiforsyning/kraftproduksjon/vannkraft/vannkraftdatabase/" TargetMode="External"/><Relationship Id="rId3674" Type="http://schemas.openxmlformats.org/officeDocument/2006/relationships/hyperlink" Target="https://www.nve.no/energiforsyning/kraftproduksjon/vannkraft/vannkraftdatabase/" TargetMode="External"/><Relationship Id="rId3881" Type="http://schemas.openxmlformats.org/officeDocument/2006/relationships/hyperlink" Target="https://www.nve.no/energiforsyning/kraftproduksjon/vannkraft/vannkraftdatabase/" TargetMode="External"/><Relationship Id="rId4518" Type="http://schemas.openxmlformats.org/officeDocument/2006/relationships/hyperlink" Target="https://www.nve.no/energiforsyning/kraftproduksjon/vannkraft/vannkraftdatabase/" TargetMode="External"/><Relationship Id="rId4725" Type="http://schemas.openxmlformats.org/officeDocument/2006/relationships/hyperlink" Target="https://www.nve.no/energiforsyning/kraftproduksjon/vannkraft/vannkraftdatabase/" TargetMode="External"/><Relationship Id="rId4932" Type="http://schemas.openxmlformats.org/officeDocument/2006/relationships/hyperlink" Target="https://www.verbund.com/de-at/ueber-verbund/kraftwerke/unsere-kraftwerke" TargetMode="External"/><Relationship Id="rId5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6" Type="http://schemas.openxmlformats.org/officeDocument/2006/relationships/hyperlink" Target="https://sede.minetur.gob.es/en-US/datosabiertos/catalogo/registro-productores-electrica" TargetMode="External"/><Relationship Id="rId2483" Type="http://schemas.openxmlformats.org/officeDocument/2006/relationships/hyperlink" Target="https://sede.minetur.gob.es/en-US/datosabiertos/catalogo/registro-productores-electrica" TargetMode="External"/><Relationship Id="rId2690" Type="http://schemas.openxmlformats.org/officeDocument/2006/relationships/hyperlink" Target="https://sede.minetur.gob.es/en-US/datosabiertos/catalogo/registro-productores-electrica" TargetMode="External"/><Relationship Id="rId3327" Type="http://schemas.openxmlformats.org/officeDocument/2006/relationships/hyperlink" Target="https://www.nve.no/energiforsyning/kraftproduksjon/vannkraft/vannkraftdatabase/" TargetMode="External"/><Relationship Id="rId3534" Type="http://schemas.openxmlformats.org/officeDocument/2006/relationships/hyperlink" Target="https://www.nve.no/energiforsyning/kraftproduksjon/vannkraft/vannkraftdatabase/" TargetMode="External"/><Relationship Id="rId3741" Type="http://schemas.openxmlformats.org/officeDocument/2006/relationships/hyperlink" Target="https://www.nve.no/energiforsyning/kraftproduksjon/vannkraft/vannkraftdatabase/" TargetMode="External"/><Relationship Id="rId248" Type="http://schemas.openxmlformats.org/officeDocument/2006/relationships/hyperlink" Target="https://www.services-rte.com/en/view-data-published-by-rte/production-installed-capacity.html" TargetMode="External"/><Relationship Id="rId455" Type="http://schemas.openxmlformats.org/officeDocument/2006/relationships/hyperlink" Target="https://www.ceps.cz/cs/priprava-provozu" TargetMode="External"/><Relationship Id="rId6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2" Type="http://schemas.openxmlformats.org/officeDocument/2006/relationships/hyperlink" Target="http://www2018.terna.it/it-it/sistemaelettrico/transparencyreport/generation/installedgenerationcapacity.aspx" TargetMode="External"/><Relationship Id="rId2136" Type="http://schemas.openxmlformats.org/officeDocument/2006/relationships/hyperlink" Target="https://sede.minetur.gob.es/en-US/datosabiertos/catalogo/registro-productores-electrica" TargetMode="External"/><Relationship Id="rId2343" Type="http://schemas.openxmlformats.org/officeDocument/2006/relationships/hyperlink" Target="https://sede.minetur.gob.es/en-US/datosabiertos/catalogo/registro-productores-electrica" TargetMode="External"/><Relationship Id="rId2550" Type="http://schemas.openxmlformats.org/officeDocument/2006/relationships/hyperlink" Target="https://sede.minetur.gob.es/en-US/datosabiertos/catalogo/registro-productores-electrica" TargetMode="External"/><Relationship Id="rId3601" Type="http://schemas.openxmlformats.org/officeDocument/2006/relationships/hyperlink" Target="https://www.nve.no/energiforsyning/kraftproduksjon/vannkraft/vannkraftdatabase/" TargetMode="External"/><Relationship Id="rId108" Type="http://schemas.openxmlformats.org/officeDocument/2006/relationships/hyperlink" Target="https://www.tennet.org/english/operational_management/export_data.aspx" TargetMode="External"/><Relationship Id="rId315" Type="http://schemas.openxmlformats.org/officeDocument/2006/relationships/hyperlink" Target="http://gpi.tge.pl/en/wykaz-jednostek" TargetMode="External"/><Relationship Id="rId522" Type="http://schemas.openxmlformats.org/officeDocument/2006/relationships/hyperlink" Target="https://www.ceps.cz/cs/priprava-provozu" TargetMode="External"/><Relationship Id="rId11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03" Type="http://schemas.openxmlformats.org/officeDocument/2006/relationships/hyperlink" Target="https://sede.minetur.gob.es/en-US/datosabiertos/catalogo/registro-productores-electrica" TargetMode="External"/><Relationship Id="rId2410" Type="http://schemas.openxmlformats.org/officeDocument/2006/relationships/hyperlink" Target="https://sede.minetur.gob.es/en-US/datosabiertos/catalogo/registro-productores-electrica" TargetMode="External"/><Relationship Id="rId10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68" Type="http://schemas.openxmlformats.org/officeDocument/2006/relationships/hyperlink" Target="https://www.nve.no/energiforsyning/kraftproduksjon/vannkraft/vannkraftdatabase/" TargetMode="External"/><Relationship Id="rId4375" Type="http://schemas.openxmlformats.org/officeDocument/2006/relationships/hyperlink" Target="https://www.nve.no/energiforsyning/kraftproduksjon/vannkraft/vannkraftdatabase/" TargetMode="External"/><Relationship Id="rId1969" Type="http://schemas.openxmlformats.org/officeDocument/2006/relationships/hyperlink" Target="https://sede.minetur.gob.es/en-US/datosabiertos/catalogo/registro-productores-electrica" TargetMode="External"/><Relationship Id="rId3184" Type="http://schemas.openxmlformats.org/officeDocument/2006/relationships/hyperlink" Target="https://www.nve.no/energiforsyning/kraftproduksjon/vannkraft/vannkraftdatabase/" TargetMode="External"/><Relationship Id="rId4028" Type="http://schemas.openxmlformats.org/officeDocument/2006/relationships/hyperlink" Target="https://www.nve.no/energiforsyning/kraftproduksjon/vannkraft/vannkraftdatabase/" TargetMode="External"/><Relationship Id="rId4235" Type="http://schemas.openxmlformats.org/officeDocument/2006/relationships/hyperlink" Target="https://www.nve.no/energiforsyning/kraftproduksjon/vannkraft/vannkraftdatabase/" TargetMode="External"/><Relationship Id="rId4582" Type="http://schemas.openxmlformats.org/officeDocument/2006/relationships/hyperlink" Target="https://www.nve.no/energiforsyning/kraftproduksjon/vannkraft/vannkraftdatabase/" TargetMode="External"/><Relationship Id="rId1829" Type="http://schemas.openxmlformats.org/officeDocument/2006/relationships/hyperlink" Target="https://sede.minetur.gob.es/en-US/datosabiertos/catalogo/registro-productores-electrica" TargetMode="External"/><Relationship Id="rId3391" Type="http://schemas.openxmlformats.org/officeDocument/2006/relationships/hyperlink" Target="https://www.nve.no/energiforsyning/kraftproduksjon/vannkraft/vannkraftdatabase/" TargetMode="External"/><Relationship Id="rId4442" Type="http://schemas.openxmlformats.org/officeDocument/2006/relationships/hyperlink" Target="https://www.nve.no/energiforsyning/kraftproduksjon/vannkraft/vannkraftdatabase/" TargetMode="External"/><Relationship Id="rId3044" Type="http://schemas.openxmlformats.org/officeDocument/2006/relationships/hyperlink" Target="https://www.gov.uk/government/statistics/electricity-chapter-5-digest-of-united-kingdom-energy-statistics-dukes" TargetMode="External"/><Relationship Id="rId3251" Type="http://schemas.openxmlformats.org/officeDocument/2006/relationships/hyperlink" Target="https://www.nve.no/energiforsyning/kraftproduksjon/vannkraft/vannkraftdatabase/" TargetMode="External"/><Relationship Id="rId4302" Type="http://schemas.openxmlformats.org/officeDocument/2006/relationships/hyperlink" Target="https://www.nve.no/energiforsyning/kraftproduksjon/vannkraft/vannkraftdatabase/" TargetMode="External"/><Relationship Id="rId172" Type="http://schemas.openxmlformats.org/officeDocument/2006/relationships/hyperlink" Target="https://www.services-rte.com/en/view-data-published-by-rte/production-installed-capacity.html" TargetMode="External"/><Relationship Id="rId2060" Type="http://schemas.openxmlformats.org/officeDocument/2006/relationships/hyperlink" Target="https://sede.minetur.gob.es/en-US/datosabiertos/catalogo/registro-productores-electrica" TargetMode="External"/><Relationship Id="rId3111" Type="http://schemas.openxmlformats.org/officeDocument/2006/relationships/hyperlink" Target="https://www.nve.no/energiforsyning/kraftproduksjon/vannkraft/vannkraftdatabase/" TargetMode="External"/><Relationship Id="rId9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877" Type="http://schemas.openxmlformats.org/officeDocument/2006/relationships/hyperlink" Target="https://www.gov.uk/government/statistics/electricity-chapter-5-digest-of-united-kingdom-energy-statistics-dukes" TargetMode="External"/><Relationship Id="rId8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9" Type="http://schemas.openxmlformats.org/officeDocument/2006/relationships/hyperlink" Target="https://energiavirasto.fi/toimitusvarmuus" TargetMode="External"/><Relationship Id="rId1686" Type="http://schemas.openxmlformats.org/officeDocument/2006/relationships/hyperlink" Target="https://energiavirasto.fi/toimitusvarmuus" TargetMode="External"/><Relationship Id="rId3928" Type="http://schemas.openxmlformats.org/officeDocument/2006/relationships/hyperlink" Target="https://www.nve.no/energiforsyning/kraftproduksjon/vannkraft/vannkraftdatabase/" TargetMode="External"/><Relationship Id="rId4092" Type="http://schemas.openxmlformats.org/officeDocument/2006/relationships/hyperlink" Target="https://www.nve.no/energiforsyning/kraftproduksjon/vannkraft/vannkraftdatabase/" TargetMode="External"/><Relationship Id="rId1339" Type="http://schemas.openxmlformats.org/officeDocument/2006/relationships/hyperlink" Target="http://www2018.terna.it/it-it/sistemaelettrico/transparencyreport/generation/installedgenerationcapacity.aspx" TargetMode="External"/><Relationship Id="rId1893" Type="http://schemas.openxmlformats.org/officeDocument/2006/relationships/hyperlink" Target="https://sede.minetur.gob.es/en-US/datosabiertos/catalogo/registro-productores-electrica" TargetMode="External"/><Relationship Id="rId2737" Type="http://schemas.openxmlformats.org/officeDocument/2006/relationships/hyperlink" Target="https://sede.minetur.gob.es/en-US/datosabiertos/catalogo/registro-productores-electrica" TargetMode="External"/><Relationship Id="rId2944" Type="http://schemas.openxmlformats.org/officeDocument/2006/relationships/hyperlink" Target="https://www.gov.uk/government/statistics/electricity-chapter-5-digest-of-united-kingdom-energy-statistics-dukes" TargetMode="External"/><Relationship Id="rId5003" Type="http://schemas.openxmlformats.org/officeDocument/2006/relationships/hyperlink" Target="https://www.verbund.com/de-at/ueber-verbund/kraftwerke/unsere-kraftwerke" TargetMode="External"/><Relationship Id="rId7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6" Type="http://schemas.openxmlformats.org/officeDocument/2006/relationships/hyperlink" Target="https://energiavirasto.fi/toimitusvarmuus" TargetMode="External"/><Relationship Id="rId1753" Type="http://schemas.openxmlformats.org/officeDocument/2006/relationships/hyperlink" Target="https://sede.minetur.gob.es/en-US/datosabiertos/catalogo/registro-productores-electrica" TargetMode="External"/><Relationship Id="rId1960" Type="http://schemas.openxmlformats.org/officeDocument/2006/relationships/hyperlink" Target="https://sede.minetur.gob.es/en-US/datosabiertos/catalogo/registro-productores-electrica" TargetMode="External"/><Relationship Id="rId2804" Type="http://schemas.openxmlformats.org/officeDocument/2006/relationships/hyperlink" Target="https://sede.minetur.gob.es/en-US/datosabiertos/catalogo/registro-productores-electrica" TargetMode="External"/><Relationship Id="rId45" Type="http://schemas.openxmlformats.org/officeDocument/2006/relationships/hyperlink" Target="https://www.elia.be/en/grid-data/power-generation/generating-facilities" TargetMode="External"/><Relationship Id="rId1406" Type="http://schemas.openxmlformats.org/officeDocument/2006/relationships/hyperlink" Target="https://energiavirasto.fi/toimitusvarmuus" TargetMode="External"/><Relationship Id="rId1613" Type="http://schemas.openxmlformats.org/officeDocument/2006/relationships/hyperlink" Target="https://energiavirasto.fi/toimitusvarmuus" TargetMode="External"/><Relationship Id="rId1820" Type="http://schemas.openxmlformats.org/officeDocument/2006/relationships/hyperlink" Target="https://sede.minetur.gob.es/en-US/datosabiertos/catalogo/registro-productores-electrica" TargetMode="External"/><Relationship Id="rId4769" Type="http://schemas.openxmlformats.org/officeDocument/2006/relationships/hyperlink" Target="https://www.nve.no/energiforsyning/kraftproduksjon/vannkraft/vannkraftdatabase/" TargetMode="External"/><Relationship Id="rId4976" Type="http://schemas.openxmlformats.org/officeDocument/2006/relationships/hyperlink" Target="https://www.verbund.com/de-at/ueber-verbund/kraftwerke/unsere-kraftwerke" TargetMode="External"/><Relationship Id="rId3578" Type="http://schemas.openxmlformats.org/officeDocument/2006/relationships/hyperlink" Target="https://www.nve.no/energiforsyning/kraftproduksjon/vannkraft/vannkraftdatabase/" TargetMode="External"/><Relationship Id="rId3785" Type="http://schemas.openxmlformats.org/officeDocument/2006/relationships/hyperlink" Target="https://www.nve.no/energiforsyning/kraftproduksjon/vannkraft/vannkraftdatabase/" TargetMode="External"/><Relationship Id="rId3992" Type="http://schemas.openxmlformats.org/officeDocument/2006/relationships/hyperlink" Target="https://www.nve.no/energiforsyning/kraftproduksjon/vannkraft/vannkraftdatabase/" TargetMode="External"/><Relationship Id="rId4629" Type="http://schemas.openxmlformats.org/officeDocument/2006/relationships/hyperlink" Target="https://www.nve.no/energiforsyning/kraftproduksjon/vannkraft/vannkraftdatabase/" TargetMode="External"/><Relationship Id="rId4836" Type="http://schemas.openxmlformats.org/officeDocument/2006/relationships/hyperlink" Target="http://www.dem.si/en-gb/Power-plants-and-generation/General-data" TargetMode="External"/><Relationship Id="rId499" Type="http://schemas.openxmlformats.org/officeDocument/2006/relationships/hyperlink" Target="https://www.ceps.cz/cs/priprava-provozu" TargetMode="External"/><Relationship Id="rId2387" Type="http://schemas.openxmlformats.org/officeDocument/2006/relationships/hyperlink" Target="https://sede.minetur.gob.es/en-US/datosabiertos/catalogo/registro-productores-electrica" TargetMode="External"/><Relationship Id="rId2594" Type="http://schemas.openxmlformats.org/officeDocument/2006/relationships/hyperlink" Target="https://sede.minetur.gob.es/en-US/datosabiertos/catalogo/registro-productores-electrica" TargetMode="External"/><Relationship Id="rId3438" Type="http://schemas.openxmlformats.org/officeDocument/2006/relationships/hyperlink" Target="https://www.nve.no/energiforsyning/kraftproduksjon/vannkraft/vannkraftdatabase/" TargetMode="External"/><Relationship Id="rId3645" Type="http://schemas.openxmlformats.org/officeDocument/2006/relationships/hyperlink" Target="https://www.nve.no/energiforsyning/kraftproduksjon/vannkraft/vannkraftdatabase/" TargetMode="External"/><Relationship Id="rId3852" Type="http://schemas.openxmlformats.org/officeDocument/2006/relationships/hyperlink" Target="https://www.nve.no/energiforsyning/kraftproduksjon/vannkraft/vannkraftdatabase/" TargetMode="External"/><Relationship Id="rId359" Type="http://schemas.openxmlformats.org/officeDocument/2006/relationships/hyperlink" Target="http://gpi.tge.pl/en/wykaz-jednostek" TargetMode="External"/><Relationship Id="rId566" Type="http://schemas.openxmlformats.org/officeDocument/2006/relationships/hyperlink" Target="https://www.ceps.cz/cs/priprava-provozu" TargetMode="External"/><Relationship Id="rId7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47" Type="http://schemas.openxmlformats.org/officeDocument/2006/relationships/hyperlink" Target="https://sede.minetur.gob.es/en-US/datosabiertos/catalogo/registro-productores-electrica" TargetMode="External"/><Relationship Id="rId2454" Type="http://schemas.openxmlformats.org/officeDocument/2006/relationships/hyperlink" Target="https://sede.minetur.gob.es/en-US/datosabiertos/catalogo/registro-productores-electrica" TargetMode="External"/><Relationship Id="rId3505" Type="http://schemas.openxmlformats.org/officeDocument/2006/relationships/hyperlink" Target="https://www.nve.no/energiforsyning/kraftproduksjon/vannkraft/vannkraftdatabase/" TargetMode="External"/><Relationship Id="rId4903" Type="http://schemas.openxmlformats.org/officeDocument/2006/relationships/hyperlink" Target="https://www.verbund.com/de-at/ueber-verbund/kraftwerke/unsere-kraftwerke" TargetMode="External"/><Relationship Id="rId219" Type="http://schemas.openxmlformats.org/officeDocument/2006/relationships/hyperlink" Target="https://www.services-rte.com/en/view-data-published-by-rte/production-installed-capacity.html" TargetMode="External"/><Relationship Id="rId426" Type="http://schemas.openxmlformats.org/officeDocument/2006/relationships/hyperlink" Target="https://www.ceps.cz/cs/priprava-provozu" TargetMode="External"/><Relationship Id="rId6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3" Type="http://schemas.openxmlformats.org/officeDocument/2006/relationships/hyperlink" Target="http://www2018.terna.it/it-it/sistemaelettrico/transparencyreport/generation/installedgenerationcapacity.aspx" TargetMode="External"/><Relationship Id="rId2107" Type="http://schemas.openxmlformats.org/officeDocument/2006/relationships/hyperlink" Target="https://sede.minetur.gob.es/en-US/datosabiertos/catalogo/registro-productores-electrica" TargetMode="External"/><Relationship Id="rId2314" Type="http://schemas.openxmlformats.org/officeDocument/2006/relationships/hyperlink" Target="https://sede.minetur.gob.es/en-US/datosabiertos/catalogo/registro-productores-electrica" TargetMode="External"/><Relationship Id="rId2661" Type="http://schemas.openxmlformats.org/officeDocument/2006/relationships/hyperlink" Target="https://sede.minetur.gob.es/en-US/datosabiertos/catalogo/registro-productores-electrica" TargetMode="External"/><Relationship Id="rId3712" Type="http://schemas.openxmlformats.org/officeDocument/2006/relationships/hyperlink" Target="https://www.nve.no/energiforsyning/kraftproduksjon/vannkraft/vannkraftdatabase/" TargetMode="External"/><Relationship Id="rId8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0" Type="http://schemas.openxmlformats.org/officeDocument/2006/relationships/hyperlink" Target="https://energiavirasto.fi/toimitusvarmuus" TargetMode="External"/><Relationship Id="rId2521" Type="http://schemas.openxmlformats.org/officeDocument/2006/relationships/hyperlink" Target="https://sede.minetur.gob.es/en-US/datosabiertos/catalogo/registro-productores-electrica" TargetMode="External"/><Relationship Id="rId4279" Type="http://schemas.openxmlformats.org/officeDocument/2006/relationships/hyperlink" Target="https://www.nve.no/energiforsyning/kraftproduksjon/vannkraft/vannkraftdatabase/" TargetMode="External"/><Relationship Id="rId7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0" Type="http://schemas.openxmlformats.org/officeDocument/2006/relationships/hyperlink" Target="http://www2018.terna.it/it-it/sistemaelettrico/transparencyreport/generation/installedgenerationcapacity.aspx" TargetMode="External"/><Relationship Id="rId3088" Type="http://schemas.openxmlformats.org/officeDocument/2006/relationships/hyperlink" Target="https://www.gov.uk/government/statistics/electricity-chapter-5-digest-of-united-kingdom-energy-statistics-dukes" TargetMode="External"/><Relationship Id="rId4486" Type="http://schemas.openxmlformats.org/officeDocument/2006/relationships/hyperlink" Target="https://www.nve.no/energiforsyning/kraftproduksjon/vannkraft/vannkraftdatabase/" TargetMode="External"/><Relationship Id="rId4693" Type="http://schemas.openxmlformats.org/officeDocument/2006/relationships/hyperlink" Target="https://www.nve.no/energiforsyning/kraftproduksjon/vannkraft/vannkraftdatabase/" TargetMode="External"/><Relationship Id="rId3295" Type="http://schemas.openxmlformats.org/officeDocument/2006/relationships/hyperlink" Target="https://www.nve.no/energiforsyning/kraftproduksjon/vannkraft/vannkraftdatabase/" TargetMode="External"/><Relationship Id="rId4139" Type="http://schemas.openxmlformats.org/officeDocument/2006/relationships/hyperlink" Target="https://www.nve.no/energiforsyning/kraftproduksjon/vannkraft/vannkraftdatabase/" TargetMode="External"/><Relationship Id="rId4346" Type="http://schemas.openxmlformats.org/officeDocument/2006/relationships/hyperlink" Target="https://www.nve.no/energiforsyning/kraftproduksjon/vannkraft/vannkraftdatabase/" TargetMode="External"/><Relationship Id="rId4553" Type="http://schemas.openxmlformats.org/officeDocument/2006/relationships/hyperlink" Target="https://www.nve.no/energiforsyning/kraftproduksjon/vannkraft/vannkraftdatabase/" TargetMode="External"/><Relationship Id="rId4760" Type="http://schemas.openxmlformats.org/officeDocument/2006/relationships/hyperlink" Target="https://www.nve.no/energiforsyning/kraftproduksjon/vannkraft/vannkraftdatabase/" TargetMode="External"/><Relationship Id="rId3155" Type="http://schemas.openxmlformats.org/officeDocument/2006/relationships/hyperlink" Target="https://www.nve.no/energiforsyning/kraftproduksjon/vannkraft/vannkraftdatabase/" TargetMode="External"/><Relationship Id="rId3362" Type="http://schemas.openxmlformats.org/officeDocument/2006/relationships/hyperlink" Target="https://www.nve.no/energiforsyning/kraftproduksjon/vannkraft/vannkraftdatabase/" TargetMode="External"/><Relationship Id="rId4206" Type="http://schemas.openxmlformats.org/officeDocument/2006/relationships/hyperlink" Target="https://www.nve.no/energiforsyning/kraftproduksjon/vannkraft/vannkraftdatabase/" TargetMode="External"/><Relationship Id="rId4413" Type="http://schemas.openxmlformats.org/officeDocument/2006/relationships/hyperlink" Target="https://www.nve.no/energiforsyning/kraftproduksjon/vannkraft/vannkraftdatabase/" TargetMode="External"/><Relationship Id="rId4620" Type="http://schemas.openxmlformats.org/officeDocument/2006/relationships/hyperlink" Target="https://www.nve.no/energiforsyning/kraftproduksjon/vannkraft/vannkraftdatabase/" TargetMode="External"/><Relationship Id="rId283" Type="http://schemas.openxmlformats.org/officeDocument/2006/relationships/hyperlink" Target="https://www.services-rte.com/en/view-data-published-by-rte/production-installed-capacity.html" TargetMode="External"/><Relationship Id="rId490" Type="http://schemas.openxmlformats.org/officeDocument/2006/relationships/hyperlink" Target="https://www.ceps.cz/cs/priprava-provozu" TargetMode="External"/><Relationship Id="rId2171" Type="http://schemas.openxmlformats.org/officeDocument/2006/relationships/hyperlink" Target="https://sede.minetur.gob.es/en-US/datosabiertos/catalogo/registro-productores-electrica" TargetMode="External"/><Relationship Id="rId3015" Type="http://schemas.openxmlformats.org/officeDocument/2006/relationships/hyperlink" Target="https://www.gov.uk/government/statistics/electricity-chapter-5-digest-of-united-kingdom-energy-statistics-dukes" TargetMode="External"/><Relationship Id="rId3222" Type="http://schemas.openxmlformats.org/officeDocument/2006/relationships/hyperlink" Target="https://www.nve.no/energiforsyning/kraftproduksjon/vannkraft/vannkraftdatabase/" TargetMode="External"/><Relationship Id="rId143" Type="http://schemas.openxmlformats.org/officeDocument/2006/relationships/hyperlink" Target="https://www.tennet.org/english/operational_management/export_data.aspx" TargetMode="External"/><Relationship Id="rId350" Type="http://schemas.openxmlformats.org/officeDocument/2006/relationships/hyperlink" Target="http://gpi.tge.pl/en/wykaz-jednostek" TargetMode="External"/><Relationship Id="rId2031" Type="http://schemas.openxmlformats.org/officeDocument/2006/relationships/hyperlink" Target="https://sede.minetur.gob.es/en-US/datosabiertos/catalogo/registro-productores-electrica" TargetMode="External"/><Relationship Id="rId9" Type="http://schemas.openxmlformats.org/officeDocument/2006/relationships/hyperlink" Target="https://www.elia.be/en/grid-data/power-generation/generating-facilities" TargetMode="External"/><Relationship Id="rId210" Type="http://schemas.openxmlformats.org/officeDocument/2006/relationships/hyperlink" Target="https://www.services-rte.com/en/view-data-published-by-rte/production-installed-capacity.html" TargetMode="External"/><Relationship Id="rId2988" Type="http://schemas.openxmlformats.org/officeDocument/2006/relationships/hyperlink" Target="https://www.gov.uk/government/statistics/electricity-chapter-5-digest-of-united-kingdom-energy-statistics-dukes" TargetMode="External"/><Relationship Id="rId1797" Type="http://schemas.openxmlformats.org/officeDocument/2006/relationships/hyperlink" Target="https://sede.minetur.gob.es/en-US/datosabiertos/catalogo/registro-productores-electrica" TargetMode="External"/><Relationship Id="rId2848" Type="http://schemas.openxmlformats.org/officeDocument/2006/relationships/hyperlink" Target="https://sede.minetur.gob.es/en-US/datosabiertos/catalogo/registro-productores-electrica" TargetMode="External"/><Relationship Id="rId89" Type="http://schemas.openxmlformats.org/officeDocument/2006/relationships/hyperlink" Target="https://www.elia.be/en/grid-data/power-generation/generating-facilities" TargetMode="External"/><Relationship Id="rId1657" Type="http://schemas.openxmlformats.org/officeDocument/2006/relationships/hyperlink" Target="https://energiavirasto.fi/toimitusvarmuus" TargetMode="External"/><Relationship Id="rId1864" Type="http://schemas.openxmlformats.org/officeDocument/2006/relationships/hyperlink" Target="https://sede.minetur.gob.es/en-US/datosabiertos/catalogo/registro-productores-electrica" TargetMode="External"/><Relationship Id="rId2708" Type="http://schemas.openxmlformats.org/officeDocument/2006/relationships/hyperlink" Target="https://sede.minetur.gob.es/en-US/datosabiertos/catalogo/registro-productores-electrica" TargetMode="External"/><Relationship Id="rId2915" Type="http://schemas.openxmlformats.org/officeDocument/2006/relationships/hyperlink" Target="https://www.gov.uk/government/statistics/electricity-chapter-5-digest-of-united-kingdom-energy-statistics-dukes" TargetMode="External"/><Relationship Id="rId4063" Type="http://schemas.openxmlformats.org/officeDocument/2006/relationships/hyperlink" Target="https://www.nve.no/energiforsyning/kraftproduksjon/vannkraft/vannkraftdatabase/" TargetMode="External"/><Relationship Id="rId4270" Type="http://schemas.openxmlformats.org/officeDocument/2006/relationships/hyperlink" Target="https://www.nve.no/energiforsyning/kraftproduksjon/vannkraft/vannkraftdatabase/" TargetMode="External"/><Relationship Id="rId1517" Type="http://schemas.openxmlformats.org/officeDocument/2006/relationships/hyperlink" Target="https://energiavirasto.fi/toimitusvarmuus" TargetMode="External"/><Relationship Id="rId1724" Type="http://schemas.openxmlformats.org/officeDocument/2006/relationships/hyperlink" Target="https://sede.minetur.gob.es/en-US/datosabiertos/catalogo/registro-productores-electrica" TargetMode="External"/><Relationship Id="rId4130" Type="http://schemas.openxmlformats.org/officeDocument/2006/relationships/hyperlink" Target="https://www.nve.no/energiforsyning/kraftproduksjon/vannkraft/vannkraftdatabase/" TargetMode="External"/><Relationship Id="rId16" Type="http://schemas.openxmlformats.org/officeDocument/2006/relationships/hyperlink" Target="https://www.elia.be/en/grid-data/power-generation/generating-facilities" TargetMode="External"/><Relationship Id="rId1931" Type="http://schemas.openxmlformats.org/officeDocument/2006/relationships/hyperlink" Target="https://sede.minetur.gob.es/en-US/datosabiertos/catalogo/registro-productores-electrica" TargetMode="External"/><Relationship Id="rId3689" Type="http://schemas.openxmlformats.org/officeDocument/2006/relationships/hyperlink" Target="https://www.nve.no/energiforsyning/kraftproduksjon/vannkraft/vannkraftdatabase/" TargetMode="External"/><Relationship Id="rId3896" Type="http://schemas.openxmlformats.org/officeDocument/2006/relationships/hyperlink" Target="https://www.nve.no/energiforsyning/kraftproduksjon/vannkraft/vannkraftdatabase/" TargetMode="External"/><Relationship Id="rId2498" Type="http://schemas.openxmlformats.org/officeDocument/2006/relationships/hyperlink" Target="https://sede.minetur.gob.es/en-US/datosabiertos/catalogo/registro-productores-electrica" TargetMode="External"/><Relationship Id="rId3549" Type="http://schemas.openxmlformats.org/officeDocument/2006/relationships/hyperlink" Target="https://www.nve.no/energiforsyning/kraftproduksjon/vannkraft/vannkraftdatabase/" TargetMode="External"/><Relationship Id="rId4947" Type="http://schemas.openxmlformats.org/officeDocument/2006/relationships/hyperlink" Target="https://www.verbund.com/de-at/ueber-verbund/kraftwerke/unsere-kraftwerke" TargetMode="External"/><Relationship Id="rId6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8" Type="http://schemas.openxmlformats.org/officeDocument/2006/relationships/hyperlink" Target="https://sede.minetur.gob.es/en-US/datosabiertos/catalogo/registro-productores-electrica" TargetMode="External"/><Relationship Id="rId3756" Type="http://schemas.openxmlformats.org/officeDocument/2006/relationships/hyperlink" Target="https://www.nve.no/energiforsyning/kraftproduksjon/vannkraft/vannkraftdatabase/" TargetMode="External"/><Relationship Id="rId3963" Type="http://schemas.openxmlformats.org/officeDocument/2006/relationships/hyperlink" Target="https://www.nve.no/energiforsyning/kraftproduksjon/vannkraft/vannkraftdatabase/" TargetMode="External"/><Relationship Id="rId4807" Type="http://schemas.openxmlformats.org/officeDocument/2006/relationships/hyperlink" Target="http://www.he-ss.si/eng/he-blanca-general-info.html" TargetMode="External"/><Relationship Id="rId8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65" Type="http://schemas.openxmlformats.org/officeDocument/2006/relationships/hyperlink" Target="https://sede.minetur.gob.es/en-US/datosabiertos/catalogo/registro-productores-electrica" TargetMode="External"/><Relationship Id="rId2772" Type="http://schemas.openxmlformats.org/officeDocument/2006/relationships/hyperlink" Target="https://sede.minetur.gob.es/en-US/datosabiertos/catalogo/registro-productores-electrica" TargetMode="External"/><Relationship Id="rId3409" Type="http://schemas.openxmlformats.org/officeDocument/2006/relationships/hyperlink" Target="https://www.nve.no/energiforsyning/kraftproduksjon/vannkraft/vannkraftdatabase/" TargetMode="External"/><Relationship Id="rId3616" Type="http://schemas.openxmlformats.org/officeDocument/2006/relationships/hyperlink" Target="https://www.nve.no/energiforsyning/kraftproduksjon/vannkraft/vannkraftdatabase/" TargetMode="External"/><Relationship Id="rId3823" Type="http://schemas.openxmlformats.org/officeDocument/2006/relationships/hyperlink" Target="https://www.nve.no/energiforsyning/kraftproduksjon/vannkraft/vannkraftdatabase/" TargetMode="External"/><Relationship Id="rId537" Type="http://schemas.openxmlformats.org/officeDocument/2006/relationships/hyperlink" Target="https://www.ceps.cz/cs/priprava-provozu" TargetMode="External"/><Relationship Id="rId7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4" Type="http://schemas.openxmlformats.org/officeDocument/2006/relationships/hyperlink" Target="http://www2018.terna.it/it-it/sistemaelettrico/transparencyreport/generation/installedgenerationcapacity.aspx" TargetMode="External"/><Relationship Id="rId1581" Type="http://schemas.openxmlformats.org/officeDocument/2006/relationships/hyperlink" Target="https://energiavirasto.fi/toimitusvarmuus" TargetMode="External"/><Relationship Id="rId2218" Type="http://schemas.openxmlformats.org/officeDocument/2006/relationships/hyperlink" Target="https://sede.minetur.gob.es/en-US/datosabiertos/catalogo/registro-productores-electrica" TargetMode="External"/><Relationship Id="rId2425" Type="http://schemas.openxmlformats.org/officeDocument/2006/relationships/hyperlink" Target="https://sede.minetur.gob.es/en-US/datosabiertos/catalogo/registro-productores-electrica" TargetMode="External"/><Relationship Id="rId2632" Type="http://schemas.openxmlformats.org/officeDocument/2006/relationships/hyperlink" Target="https://sede.minetur.gob.es/en-US/datosabiertos/catalogo/registro-productores-electrica" TargetMode="External"/><Relationship Id="rId80" Type="http://schemas.openxmlformats.org/officeDocument/2006/relationships/hyperlink" Target="https://www.elia.be/en/grid-data/power-generation/generating-facilities" TargetMode="External"/><Relationship Id="rId6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1" Type="http://schemas.openxmlformats.org/officeDocument/2006/relationships/hyperlink" Target="https://energiavirasto.fi/toimitusvarmuus" TargetMode="External"/><Relationship Id="rId4597" Type="http://schemas.openxmlformats.org/officeDocument/2006/relationships/hyperlink" Target="https://www.nve.no/energiforsyning/kraftproduksjon/vannkraft/vannkraftdatabase/" TargetMode="External"/><Relationship Id="rId1301" Type="http://schemas.openxmlformats.org/officeDocument/2006/relationships/hyperlink" Target="http://www2018.terna.it/it-it/sistemaelettrico/transparencyreport/generation/installedgenerationcapacity.aspx" TargetMode="External"/><Relationship Id="rId3199" Type="http://schemas.openxmlformats.org/officeDocument/2006/relationships/hyperlink" Target="https://www.nve.no/energiforsyning/kraftproduksjon/vannkraft/vannkraftdatabase/" TargetMode="External"/><Relationship Id="rId4457" Type="http://schemas.openxmlformats.org/officeDocument/2006/relationships/hyperlink" Target="https://www.nve.no/energiforsyning/kraftproduksjon/vannkraft/vannkraftdatabase/" TargetMode="External"/><Relationship Id="rId4664" Type="http://schemas.openxmlformats.org/officeDocument/2006/relationships/hyperlink" Target="https://www.nve.no/energiforsyning/kraftproduksjon/vannkraft/vannkraftdatabase/" TargetMode="External"/><Relationship Id="rId3059" Type="http://schemas.openxmlformats.org/officeDocument/2006/relationships/hyperlink" Target="https://www.gov.uk/government/statistics/electricity-chapter-5-digest-of-united-kingdom-energy-statistics-dukes" TargetMode="External"/><Relationship Id="rId3266" Type="http://schemas.openxmlformats.org/officeDocument/2006/relationships/hyperlink" Target="https://www.nve.no/energiforsyning/kraftproduksjon/vannkraft/vannkraftdatabase/" TargetMode="External"/><Relationship Id="rId3473" Type="http://schemas.openxmlformats.org/officeDocument/2006/relationships/hyperlink" Target="https://www.nve.no/energiforsyning/kraftproduksjon/vannkraft/vannkraftdatabase/" TargetMode="External"/><Relationship Id="rId4317" Type="http://schemas.openxmlformats.org/officeDocument/2006/relationships/hyperlink" Target="https://www.nve.no/energiforsyning/kraftproduksjon/vannkraft/vannkraftdatabase/" TargetMode="External"/><Relationship Id="rId4524" Type="http://schemas.openxmlformats.org/officeDocument/2006/relationships/hyperlink" Target="https://www.nve.no/energiforsyning/kraftproduksjon/vannkraft/vannkraftdatabase/" TargetMode="External"/><Relationship Id="rId4871" Type="http://schemas.openxmlformats.org/officeDocument/2006/relationships/hyperlink" Target="https://www.seng.si/en/hydropower-plants/small-hydropower-plants/" TargetMode="External"/><Relationship Id="rId187" Type="http://schemas.openxmlformats.org/officeDocument/2006/relationships/hyperlink" Target="https://www.services-rte.com/en/view-data-published-by-rte/production-installed-capacity.html" TargetMode="External"/><Relationship Id="rId394" Type="http://schemas.openxmlformats.org/officeDocument/2006/relationships/hyperlink" Target="http://gpi.tge.pl/en/wykaz-jednostek" TargetMode="External"/><Relationship Id="rId2075" Type="http://schemas.openxmlformats.org/officeDocument/2006/relationships/hyperlink" Target="https://sede.minetur.gob.es/en-US/datosabiertos/catalogo/registro-productores-electrica" TargetMode="External"/><Relationship Id="rId2282" Type="http://schemas.openxmlformats.org/officeDocument/2006/relationships/hyperlink" Target="https://sede.minetur.gob.es/en-US/datosabiertos/catalogo/registro-productores-electrica" TargetMode="External"/><Relationship Id="rId3126" Type="http://schemas.openxmlformats.org/officeDocument/2006/relationships/hyperlink" Target="https://www.nve.no/energiforsyning/kraftproduksjon/vannkraft/vannkraftdatabase/" TargetMode="External"/><Relationship Id="rId3680" Type="http://schemas.openxmlformats.org/officeDocument/2006/relationships/hyperlink" Target="https://www.nve.no/energiforsyning/kraftproduksjon/vannkraft/vannkraftdatabase/" TargetMode="External"/><Relationship Id="rId4731" Type="http://schemas.openxmlformats.org/officeDocument/2006/relationships/hyperlink" Target="https://www.nve.no/energiforsyning/kraftproduksjon/vannkraft/vannkraftdatabase/" TargetMode="External"/><Relationship Id="rId254" Type="http://schemas.openxmlformats.org/officeDocument/2006/relationships/hyperlink" Target="https://www.services-rte.com/en/view-data-published-by-rte/production-installed-capacity.html" TargetMode="External"/><Relationship Id="rId10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333" Type="http://schemas.openxmlformats.org/officeDocument/2006/relationships/hyperlink" Target="https://www.nve.no/energiforsyning/kraftproduksjon/vannkraft/vannkraftdatabase/" TargetMode="External"/><Relationship Id="rId3540" Type="http://schemas.openxmlformats.org/officeDocument/2006/relationships/hyperlink" Target="https://www.nve.no/energiforsyning/kraftproduksjon/vannkraft/vannkraftdatabase/" TargetMode="External"/><Relationship Id="rId114" Type="http://schemas.openxmlformats.org/officeDocument/2006/relationships/hyperlink" Target="https://www.tennet.org/english/operational_management/export_data.aspx" TargetMode="External"/><Relationship Id="rId461" Type="http://schemas.openxmlformats.org/officeDocument/2006/relationships/hyperlink" Target="https://www.ceps.cz/cs/priprava-provozu" TargetMode="External"/><Relationship Id="rId2142" Type="http://schemas.openxmlformats.org/officeDocument/2006/relationships/hyperlink" Target="https://sede.minetur.gob.es/en-US/datosabiertos/catalogo/registro-productores-electrica" TargetMode="External"/><Relationship Id="rId3400" Type="http://schemas.openxmlformats.org/officeDocument/2006/relationships/hyperlink" Target="https://www.nve.no/energiforsyning/kraftproduksjon/vannkraft/vannkraftdatabase/" TargetMode="External"/><Relationship Id="rId321" Type="http://schemas.openxmlformats.org/officeDocument/2006/relationships/hyperlink" Target="http://gpi.tge.pl/en/wykaz-jednostek" TargetMode="External"/><Relationship Id="rId2002" Type="http://schemas.openxmlformats.org/officeDocument/2006/relationships/hyperlink" Target="https://sede.minetur.gob.es/en-US/datosabiertos/catalogo/registro-productores-electrica" TargetMode="External"/><Relationship Id="rId2959" Type="http://schemas.openxmlformats.org/officeDocument/2006/relationships/hyperlink" Target="https://www.gov.uk/government/statistics/electricity-chapter-5-digest-of-united-kingdom-energy-statistics-dukes" TargetMode="External"/><Relationship Id="rId1768" Type="http://schemas.openxmlformats.org/officeDocument/2006/relationships/hyperlink" Target="https://sede.minetur.gob.es/en-US/datosabiertos/catalogo/registro-productores-electrica" TargetMode="External"/><Relationship Id="rId2819" Type="http://schemas.openxmlformats.org/officeDocument/2006/relationships/hyperlink" Target="https://sede.minetur.gob.es/en-US/datosabiertos/catalogo/registro-productores-electrica" TargetMode="External"/><Relationship Id="rId4174" Type="http://schemas.openxmlformats.org/officeDocument/2006/relationships/hyperlink" Target="https://www.nve.no/energiforsyning/kraftproduksjon/vannkraft/vannkraftdatabase/" TargetMode="External"/><Relationship Id="rId4381" Type="http://schemas.openxmlformats.org/officeDocument/2006/relationships/hyperlink" Target="https://www.nve.no/energiforsyning/kraftproduksjon/vannkraft/vannkraftdatabase/" TargetMode="External"/><Relationship Id="rId5018" Type="http://schemas.openxmlformats.org/officeDocument/2006/relationships/hyperlink" Target="https://www.eww.at/fileadmin/user_upload/downloads/strom/EMAS/EMAS_2018.pdf" TargetMode="External"/><Relationship Id="rId1628" Type="http://schemas.openxmlformats.org/officeDocument/2006/relationships/hyperlink" Target="https://energiavirasto.fi/toimitusvarmuus" TargetMode="External"/><Relationship Id="rId1975" Type="http://schemas.openxmlformats.org/officeDocument/2006/relationships/hyperlink" Target="https://sede.minetur.gob.es/en-US/datosabiertos/catalogo/registro-productores-electrica" TargetMode="External"/><Relationship Id="rId3190" Type="http://schemas.openxmlformats.org/officeDocument/2006/relationships/hyperlink" Target="https://www.nve.no/energiforsyning/kraftproduksjon/vannkraft/vannkraftdatabase/" TargetMode="External"/><Relationship Id="rId4034" Type="http://schemas.openxmlformats.org/officeDocument/2006/relationships/hyperlink" Target="https://www.nve.no/energiforsyning/kraftproduksjon/vannkraft/vannkraftdatabase/" TargetMode="External"/><Relationship Id="rId4241" Type="http://schemas.openxmlformats.org/officeDocument/2006/relationships/hyperlink" Target="https://www.nve.no/energiforsyning/kraftproduksjon/vannkraft/vannkraftdatabase/" TargetMode="External"/><Relationship Id="rId1835" Type="http://schemas.openxmlformats.org/officeDocument/2006/relationships/hyperlink" Target="https://sede.minetur.gob.es/en-US/datosabiertos/catalogo/registro-productores-electrica" TargetMode="External"/><Relationship Id="rId3050" Type="http://schemas.openxmlformats.org/officeDocument/2006/relationships/hyperlink" Target="https://www.gov.uk/government/statistics/electricity-chapter-5-digest-of-united-kingdom-energy-statistics-dukes" TargetMode="External"/><Relationship Id="rId4101" Type="http://schemas.openxmlformats.org/officeDocument/2006/relationships/hyperlink" Target="https://www.nve.no/energiforsyning/kraftproduksjon/vannkraft/vannkraftdatabase/" TargetMode="External"/><Relationship Id="rId1902" Type="http://schemas.openxmlformats.org/officeDocument/2006/relationships/hyperlink" Target="https://sede.minetur.gob.es/en-US/datosabiertos/catalogo/registro-productores-electrica" TargetMode="External"/><Relationship Id="rId3867" Type="http://schemas.openxmlformats.org/officeDocument/2006/relationships/hyperlink" Target="https://www.nve.no/energiforsyning/kraftproduksjon/vannkraft/vannkraftdatabase/" TargetMode="External"/><Relationship Id="rId4918" Type="http://schemas.openxmlformats.org/officeDocument/2006/relationships/hyperlink" Target="https://www.verbund.com/de-at/ueber-verbund/kraftwerke/unsere-kraftwerke" TargetMode="External"/><Relationship Id="rId7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9" Type="http://schemas.openxmlformats.org/officeDocument/2006/relationships/hyperlink" Target="https://sede.minetur.gob.es/en-US/datosabiertos/catalogo/registro-productores-electrica" TargetMode="External"/><Relationship Id="rId2676" Type="http://schemas.openxmlformats.org/officeDocument/2006/relationships/hyperlink" Target="https://sede.minetur.gob.es/en-US/datosabiertos/catalogo/registro-productores-electrica" TargetMode="External"/><Relationship Id="rId2883" Type="http://schemas.openxmlformats.org/officeDocument/2006/relationships/hyperlink" Target="https://www.gov.uk/government/statistics/electricity-chapter-5-digest-of-united-kingdom-energy-statistics-dukes" TargetMode="External"/><Relationship Id="rId3727" Type="http://schemas.openxmlformats.org/officeDocument/2006/relationships/hyperlink" Target="https://www.nve.no/energiforsyning/kraftproduksjon/vannkraft/vannkraftdatabase/" TargetMode="External"/><Relationship Id="rId3934" Type="http://schemas.openxmlformats.org/officeDocument/2006/relationships/hyperlink" Target="https://www.nve.no/energiforsyning/kraftproduksjon/vannkraft/vannkraftdatabase/" TargetMode="External"/><Relationship Id="rId6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8" Type="http://schemas.openxmlformats.org/officeDocument/2006/relationships/hyperlink" Target="http://www2018.terna.it/it-it/sistemaelettrico/transparencyreport/generation/installedgenerationcapacity.aspx" TargetMode="External"/><Relationship Id="rId1485" Type="http://schemas.openxmlformats.org/officeDocument/2006/relationships/hyperlink" Target="https://energiavirasto.fi/toimitusvarmuus" TargetMode="External"/><Relationship Id="rId1692" Type="http://schemas.openxmlformats.org/officeDocument/2006/relationships/hyperlink" Target="https://energiavirasto.fi/toimitusvarmuus" TargetMode="External"/><Relationship Id="rId2329" Type="http://schemas.openxmlformats.org/officeDocument/2006/relationships/hyperlink" Target="https://sede.minetur.gob.es/en-US/datosabiertos/catalogo/registro-productores-electrica" TargetMode="External"/><Relationship Id="rId2536" Type="http://schemas.openxmlformats.org/officeDocument/2006/relationships/hyperlink" Target="https://sede.minetur.gob.es/en-US/datosabiertos/catalogo/registro-productores-electrica" TargetMode="External"/><Relationship Id="rId2743" Type="http://schemas.openxmlformats.org/officeDocument/2006/relationships/hyperlink" Target="https://sede.minetur.gob.es/en-US/datosabiertos/catalogo/registro-productores-electrica" TargetMode="External"/><Relationship Id="rId508" Type="http://schemas.openxmlformats.org/officeDocument/2006/relationships/hyperlink" Target="https://www.ceps.cz/cs/priprava-provozu" TargetMode="External"/><Relationship Id="rId7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5" Type="http://schemas.openxmlformats.org/officeDocument/2006/relationships/hyperlink" Target="http://www2018.terna.it/it-it/sistemaelettrico/transparencyreport/generation/installedgenerationcapacity.aspx" TargetMode="External"/><Relationship Id="rId1552" Type="http://schemas.openxmlformats.org/officeDocument/2006/relationships/hyperlink" Target="https://energiavirasto.fi/toimitusvarmuus" TargetMode="External"/><Relationship Id="rId2603" Type="http://schemas.openxmlformats.org/officeDocument/2006/relationships/hyperlink" Target="https://sede.minetur.gob.es/en-US/datosabiertos/catalogo/registro-productores-electrica" TargetMode="External"/><Relationship Id="rId2950" Type="http://schemas.openxmlformats.org/officeDocument/2006/relationships/hyperlink" Target="https://www.gov.uk/government/statistics/electricity-chapter-5-digest-of-united-kingdom-energy-statistics-dukes" TargetMode="External"/><Relationship Id="rId12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810" Type="http://schemas.openxmlformats.org/officeDocument/2006/relationships/hyperlink" Target="https://sede.minetur.gob.es/en-US/datosabiertos/catalogo/registro-productores-electrica" TargetMode="External"/><Relationship Id="rId4568" Type="http://schemas.openxmlformats.org/officeDocument/2006/relationships/hyperlink" Target="https://www.nve.no/energiforsyning/kraftproduksjon/vannkraft/vannkraftdatabase/" TargetMode="External"/><Relationship Id="rId51" Type="http://schemas.openxmlformats.org/officeDocument/2006/relationships/hyperlink" Target="https://www.elia.be/en/grid-data/power-generation/generating-facilities" TargetMode="External"/><Relationship Id="rId1412" Type="http://schemas.openxmlformats.org/officeDocument/2006/relationships/hyperlink" Target="https://energiavirasto.fi/toimitusvarmuus" TargetMode="External"/><Relationship Id="rId3377" Type="http://schemas.openxmlformats.org/officeDocument/2006/relationships/hyperlink" Target="https://www.nve.no/energiforsyning/kraftproduksjon/vannkraft/vannkraftdatabase/" TargetMode="External"/><Relationship Id="rId4775" Type="http://schemas.openxmlformats.org/officeDocument/2006/relationships/hyperlink" Target="https://www.nve.no/energiforsyning/kraftproduksjon/vannkraft/vannkraftdatabase/" TargetMode="External"/><Relationship Id="rId4982" Type="http://schemas.openxmlformats.org/officeDocument/2006/relationships/hyperlink" Target="https://www.verbund.com/de-at/ueber-verbund/kraftwerke/unsere-kraftwerke" TargetMode="External"/><Relationship Id="rId298" Type="http://schemas.openxmlformats.org/officeDocument/2006/relationships/hyperlink" Target="https://www.services-rte.com/en/view-data-published-by-rte/production-installed-capacity.html" TargetMode="External"/><Relationship Id="rId3584" Type="http://schemas.openxmlformats.org/officeDocument/2006/relationships/hyperlink" Target="https://www.nve.no/energiforsyning/kraftproduksjon/vannkraft/vannkraftdatabase/" TargetMode="External"/><Relationship Id="rId3791" Type="http://schemas.openxmlformats.org/officeDocument/2006/relationships/hyperlink" Target="https://www.nve.no/energiforsyning/kraftproduksjon/vannkraft/vannkraftdatabase/" TargetMode="External"/><Relationship Id="rId4428" Type="http://schemas.openxmlformats.org/officeDocument/2006/relationships/hyperlink" Target="https://www.nve.no/energiforsyning/kraftproduksjon/vannkraft/vannkraftdatabase/" TargetMode="External"/><Relationship Id="rId4635" Type="http://schemas.openxmlformats.org/officeDocument/2006/relationships/hyperlink" Target="https://www.nve.no/energiforsyning/kraftproduksjon/vannkraft/vannkraftdatabase/" TargetMode="External"/><Relationship Id="rId4842" Type="http://schemas.openxmlformats.org/officeDocument/2006/relationships/hyperlink" Target="https://www.seng.si/en/hydropower-plants/small-hydropower-plants/" TargetMode="External"/><Relationship Id="rId158" Type="http://schemas.openxmlformats.org/officeDocument/2006/relationships/hyperlink" Target="https://www.tennet.org/english/operational_management/export_data.aspx" TargetMode="External"/><Relationship Id="rId2186" Type="http://schemas.openxmlformats.org/officeDocument/2006/relationships/hyperlink" Target="https://sede.minetur.gob.es/en-US/datosabiertos/catalogo/registro-productores-electrica" TargetMode="External"/><Relationship Id="rId2393" Type="http://schemas.openxmlformats.org/officeDocument/2006/relationships/hyperlink" Target="https://sede.minetur.gob.es/en-US/datosabiertos/catalogo/registro-productores-electrica" TargetMode="External"/><Relationship Id="rId3237" Type="http://schemas.openxmlformats.org/officeDocument/2006/relationships/hyperlink" Target="https://www.nve.no/energiforsyning/kraftproduksjon/vannkraft/vannkraftdatabase/" TargetMode="External"/><Relationship Id="rId3444" Type="http://schemas.openxmlformats.org/officeDocument/2006/relationships/hyperlink" Target="https://www.nve.no/energiforsyning/kraftproduksjon/vannkraft/vannkraftdatabase/" TargetMode="External"/><Relationship Id="rId3651" Type="http://schemas.openxmlformats.org/officeDocument/2006/relationships/hyperlink" Target="https://www.nve.no/energiforsyning/kraftproduksjon/vannkraft/vannkraftdatabase/" TargetMode="External"/><Relationship Id="rId4702" Type="http://schemas.openxmlformats.org/officeDocument/2006/relationships/hyperlink" Target="https://www.nve.no/energiforsyning/kraftproduksjon/vannkraft/vannkraftdatabase/" TargetMode="External"/><Relationship Id="rId365" Type="http://schemas.openxmlformats.org/officeDocument/2006/relationships/hyperlink" Target="http://gpi.tge.pl/en/wykaz-jednostek" TargetMode="External"/><Relationship Id="rId572" Type="http://schemas.openxmlformats.org/officeDocument/2006/relationships/hyperlink" Target="https://www.ceps.cz/cs/priprava-provozu" TargetMode="External"/><Relationship Id="rId2046" Type="http://schemas.openxmlformats.org/officeDocument/2006/relationships/hyperlink" Target="https://sede.minetur.gob.es/en-US/datosabiertos/catalogo/registro-productores-electrica" TargetMode="External"/><Relationship Id="rId2253" Type="http://schemas.openxmlformats.org/officeDocument/2006/relationships/hyperlink" Target="https://sede.minetur.gob.es/en-US/datosabiertos/catalogo/registro-productores-electrica" TargetMode="External"/><Relationship Id="rId2460" Type="http://schemas.openxmlformats.org/officeDocument/2006/relationships/hyperlink" Target="https://sede.minetur.gob.es/en-US/datosabiertos/catalogo/registro-productores-electrica" TargetMode="External"/><Relationship Id="rId3304" Type="http://schemas.openxmlformats.org/officeDocument/2006/relationships/hyperlink" Target="https://www.nve.no/energiforsyning/kraftproduksjon/vannkraft/vannkraftdatabase/" TargetMode="External"/><Relationship Id="rId3511" Type="http://schemas.openxmlformats.org/officeDocument/2006/relationships/hyperlink" Target="https://www.nve.no/energiforsyning/kraftproduksjon/vannkraft/vannkraftdatabase/" TargetMode="External"/><Relationship Id="rId225" Type="http://schemas.openxmlformats.org/officeDocument/2006/relationships/hyperlink" Target="https://www.services-rte.com/en/view-data-published-by-rte/production-installed-capacity.html" TargetMode="External"/><Relationship Id="rId432" Type="http://schemas.openxmlformats.org/officeDocument/2006/relationships/hyperlink" Target="https://www.ceps.cz/cs/priprava-provozu" TargetMode="External"/><Relationship Id="rId10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13" Type="http://schemas.openxmlformats.org/officeDocument/2006/relationships/hyperlink" Target="https://sede.minetur.gob.es/en-US/datosabiertos/catalogo/registro-productores-electrica" TargetMode="External"/><Relationship Id="rId2320" Type="http://schemas.openxmlformats.org/officeDocument/2006/relationships/hyperlink" Target="https://sede.minetur.gob.es/en-US/datosabiertos/catalogo/registro-productores-electrica" TargetMode="External"/><Relationship Id="rId4078" Type="http://schemas.openxmlformats.org/officeDocument/2006/relationships/hyperlink" Target="https://www.nve.no/energiforsyning/kraftproduksjon/vannkraft/vannkraftdatabase/" TargetMode="External"/><Relationship Id="rId4285" Type="http://schemas.openxmlformats.org/officeDocument/2006/relationships/hyperlink" Target="https://www.nve.no/energiforsyning/kraftproduksjon/vannkraft/vannkraftdatabase/" TargetMode="External"/><Relationship Id="rId4492" Type="http://schemas.openxmlformats.org/officeDocument/2006/relationships/hyperlink" Target="https://www.nve.no/energiforsyning/kraftproduksjon/vannkraft/vannkraftdatabase/" TargetMode="External"/><Relationship Id="rId1879" Type="http://schemas.openxmlformats.org/officeDocument/2006/relationships/hyperlink" Target="https://sede.minetur.gob.es/en-US/datosabiertos/catalogo/registro-productores-electrica" TargetMode="External"/><Relationship Id="rId3094" Type="http://schemas.openxmlformats.org/officeDocument/2006/relationships/hyperlink" Target="https://www.gov.uk/government/statistics/electricity-chapter-5-digest-of-united-kingdom-energy-statistics-dukes" TargetMode="External"/><Relationship Id="rId4145" Type="http://schemas.openxmlformats.org/officeDocument/2006/relationships/hyperlink" Target="https://www.nve.no/energiforsyning/kraftproduksjon/vannkraft/vannkraftdatabase/" TargetMode="External"/><Relationship Id="rId1739" Type="http://schemas.openxmlformats.org/officeDocument/2006/relationships/hyperlink" Target="https://sede.minetur.gob.es/en-US/datosabiertos/catalogo/registro-productores-electrica" TargetMode="External"/><Relationship Id="rId1946" Type="http://schemas.openxmlformats.org/officeDocument/2006/relationships/hyperlink" Target="https://sede.minetur.gob.es/en-US/datosabiertos/catalogo/registro-productores-electrica" TargetMode="External"/><Relationship Id="rId4005" Type="http://schemas.openxmlformats.org/officeDocument/2006/relationships/hyperlink" Target="https://www.nve.no/energiforsyning/kraftproduksjon/vannkraft/vannkraftdatabase/" TargetMode="External"/><Relationship Id="rId4352" Type="http://schemas.openxmlformats.org/officeDocument/2006/relationships/hyperlink" Target="https://www.nve.no/energiforsyning/kraftproduksjon/vannkraft/vannkraftdatabase/" TargetMode="External"/><Relationship Id="rId1806" Type="http://schemas.openxmlformats.org/officeDocument/2006/relationships/hyperlink" Target="https://sede.minetur.gob.es/en-US/datosabiertos/catalogo/registro-productores-electrica" TargetMode="External"/><Relationship Id="rId3161" Type="http://schemas.openxmlformats.org/officeDocument/2006/relationships/hyperlink" Target="https://www.nve.no/energiforsyning/kraftproduksjon/vannkraft/vannkraftdatabase/" TargetMode="External"/><Relationship Id="rId4212" Type="http://schemas.openxmlformats.org/officeDocument/2006/relationships/hyperlink" Target="https://www.nve.no/energiforsyning/kraftproduksjon/vannkraft/vannkraftdatabase/" TargetMode="External"/><Relationship Id="rId3021" Type="http://schemas.openxmlformats.org/officeDocument/2006/relationships/hyperlink" Target="https://www.gov.uk/government/statistics/electricity-chapter-5-digest-of-united-kingdom-energy-statistics-dukes" TargetMode="External"/><Relationship Id="rId3978" Type="http://schemas.openxmlformats.org/officeDocument/2006/relationships/hyperlink" Target="https://www.nve.no/energiforsyning/kraftproduksjon/vannkraft/vannkraftdatabase/" TargetMode="External"/><Relationship Id="rId8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787" Type="http://schemas.openxmlformats.org/officeDocument/2006/relationships/hyperlink" Target="https://sede.minetur.gob.es/en-US/datosabiertos/catalogo/registro-productores-electrica" TargetMode="External"/><Relationship Id="rId3838" Type="http://schemas.openxmlformats.org/officeDocument/2006/relationships/hyperlink" Target="https://www.nve.no/energiforsyning/kraftproduksjon/vannkraft/vannkraftdatabase/" TargetMode="External"/><Relationship Id="rId7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9" Type="http://schemas.openxmlformats.org/officeDocument/2006/relationships/hyperlink" Target="https://energiavirasto.fi/toimitusvarmuus" TargetMode="External"/><Relationship Id="rId1596" Type="http://schemas.openxmlformats.org/officeDocument/2006/relationships/hyperlink" Target="https://energiavirasto.fi/toimitusvarmuus" TargetMode="External"/><Relationship Id="rId2647" Type="http://schemas.openxmlformats.org/officeDocument/2006/relationships/hyperlink" Target="https://sede.minetur.gob.es/en-US/datosabiertos/catalogo/registro-productores-electrica" TargetMode="External"/><Relationship Id="rId2994" Type="http://schemas.openxmlformats.org/officeDocument/2006/relationships/hyperlink" Target="https://www.gov.uk/government/statistics/electricity-chapter-5-digest-of-united-kingdom-energy-statistics-dukes" TargetMode="External"/><Relationship Id="rId6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9" Type="http://schemas.openxmlformats.org/officeDocument/2006/relationships/hyperlink" Target="http://www2018.terna.it/it-it/sistemaelettrico/transparencyreport/generation/installedgenerationcapacity.aspx" TargetMode="External"/><Relationship Id="rId2854" Type="http://schemas.openxmlformats.org/officeDocument/2006/relationships/hyperlink" Target="https://www.gov.uk/government/statistics/electricity-chapter-5-digest-of-united-kingdom-energy-statistics-dukes" TargetMode="External"/><Relationship Id="rId3905" Type="http://schemas.openxmlformats.org/officeDocument/2006/relationships/hyperlink" Target="https://www.nve.no/energiforsyning/kraftproduksjon/vannkraft/vannkraftdatabase/" TargetMode="External"/><Relationship Id="rId95" Type="http://schemas.openxmlformats.org/officeDocument/2006/relationships/hyperlink" Target="https://www.tennet.org/english/operational_management/export_data.aspx" TargetMode="External"/><Relationship Id="rId8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6" Type="http://schemas.openxmlformats.org/officeDocument/2006/relationships/hyperlink" Target="https://energiavirasto.fi/toimitusvarmuus" TargetMode="External"/><Relationship Id="rId1663" Type="http://schemas.openxmlformats.org/officeDocument/2006/relationships/hyperlink" Target="https://energiavirasto.fi/toimitusvarmuus" TargetMode="External"/><Relationship Id="rId1870" Type="http://schemas.openxmlformats.org/officeDocument/2006/relationships/hyperlink" Target="https://sede.minetur.gob.es/en-US/datosabiertos/catalogo/registro-productores-electrica" TargetMode="External"/><Relationship Id="rId2507" Type="http://schemas.openxmlformats.org/officeDocument/2006/relationships/hyperlink" Target="https://sede.minetur.gob.es/en-US/datosabiertos/catalogo/registro-productores-electrica" TargetMode="External"/><Relationship Id="rId2714" Type="http://schemas.openxmlformats.org/officeDocument/2006/relationships/hyperlink" Target="https://sede.minetur.gob.es/en-US/datosabiertos/catalogo/registro-productores-electrica" TargetMode="External"/><Relationship Id="rId2921" Type="http://schemas.openxmlformats.org/officeDocument/2006/relationships/hyperlink" Target="https://www.gov.uk/government/statistics/electricity-chapter-5-digest-of-united-kingdom-energy-statistics-dukes" TargetMode="External"/><Relationship Id="rId1316" Type="http://schemas.openxmlformats.org/officeDocument/2006/relationships/hyperlink" Target="http://www2018.terna.it/it-it/sistemaelettrico/transparencyreport/generation/installedgenerationcapacity.aspx" TargetMode="External"/><Relationship Id="rId1523" Type="http://schemas.openxmlformats.org/officeDocument/2006/relationships/hyperlink" Target="https://energiavirasto.fi/toimitusvarmuus" TargetMode="External"/><Relationship Id="rId1730" Type="http://schemas.openxmlformats.org/officeDocument/2006/relationships/hyperlink" Target="https://sede.minetur.gob.es/en-US/datosabiertos/catalogo/registro-productores-electrica" TargetMode="External"/><Relationship Id="rId4679" Type="http://schemas.openxmlformats.org/officeDocument/2006/relationships/hyperlink" Target="https://www.nve.no/energiforsyning/kraftproduksjon/vannkraft/vannkraftdatabase/" TargetMode="External"/><Relationship Id="rId4886" Type="http://schemas.openxmlformats.org/officeDocument/2006/relationships/hyperlink" Target="https://www.seng.si/en/hydropower-plants/small-hydropower-plants/" TargetMode="External"/><Relationship Id="rId22" Type="http://schemas.openxmlformats.org/officeDocument/2006/relationships/hyperlink" Target="https://www.elia.be/en/grid-data/power-generation/generating-facilities" TargetMode="External"/><Relationship Id="rId3488" Type="http://schemas.openxmlformats.org/officeDocument/2006/relationships/hyperlink" Target="https://www.nve.no/energiforsyning/kraftproduksjon/vannkraft/vannkraftdatabase/" TargetMode="External"/><Relationship Id="rId3695" Type="http://schemas.openxmlformats.org/officeDocument/2006/relationships/hyperlink" Target="https://www.nve.no/energiforsyning/kraftproduksjon/vannkraft/vannkraftdatabase/" TargetMode="External"/><Relationship Id="rId4539" Type="http://schemas.openxmlformats.org/officeDocument/2006/relationships/hyperlink" Target="https://www.nve.no/energiforsyning/kraftproduksjon/vannkraft/vannkraftdatabase/" TargetMode="External"/><Relationship Id="rId4746" Type="http://schemas.openxmlformats.org/officeDocument/2006/relationships/hyperlink" Target="https://www.nve.no/energiforsyning/kraftproduksjon/vannkraft/vannkraftdatabase/" TargetMode="External"/><Relationship Id="rId4953" Type="http://schemas.openxmlformats.org/officeDocument/2006/relationships/hyperlink" Target="https://www.verbund.com/de-at/ueber-verbund/kraftwerke/unsere-kraftwerke" TargetMode="External"/><Relationship Id="rId2297" Type="http://schemas.openxmlformats.org/officeDocument/2006/relationships/hyperlink" Target="https://sede.minetur.gob.es/en-US/datosabiertos/catalogo/registro-productores-electrica" TargetMode="External"/><Relationship Id="rId3348" Type="http://schemas.openxmlformats.org/officeDocument/2006/relationships/hyperlink" Target="https://www.nve.no/energiforsyning/kraftproduksjon/vannkraft/vannkraftdatabase/" TargetMode="External"/><Relationship Id="rId3555" Type="http://schemas.openxmlformats.org/officeDocument/2006/relationships/hyperlink" Target="https://www.nve.no/energiforsyning/kraftproduksjon/vannkraft/vannkraftdatabase/" TargetMode="External"/><Relationship Id="rId3762" Type="http://schemas.openxmlformats.org/officeDocument/2006/relationships/hyperlink" Target="https://www.nve.no/energiforsyning/kraftproduksjon/vannkraft/vannkraftdatabase/" TargetMode="External"/><Relationship Id="rId4606" Type="http://schemas.openxmlformats.org/officeDocument/2006/relationships/hyperlink" Target="https://www.nve.no/energiforsyning/kraftproduksjon/vannkraft/vannkraftdatabase/" TargetMode="External"/><Relationship Id="rId4813" Type="http://schemas.openxmlformats.org/officeDocument/2006/relationships/hyperlink" Target="http://www.teb.si/en/production-units" TargetMode="External"/><Relationship Id="rId269" Type="http://schemas.openxmlformats.org/officeDocument/2006/relationships/hyperlink" Target="https://www.services-rte.com/en/view-data-published-by-rte/production-installed-capacity.html" TargetMode="External"/><Relationship Id="rId476" Type="http://schemas.openxmlformats.org/officeDocument/2006/relationships/hyperlink" Target="https://www.ceps.cz/cs/priprava-provozu" TargetMode="External"/><Relationship Id="rId6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7" Type="http://schemas.openxmlformats.org/officeDocument/2006/relationships/hyperlink" Target="https://sede.minetur.gob.es/en-US/datosabiertos/catalogo/registro-productores-electrica" TargetMode="External"/><Relationship Id="rId2364" Type="http://schemas.openxmlformats.org/officeDocument/2006/relationships/hyperlink" Target="https://sede.minetur.gob.es/en-US/datosabiertos/catalogo/registro-productores-electrica" TargetMode="External"/><Relationship Id="rId2571" Type="http://schemas.openxmlformats.org/officeDocument/2006/relationships/hyperlink" Target="https://sede.minetur.gob.es/en-US/datosabiertos/catalogo/registro-productores-electrica" TargetMode="External"/><Relationship Id="rId3208" Type="http://schemas.openxmlformats.org/officeDocument/2006/relationships/hyperlink" Target="https://www.nve.no/energiforsyning/kraftproduksjon/vannkraft/vannkraftdatabase/" TargetMode="External"/><Relationship Id="rId3415" Type="http://schemas.openxmlformats.org/officeDocument/2006/relationships/hyperlink" Target="https://www.nve.no/energiforsyning/kraftproduksjon/vannkraft/vannkraftdatabase/" TargetMode="External"/><Relationship Id="rId129" Type="http://schemas.openxmlformats.org/officeDocument/2006/relationships/hyperlink" Target="https://www.tennet.org/english/operational_management/export_data.aspx" TargetMode="External"/><Relationship Id="rId336" Type="http://schemas.openxmlformats.org/officeDocument/2006/relationships/hyperlink" Target="http://gpi.tge.pl/en/wykaz-jednostek" TargetMode="External"/><Relationship Id="rId543" Type="http://schemas.openxmlformats.org/officeDocument/2006/relationships/hyperlink" Target="https://www.ceps.cz/cs/priprava-provozu" TargetMode="External"/><Relationship Id="rId11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0" Type="http://schemas.openxmlformats.org/officeDocument/2006/relationships/hyperlink" Target="http://www2018.terna.it/it-it/sistemaelettrico/transparencyreport/generation/installedgenerationcapacity.aspx" TargetMode="External"/><Relationship Id="rId2017" Type="http://schemas.openxmlformats.org/officeDocument/2006/relationships/hyperlink" Target="https://sede.minetur.gob.es/en-US/datosabiertos/catalogo/registro-productores-electrica" TargetMode="External"/><Relationship Id="rId2224" Type="http://schemas.openxmlformats.org/officeDocument/2006/relationships/hyperlink" Target="https://sede.minetur.gob.es/en-US/datosabiertos/catalogo/registro-productores-electrica" TargetMode="External"/><Relationship Id="rId3622" Type="http://schemas.openxmlformats.org/officeDocument/2006/relationships/hyperlink" Target="https://www.nve.no/energiforsyning/kraftproduksjon/vannkraft/vannkraftdatabase/" TargetMode="External"/><Relationship Id="rId403" Type="http://schemas.openxmlformats.org/officeDocument/2006/relationships/hyperlink" Target="http://gpi.tge.pl/en/wykaz-jednostek" TargetMode="External"/><Relationship Id="rId7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31" Type="http://schemas.openxmlformats.org/officeDocument/2006/relationships/hyperlink" Target="https://sede.minetur.gob.es/en-US/datosabiertos/catalogo/registro-productores-electrica" TargetMode="External"/><Relationship Id="rId4189" Type="http://schemas.openxmlformats.org/officeDocument/2006/relationships/hyperlink" Target="https://www.nve.no/energiforsyning/kraftproduksjon/vannkraft/vannkraftdatabase/" TargetMode="External"/><Relationship Id="rId6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049" Type="http://schemas.openxmlformats.org/officeDocument/2006/relationships/hyperlink" Target="https://www.nve.no/energiforsyning/kraftproduksjon/vannkraft/vannkraftdatabase/" TargetMode="External"/><Relationship Id="rId4396" Type="http://schemas.openxmlformats.org/officeDocument/2006/relationships/hyperlink" Target="https://www.nve.no/energiforsyning/kraftproduksjon/vannkraft/vannkraftdatabase/" TargetMode="External"/><Relationship Id="rId11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56" Type="http://schemas.openxmlformats.org/officeDocument/2006/relationships/hyperlink" Target="https://www.nve.no/energiforsyning/kraftproduksjon/vannkraft/vannkraftdatabase/" TargetMode="External"/><Relationship Id="rId4463" Type="http://schemas.openxmlformats.org/officeDocument/2006/relationships/hyperlink" Target="https://www.nve.no/energiforsyning/kraftproduksjon/vannkraft/vannkraftdatabase/" TargetMode="External"/><Relationship Id="rId4670" Type="http://schemas.openxmlformats.org/officeDocument/2006/relationships/hyperlink" Target="https://www.nve.no/energiforsyning/kraftproduksjon/vannkraft/vannkraftdatabase/" TargetMode="External"/><Relationship Id="rId1917" Type="http://schemas.openxmlformats.org/officeDocument/2006/relationships/hyperlink" Target="https://sede.minetur.gob.es/en-US/datosabiertos/catalogo/registro-productores-electrica" TargetMode="External"/><Relationship Id="rId3065" Type="http://schemas.openxmlformats.org/officeDocument/2006/relationships/hyperlink" Target="https://www.gov.uk/government/statistics/electricity-chapter-5-digest-of-united-kingdom-energy-statistics-dukes" TargetMode="External"/><Relationship Id="rId3272" Type="http://schemas.openxmlformats.org/officeDocument/2006/relationships/hyperlink" Target="https://www.nve.no/energiforsyning/kraftproduksjon/vannkraft/vannkraftdatabase/" TargetMode="External"/><Relationship Id="rId4116" Type="http://schemas.openxmlformats.org/officeDocument/2006/relationships/hyperlink" Target="https://www.nve.no/energiforsyning/kraftproduksjon/vannkraft/vannkraftdatabase/" TargetMode="External"/><Relationship Id="rId4323" Type="http://schemas.openxmlformats.org/officeDocument/2006/relationships/hyperlink" Target="https://www.nve.no/energiforsyning/kraftproduksjon/vannkraft/vannkraftdatabase/" TargetMode="External"/><Relationship Id="rId4530" Type="http://schemas.openxmlformats.org/officeDocument/2006/relationships/hyperlink" Target="https://www.nve.no/energiforsyning/kraftproduksjon/vannkraft/vannkraftdatabase/" TargetMode="External"/><Relationship Id="rId193" Type="http://schemas.openxmlformats.org/officeDocument/2006/relationships/hyperlink" Target="https://www.services-rte.com/en/view-data-published-by-rte/production-installed-capacity.html" TargetMode="External"/><Relationship Id="rId2081" Type="http://schemas.openxmlformats.org/officeDocument/2006/relationships/hyperlink" Target="https://sede.minetur.gob.es/en-US/datosabiertos/catalogo/registro-productores-electrica" TargetMode="External"/><Relationship Id="rId3132" Type="http://schemas.openxmlformats.org/officeDocument/2006/relationships/hyperlink" Target="https://www.nve.no/energiforsyning/kraftproduksjon/vannkraft/vannkraftdatabase/" TargetMode="External"/><Relationship Id="rId260" Type="http://schemas.openxmlformats.org/officeDocument/2006/relationships/hyperlink" Target="https://www.services-rte.com/en/view-data-published-by-rte/production-installed-capacity.html" TargetMode="External"/><Relationship Id="rId120" Type="http://schemas.openxmlformats.org/officeDocument/2006/relationships/hyperlink" Target="https://www.tennet.org/english/operational_management/export_data.aspx" TargetMode="External"/><Relationship Id="rId2898" Type="http://schemas.openxmlformats.org/officeDocument/2006/relationships/hyperlink" Target="https://www.gov.uk/government/statistics/electricity-chapter-5-digest-of-united-kingdom-energy-statistics-dukes" TargetMode="External"/><Relationship Id="rId3949" Type="http://schemas.openxmlformats.org/officeDocument/2006/relationships/hyperlink" Target="https://www.nve.no/energiforsyning/kraftproduksjon/vannkraft/vannkraftdatabase/" TargetMode="External"/><Relationship Id="rId2758" Type="http://schemas.openxmlformats.org/officeDocument/2006/relationships/hyperlink" Target="https://sede.minetur.gob.es/en-US/datosabiertos/catalogo/registro-productores-electrica" TargetMode="External"/><Relationship Id="rId2965" Type="http://schemas.openxmlformats.org/officeDocument/2006/relationships/hyperlink" Target="https://www.gov.uk/government/statistics/electricity-chapter-5-digest-of-united-kingdom-energy-statistics-dukes" TargetMode="External"/><Relationship Id="rId3809" Type="http://schemas.openxmlformats.org/officeDocument/2006/relationships/hyperlink" Target="https://www.nve.no/energiforsyning/kraftproduksjon/vannkraft/vannkraftdatabase/" TargetMode="External"/><Relationship Id="rId5024" Type="http://schemas.openxmlformats.org/officeDocument/2006/relationships/hyperlink" Target="https://orsted.com/en/Media/Newsroom/News/2017/10/Denmarks-largest-power-station-replaces-coal-with-wood-pellets" TargetMode="External"/><Relationship Id="rId9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7" Type="http://schemas.openxmlformats.org/officeDocument/2006/relationships/hyperlink" Target="https://energiavirasto.fi/toimitusvarmuus" TargetMode="External"/><Relationship Id="rId1774" Type="http://schemas.openxmlformats.org/officeDocument/2006/relationships/hyperlink" Target="https://sede.minetur.gob.es/en-US/datosabiertos/catalogo/registro-productores-electrica" TargetMode="External"/><Relationship Id="rId1981" Type="http://schemas.openxmlformats.org/officeDocument/2006/relationships/hyperlink" Target="https://sede.minetur.gob.es/en-US/datosabiertos/catalogo/registro-productores-electrica" TargetMode="External"/><Relationship Id="rId2618" Type="http://schemas.openxmlformats.org/officeDocument/2006/relationships/hyperlink" Target="https://sede.minetur.gob.es/en-US/datosabiertos/catalogo/registro-productores-electrica" TargetMode="External"/><Relationship Id="rId2825" Type="http://schemas.openxmlformats.org/officeDocument/2006/relationships/hyperlink" Target="https://sede.minetur.gob.es/en-US/datosabiertos/catalogo/registro-productores-electrica" TargetMode="External"/><Relationship Id="rId4180" Type="http://schemas.openxmlformats.org/officeDocument/2006/relationships/hyperlink" Target="https://www.nve.no/energiforsyning/kraftproduksjon/vannkraft/vannkraftdatabase/" TargetMode="External"/><Relationship Id="rId66" Type="http://schemas.openxmlformats.org/officeDocument/2006/relationships/hyperlink" Target="https://www.elia.be/en/grid-data/power-generation/generating-facilities" TargetMode="External"/><Relationship Id="rId1427" Type="http://schemas.openxmlformats.org/officeDocument/2006/relationships/hyperlink" Target="https://energiavirasto.fi/toimitusvarmuus" TargetMode="External"/><Relationship Id="rId1634" Type="http://schemas.openxmlformats.org/officeDocument/2006/relationships/hyperlink" Target="https://energiavirasto.fi/toimitusvarmuus" TargetMode="External"/><Relationship Id="rId1841" Type="http://schemas.openxmlformats.org/officeDocument/2006/relationships/hyperlink" Target="https://sede.minetur.gob.es/en-US/datosabiertos/catalogo/registro-productores-electrica" TargetMode="External"/><Relationship Id="rId4040" Type="http://schemas.openxmlformats.org/officeDocument/2006/relationships/hyperlink" Target="https://www.nve.no/energiforsyning/kraftproduksjon/vannkraft/vannkraftdatabase/" TargetMode="External"/><Relationship Id="rId4997" Type="http://schemas.openxmlformats.org/officeDocument/2006/relationships/hyperlink" Target="https://www.verbund.com/de-at/ueber-verbund/kraftwerke/unsere-kraftwerke" TargetMode="External"/><Relationship Id="rId3599" Type="http://schemas.openxmlformats.org/officeDocument/2006/relationships/hyperlink" Target="https://www.nve.no/energiforsyning/kraftproduksjon/vannkraft/vannkraftdatabase/" TargetMode="External"/><Relationship Id="rId4857" Type="http://schemas.openxmlformats.org/officeDocument/2006/relationships/hyperlink" Target="https://www.sel.si/HE-mavcice" TargetMode="External"/><Relationship Id="rId1701" Type="http://schemas.openxmlformats.org/officeDocument/2006/relationships/hyperlink" Target="https://sede.minetur.gob.es/en-US/datosabiertos/catalogo/registro-productores-electrica" TargetMode="External"/><Relationship Id="rId3459" Type="http://schemas.openxmlformats.org/officeDocument/2006/relationships/hyperlink" Target="https://www.nve.no/energiforsyning/kraftproduksjon/vannkraft/vannkraftdatabase/" TargetMode="External"/><Relationship Id="rId3666" Type="http://schemas.openxmlformats.org/officeDocument/2006/relationships/hyperlink" Target="https://www.nve.no/energiforsyning/kraftproduksjon/vannkraft/vannkraftdatabase/" TargetMode="External"/><Relationship Id="rId5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8" Type="http://schemas.openxmlformats.org/officeDocument/2006/relationships/hyperlink" Target="https://sede.minetur.gob.es/en-US/datosabiertos/catalogo/registro-productores-electrica" TargetMode="External"/><Relationship Id="rId3319" Type="http://schemas.openxmlformats.org/officeDocument/2006/relationships/hyperlink" Target="https://www.nve.no/energiforsyning/kraftproduksjon/vannkraft/vannkraftdatabase/" TargetMode="External"/><Relationship Id="rId3873" Type="http://schemas.openxmlformats.org/officeDocument/2006/relationships/hyperlink" Target="https://www.nve.no/energiforsyning/kraftproduksjon/vannkraft/vannkraftdatabase/" TargetMode="External"/><Relationship Id="rId4717" Type="http://schemas.openxmlformats.org/officeDocument/2006/relationships/hyperlink" Target="https://www.nve.no/energiforsyning/kraftproduksjon/vannkraft/vannkraftdatabase/" TargetMode="External"/><Relationship Id="rId4924" Type="http://schemas.openxmlformats.org/officeDocument/2006/relationships/hyperlink" Target="https://www.verbund.com/de-at/ueber-verbund/kraftwerke/unsere-kraftwerke" TargetMode="External"/><Relationship Id="rId447" Type="http://schemas.openxmlformats.org/officeDocument/2006/relationships/hyperlink" Target="https://www.ceps.cz/cs/priprava-provozu" TargetMode="External"/><Relationship Id="rId7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8" Type="http://schemas.openxmlformats.org/officeDocument/2006/relationships/hyperlink" Target="https://sede.minetur.gob.es/en-US/datosabiertos/catalogo/registro-productores-electrica" TargetMode="External"/><Relationship Id="rId2475" Type="http://schemas.openxmlformats.org/officeDocument/2006/relationships/hyperlink" Target="https://sede.minetur.gob.es/en-US/datosabiertos/catalogo/registro-productores-electrica" TargetMode="External"/><Relationship Id="rId2682" Type="http://schemas.openxmlformats.org/officeDocument/2006/relationships/hyperlink" Target="https://sede.minetur.gob.es/en-US/datosabiertos/catalogo/registro-productores-electrica" TargetMode="External"/><Relationship Id="rId3526" Type="http://schemas.openxmlformats.org/officeDocument/2006/relationships/hyperlink" Target="https://www.nve.no/energiforsyning/kraftproduksjon/vannkraft/vannkraftdatabase/" TargetMode="External"/><Relationship Id="rId3733" Type="http://schemas.openxmlformats.org/officeDocument/2006/relationships/hyperlink" Target="https://www.nve.no/energiforsyning/kraftproduksjon/vannkraft/vannkraftdatabase/" TargetMode="External"/><Relationship Id="rId3940" Type="http://schemas.openxmlformats.org/officeDocument/2006/relationships/hyperlink" Target="https://www.nve.no/energiforsyning/kraftproduksjon/vannkraft/vannkraftdatabase/" TargetMode="External"/><Relationship Id="rId6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4" Type="http://schemas.openxmlformats.org/officeDocument/2006/relationships/hyperlink" Target="http://www2018.terna.it/it-it/sistemaelettrico/transparencyreport/generation/installedgenerationcapacity.aspx" TargetMode="External"/><Relationship Id="rId1491" Type="http://schemas.openxmlformats.org/officeDocument/2006/relationships/hyperlink" Target="https://energiavirasto.fi/toimitusvarmuus" TargetMode="External"/><Relationship Id="rId2335" Type="http://schemas.openxmlformats.org/officeDocument/2006/relationships/hyperlink" Target="https://sede.minetur.gob.es/en-US/datosabiertos/catalogo/registro-productores-electrica" TargetMode="External"/><Relationship Id="rId2542" Type="http://schemas.openxmlformats.org/officeDocument/2006/relationships/hyperlink" Target="https://sede.minetur.gob.es/en-US/datosabiertos/catalogo/registro-productores-electrica" TargetMode="External"/><Relationship Id="rId3800" Type="http://schemas.openxmlformats.org/officeDocument/2006/relationships/hyperlink" Target="https://www.nve.no/energiforsyning/kraftproduksjon/vannkraft/vannkraftdatabase/" TargetMode="External"/><Relationship Id="rId307" Type="http://schemas.openxmlformats.org/officeDocument/2006/relationships/hyperlink" Target="https://www.services-rte.com/en/view-data-published-by-rte/production-installed-capacity.html" TargetMode="External"/><Relationship Id="rId514" Type="http://schemas.openxmlformats.org/officeDocument/2006/relationships/hyperlink" Target="https://www.ceps.cz/cs/priprava-provozu" TargetMode="External"/><Relationship Id="rId7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1" Type="http://schemas.openxmlformats.org/officeDocument/2006/relationships/hyperlink" Target="http://www2018.terna.it/it-it/sistemaelettrico/transparencyreport/generation/installedgenerationcapacity.aspx" TargetMode="External"/><Relationship Id="rId2402" Type="http://schemas.openxmlformats.org/officeDocument/2006/relationships/hyperlink" Target="https://sede.minetur.gob.es/en-US/datosabiertos/catalogo/registro-productores-electrica" TargetMode="External"/><Relationship Id="rId10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67" Type="http://schemas.openxmlformats.org/officeDocument/2006/relationships/hyperlink" Target="https://www.nve.no/energiforsyning/kraftproduksjon/vannkraft/vannkraftdatabase/" TargetMode="External"/><Relationship Id="rId4574" Type="http://schemas.openxmlformats.org/officeDocument/2006/relationships/hyperlink" Target="https://www.nve.no/energiforsyning/kraftproduksjon/vannkraft/vannkraftdatabase/" TargetMode="External"/><Relationship Id="rId4781" Type="http://schemas.openxmlformats.org/officeDocument/2006/relationships/hyperlink" Target="https://www.nve.no/media/8967/termiske-kraftverk-i-norge-2019.xlsx" TargetMode="External"/><Relationship Id="rId3176" Type="http://schemas.openxmlformats.org/officeDocument/2006/relationships/hyperlink" Target="https://www.nve.no/energiforsyning/kraftproduksjon/vannkraft/vannkraftdatabase/" TargetMode="External"/><Relationship Id="rId3383" Type="http://schemas.openxmlformats.org/officeDocument/2006/relationships/hyperlink" Target="https://www.nve.no/energiforsyning/kraftproduksjon/vannkraft/vannkraftdatabase/" TargetMode="External"/><Relationship Id="rId3590" Type="http://schemas.openxmlformats.org/officeDocument/2006/relationships/hyperlink" Target="https://www.nve.no/energiforsyning/kraftproduksjon/vannkraft/vannkraftdatabase/" TargetMode="External"/><Relationship Id="rId4227" Type="http://schemas.openxmlformats.org/officeDocument/2006/relationships/hyperlink" Target="https://www.nve.no/energiforsyning/kraftproduksjon/vannkraft/vannkraftdatabase/" TargetMode="External"/><Relationship Id="rId4434" Type="http://schemas.openxmlformats.org/officeDocument/2006/relationships/hyperlink" Target="https://www.nve.no/energiforsyning/kraftproduksjon/vannkraft/vannkraftdatabase/" TargetMode="External"/><Relationship Id="rId2192" Type="http://schemas.openxmlformats.org/officeDocument/2006/relationships/hyperlink" Target="https://sede.minetur.gob.es/en-US/datosabiertos/catalogo/registro-productores-electrica" TargetMode="External"/><Relationship Id="rId3036" Type="http://schemas.openxmlformats.org/officeDocument/2006/relationships/hyperlink" Target="https://www.gov.uk/government/statistics/electricity-chapter-5-digest-of-united-kingdom-energy-statistics-dukes" TargetMode="External"/><Relationship Id="rId3243" Type="http://schemas.openxmlformats.org/officeDocument/2006/relationships/hyperlink" Target="https://www.nve.no/energiforsyning/kraftproduksjon/vannkraft/vannkraftdatabase/" TargetMode="External"/><Relationship Id="rId4641" Type="http://schemas.openxmlformats.org/officeDocument/2006/relationships/hyperlink" Target="https://www.nve.no/energiforsyning/kraftproduksjon/vannkraft/vannkraftdatabase/" TargetMode="External"/><Relationship Id="rId164" Type="http://schemas.openxmlformats.org/officeDocument/2006/relationships/hyperlink" Target="https://www.tennet.org/english/operational_management/export_data.aspx" TargetMode="External"/><Relationship Id="rId371" Type="http://schemas.openxmlformats.org/officeDocument/2006/relationships/hyperlink" Target="http://gpi.tge.pl/en/wykaz-jednostek" TargetMode="External"/><Relationship Id="rId2052" Type="http://schemas.openxmlformats.org/officeDocument/2006/relationships/hyperlink" Target="https://sede.minetur.gob.es/en-US/datosabiertos/catalogo/registro-productores-electrica" TargetMode="External"/><Relationship Id="rId3450" Type="http://schemas.openxmlformats.org/officeDocument/2006/relationships/hyperlink" Target="https://www.nve.no/energiforsyning/kraftproduksjon/vannkraft/vannkraftdatabase/" TargetMode="External"/><Relationship Id="rId4501" Type="http://schemas.openxmlformats.org/officeDocument/2006/relationships/hyperlink" Target="https://www.nve.no/energiforsyning/kraftproduksjon/vannkraft/vannkraftdatabase/" TargetMode="External"/><Relationship Id="rId3103" Type="http://schemas.openxmlformats.org/officeDocument/2006/relationships/hyperlink" Target="https://www.nve.no/energiforsyning/kraftproduksjon/vannkraft/vannkraftdatabase/" TargetMode="External"/><Relationship Id="rId3310" Type="http://schemas.openxmlformats.org/officeDocument/2006/relationships/hyperlink" Target="https://www.nve.no/energiforsyning/kraftproduksjon/vannkraft/vannkraftdatabase/" TargetMode="External"/><Relationship Id="rId231" Type="http://schemas.openxmlformats.org/officeDocument/2006/relationships/hyperlink" Target="https://www.services-rte.com/en/view-data-published-by-rte/production-installed-capacity.html" TargetMode="External"/><Relationship Id="rId2869" Type="http://schemas.openxmlformats.org/officeDocument/2006/relationships/hyperlink" Target="https://www.gov.uk/government/statistics/electricity-chapter-5-digest-of-united-kingdom-energy-statistics-dukes" TargetMode="External"/><Relationship Id="rId1678" Type="http://schemas.openxmlformats.org/officeDocument/2006/relationships/hyperlink" Target="https://energiavirasto.fi/toimitusvarmuus" TargetMode="External"/><Relationship Id="rId1885" Type="http://schemas.openxmlformats.org/officeDocument/2006/relationships/hyperlink" Target="https://sede.minetur.gob.es/en-US/datosabiertos/catalogo/registro-productores-electrica" TargetMode="External"/><Relationship Id="rId2729" Type="http://schemas.openxmlformats.org/officeDocument/2006/relationships/hyperlink" Target="https://sede.minetur.gob.es/en-US/datosabiertos/catalogo/registro-productores-electrica" TargetMode="External"/><Relationship Id="rId2936" Type="http://schemas.openxmlformats.org/officeDocument/2006/relationships/hyperlink" Target="https://www.gov.uk/government/statistics/electricity-chapter-5-digest-of-united-kingdom-energy-statistics-dukes" TargetMode="External"/><Relationship Id="rId4084" Type="http://schemas.openxmlformats.org/officeDocument/2006/relationships/hyperlink" Target="https://www.nve.no/energiforsyning/kraftproduksjon/vannkraft/vannkraftdatabase/" TargetMode="External"/><Relationship Id="rId4291" Type="http://schemas.openxmlformats.org/officeDocument/2006/relationships/hyperlink" Target="https://www.nve.no/energiforsyning/kraftproduksjon/vannkraft/vannkraftdatabase/" TargetMode="External"/><Relationship Id="rId9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8" Type="http://schemas.openxmlformats.org/officeDocument/2006/relationships/hyperlink" Target="https://energiavirasto.fi/toimitusvarmuus" TargetMode="External"/><Relationship Id="rId4151" Type="http://schemas.openxmlformats.org/officeDocument/2006/relationships/hyperlink" Target="https://www.nve.no/energiforsyning/kraftproduksjon/vannkraft/vannkraftdatabase/" TargetMode="External"/><Relationship Id="rId1745" Type="http://schemas.openxmlformats.org/officeDocument/2006/relationships/hyperlink" Target="https://sede.minetur.gob.es/en-US/datosabiertos/catalogo/registro-productores-electrica" TargetMode="External"/><Relationship Id="rId1952" Type="http://schemas.openxmlformats.org/officeDocument/2006/relationships/hyperlink" Target="https://sede.minetur.gob.es/en-US/datosabiertos/catalogo/registro-productores-electrica" TargetMode="External"/><Relationship Id="rId4011" Type="http://schemas.openxmlformats.org/officeDocument/2006/relationships/hyperlink" Target="https://www.nve.no/energiforsyning/kraftproduksjon/vannkraft/vannkraftdatabase/" TargetMode="External"/><Relationship Id="rId37" Type="http://schemas.openxmlformats.org/officeDocument/2006/relationships/hyperlink" Target="https://www.elia.be/en/grid-data/power-generation/generating-facilities" TargetMode="External"/><Relationship Id="rId1605" Type="http://schemas.openxmlformats.org/officeDocument/2006/relationships/hyperlink" Target="https://energiavirasto.fi/toimitusvarmuus" TargetMode="External"/><Relationship Id="rId1812" Type="http://schemas.openxmlformats.org/officeDocument/2006/relationships/hyperlink" Target="https://sede.minetur.gob.es/en-US/datosabiertos/catalogo/registro-productores-electrica" TargetMode="External"/><Relationship Id="rId4968" Type="http://schemas.openxmlformats.org/officeDocument/2006/relationships/hyperlink" Target="https://www.verbund.com/de-at/ueber-verbund/kraftwerke/unsere-kraftwerke" TargetMode="External"/><Relationship Id="rId3777" Type="http://schemas.openxmlformats.org/officeDocument/2006/relationships/hyperlink" Target="https://www.nve.no/energiforsyning/kraftproduksjon/vannkraft/vannkraftdatabase/" TargetMode="External"/><Relationship Id="rId3984" Type="http://schemas.openxmlformats.org/officeDocument/2006/relationships/hyperlink" Target="https://www.nve.no/energiforsyning/kraftproduksjon/vannkraft/vannkraftdatabase/" TargetMode="External"/><Relationship Id="rId4828" Type="http://schemas.openxmlformats.org/officeDocument/2006/relationships/hyperlink" Target="https://www.seng.si/en/hydropower-plants/large-hydropower-plants/" TargetMode="External"/><Relationship Id="rId6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79" Type="http://schemas.openxmlformats.org/officeDocument/2006/relationships/hyperlink" Target="https://sede.minetur.gob.es/en-US/datosabiertos/catalogo/registro-productores-electrica" TargetMode="External"/><Relationship Id="rId2586" Type="http://schemas.openxmlformats.org/officeDocument/2006/relationships/hyperlink" Target="https://sede.minetur.gob.es/en-US/datosabiertos/catalogo/registro-productores-electrica" TargetMode="External"/><Relationship Id="rId2793" Type="http://schemas.openxmlformats.org/officeDocument/2006/relationships/hyperlink" Target="https://sede.minetur.gob.es/en-US/datosabiertos/catalogo/registro-productores-electrica" TargetMode="External"/><Relationship Id="rId3637" Type="http://schemas.openxmlformats.org/officeDocument/2006/relationships/hyperlink" Target="https://www.nve.no/energiforsyning/kraftproduksjon/vannkraft/vannkraftdatabase/" TargetMode="External"/><Relationship Id="rId3844" Type="http://schemas.openxmlformats.org/officeDocument/2006/relationships/hyperlink" Target="https://www.nve.no/energiforsyning/kraftproduksjon/vannkraft/vannkraftdatabase/" TargetMode="External"/><Relationship Id="rId558" Type="http://schemas.openxmlformats.org/officeDocument/2006/relationships/hyperlink" Target="https://www.ceps.cz/cs/priprava-provozu" TargetMode="External"/><Relationship Id="rId7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5" Type="http://schemas.openxmlformats.org/officeDocument/2006/relationships/hyperlink" Target="https://energiavirasto.fi/toimitusvarmuus" TargetMode="External"/><Relationship Id="rId2239" Type="http://schemas.openxmlformats.org/officeDocument/2006/relationships/hyperlink" Target="https://sede.minetur.gob.es/en-US/datosabiertos/catalogo/registro-productores-electrica" TargetMode="External"/><Relationship Id="rId2446" Type="http://schemas.openxmlformats.org/officeDocument/2006/relationships/hyperlink" Target="https://sede.minetur.gob.es/en-US/datosabiertos/catalogo/registro-productores-electrica" TargetMode="External"/><Relationship Id="rId2653" Type="http://schemas.openxmlformats.org/officeDocument/2006/relationships/hyperlink" Target="https://sede.minetur.gob.es/en-US/datosabiertos/catalogo/registro-productores-electrica" TargetMode="External"/><Relationship Id="rId2860" Type="http://schemas.openxmlformats.org/officeDocument/2006/relationships/hyperlink" Target="https://www.gov.uk/government/statistics/electricity-chapter-5-digest-of-united-kingdom-energy-statistics-dukes" TargetMode="External"/><Relationship Id="rId3704" Type="http://schemas.openxmlformats.org/officeDocument/2006/relationships/hyperlink" Target="https://www.nve.no/energiforsyning/kraftproduksjon/vannkraft/vannkraftdatabase/" TargetMode="External"/><Relationship Id="rId418" Type="http://schemas.openxmlformats.org/officeDocument/2006/relationships/hyperlink" Target="http://gpi.tge.pl/en/wykaz-jednostek" TargetMode="External"/><Relationship Id="rId6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5" Type="http://schemas.openxmlformats.org/officeDocument/2006/relationships/hyperlink" Target="http://www2018.terna.it/it-it/sistemaelettrico/transparencyreport/generation/installedgenerationcapacity.aspx" TargetMode="External"/><Relationship Id="rId1462" Type="http://schemas.openxmlformats.org/officeDocument/2006/relationships/hyperlink" Target="https://energiavirasto.fi/toimitusvarmuus" TargetMode="External"/><Relationship Id="rId2306" Type="http://schemas.openxmlformats.org/officeDocument/2006/relationships/hyperlink" Target="https://sede.minetur.gob.es/en-US/datosabiertos/catalogo/registro-productores-electrica" TargetMode="External"/><Relationship Id="rId2513" Type="http://schemas.openxmlformats.org/officeDocument/2006/relationships/hyperlink" Target="https://sede.minetur.gob.es/en-US/datosabiertos/catalogo/registro-productores-electrica" TargetMode="External"/><Relationship Id="rId3911" Type="http://schemas.openxmlformats.org/officeDocument/2006/relationships/hyperlink" Target="https://www.nve.no/energiforsyning/kraftproduksjon/vannkraft/vannkraftdatabase/" TargetMode="External"/><Relationship Id="rId11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2" Type="http://schemas.openxmlformats.org/officeDocument/2006/relationships/hyperlink" Target="http://www2018.terna.it/it-it/sistemaelettrico/transparencyreport/generation/installedgenerationcapacity.aspx" TargetMode="External"/><Relationship Id="rId2720" Type="http://schemas.openxmlformats.org/officeDocument/2006/relationships/hyperlink" Target="https://sede.minetur.gob.es/en-US/datosabiertos/catalogo/registro-productores-electrica" TargetMode="External"/><Relationship Id="rId4478" Type="http://schemas.openxmlformats.org/officeDocument/2006/relationships/hyperlink" Target="https://www.nve.no/energiforsyning/kraftproduksjon/vannkraft/vannkraftdatabase/" TargetMode="External"/><Relationship Id="rId3287" Type="http://schemas.openxmlformats.org/officeDocument/2006/relationships/hyperlink" Target="https://www.nve.no/energiforsyning/kraftproduksjon/vannkraft/vannkraftdatabase/" TargetMode="External"/><Relationship Id="rId4338" Type="http://schemas.openxmlformats.org/officeDocument/2006/relationships/hyperlink" Target="https://www.nve.no/energiforsyning/kraftproduksjon/vannkraft/vannkraftdatabase/" TargetMode="External"/><Relationship Id="rId4685" Type="http://schemas.openxmlformats.org/officeDocument/2006/relationships/hyperlink" Target="https://www.nve.no/energiforsyning/kraftproduksjon/vannkraft/vannkraftdatabase/" TargetMode="External"/><Relationship Id="rId4892" Type="http://schemas.openxmlformats.org/officeDocument/2006/relationships/hyperlink" Target="http://www.dem.si/en-gb/Power-plants-and-generation/General-data" TargetMode="External"/><Relationship Id="rId2096" Type="http://schemas.openxmlformats.org/officeDocument/2006/relationships/hyperlink" Target="https://sede.minetur.gob.es/en-US/datosabiertos/catalogo/registro-productores-electrica" TargetMode="External"/><Relationship Id="rId3494" Type="http://schemas.openxmlformats.org/officeDocument/2006/relationships/hyperlink" Target="https://www.nve.no/energiforsyning/kraftproduksjon/vannkraft/vannkraftdatabase/" TargetMode="External"/><Relationship Id="rId4545" Type="http://schemas.openxmlformats.org/officeDocument/2006/relationships/hyperlink" Target="https://www.nve.no/energiforsyning/kraftproduksjon/vannkraft/vannkraftdatabase/" TargetMode="External"/><Relationship Id="rId4752" Type="http://schemas.openxmlformats.org/officeDocument/2006/relationships/hyperlink" Target="https://www.nve.no/energiforsyning/kraftproduksjon/vannkraft/vannkraftdatabase/" TargetMode="External"/><Relationship Id="rId3147" Type="http://schemas.openxmlformats.org/officeDocument/2006/relationships/hyperlink" Target="https://www.nve.no/energiforsyning/kraftproduksjon/vannkraft/vannkraftdatabase/" TargetMode="External"/><Relationship Id="rId3354" Type="http://schemas.openxmlformats.org/officeDocument/2006/relationships/hyperlink" Target="https://www.nve.no/energiforsyning/kraftproduksjon/vannkraft/vannkraftdatabase/" TargetMode="External"/><Relationship Id="rId3561" Type="http://schemas.openxmlformats.org/officeDocument/2006/relationships/hyperlink" Target="https://www.nve.no/energiforsyning/kraftproduksjon/vannkraft/vannkraftdatabase/" TargetMode="External"/><Relationship Id="rId4405" Type="http://schemas.openxmlformats.org/officeDocument/2006/relationships/hyperlink" Target="https://www.nve.no/energiforsyning/kraftproduksjon/vannkraft/vannkraftdatabase/" TargetMode="External"/><Relationship Id="rId4612" Type="http://schemas.openxmlformats.org/officeDocument/2006/relationships/hyperlink" Target="https://www.nve.no/energiforsyning/kraftproduksjon/vannkraft/vannkraftdatabase/" TargetMode="External"/><Relationship Id="rId275" Type="http://schemas.openxmlformats.org/officeDocument/2006/relationships/hyperlink" Target="https://www.services-rte.com/en/view-data-published-by-rte/production-installed-capacity.html" TargetMode="External"/><Relationship Id="rId482" Type="http://schemas.openxmlformats.org/officeDocument/2006/relationships/hyperlink" Target="https://www.ceps.cz/cs/priprava-provozu" TargetMode="External"/><Relationship Id="rId2163" Type="http://schemas.openxmlformats.org/officeDocument/2006/relationships/hyperlink" Target="https://sede.minetur.gob.es/en-US/datosabiertos/catalogo/registro-productores-electrica" TargetMode="External"/><Relationship Id="rId2370" Type="http://schemas.openxmlformats.org/officeDocument/2006/relationships/hyperlink" Target="https://sede.minetur.gob.es/en-US/datosabiertos/catalogo/registro-productores-electrica" TargetMode="External"/><Relationship Id="rId3007" Type="http://schemas.openxmlformats.org/officeDocument/2006/relationships/hyperlink" Target="https://www.gov.uk/government/statistics/electricity-chapter-5-digest-of-united-kingdom-energy-statistics-dukes" TargetMode="External"/><Relationship Id="rId3214" Type="http://schemas.openxmlformats.org/officeDocument/2006/relationships/hyperlink" Target="https://www.nve.no/energiforsyning/kraftproduksjon/vannkraft/vannkraftdatabase/" TargetMode="External"/><Relationship Id="rId3421" Type="http://schemas.openxmlformats.org/officeDocument/2006/relationships/hyperlink" Target="https://www.nve.no/energiforsyning/kraftproduksjon/vannkraft/vannkraftdatabase/" TargetMode="External"/><Relationship Id="rId135" Type="http://schemas.openxmlformats.org/officeDocument/2006/relationships/hyperlink" Target="https://www.tennet.org/english/operational_management/export_data.aspx" TargetMode="External"/><Relationship Id="rId342" Type="http://schemas.openxmlformats.org/officeDocument/2006/relationships/hyperlink" Target="http://gpi.tge.pl/en/wykaz-jednostek" TargetMode="External"/><Relationship Id="rId2023" Type="http://schemas.openxmlformats.org/officeDocument/2006/relationships/hyperlink" Target="https://sede.minetur.gob.es/en-US/datosabiertos/catalogo/registro-productores-electrica" TargetMode="External"/><Relationship Id="rId2230" Type="http://schemas.openxmlformats.org/officeDocument/2006/relationships/hyperlink" Target="https://sede.minetur.gob.es/en-US/datosabiertos/catalogo/registro-productores-electrica" TargetMode="External"/><Relationship Id="rId202" Type="http://schemas.openxmlformats.org/officeDocument/2006/relationships/hyperlink" Target="https://www.services-rte.com/en/view-data-published-by-rte/production-installed-capacity.html" TargetMode="External"/><Relationship Id="rId4195" Type="http://schemas.openxmlformats.org/officeDocument/2006/relationships/hyperlink" Target="https://www.nve.no/energiforsyning/kraftproduksjon/vannkraft/vannkraftdatabase/" TargetMode="External"/><Relationship Id="rId5039" Type="http://schemas.openxmlformats.org/officeDocument/2006/relationships/comments" Target="../comments1.xml"/><Relationship Id="rId1789" Type="http://schemas.openxmlformats.org/officeDocument/2006/relationships/hyperlink" Target="https://sede.minetur.gob.es/en-US/datosabiertos/catalogo/registro-productores-electrica" TargetMode="External"/><Relationship Id="rId1996" Type="http://schemas.openxmlformats.org/officeDocument/2006/relationships/hyperlink" Target="https://sede.minetur.gob.es/en-US/datosabiertos/catalogo/registro-productores-electrica" TargetMode="External"/><Relationship Id="rId4055" Type="http://schemas.openxmlformats.org/officeDocument/2006/relationships/hyperlink" Target="https://www.nve.no/energiforsyning/kraftproduksjon/vannkraft/vannkraftdatabase/" TargetMode="External"/><Relationship Id="rId4262" Type="http://schemas.openxmlformats.org/officeDocument/2006/relationships/hyperlink" Target="https://www.nve.no/energiforsyning/kraftproduksjon/vannkraft/vannkraftdatabase/" TargetMode="External"/><Relationship Id="rId1649" Type="http://schemas.openxmlformats.org/officeDocument/2006/relationships/hyperlink" Target="https://energiavirasto.fi/toimitusvarmuus" TargetMode="External"/><Relationship Id="rId1856" Type="http://schemas.openxmlformats.org/officeDocument/2006/relationships/hyperlink" Target="https://sede.minetur.gob.es/en-US/datosabiertos/catalogo/registro-productores-electrica" TargetMode="External"/><Relationship Id="rId2907" Type="http://schemas.openxmlformats.org/officeDocument/2006/relationships/hyperlink" Target="https://www.gov.uk/government/statistics/electricity-chapter-5-digest-of-united-kingdom-energy-statistics-dukes" TargetMode="External"/><Relationship Id="rId3071" Type="http://schemas.openxmlformats.org/officeDocument/2006/relationships/hyperlink" Target="https://www.gov.uk/government/statistics/electricity-chapter-5-digest-of-united-kingdom-energy-statistics-dukes" TargetMode="External"/><Relationship Id="rId1509" Type="http://schemas.openxmlformats.org/officeDocument/2006/relationships/hyperlink" Target="https://energiavirasto.fi/toimitusvarmuus" TargetMode="External"/><Relationship Id="rId1716" Type="http://schemas.openxmlformats.org/officeDocument/2006/relationships/hyperlink" Target="https://sede.minetur.gob.es/en-US/datosabiertos/catalogo/registro-productores-electrica" TargetMode="External"/><Relationship Id="rId1923" Type="http://schemas.openxmlformats.org/officeDocument/2006/relationships/hyperlink" Target="https://sede.minetur.gob.es/en-US/datosabiertos/catalogo/registro-productores-electrica" TargetMode="External"/><Relationship Id="rId4122" Type="http://schemas.openxmlformats.org/officeDocument/2006/relationships/hyperlink" Target="https://www.nve.no/energiforsyning/kraftproduksjon/vannkraft/vannkraftdatabase/" TargetMode="External"/><Relationship Id="rId3888" Type="http://schemas.openxmlformats.org/officeDocument/2006/relationships/hyperlink" Target="https://www.nve.no/energiforsyning/kraftproduksjon/vannkraft/vannkraftdatabase/" TargetMode="External"/><Relationship Id="rId4939" Type="http://schemas.openxmlformats.org/officeDocument/2006/relationships/hyperlink" Target="https://www.verbund.com/de-at/ueber-verbund/kraftwerke/unsere-kraftwerke" TargetMode="External"/><Relationship Id="rId2697" Type="http://schemas.openxmlformats.org/officeDocument/2006/relationships/hyperlink" Target="https://sede.minetur.gob.es/en-US/datosabiertos/catalogo/registro-productores-electrica" TargetMode="External"/><Relationship Id="rId3748" Type="http://schemas.openxmlformats.org/officeDocument/2006/relationships/hyperlink" Target="https://www.nve.no/energiforsyning/kraftproduksjon/vannkraft/vannkraftdatabase/" TargetMode="External"/><Relationship Id="rId6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9" Type="http://schemas.openxmlformats.org/officeDocument/2006/relationships/hyperlink" Target="http://www2018.terna.it/it-it/sistemaelettrico/transparencyreport/generation/installedgenerationcapacity.aspx" TargetMode="External"/><Relationship Id="rId2557" Type="http://schemas.openxmlformats.org/officeDocument/2006/relationships/hyperlink" Target="https://sede.minetur.gob.es/en-US/datosabiertos/catalogo/registro-productores-electrica" TargetMode="External"/><Relationship Id="rId3608" Type="http://schemas.openxmlformats.org/officeDocument/2006/relationships/hyperlink" Target="https://www.nve.no/energiforsyning/kraftproduksjon/vannkraft/vannkraftdatabase/" TargetMode="External"/><Relationship Id="rId3955" Type="http://schemas.openxmlformats.org/officeDocument/2006/relationships/hyperlink" Target="https://www.nve.no/energiforsyning/kraftproduksjon/vannkraft/vannkraftdatabase/" TargetMode="External"/><Relationship Id="rId529" Type="http://schemas.openxmlformats.org/officeDocument/2006/relationships/hyperlink" Target="https://www.ceps.cz/cs/priprava-provozu" TargetMode="External"/><Relationship Id="rId7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6" Type="http://schemas.openxmlformats.org/officeDocument/2006/relationships/hyperlink" Target="http://www2018.terna.it/it-it/sistemaelettrico/transparencyreport/generation/installedgenerationcapacity.aspx" TargetMode="External"/><Relationship Id="rId2417" Type="http://schemas.openxmlformats.org/officeDocument/2006/relationships/hyperlink" Target="https://sede.minetur.gob.es/en-US/datosabiertos/catalogo/registro-productores-electrica" TargetMode="External"/><Relationship Id="rId2764" Type="http://schemas.openxmlformats.org/officeDocument/2006/relationships/hyperlink" Target="https://sede.minetur.gob.es/en-US/datosabiertos/catalogo/registro-productores-electrica" TargetMode="External"/><Relationship Id="rId2971" Type="http://schemas.openxmlformats.org/officeDocument/2006/relationships/hyperlink" Target="https://www.gov.uk/government/statistics/electricity-chapter-5-digest-of-united-kingdom-energy-statistics-dukes" TargetMode="External"/><Relationship Id="rId3815" Type="http://schemas.openxmlformats.org/officeDocument/2006/relationships/hyperlink" Target="https://www.nve.no/energiforsyning/kraftproduksjon/vannkraft/vannkraftdatabase/" TargetMode="External"/><Relationship Id="rId5030" Type="http://schemas.openxmlformats.org/officeDocument/2006/relationships/hyperlink" Target="http://ipaper.ipapercms.dk/DONGENERGY/Internet/DK/ThermalPower/KYVbrochure2012DK/?page=12" TargetMode="External"/><Relationship Id="rId9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3" Type="http://schemas.openxmlformats.org/officeDocument/2006/relationships/hyperlink" Target="https://energiavirasto.fi/toimitusvarmuus" TargetMode="External"/><Relationship Id="rId1780" Type="http://schemas.openxmlformats.org/officeDocument/2006/relationships/hyperlink" Target="https://sede.minetur.gob.es/en-US/datosabiertos/catalogo/registro-productores-electrica" TargetMode="External"/><Relationship Id="rId2624" Type="http://schemas.openxmlformats.org/officeDocument/2006/relationships/hyperlink" Target="https://sede.minetur.gob.es/en-US/datosabiertos/catalogo/registro-productores-electrica" TargetMode="External"/><Relationship Id="rId2831" Type="http://schemas.openxmlformats.org/officeDocument/2006/relationships/hyperlink" Target="https://sede.minetur.gob.es/en-US/datosabiertos/catalogo/registro-productores-electrica" TargetMode="External"/><Relationship Id="rId72" Type="http://schemas.openxmlformats.org/officeDocument/2006/relationships/hyperlink" Target="https://www.elia.be/en/grid-data/power-generation/generating-facilities" TargetMode="External"/><Relationship Id="rId8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3" Type="http://schemas.openxmlformats.org/officeDocument/2006/relationships/hyperlink" Target="https://energiavirasto.fi/toimitusvarmuus" TargetMode="External"/><Relationship Id="rId1640" Type="http://schemas.openxmlformats.org/officeDocument/2006/relationships/hyperlink" Target="https://energiavirasto.fi/toimitusvarmuus" TargetMode="External"/><Relationship Id="rId4589" Type="http://schemas.openxmlformats.org/officeDocument/2006/relationships/hyperlink" Target="https://www.nve.no/energiforsyning/kraftproduksjon/vannkraft/vannkraftdatabase/" TargetMode="External"/><Relationship Id="rId4796" Type="http://schemas.openxmlformats.org/officeDocument/2006/relationships/hyperlink" Target="https://www.nve.no/media/8967/termiske-kraftverk-i-norge-2019.xlsx" TargetMode="External"/><Relationship Id="rId1500" Type="http://schemas.openxmlformats.org/officeDocument/2006/relationships/hyperlink" Target="https://energiavirasto.fi/toimitusvarmuus" TargetMode="External"/><Relationship Id="rId3398" Type="http://schemas.openxmlformats.org/officeDocument/2006/relationships/hyperlink" Target="https://www.nve.no/energiforsyning/kraftproduksjon/vannkraft/vannkraftdatabase/" TargetMode="External"/><Relationship Id="rId4449" Type="http://schemas.openxmlformats.org/officeDocument/2006/relationships/hyperlink" Target="https://www.nve.no/energiforsyning/kraftproduksjon/vannkraft/vannkraftdatabase/" TargetMode="External"/><Relationship Id="rId4656" Type="http://schemas.openxmlformats.org/officeDocument/2006/relationships/hyperlink" Target="https://www.nve.no/energiforsyning/kraftproduksjon/vannkraft/vannkraftdatabase/" TargetMode="External"/><Relationship Id="rId4863" Type="http://schemas.openxmlformats.org/officeDocument/2006/relationships/hyperlink" Target="http://www.he-ss.si/eng/he-mokrice-specifications.html" TargetMode="External"/><Relationship Id="rId3258" Type="http://schemas.openxmlformats.org/officeDocument/2006/relationships/hyperlink" Target="https://www.nve.no/energiforsyning/kraftproduksjon/vannkraft/vannkraftdatabase/" TargetMode="External"/><Relationship Id="rId3465" Type="http://schemas.openxmlformats.org/officeDocument/2006/relationships/hyperlink" Target="https://www.nve.no/energiforsyning/kraftproduksjon/vannkraft/vannkraftdatabase/" TargetMode="External"/><Relationship Id="rId3672" Type="http://schemas.openxmlformats.org/officeDocument/2006/relationships/hyperlink" Target="https://www.nve.no/energiforsyning/kraftproduksjon/vannkraft/vannkraftdatabase/" TargetMode="External"/><Relationship Id="rId4309" Type="http://schemas.openxmlformats.org/officeDocument/2006/relationships/hyperlink" Target="https://www.nve.no/energiforsyning/kraftproduksjon/vannkraft/vannkraftdatabase/" TargetMode="External"/><Relationship Id="rId4516" Type="http://schemas.openxmlformats.org/officeDocument/2006/relationships/hyperlink" Target="https://www.nve.no/energiforsyning/kraftproduksjon/vannkraft/vannkraftdatabase/" TargetMode="External"/><Relationship Id="rId4723" Type="http://schemas.openxmlformats.org/officeDocument/2006/relationships/hyperlink" Target="https://www.nve.no/energiforsyning/kraftproduksjon/vannkraft/vannkraftdatabase/" TargetMode="External"/><Relationship Id="rId179" Type="http://schemas.openxmlformats.org/officeDocument/2006/relationships/hyperlink" Target="https://www.services-rte.com/en/view-data-published-by-rte/production-installed-capacity.html" TargetMode="External"/><Relationship Id="rId386" Type="http://schemas.openxmlformats.org/officeDocument/2006/relationships/hyperlink" Target="http://gpi.tge.pl/en/wykaz-jednostek" TargetMode="External"/><Relationship Id="rId5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67" Type="http://schemas.openxmlformats.org/officeDocument/2006/relationships/hyperlink" Target="https://sede.minetur.gob.es/en-US/datosabiertos/catalogo/registro-productores-electrica" TargetMode="External"/><Relationship Id="rId2274" Type="http://schemas.openxmlformats.org/officeDocument/2006/relationships/hyperlink" Target="https://sede.minetur.gob.es/en-US/datosabiertos/catalogo/registro-productores-electrica" TargetMode="External"/><Relationship Id="rId2481" Type="http://schemas.openxmlformats.org/officeDocument/2006/relationships/hyperlink" Target="https://sede.minetur.gob.es/en-US/datosabiertos/catalogo/registro-productores-electrica" TargetMode="External"/><Relationship Id="rId3118" Type="http://schemas.openxmlformats.org/officeDocument/2006/relationships/hyperlink" Target="https://www.nve.no/energiforsyning/kraftproduksjon/vannkraft/vannkraftdatabase/" TargetMode="External"/><Relationship Id="rId3325" Type="http://schemas.openxmlformats.org/officeDocument/2006/relationships/hyperlink" Target="https://www.nve.no/energiforsyning/kraftproduksjon/vannkraft/vannkraftdatabase/" TargetMode="External"/><Relationship Id="rId3532" Type="http://schemas.openxmlformats.org/officeDocument/2006/relationships/hyperlink" Target="https://www.nve.no/energiforsyning/kraftproduksjon/vannkraft/vannkraftdatabase/" TargetMode="External"/><Relationship Id="rId4930" Type="http://schemas.openxmlformats.org/officeDocument/2006/relationships/hyperlink" Target="https://www.verbund.com/de-at/ueber-verbund/kraftwerke/unsere-kraftwerke" TargetMode="External"/><Relationship Id="rId246" Type="http://schemas.openxmlformats.org/officeDocument/2006/relationships/hyperlink" Target="https://www.services-rte.com/en/view-data-published-by-rte/production-installed-capacity.html" TargetMode="External"/><Relationship Id="rId453" Type="http://schemas.openxmlformats.org/officeDocument/2006/relationships/hyperlink" Target="https://www.ceps.cz/cs/priprava-provozu" TargetMode="External"/><Relationship Id="rId6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0" Type="http://schemas.openxmlformats.org/officeDocument/2006/relationships/hyperlink" Target="http://www2018.terna.it/it-it/sistemaelettrico/transparencyreport/generation/installedgenerationcapacity.aspx" TargetMode="External"/><Relationship Id="rId2134" Type="http://schemas.openxmlformats.org/officeDocument/2006/relationships/hyperlink" Target="https://sede.minetur.gob.es/en-US/datosabiertos/catalogo/registro-productores-electrica" TargetMode="External"/><Relationship Id="rId2341" Type="http://schemas.openxmlformats.org/officeDocument/2006/relationships/hyperlink" Target="https://sede.minetur.gob.es/en-US/datosabiertos/catalogo/registro-productores-electrica" TargetMode="External"/><Relationship Id="rId106" Type="http://schemas.openxmlformats.org/officeDocument/2006/relationships/hyperlink" Target="https://www.tennet.org/english/operational_management/export_data.aspx" TargetMode="External"/><Relationship Id="rId313" Type="http://schemas.openxmlformats.org/officeDocument/2006/relationships/hyperlink" Target="https://www.services-rte.com/en/view-data-published-by-rte/production-installed-capacity.html" TargetMode="External"/><Relationship Id="rId11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099" Type="http://schemas.openxmlformats.org/officeDocument/2006/relationships/hyperlink" Target="https://www.nve.no/energiforsyning/kraftproduksjon/vannkraft/vannkraftdatabase/" TargetMode="External"/><Relationship Id="rId520" Type="http://schemas.openxmlformats.org/officeDocument/2006/relationships/hyperlink" Target="https://www.ceps.cz/cs/priprava-provozu" TargetMode="External"/><Relationship Id="rId2201" Type="http://schemas.openxmlformats.org/officeDocument/2006/relationships/hyperlink" Target="https://sede.minetur.gob.es/en-US/datosabiertos/catalogo/registro-productores-electrica" TargetMode="External"/><Relationship Id="rId10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67" Type="http://schemas.openxmlformats.org/officeDocument/2006/relationships/hyperlink" Target="https://sede.minetur.gob.es/en-US/datosabiertos/catalogo/registro-productores-electrica" TargetMode="External"/><Relationship Id="rId4166" Type="http://schemas.openxmlformats.org/officeDocument/2006/relationships/hyperlink" Target="https://www.nve.no/energiforsyning/kraftproduksjon/vannkraft/vannkraftdatabase/" TargetMode="External"/><Relationship Id="rId4373" Type="http://schemas.openxmlformats.org/officeDocument/2006/relationships/hyperlink" Target="https://www.nve.no/energiforsyning/kraftproduksjon/vannkraft/vannkraftdatabase/" TargetMode="External"/><Relationship Id="rId4580" Type="http://schemas.openxmlformats.org/officeDocument/2006/relationships/hyperlink" Target="https://www.nve.no/energiforsyning/kraftproduksjon/vannkraft/vannkraftdatabase/" TargetMode="External"/><Relationship Id="rId4026" Type="http://schemas.openxmlformats.org/officeDocument/2006/relationships/hyperlink" Target="https://www.nve.no/energiforsyning/kraftproduksjon/vannkraft/vannkraftdatabase/" TargetMode="External"/><Relationship Id="rId4440" Type="http://schemas.openxmlformats.org/officeDocument/2006/relationships/hyperlink" Target="https://www.nve.no/energiforsyning/kraftproduksjon/vannkraft/vannkraftdatabase/" TargetMode="External"/><Relationship Id="rId3042" Type="http://schemas.openxmlformats.org/officeDocument/2006/relationships/hyperlink" Target="https://www.gov.uk/government/statistics/electricity-chapter-5-digest-of-united-kingdom-energy-statistics-dukes" TargetMode="External"/><Relationship Id="rId3859" Type="http://schemas.openxmlformats.org/officeDocument/2006/relationships/hyperlink" Target="https://www.nve.no/energiforsyning/kraftproduksjon/vannkraft/vannkraftdatabase/" TargetMode="External"/><Relationship Id="rId2875" Type="http://schemas.openxmlformats.org/officeDocument/2006/relationships/hyperlink" Target="https://www.gov.uk/government/statistics/electricity-chapter-5-digest-of-united-kingdom-energy-statistics-dukes" TargetMode="External"/><Relationship Id="rId3926" Type="http://schemas.openxmlformats.org/officeDocument/2006/relationships/hyperlink" Target="https://www.nve.no/energiforsyning/kraftproduksjon/vannkraft/vannkraftdatabase/" TargetMode="External"/><Relationship Id="rId8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7" Type="http://schemas.openxmlformats.org/officeDocument/2006/relationships/hyperlink" Target="https://energiavirasto.fi/toimitusvarmuus" TargetMode="External"/><Relationship Id="rId1891" Type="http://schemas.openxmlformats.org/officeDocument/2006/relationships/hyperlink" Target="https://sede.minetur.gob.es/en-US/datosabiertos/catalogo/registro-productores-electrica" TargetMode="External"/><Relationship Id="rId2528" Type="http://schemas.openxmlformats.org/officeDocument/2006/relationships/hyperlink" Target="https://sede.minetur.gob.es/en-US/datosabiertos/catalogo/registro-productores-electrica" TargetMode="External"/><Relationship Id="rId2942" Type="http://schemas.openxmlformats.org/officeDocument/2006/relationships/hyperlink" Target="https://www.gov.uk/government/statistics/electricity-chapter-5-digest-of-united-kingdom-energy-statistics-dukes" TargetMode="External"/><Relationship Id="rId9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4" Type="http://schemas.openxmlformats.org/officeDocument/2006/relationships/hyperlink" Target="https://energiavirasto.fi/toimitusvarmuus" TargetMode="External"/><Relationship Id="rId5001" Type="http://schemas.openxmlformats.org/officeDocument/2006/relationships/hyperlink" Target="https://www.verbund.com/de-at/ueber-verbund/kraftwerke/unsere-kraftwerke" TargetMode="External"/><Relationship Id="rId1611" Type="http://schemas.openxmlformats.org/officeDocument/2006/relationships/hyperlink" Target="https://energiavirasto.fi/toimitusvarmuus" TargetMode="External"/><Relationship Id="rId4767" Type="http://schemas.openxmlformats.org/officeDocument/2006/relationships/hyperlink" Target="https://www.nve.no/energiforsyning/kraftproduksjon/vannkraft/vannkraftdatabase/" TargetMode="External"/><Relationship Id="rId3369" Type="http://schemas.openxmlformats.org/officeDocument/2006/relationships/hyperlink" Target="https://www.nve.no/energiforsyning/kraftproduksjon/vannkraft/vannkraftdatabase/" TargetMode="External"/><Relationship Id="rId2385" Type="http://schemas.openxmlformats.org/officeDocument/2006/relationships/hyperlink" Target="https://sede.minetur.gob.es/en-US/datosabiertos/catalogo/registro-productores-electrica" TargetMode="External"/><Relationship Id="rId3783" Type="http://schemas.openxmlformats.org/officeDocument/2006/relationships/hyperlink" Target="https://www.nve.no/energiforsyning/kraftproduksjon/vannkraft/vannkraftdatabase/" TargetMode="External"/><Relationship Id="rId4834" Type="http://schemas.openxmlformats.org/officeDocument/2006/relationships/hyperlink" Target="http://www.dem.si/en-gb/Power-plants-and-generation/General-data" TargetMode="External"/><Relationship Id="rId357" Type="http://schemas.openxmlformats.org/officeDocument/2006/relationships/hyperlink" Target="http://gpi.tge.pl/en/wykaz-jednostek" TargetMode="External"/><Relationship Id="rId2038" Type="http://schemas.openxmlformats.org/officeDocument/2006/relationships/hyperlink" Target="https://sede.minetur.gob.es/en-US/datosabiertos/catalogo/registro-productores-electrica" TargetMode="External"/><Relationship Id="rId3436" Type="http://schemas.openxmlformats.org/officeDocument/2006/relationships/hyperlink" Target="https://www.nve.no/energiforsyning/kraftproduksjon/vannkraft/vannkraftdatabase/" TargetMode="External"/><Relationship Id="rId3850" Type="http://schemas.openxmlformats.org/officeDocument/2006/relationships/hyperlink" Target="https://www.nve.no/energiforsyning/kraftproduksjon/vannkraft/vannkraftdatabase/" TargetMode="External"/><Relationship Id="rId4901" Type="http://schemas.openxmlformats.org/officeDocument/2006/relationships/hyperlink" Target="https://www.verbund.com/de-at/ueber-verbund/kraftwerke/unsere-kraftwerke" TargetMode="External"/><Relationship Id="rId7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2" Type="http://schemas.openxmlformats.org/officeDocument/2006/relationships/hyperlink" Target="https://sede.minetur.gob.es/en-US/datosabiertos/catalogo/registro-productores-electrica" TargetMode="External"/><Relationship Id="rId3503" Type="http://schemas.openxmlformats.org/officeDocument/2006/relationships/hyperlink" Target="https://www.nve.no/energiforsyning/kraftproduksjon/vannkraft/vannkraftdatabase/" TargetMode="External"/><Relationship Id="rId424" Type="http://schemas.openxmlformats.org/officeDocument/2006/relationships/hyperlink" Target="https://www.ceps.cz/cs/priprava-provozu" TargetMode="External"/><Relationship Id="rId10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05" Type="http://schemas.openxmlformats.org/officeDocument/2006/relationships/hyperlink" Target="https://sede.minetur.gob.es/en-US/datosabiertos/catalogo/registro-productores-electrica" TargetMode="External"/><Relationship Id="rId11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77" Type="http://schemas.openxmlformats.org/officeDocument/2006/relationships/hyperlink" Target="https://www.nve.no/energiforsyning/kraftproduksjon/vannkraft/vannkraftdatabase/" TargetMode="External"/><Relationship Id="rId4691" Type="http://schemas.openxmlformats.org/officeDocument/2006/relationships/hyperlink" Target="https://www.nve.no/energiforsyning/kraftproduksjon/vannkraft/vannkraftdatabase/" TargetMode="External"/><Relationship Id="rId3293" Type="http://schemas.openxmlformats.org/officeDocument/2006/relationships/hyperlink" Target="https://www.nve.no/energiforsyning/kraftproduksjon/vannkraft/vannkraftdatabase/" TargetMode="External"/><Relationship Id="rId4344" Type="http://schemas.openxmlformats.org/officeDocument/2006/relationships/hyperlink" Target="https://www.nve.no/energiforsyning/kraftproduksjon/vannkraft/vannkraftdatabase/" TargetMode="External"/><Relationship Id="rId1938" Type="http://schemas.openxmlformats.org/officeDocument/2006/relationships/hyperlink" Target="https://sede.minetur.gob.es/en-US/datosabiertos/catalogo/registro-productores-electrica" TargetMode="External"/><Relationship Id="rId3360" Type="http://schemas.openxmlformats.org/officeDocument/2006/relationships/hyperlink" Target="https://www.nve.no/energiforsyning/kraftproduksjon/vannkraft/vannkraftdatabase/" TargetMode="External"/><Relationship Id="rId281" Type="http://schemas.openxmlformats.org/officeDocument/2006/relationships/hyperlink" Target="https://www.services-rte.com/en/view-data-published-by-rte/production-installed-capacity.html" TargetMode="External"/><Relationship Id="rId3013" Type="http://schemas.openxmlformats.org/officeDocument/2006/relationships/hyperlink" Target="https://www.gov.uk/government/statistics/electricity-chapter-5-digest-of-united-kingdom-energy-statistics-dukes" TargetMode="External"/><Relationship Id="rId4411" Type="http://schemas.openxmlformats.org/officeDocument/2006/relationships/hyperlink" Target="https://www.nve.no/energiforsyning/kraftproduksjon/vannkraft/vannkraftdatabase/" TargetMode="External"/><Relationship Id="rId2779" Type="http://schemas.openxmlformats.org/officeDocument/2006/relationships/hyperlink" Target="https://sede.minetur.gob.es/en-US/datosabiertos/catalogo/registro-productores-electrica" TargetMode="External"/><Relationship Id="rId1795" Type="http://schemas.openxmlformats.org/officeDocument/2006/relationships/hyperlink" Target="https://sede.minetur.gob.es/en-US/datosabiertos/catalogo/registro-productores-electrica" TargetMode="External"/><Relationship Id="rId2846" Type="http://schemas.openxmlformats.org/officeDocument/2006/relationships/hyperlink" Target="https://sede.minetur.gob.es/en-US/datosabiertos/catalogo/registro-productores-electrica" TargetMode="External"/><Relationship Id="rId87" Type="http://schemas.openxmlformats.org/officeDocument/2006/relationships/hyperlink" Target="https://www.elia.be/en/grid-data/power-generation/generating-facilities" TargetMode="External"/><Relationship Id="rId8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8" Type="http://schemas.openxmlformats.org/officeDocument/2006/relationships/hyperlink" Target="https://energiavirasto.fi/toimitusvarmuus" TargetMode="External"/><Relationship Id="rId1862" Type="http://schemas.openxmlformats.org/officeDocument/2006/relationships/hyperlink" Target="https://sede.minetur.gob.es/en-US/datosabiertos/catalogo/registro-productores-electrica" TargetMode="External"/><Relationship Id="rId2913" Type="http://schemas.openxmlformats.org/officeDocument/2006/relationships/hyperlink" Target="https://www.gov.uk/government/statistics/electricity-chapter-5-digest-of-united-kingdom-energy-statistics-dukes" TargetMode="External"/><Relationship Id="rId1515" Type="http://schemas.openxmlformats.org/officeDocument/2006/relationships/hyperlink" Target="https://energiavirasto.fi/toimitusvarmuus" TargetMode="External"/><Relationship Id="rId3687" Type="http://schemas.openxmlformats.org/officeDocument/2006/relationships/hyperlink" Target="https://www.nve.no/energiforsyning/kraftproduksjon/vannkraft/vannkraftdatabase/" TargetMode="External"/><Relationship Id="rId4738" Type="http://schemas.openxmlformats.org/officeDocument/2006/relationships/hyperlink" Target="https://www.nve.no/energiforsyning/kraftproduksjon/vannkraft/vannkraftdatabase/" TargetMode="External"/><Relationship Id="rId2289" Type="http://schemas.openxmlformats.org/officeDocument/2006/relationships/hyperlink" Target="https://sede.minetur.gob.es/en-US/datosabiertos/catalogo/registro-productores-electrica" TargetMode="External"/><Relationship Id="rId3754" Type="http://schemas.openxmlformats.org/officeDocument/2006/relationships/hyperlink" Target="https://www.nve.no/energiforsyning/kraftproduksjon/vannkraft/vannkraftdatabase/" TargetMode="External"/><Relationship Id="rId4805" Type="http://schemas.openxmlformats.org/officeDocument/2006/relationships/hyperlink" Target="http://www.he-ss.si/eng/he-blanca-general-info.html" TargetMode="External"/><Relationship Id="rId6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6" Type="http://schemas.openxmlformats.org/officeDocument/2006/relationships/hyperlink" Target="https://sede.minetur.gob.es/en-US/datosabiertos/catalogo/registro-productores-electrica" TargetMode="External"/><Relationship Id="rId2770" Type="http://schemas.openxmlformats.org/officeDocument/2006/relationships/hyperlink" Target="https://sede.minetur.gob.es/en-US/datosabiertos/catalogo/registro-productores-electrica" TargetMode="External"/><Relationship Id="rId3407" Type="http://schemas.openxmlformats.org/officeDocument/2006/relationships/hyperlink" Target="https://www.nve.no/energiforsyning/kraftproduksjon/vannkraft/vannkraftdatabase/" TargetMode="External"/><Relationship Id="rId3821" Type="http://schemas.openxmlformats.org/officeDocument/2006/relationships/hyperlink" Target="https://www.nve.no/energiforsyning/kraftproduksjon/vannkraft/vannkraftdatabase/" TargetMode="External"/><Relationship Id="rId328" Type="http://schemas.openxmlformats.org/officeDocument/2006/relationships/hyperlink" Target="http://gpi.tge.pl/en/wykaz-jednostek" TargetMode="External"/><Relationship Id="rId7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2" Type="http://schemas.openxmlformats.org/officeDocument/2006/relationships/hyperlink" Target="http://www2018.terna.it/it-it/sistemaelettrico/transparencyreport/generation/installedgenerationcapacity.aspx" TargetMode="External"/><Relationship Id="rId2009" Type="http://schemas.openxmlformats.org/officeDocument/2006/relationships/hyperlink" Target="https://sede.minetur.gob.es/en-US/datosabiertos/catalogo/registro-productores-electrica" TargetMode="External"/><Relationship Id="rId2423" Type="http://schemas.openxmlformats.org/officeDocument/2006/relationships/hyperlink" Target="https://sede.minetur.gob.es/en-US/datosabiertos/catalogo/registro-productores-electrica" TargetMode="External"/><Relationship Id="rId10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595" Type="http://schemas.openxmlformats.org/officeDocument/2006/relationships/hyperlink" Target="https://www.nve.no/energiforsyning/kraftproduksjon/vannkraft/vannkraftdatabase/" TargetMode="External"/><Relationship Id="rId3197" Type="http://schemas.openxmlformats.org/officeDocument/2006/relationships/hyperlink" Target="https://www.nve.no/energiforsyning/kraftproduksjon/vannkraft/vannkraftdatabase/" TargetMode="External"/><Relationship Id="rId4248" Type="http://schemas.openxmlformats.org/officeDocument/2006/relationships/hyperlink" Target="https://www.nve.no/energiforsyning/kraftproduksjon/vannkraft/vannkraftdatabase/" TargetMode="External"/><Relationship Id="rId4662" Type="http://schemas.openxmlformats.org/officeDocument/2006/relationships/hyperlink" Target="https://www.nve.no/energiforsyning/kraftproduksjon/vannkraft/vannkraftdatabase/" TargetMode="External"/><Relationship Id="rId185" Type="http://schemas.openxmlformats.org/officeDocument/2006/relationships/hyperlink" Target="https://www.services-rte.com/en/view-data-published-by-rte/production-installed-capacity.html" TargetMode="External"/><Relationship Id="rId1909" Type="http://schemas.openxmlformats.org/officeDocument/2006/relationships/hyperlink" Target="https://sede.minetur.gob.es/en-US/datosabiertos/catalogo/registro-productores-electrica" TargetMode="External"/><Relationship Id="rId3264" Type="http://schemas.openxmlformats.org/officeDocument/2006/relationships/hyperlink" Target="https://www.nve.no/energiforsyning/kraftproduksjon/vannkraft/vannkraftdatabase/" TargetMode="External"/><Relationship Id="rId4315" Type="http://schemas.openxmlformats.org/officeDocument/2006/relationships/hyperlink" Target="https://www.nve.no/energiforsyning/kraftproduksjon/vannkraft/vannkraftdatabase/" TargetMode="External"/><Relationship Id="rId2280" Type="http://schemas.openxmlformats.org/officeDocument/2006/relationships/hyperlink" Target="https://sede.minetur.gob.es/en-US/datosabiertos/catalogo/registro-productores-electrica" TargetMode="External"/><Relationship Id="rId3331" Type="http://schemas.openxmlformats.org/officeDocument/2006/relationships/hyperlink" Target="https://www.nve.no/energiforsyning/kraftproduksjon/vannkraft/vannkraftdatabase/" TargetMode="External"/><Relationship Id="rId252" Type="http://schemas.openxmlformats.org/officeDocument/2006/relationships/hyperlink" Target="https://www.services-rte.com/en/view-data-published-by-rte/production-installed-capacity.html" TargetMode="External"/><Relationship Id="rId1699" Type="http://schemas.openxmlformats.org/officeDocument/2006/relationships/hyperlink" Target="https://sede.minetur.gob.es/en-US/datosabiertos/catalogo/registro-productores-electrica" TargetMode="External"/><Relationship Id="rId2000" Type="http://schemas.openxmlformats.org/officeDocument/2006/relationships/hyperlink" Target="https://sede.minetur.gob.es/en-US/datosabiertos/catalogo/registro-productores-electrica" TargetMode="External"/><Relationship Id="rId4172" Type="http://schemas.openxmlformats.org/officeDocument/2006/relationships/hyperlink" Target="https://www.nve.no/energiforsyning/kraftproduksjon/vannkraft/vannkraftdatabase/" TargetMode="External"/><Relationship Id="rId1766" Type="http://schemas.openxmlformats.org/officeDocument/2006/relationships/hyperlink" Target="https://sede.minetur.gob.es/en-US/datosabiertos/catalogo/registro-productores-electrica" TargetMode="External"/><Relationship Id="rId2817" Type="http://schemas.openxmlformats.org/officeDocument/2006/relationships/hyperlink" Target="https://sede.minetur.gob.es/en-US/datosabiertos/catalogo/registro-productores-electrica" TargetMode="External"/><Relationship Id="rId58" Type="http://schemas.openxmlformats.org/officeDocument/2006/relationships/hyperlink" Target="https://www.elia.be/en/grid-data/power-generation/generating-facilities" TargetMode="External"/><Relationship Id="rId1419" Type="http://schemas.openxmlformats.org/officeDocument/2006/relationships/hyperlink" Target="https://energiavirasto.fi/toimitusvarmuus" TargetMode="External"/><Relationship Id="rId1833" Type="http://schemas.openxmlformats.org/officeDocument/2006/relationships/hyperlink" Target="https://sede.minetur.gob.es/en-US/datosabiertos/catalogo/registro-productores-electrica" TargetMode="External"/><Relationship Id="rId4989" Type="http://schemas.openxmlformats.org/officeDocument/2006/relationships/hyperlink" Target="https://www.verbund.com/de-at/ueber-verbund/kraftwerke/unsere-kraftwerke" TargetMode="External"/><Relationship Id="rId1900" Type="http://schemas.openxmlformats.org/officeDocument/2006/relationships/hyperlink" Target="https://sede.minetur.gob.es/en-US/datosabiertos/catalogo/registro-productores-electrica" TargetMode="External"/><Relationship Id="rId3658" Type="http://schemas.openxmlformats.org/officeDocument/2006/relationships/hyperlink" Target="https://www.nve.no/energiforsyning/kraftproduksjon/vannkraft/vannkraftdatabase/" TargetMode="External"/><Relationship Id="rId4709" Type="http://schemas.openxmlformats.org/officeDocument/2006/relationships/hyperlink" Target="https://www.nve.no/energiforsyning/kraftproduksjon/vannkraft/vannkraftdatabase/" TargetMode="External"/><Relationship Id="rId5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4" Type="http://schemas.openxmlformats.org/officeDocument/2006/relationships/hyperlink" Target="https://sede.minetur.gob.es/en-US/datosabiertos/catalogo/registro-productores-electrica" TargetMode="External"/><Relationship Id="rId6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6" Type="http://schemas.openxmlformats.org/officeDocument/2006/relationships/hyperlink" Target="http://www2018.terna.it/it-it/sistemaelettrico/transparencyreport/generation/installedgenerationcapacity.aspx" TargetMode="External"/><Relationship Id="rId2327" Type="http://schemas.openxmlformats.org/officeDocument/2006/relationships/hyperlink" Target="https://sede.minetur.gob.es/en-US/datosabiertos/catalogo/registro-productores-electrica" TargetMode="External"/><Relationship Id="rId3725" Type="http://schemas.openxmlformats.org/officeDocument/2006/relationships/hyperlink" Target="https://www.nve.no/energiforsyning/kraftproduksjon/vannkraft/vannkraftdatabase/" TargetMode="External"/><Relationship Id="rId1690" Type="http://schemas.openxmlformats.org/officeDocument/2006/relationships/hyperlink" Target="https://energiavirasto.fi/toimitusvarmuus" TargetMode="External"/><Relationship Id="rId2741" Type="http://schemas.openxmlformats.org/officeDocument/2006/relationships/hyperlink" Target="https://sede.minetur.gob.es/en-US/datosabiertos/catalogo/registro-productores-electrica" TargetMode="External"/><Relationship Id="rId7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3" Type="http://schemas.openxmlformats.org/officeDocument/2006/relationships/hyperlink" Target="http://www2018.terna.it/it-it/sistemaelettrico/transparencyreport/generation/installedgenerationcapacity.aspx" TargetMode="External"/><Relationship Id="rId4499" Type="http://schemas.openxmlformats.org/officeDocument/2006/relationships/hyperlink" Target="https://www.nve.no/energiforsyning/kraftproduksjon/vannkraft/vannkraftdatabase/" TargetMode="External"/><Relationship Id="rId1410" Type="http://schemas.openxmlformats.org/officeDocument/2006/relationships/hyperlink" Target="https://energiavirasto.fi/toimitusvarmuus" TargetMode="External"/><Relationship Id="rId4566" Type="http://schemas.openxmlformats.org/officeDocument/2006/relationships/hyperlink" Target="https://www.nve.no/energiforsyning/kraftproduksjon/vannkraft/vannkraftdatabase/" TargetMode="External"/><Relationship Id="rId4980" Type="http://schemas.openxmlformats.org/officeDocument/2006/relationships/hyperlink" Target="https://www.verbund.com/de-at/ueber-verbund/kraftwerke/unsere-kraftwerke" TargetMode="External"/><Relationship Id="rId3168" Type="http://schemas.openxmlformats.org/officeDocument/2006/relationships/hyperlink" Target="https://www.nve.no/energiforsyning/kraftproduksjon/vannkraft/vannkraftdatabase/" TargetMode="External"/><Relationship Id="rId3582" Type="http://schemas.openxmlformats.org/officeDocument/2006/relationships/hyperlink" Target="https://www.nve.no/energiforsyning/kraftproduksjon/vannkraft/vannkraftdatabase/" TargetMode="External"/><Relationship Id="rId4219" Type="http://schemas.openxmlformats.org/officeDocument/2006/relationships/hyperlink" Target="https://www.nve.no/energiforsyning/kraftproduksjon/vannkraft/vannkraftdatabase/" TargetMode="External"/><Relationship Id="rId4633" Type="http://schemas.openxmlformats.org/officeDocument/2006/relationships/hyperlink" Target="https://www.nve.no/energiforsyning/kraftproduksjon/vannkraft/vannkraftdatabase/" TargetMode="External"/><Relationship Id="rId2184" Type="http://schemas.openxmlformats.org/officeDocument/2006/relationships/hyperlink" Target="https://sede.minetur.gob.es/en-US/datosabiertos/catalogo/registro-productores-electrica" TargetMode="External"/><Relationship Id="rId3235" Type="http://schemas.openxmlformats.org/officeDocument/2006/relationships/hyperlink" Target="https://www.nve.no/energiforsyning/kraftproduksjon/vannkraft/vannkraftdatabase/" TargetMode="External"/><Relationship Id="rId156" Type="http://schemas.openxmlformats.org/officeDocument/2006/relationships/hyperlink" Target="https://www.tennet.org/english/operational_management/export_data.aspx" TargetMode="External"/><Relationship Id="rId570" Type="http://schemas.openxmlformats.org/officeDocument/2006/relationships/hyperlink" Target="https://www.ceps.cz/cs/priprava-provozu" TargetMode="External"/><Relationship Id="rId2251" Type="http://schemas.openxmlformats.org/officeDocument/2006/relationships/hyperlink" Target="https://sede.minetur.gob.es/en-US/datosabiertos/catalogo/registro-productores-electrica" TargetMode="External"/><Relationship Id="rId3302" Type="http://schemas.openxmlformats.org/officeDocument/2006/relationships/hyperlink" Target="https://www.nve.no/energiforsyning/kraftproduksjon/vannkraft/vannkraftdatabase/" TargetMode="External"/><Relationship Id="rId4700" Type="http://schemas.openxmlformats.org/officeDocument/2006/relationships/hyperlink" Target="https://www.nve.no/energiforsyning/kraftproduksjon/vannkraft/vannkraftdatabase/" TargetMode="External"/><Relationship Id="rId223" Type="http://schemas.openxmlformats.org/officeDocument/2006/relationships/hyperlink" Target="https://www.services-rte.com/en/view-data-published-by-rte/production-installed-capacity.html" TargetMode="External"/><Relationship Id="rId4076" Type="http://schemas.openxmlformats.org/officeDocument/2006/relationships/hyperlink" Target="https://www.nve.no/energiforsyning/kraftproduksjon/vannkraft/vannkraftdatabase/" TargetMode="External"/><Relationship Id="rId4490" Type="http://schemas.openxmlformats.org/officeDocument/2006/relationships/hyperlink" Target="https://www.nve.no/energiforsyning/kraftproduksjon/vannkraft/vannkraftdatabase/" TargetMode="External"/><Relationship Id="rId1737" Type="http://schemas.openxmlformats.org/officeDocument/2006/relationships/hyperlink" Target="https://sede.minetur.gob.es/en-US/datosabiertos/catalogo/registro-productores-electrica" TargetMode="External"/><Relationship Id="rId3092" Type="http://schemas.openxmlformats.org/officeDocument/2006/relationships/hyperlink" Target="https://www.gov.uk/government/statistics/electricity-chapter-5-digest-of-united-kingdom-energy-statistics-dukes" TargetMode="External"/><Relationship Id="rId4143" Type="http://schemas.openxmlformats.org/officeDocument/2006/relationships/hyperlink" Target="https://www.nve.no/energiforsyning/kraftproduksjon/vannkraft/vannkraftdatabase/" TargetMode="External"/><Relationship Id="rId29" Type="http://schemas.openxmlformats.org/officeDocument/2006/relationships/hyperlink" Target="https://www.elia.be/en/grid-data/power-generation/generating-facilities" TargetMode="External"/><Relationship Id="rId4210" Type="http://schemas.openxmlformats.org/officeDocument/2006/relationships/hyperlink" Target="https://www.nve.no/energiforsyning/kraftproduksjon/vannkraft/vannkraftdatabase/" TargetMode="External"/><Relationship Id="rId1804" Type="http://schemas.openxmlformats.org/officeDocument/2006/relationships/hyperlink" Target="https://sede.minetur.gob.es/en-US/datosabiertos/catalogo/registro-productores-electrica" TargetMode="External"/><Relationship Id="rId3976" Type="http://schemas.openxmlformats.org/officeDocument/2006/relationships/hyperlink" Target="https://www.nve.no/energiforsyning/kraftproduksjon/vannkraft/vannkraftdatabase/" TargetMode="External"/><Relationship Id="rId8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8" Type="http://schemas.openxmlformats.org/officeDocument/2006/relationships/hyperlink" Target="https://sede.minetur.gob.es/en-US/datosabiertos/catalogo/registro-productores-electrica" TargetMode="External"/><Relationship Id="rId2992" Type="http://schemas.openxmlformats.org/officeDocument/2006/relationships/hyperlink" Target="https://www.gov.uk/government/statistics/electricity-chapter-5-digest-of-united-kingdom-energy-statistics-dukes" TargetMode="External"/><Relationship Id="rId3629" Type="http://schemas.openxmlformats.org/officeDocument/2006/relationships/hyperlink" Target="https://www.nve.no/energiforsyning/kraftproduksjon/vannkraft/vannkraftdatabase/" TargetMode="External"/><Relationship Id="rId9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4" Type="http://schemas.openxmlformats.org/officeDocument/2006/relationships/hyperlink" Target="https://energiavirasto.fi/toimitusvarmuus" TargetMode="External"/><Relationship Id="rId2645" Type="http://schemas.openxmlformats.org/officeDocument/2006/relationships/hyperlink" Target="https://sede.minetur.gob.es/en-US/datosabiertos/catalogo/registro-productores-electrica" TargetMode="External"/><Relationship Id="rId6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7" Type="http://schemas.openxmlformats.org/officeDocument/2006/relationships/hyperlink" Target="http://www2018.terna.it/it-it/sistemaelettrico/transparencyreport/generation/installedgenerationcapacity.aspx" TargetMode="External"/><Relationship Id="rId1661" Type="http://schemas.openxmlformats.org/officeDocument/2006/relationships/hyperlink" Target="https://energiavirasto.fi/toimitusvarmuus" TargetMode="External"/><Relationship Id="rId2712" Type="http://schemas.openxmlformats.org/officeDocument/2006/relationships/hyperlink" Target="https://sede.minetur.gob.es/en-US/datosabiertos/catalogo/registro-productores-electrica" TargetMode="External"/><Relationship Id="rId1314" Type="http://schemas.openxmlformats.org/officeDocument/2006/relationships/hyperlink" Target="http://www2018.terna.it/it-it/sistemaelettrico/transparencyreport/generation/installedgenerationcapacity.aspx" TargetMode="External"/><Relationship Id="rId4884" Type="http://schemas.openxmlformats.org/officeDocument/2006/relationships/hyperlink" Target="http://www.hse.si/en/group-hse/companies-in-slovenia/termoelektrarna-sostanj" TargetMode="External"/><Relationship Id="rId3486" Type="http://schemas.openxmlformats.org/officeDocument/2006/relationships/hyperlink" Target="https://www.nve.no/energiforsyning/kraftproduksjon/vannkraft/vannkraftdatabase/" TargetMode="External"/><Relationship Id="rId4537" Type="http://schemas.openxmlformats.org/officeDocument/2006/relationships/hyperlink" Target="https://www.nve.no/energiforsyning/kraftproduksjon/vannkraft/vannkraftdatabase/" TargetMode="External"/><Relationship Id="rId20" Type="http://schemas.openxmlformats.org/officeDocument/2006/relationships/hyperlink" Target="https://www.elia.be/en/grid-data/power-generation/generating-facilities" TargetMode="External"/><Relationship Id="rId2088" Type="http://schemas.openxmlformats.org/officeDocument/2006/relationships/hyperlink" Target="https://sede.minetur.gob.es/en-US/datosabiertos/catalogo/registro-productores-electrica" TargetMode="External"/><Relationship Id="rId3139" Type="http://schemas.openxmlformats.org/officeDocument/2006/relationships/hyperlink" Target="https://www.nve.no/energiforsyning/kraftproduksjon/vannkraft/vannkraftdatabase/" TargetMode="External"/><Relationship Id="rId4951" Type="http://schemas.openxmlformats.org/officeDocument/2006/relationships/hyperlink" Target="https://www.verbund.com/de-at/ueber-verbund/kraftwerke/unsere-kraftwerke" TargetMode="External"/><Relationship Id="rId474" Type="http://schemas.openxmlformats.org/officeDocument/2006/relationships/hyperlink" Target="https://www.ceps.cz/cs/priprava-provozu" TargetMode="External"/><Relationship Id="rId2155" Type="http://schemas.openxmlformats.org/officeDocument/2006/relationships/hyperlink" Target="https://sede.minetur.gob.es/en-US/datosabiertos/catalogo/registro-productores-electrica" TargetMode="External"/><Relationship Id="rId3553" Type="http://schemas.openxmlformats.org/officeDocument/2006/relationships/hyperlink" Target="https://www.nve.no/energiforsyning/kraftproduksjon/vannkraft/vannkraftdatabase/" TargetMode="External"/><Relationship Id="rId4604" Type="http://schemas.openxmlformats.org/officeDocument/2006/relationships/hyperlink" Target="https://www.nve.no/energiforsyning/kraftproduksjon/vannkraft/vannkraftdatabase/" TargetMode="External"/><Relationship Id="rId127" Type="http://schemas.openxmlformats.org/officeDocument/2006/relationships/hyperlink" Target="https://www.tennet.org/english/operational_management/export_data.aspx" TargetMode="External"/><Relationship Id="rId3206" Type="http://schemas.openxmlformats.org/officeDocument/2006/relationships/hyperlink" Target="https://www.nve.no/energiforsyning/kraftproduksjon/vannkraft/vannkraftdatabase/" TargetMode="External"/><Relationship Id="rId3620" Type="http://schemas.openxmlformats.org/officeDocument/2006/relationships/hyperlink" Target="https://www.nve.no/energiforsyning/kraftproduksjon/vannkraft/vannkraftdatabase/" TargetMode="External"/><Relationship Id="rId541" Type="http://schemas.openxmlformats.org/officeDocument/2006/relationships/hyperlink" Target="https://www.ceps.cz/cs/priprava-provozu" TargetMode="External"/><Relationship Id="rId11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22" Type="http://schemas.openxmlformats.org/officeDocument/2006/relationships/hyperlink" Target="https://sede.minetur.gob.es/en-US/datosabiertos/catalogo/registro-productores-electrica" TargetMode="External"/><Relationship Id="rId1988" Type="http://schemas.openxmlformats.org/officeDocument/2006/relationships/hyperlink" Target="https://sede.minetur.gob.es/en-US/datosabiertos/catalogo/registro-productores-electrica" TargetMode="External"/><Relationship Id="rId4394" Type="http://schemas.openxmlformats.org/officeDocument/2006/relationships/hyperlink" Target="https://www.nve.no/energiforsyning/kraftproduksjon/vannkraft/vannkraftdatabase/" TargetMode="External"/><Relationship Id="rId4047" Type="http://schemas.openxmlformats.org/officeDocument/2006/relationships/hyperlink" Target="https://www.nve.no/energiforsyning/kraftproduksjon/vannkraft/vannkraftdatabase/" TargetMode="External"/><Relationship Id="rId4461" Type="http://schemas.openxmlformats.org/officeDocument/2006/relationships/hyperlink" Target="https://www.nve.no/energiforsyning/kraftproduksjon/vannkraft/vannkraftdatabase/" TargetMode="External"/><Relationship Id="rId3063" Type="http://schemas.openxmlformats.org/officeDocument/2006/relationships/hyperlink" Target="https://www.gov.uk/government/statistics/electricity-chapter-5-digest-of-united-kingdom-energy-statistics-dukes" TargetMode="External"/><Relationship Id="rId4114" Type="http://schemas.openxmlformats.org/officeDocument/2006/relationships/hyperlink" Target="https://www.nve.no/energiforsyning/kraftproduksjon/vannkraft/vannkraftdatabase/" TargetMode="External"/><Relationship Id="rId1708" Type="http://schemas.openxmlformats.org/officeDocument/2006/relationships/hyperlink" Target="https://sede.minetur.gob.es/en-US/datosabiertos/catalogo/registro-productores-electrica" TargetMode="External"/><Relationship Id="rId3130" Type="http://schemas.openxmlformats.org/officeDocument/2006/relationships/hyperlink" Target="https://www.nve.no/energiforsyning/kraftproduksjon/vannkraft/vannkraftdatabase/" TargetMode="External"/><Relationship Id="rId2896" Type="http://schemas.openxmlformats.org/officeDocument/2006/relationships/hyperlink" Target="https://www.gov.uk/government/statistics/electricity-chapter-5-digest-of-united-kingdom-energy-statistics-dukes" TargetMode="External"/><Relationship Id="rId3947" Type="http://schemas.openxmlformats.org/officeDocument/2006/relationships/hyperlink" Target="https://www.nve.no/energiforsyning/kraftproduksjon/vannkraft/vannkraftdatabase/" TargetMode="External"/><Relationship Id="rId8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8" Type="http://schemas.openxmlformats.org/officeDocument/2006/relationships/hyperlink" Target="https://energiavirasto.fi/toimitusvarmuus" TargetMode="External"/><Relationship Id="rId2549" Type="http://schemas.openxmlformats.org/officeDocument/2006/relationships/hyperlink" Target="https://sede.minetur.gob.es/en-US/datosabiertos/catalogo/registro-productores-electrica" TargetMode="External"/><Relationship Id="rId2963" Type="http://schemas.openxmlformats.org/officeDocument/2006/relationships/hyperlink" Target="https://www.gov.uk/government/statistics/electricity-chapter-5-digest-of-united-kingdom-energy-statistics-dukes" TargetMode="External"/><Relationship Id="rId9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5" Type="http://schemas.openxmlformats.org/officeDocument/2006/relationships/hyperlink" Target="https://energiavirasto.fi/toimitusvarmuus" TargetMode="External"/><Relationship Id="rId2616" Type="http://schemas.openxmlformats.org/officeDocument/2006/relationships/hyperlink" Target="https://sede.minetur.gob.es/en-US/datosabiertos/catalogo/registro-productores-electrica" TargetMode="External"/><Relationship Id="rId5022" Type="http://schemas.openxmlformats.org/officeDocument/2006/relationships/hyperlink" Target="https://www.nsenergybusiness.com/projects/asnaes-power" TargetMode="External"/><Relationship Id="rId12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32" Type="http://schemas.openxmlformats.org/officeDocument/2006/relationships/hyperlink" Target="https://energiavirasto.fi/toimitusvarmuus" TargetMode="External"/><Relationship Id="rId4788" Type="http://schemas.openxmlformats.org/officeDocument/2006/relationships/hyperlink" Target="https://www.nve.no/media/8967/termiske-kraftverk-i-norge-2019.xlsx" TargetMode="External"/><Relationship Id="rId4855" Type="http://schemas.openxmlformats.org/officeDocument/2006/relationships/hyperlink" Target="http://www.dem.si/en-gb/Power-plants-and-generation/General-data" TargetMode="External"/><Relationship Id="rId3457" Type="http://schemas.openxmlformats.org/officeDocument/2006/relationships/hyperlink" Target="https://www.nve.no/energiforsyning/kraftproduksjon/vannkraft/vannkraftdatabase/" TargetMode="External"/><Relationship Id="rId3871" Type="http://schemas.openxmlformats.org/officeDocument/2006/relationships/hyperlink" Target="https://www.nve.no/energiforsyning/kraftproduksjon/vannkraft/vannkraftdatabase/" TargetMode="External"/><Relationship Id="rId4508" Type="http://schemas.openxmlformats.org/officeDocument/2006/relationships/hyperlink" Target="https://www.nve.no/energiforsyning/kraftproduksjon/vannkraft/vannkraftdatabase/" TargetMode="External"/><Relationship Id="rId4922" Type="http://schemas.openxmlformats.org/officeDocument/2006/relationships/hyperlink" Target="https://www.verbund.com/de-at/ueber-verbund/kraftwerke/unsere-kraftwerke" TargetMode="External"/><Relationship Id="rId378" Type="http://schemas.openxmlformats.org/officeDocument/2006/relationships/hyperlink" Target="http://gpi.tge.pl/en/wykaz-jednostek" TargetMode="External"/><Relationship Id="rId7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9" Type="http://schemas.openxmlformats.org/officeDocument/2006/relationships/hyperlink" Target="https://sede.minetur.gob.es/en-US/datosabiertos/catalogo/registro-productores-electrica" TargetMode="External"/><Relationship Id="rId2473" Type="http://schemas.openxmlformats.org/officeDocument/2006/relationships/hyperlink" Target="https://sede.minetur.gob.es/en-US/datosabiertos/catalogo/registro-productores-electrica" TargetMode="External"/><Relationship Id="rId3524" Type="http://schemas.openxmlformats.org/officeDocument/2006/relationships/hyperlink" Target="https://www.nve.no/energiforsyning/kraftproduksjon/vannkraft/vannkraftdatabase/" TargetMode="External"/><Relationship Id="rId445" Type="http://schemas.openxmlformats.org/officeDocument/2006/relationships/hyperlink" Target="https://www.ceps.cz/cs/priprava-provozu" TargetMode="External"/><Relationship Id="rId10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6" Type="http://schemas.openxmlformats.org/officeDocument/2006/relationships/hyperlink" Target="https://sede.minetur.gob.es/en-US/datosabiertos/catalogo/registro-productores-electrica" TargetMode="External"/><Relationship Id="rId2540" Type="http://schemas.openxmlformats.org/officeDocument/2006/relationships/hyperlink" Target="https://sede.minetur.gob.es/en-US/datosabiertos/catalogo/registro-productores-electrica" TargetMode="External"/><Relationship Id="rId512" Type="http://schemas.openxmlformats.org/officeDocument/2006/relationships/hyperlink" Target="https://www.ceps.cz/cs/priprava-provozu" TargetMode="External"/><Relationship Id="rId11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98" Type="http://schemas.openxmlformats.org/officeDocument/2006/relationships/hyperlink" Target="https://www.nve.no/energiforsyning/kraftproduksjon/vannkraft/vannkraftdatabase/" TargetMode="External"/><Relationship Id="rId4365" Type="http://schemas.openxmlformats.org/officeDocument/2006/relationships/hyperlink" Target="https://www.nve.no/energiforsyning/kraftproduksjon/vannkraft/vannkraftdatabase/" TargetMode="External"/><Relationship Id="rId1959" Type="http://schemas.openxmlformats.org/officeDocument/2006/relationships/hyperlink" Target="https://sede.minetur.gob.es/en-US/datosabiertos/catalogo/registro-productores-electrica" TargetMode="External"/><Relationship Id="rId4018" Type="http://schemas.openxmlformats.org/officeDocument/2006/relationships/hyperlink" Target="https://www.nve.no/energiforsyning/kraftproduksjon/vannkraft/vannkraftdatabase/" TargetMode="External"/><Relationship Id="rId3381" Type="http://schemas.openxmlformats.org/officeDocument/2006/relationships/hyperlink" Target="https://www.nve.no/energiforsyning/kraftproduksjon/vannkraft/vannkraftdatabase/" TargetMode="External"/><Relationship Id="rId4432" Type="http://schemas.openxmlformats.org/officeDocument/2006/relationships/hyperlink" Target="https://www.nve.no/energiforsyning/kraftproduksjon/vannkraft/vannkraftdatabase/" TargetMode="External"/><Relationship Id="rId3034" Type="http://schemas.openxmlformats.org/officeDocument/2006/relationships/hyperlink" Target="https://www.gov.uk/government/statistics/electricity-chapter-5-digest-of-united-kingdom-energy-statistics-dukes" TargetMode="External"/><Relationship Id="rId2050" Type="http://schemas.openxmlformats.org/officeDocument/2006/relationships/hyperlink" Target="https://sede.minetur.gob.es/en-US/datosabiertos/catalogo/registro-productores-electrica" TargetMode="External"/><Relationship Id="rId3101" Type="http://schemas.openxmlformats.org/officeDocument/2006/relationships/hyperlink" Target="https://www.nve.no/energiforsyning/kraftproduksjon/vannkraft/vannkraftdatabase/" TargetMode="External"/><Relationship Id="rId8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9" Type="http://schemas.openxmlformats.org/officeDocument/2006/relationships/hyperlink" Target="https://energiavirasto.fi/toimitusvarmuus" TargetMode="External"/><Relationship Id="rId2867" Type="http://schemas.openxmlformats.org/officeDocument/2006/relationships/hyperlink" Target="https://www.gov.uk/government/statistics/electricity-chapter-5-digest-of-united-kingdom-energy-statistics-dukes" TargetMode="External"/><Relationship Id="rId3918" Type="http://schemas.openxmlformats.org/officeDocument/2006/relationships/hyperlink" Target="https://www.nve.no/energiforsyning/kraftproduksjon/vannkraft/vannkraftdatabase/" TargetMode="External"/><Relationship Id="rId1883" Type="http://schemas.openxmlformats.org/officeDocument/2006/relationships/hyperlink" Target="https://sede.minetur.gob.es/en-US/datosabiertos/catalogo/registro-productores-electrica" TargetMode="External"/><Relationship Id="rId2934" Type="http://schemas.openxmlformats.org/officeDocument/2006/relationships/hyperlink" Target="https://www.gov.uk/government/statistics/electricity-chapter-5-digest-of-united-kingdom-energy-statistics-dukes" TargetMode="External"/><Relationship Id="rId9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6" Type="http://schemas.openxmlformats.org/officeDocument/2006/relationships/hyperlink" Target="https://energiavirasto.fi/toimitusvarmuus" TargetMode="External"/><Relationship Id="rId1950" Type="http://schemas.openxmlformats.org/officeDocument/2006/relationships/hyperlink" Target="https://sede.minetur.gob.es/en-US/datosabiertos/catalogo/registro-productores-electrica" TargetMode="External"/><Relationship Id="rId1603" Type="http://schemas.openxmlformats.org/officeDocument/2006/relationships/hyperlink" Target="https://energiavirasto.fi/toimitusvarmuus" TargetMode="External"/><Relationship Id="rId4759" Type="http://schemas.openxmlformats.org/officeDocument/2006/relationships/hyperlink" Target="https://www.nve.no/energiforsyning/kraftproduksjon/vannkraft/vannkraftdatabase/" TargetMode="External"/><Relationship Id="rId3775" Type="http://schemas.openxmlformats.org/officeDocument/2006/relationships/hyperlink" Target="https://www.nve.no/energiforsyning/kraftproduksjon/vannkraft/vannkraftdatabase/" TargetMode="External"/><Relationship Id="rId4826" Type="http://schemas.openxmlformats.org/officeDocument/2006/relationships/hyperlink" Target="https://www.seng.si/en/hydropower-plants/large-hydropower-plants/" TargetMode="External"/><Relationship Id="rId6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77" Type="http://schemas.openxmlformats.org/officeDocument/2006/relationships/hyperlink" Target="https://sede.minetur.gob.es/en-US/datosabiertos/catalogo/registro-productores-electrica" TargetMode="External"/><Relationship Id="rId2791" Type="http://schemas.openxmlformats.org/officeDocument/2006/relationships/hyperlink" Target="https://sede.minetur.gob.es/en-US/datosabiertos/catalogo/registro-productores-electrica" TargetMode="External"/><Relationship Id="rId3428" Type="http://schemas.openxmlformats.org/officeDocument/2006/relationships/hyperlink" Target="https://www.nve.no/energiforsyning/kraftproduksjon/vannkraft/vannkraftdatabase/" TargetMode="External"/><Relationship Id="rId349" Type="http://schemas.openxmlformats.org/officeDocument/2006/relationships/hyperlink" Target="http://gpi.tge.pl/en/wykaz-jednostek" TargetMode="External"/><Relationship Id="rId7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3" Type="http://schemas.openxmlformats.org/officeDocument/2006/relationships/hyperlink" Target="https://energiavirasto.fi/toimitusvarmuus" TargetMode="External"/><Relationship Id="rId2444" Type="http://schemas.openxmlformats.org/officeDocument/2006/relationships/hyperlink" Target="https://sede.minetur.gob.es/en-US/datosabiertos/catalogo/registro-productores-electrica" TargetMode="External"/><Relationship Id="rId3842" Type="http://schemas.openxmlformats.org/officeDocument/2006/relationships/hyperlink" Target="https://www.nve.no/energiforsyning/kraftproduksjon/vannkraft/vannkraftdatabase/" TargetMode="External"/><Relationship Id="rId416" Type="http://schemas.openxmlformats.org/officeDocument/2006/relationships/hyperlink" Target="http://gpi.tge.pl/en/wykaz-jednostek" TargetMode="External"/><Relationship Id="rId10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0" Type="http://schemas.openxmlformats.org/officeDocument/2006/relationships/hyperlink" Target="https://energiavirasto.fi/toimitusvarmuus" TargetMode="External"/><Relationship Id="rId2511" Type="http://schemas.openxmlformats.org/officeDocument/2006/relationships/hyperlink" Target="https://sede.minetur.gob.es/en-US/datosabiertos/catalogo/registro-productores-electrica" TargetMode="External"/><Relationship Id="rId11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69" Type="http://schemas.openxmlformats.org/officeDocument/2006/relationships/hyperlink" Target="https://www.nve.no/energiforsyning/kraftproduksjon/vannkraft/vannkraftdatabase/" TargetMode="External"/><Relationship Id="rId4683" Type="http://schemas.openxmlformats.org/officeDocument/2006/relationships/hyperlink" Target="https://www.nve.no/energiforsyning/kraftproduksjon/vannkraft/vannkraftdatabase/" TargetMode="External"/><Relationship Id="rId3285" Type="http://schemas.openxmlformats.org/officeDocument/2006/relationships/hyperlink" Target="https://www.nve.no/energiforsyning/kraftproduksjon/vannkraft/vannkraftdatabase/" TargetMode="External"/><Relationship Id="rId4336" Type="http://schemas.openxmlformats.org/officeDocument/2006/relationships/hyperlink" Target="https://www.nve.no/energiforsyning/kraftproduksjon/vannkraft/vannkraftdatabase/" TargetMode="External"/><Relationship Id="rId4750" Type="http://schemas.openxmlformats.org/officeDocument/2006/relationships/hyperlink" Target="https://www.nve.no/energiforsyning/kraftproduksjon/vannkraft/vannkraftdatabase/" TargetMode="External"/><Relationship Id="rId3352" Type="http://schemas.openxmlformats.org/officeDocument/2006/relationships/hyperlink" Target="https://www.nve.no/energiforsyning/kraftproduksjon/vannkraft/vannkraftdatabase/" TargetMode="External"/><Relationship Id="rId4403" Type="http://schemas.openxmlformats.org/officeDocument/2006/relationships/hyperlink" Target="https://www.nve.no/energiforsyning/kraftproduksjon/vannkraft/vannkraftdatabase/" TargetMode="External"/><Relationship Id="rId273" Type="http://schemas.openxmlformats.org/officeDocument/2006/relationships/hyperlink" Target="https://www.services-rte.com/en/view-data-published-by-rte/production-installed-capacity.html" TargetMode="External"/><Relationship Id="rId3005" Type="http://schemas.openxmlformats.org/officeDocument/2006/relationships/hyperlink" Target="https://www.gov.uk/government/statistics/electricity-chapter-5-digest-of-united-kingdom-energy-statistics-dukes" TargetMode="External"/><Relationship Id="rId340" Type="http://schemas.openxmlformats.org/officeDocument/2006/relationships/hyperlink" Target="http://gpi.tge.pl/en/wykaz-jednostek" TargetMode="External"/><Relationship Id="rId2021" Type="http://schemas.openxmlformats.org/officeDocument/2006/relationships/hyperlink" Target="https://sede.minetur.gob.es/en-US/datosabiertos/catalogo/registro-productores-electrica" TargetMode="External"/><Relationship Id="rId4193" Type="http://schemas.openxmlformats.org/officeDocument/2006/relationships/hyperlink" Target="https://www.nve.no/energiforsyning/kraftproduksjon/vannkraft/vannkraftdatabase/" TargetMode="External"/><Relationship Id="rId1787" Type="http://schemas.openxmlformats.org/officeDocument/2006/relationships/hyperlink" Target="https://sede.minetur.gob.es/en-US/datosabiertos/catalogo/registro-productores-electrica" TargetMode="External"/><Relationship Id="rId2838" Type="http://schemas.openxmlformats.org/officeDocument/2006/relationships/hyperlink" Target="https://sede.minetur.gob.es/en-US/datosabiertos/catalogo/registro-productores-electrica" TargetMode="External"/><Relationship Id="rId79" Type="http://schemas.openxmlformats.org/officeDocument/2006/relationships/hyperlink" Target="https://www.elia.be/en/grid-data/power-generation/generating-facilities" TargetMode="External"/><Relationship Id="rId1854" Type="http://schemas.openxmlformats.org/officeDocument/2006/relationships/hyperlink" Target="https://sede.minetur.gob.es/en-US/datosabiertos/catalogo/registro-productores-electrica" TargetMode="External"/><Relationship Id="rId2905" Type="http://schemas.openxmlformats.org/officeDocument/2006/relationships/hyperlink" Target="https://www.gov.uk/government/statistics/electricity-chapter-5-digest-of-united-kingdom-energy-statistics-dukes" TargetMode="External"/><Relationship Id="rId4260" Type="http://schemas.openxmlformats.org/officeDocument/2006/relationships/hyperlink" Target="https://www.nve.no/energiforsyning/kraftproduksjon/vannkraft/vannkraftdatabase/" TargetMode="External"/><Relationship Id="rId1507" Type="http://schemas.openxmlformats.org/officeDocument/2006/relationships/hyperlink" Target="https://energiavirasto.fi/toimitusvarmuus" TargetMode="External"/><Relationship Id="rId1921" Type="http://schemas.openxmlformats.org/officeDocument/2006/relationships/hyperlink" Target="https://sede.minetur.gob.es/en-US/datosabiertos/catalogo/registro-productores-electrica" TargetMode="External"/><Relationship Id="rId3679" Type="http://schemas.openxmlformats.org/officeDocument/2006/relationships/hyperlink" Target="https://www.nve.no/energiforsyning/kraftproduksjon/vannkraft/vannkraftdatabase/" TargetMode="External"/><Relationship Id="rId1297" Type="http://schemas.openxmlformats.org/officeDocument/2006/relationships/hyperlink" Target="http://www2018.terna.it/it-it/sistemaelettrico/transparencyreport/generation/installedgenerationcapacity.aspx" TargetMode="External"/><Relationship Id="rId2695" Type="http://schemas.openxmlformats.org/officeDocument/2006/relationships/hyperlink" Target="https://sede.minetur.gob.es/en-US/datosabiertos/catalogo/registro-productores-electrica" TargetMode="External"/><Relationship Id="rId3746" Type="http://schemas.openxmlformats.org/officeDocument/2006/relationships/hyperlink" Target="https://www.nve.no/energiforsyning/kraftproduksjon/vannkraft/vannkraftdatabase/" TargetMode="External"/><Relationship Id="rId6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48" Type="http://schemas.openxmlformats.org/officeDocument/2006/relationships/hyperlink" Target="https://sede.minetur.gob.es/en-US/datosabiertos/catalogo/registro-productores-electrica" TargetMode="External"/><Relationship Id="rId2762" Type="http://schemas.openxmlformats.org/officeDocument/2006/relationships/hyperlink" Target="https://sede.minetur.gob.es/en-US/datosabiertos/catalogo/registro-productores-electrica" TargetMode="External"/><Relationship Id="rId3813" Type="http://schemas.openxmlformats.org/officeDocument/2006/relationships/hyperlink" Target="https://www.nve.no/energiforsyning/kraftproduksjon/vannkraft/vannkraftdatabase/" TargetMode="External"/><Relationship Id="rId7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4" Type="http://schemas.openxmlformats.org/officeDocument/2006/relationships/hyperlink" Target="http://www2018.terna.it/it-it/sistemaelettrico/transparencyreport/generation/installedgenerationcapacity.aspx" TargetMode="External"/><Relationship Id="rId2415" Type="http://schemas.openxmlformats.org/officeDocument/2006/relationships/hyperlink" Target="https://sede.minetur.gob.es/en-US/datosabiertos/catalogo/registro-productores-electrica" TargetMode="External"/><Relationship Id="rId70" Type="http://schemas.openxmlformats.org/officeDocument/2006/relationships/hyperlink" Target="https://www.elia.be/en/grid-data/power-generation/generating-facilities" TargetMode="External"/><Relationship Id="rId8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1" Type="http://schemas.openxmlformats.org/officeDocument/2006/relationships/hyperlink" Target="https://energiavirasto.fi/toimitusvarmuus" TargetMode="External"/><Relationship Id="rId4587" Type="http://schemas.openxmlformats.org/officeDocument/2006/relationships/hyperlink" Target="https://www.nve.no/energiforsyning/kraftproduksjon/vannkraft/vannkraftdatabase/" TargetMode="External"/><Relationship Id="rId3189" Type="http://schemas.openxmlformats.org/officeDocument/2006/relationships/hyperlink" Target="https://www.nve.no/energiforsyning/kraftproduksjon/vannkraft/vannkraftdatabase/" TargetMode="External"/><Relationship Id="rId4654" Type="http://schemas.openxmlformats.org/officeDocument/2006/relationships/hyperlink" Target="https://www.nve.no/energiforsyning/kraftproduksjon/vannkraft/vannkraftdatabase/" TargetMode="External"/><Relationship Id="rId3256" Type="http://schemas.openxmlformats.org/officeDocument/2006/relationships/hyperlink" Target="https://www.nve.no/energiforsyning/kraftproduksjon/vannkraft/vannkraftdatabase/" TargetMode="External"/><Relationship Id="rId4307" Type="http://schemas.openxmlformats.org/officeDocument/2006/relationships/hyperlink" Target="https://www.nve.no/energiforsyning/kraftproduksjon/vannkraft/vannkraftdatabase/" TargetMode="External"/><Relationship Id="rId177" Type="http://schemas.openxmlformats.org/officeDocument/2006/relationships/hyperlink" Target="https://www.services-rte.com/en/view-data-published-by-rte/production-installed-capacity.html" TargetMode="External"/><Relationship Id="rId5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2" Type="http://schemas.openxmlformats.org/officeDocument/2006/relationships/hyperlink" Target="https://sede.minetur.gob.es/en-US/datosabiertos/catalogo/registro-productores-electrica" TargetMode="External"/><Relationship Id="rId3670" Type="http://schemas.openxmlformats.org/officeDocument/2006/relationships/hyperlink" Target="https://www.nve.no/energiforsyning/kraftproduksjon/vannkraft/vannkraftdatabase/" TargetMode="External"/><Relationship Id="rId4721" Type="http://schemas.openxmlformats.org/officeDocument/2006/relationships/hyperlink" Target="https://www.nve.no/energiforsyning/kraftproduksjon/vannkraft/vannkraftdatabase/" TargetMode="External"/><Relationship Id="rId244" Type="http://schemas.openxmlformats.org/officeDocument/2006/relationships/hyperlink" Target="https://www.services-rte.com/en/view-data-published-by-rte/production-installed-capacity.html" TargetMode="External"/><Relationship Id="rId3323" Type="http://schemas.openxmlformats.org/officeDocument/2006/relationships/hyperlink" Target="https://www.nve.no/energiforsyning/kraftproduksjon/vannkraft/vannkraftdatabase/" TargetMode="External"/><Relationship Id="rId311" Type="http://schemas.openxmlformats.org/officeDocument/2006/relationships/hyperlink" Target="https://www.services-rte.com/en/view-data-published-by-rte/production-installed-capacity.html" TargetMode="External"/><Relationship Id="rId4097" Type="http://schemas.openxmlformats.org/officeDocument/2006/relationships/hyperlink" Target="https://www.nve.no/energiforsyning/kraftproduksjon/vannkraft/vannkraftdatabase/" TargetMode="External"/><Relationship Id="rId1758" Type="http://schemas.openxmlformats.org/officeDocument/2006/relationships/hyperlink" Target="https://sede.minetur.gob.es/en-US/datosabiertos/catalogo/registro-productores-electrica" TargetMode="External"/><Relationship Id="rId2809" Type="http://schemas.openxmlformats.org/officeDocument/2006/relationships/hyperlink" Target="https://sede.minetur.gob.es/en-US/datosabiertos/catalogo/registro-productores-electrica" TargetMode="External"/><Relationship Id="rId4164" Type="http://schemas.openxmlformats.org/officeDocument/2006/relationships/hyperlink" Target="https://www.nve.no/energiforsyning/kraftproduksjon/vannkraft/vannkraftdatabase/" TargetMode="External"/><Relationship Id="rId3180" Type="http://schemas.openxmlformats.org/officeDocument/2006/relationships/hyperlink" Target="https://www.nve.no/energiforsyning/kraftproduksjon/vannkraft/vannkraftdatabase/" TargetMode="External"/><Relationship Id="rId4231" Type="http://schemas.openxmlformats.org/officeDocument/2006/relationships/hyperlink" Target="https://www.nve.no/energiforsyning/kraftproduksjon/vannkraft/vannkraftdatabase/" TargetMode="External"/><Relationship Id="rId1825" Type="http://schemas.openxmlformats.org/officeDocument/2006/relationships/hyperlink" Target="https://sede.minetur.gob.es/en-US/datosabiertos/catalogo/registro-productores-electrica" TargetMode="External"/><Relationship Id="rId3997" Type="http://schemas.openxmlformats.org/officeDocument/2006/relationships/hyperlink" Target="https://www.nve.no/energiforsyning/kraftproduksjon/vannkraft/vannkraftdatabase/" TargetMode="External"/><Relationship Id="rId2599" Type="http://schemas.openxmlformats.org/officeDocument/2006/relationships/hyperlink" Target="https://sede.minetur.gob.es/en-US/datosabiertos/catalogo/registro-productores-electrica" TargetMode="External"/><Relationship Id="rId9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6" Type="http://schemas.openxmlformats.org/officeDocument/2006/relationships/hyperlink" Target="https://sede.minetur.gob.es/en-US/datosabiertos/catalogo/registro-productores-electrica" TargetMode="External"/><Relationship Id="rId3717" Type="http://schemas.openxmlformats.org/officeDocument/2006/relationships/hyperlink" Target="https://www.nve.no/energiforsyning/kraftproduksjon/vannkraft/vannkraftdatabase/" TargetMode="External"/><Relationship Id="rId6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8" Type="http://schemas.openxmlformats.org/officeDocument/2006/relationships/hyperlink" Target="http://www2018.terna.it/it-it/sistemaelettrico/transparencyreport/generation/installedgenerationcapacity.aspx" TargetMode="External"/><Relationship Id="rId1682" Type="http://schemas.openxmlformats.org/officeDocument/2006/relationships/hyperlink" Target="https://energiavirasto.fi/toimitusvarmuus" TargetMode="External"/><Relationship Id="rId2319" Type="http://schemas.openxmlformats.org/officeDocument/2006/relationships/hyperlink" Target="https://sede.minetur.gob.es/en-US/datosabiertos/catalogo/registro-productores-electrica" TargetMode="External"/><Relationship Id="rId2733" Type="http://schemas.openxmlformats.org/officeDocument/2006/relationships/hyperlink" Target="https://sede.minetur.gob.es/en-US/datosabiertos/catalogo/registro-productores-electrica" TargetMode="External"/><Relationship Id="rId7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5" Type="http://schemas.openxmlformats.org/officeDocument/2006/relationships/hyperlink" Target="http://www2018.terna.it/it-it/sistemaelettrico/transparencyreport/generation/installedgenerationcapacity.aspx" TargetMode="External"/><Relationship Id="rId2800" Type="http://schemas.openxmlformats.org/officeDocument/2006/relationships/hyperlink" Target="https://sede.minetur.gob.es/en-US/datosabiertos/catalogo/registro-productores-electrica" TargetMode="External"/><Relationship Id="rId41" Type="http://schemas.openxmlformats.org/officeDocument/2006/relationships/hyperlink" Target="https://www.elia.be/en/grid-data/power-generation/generating-facilities" TargetMode="External"/><Relationship Id="rId1402" Type="http://schemas.openxmlformats.org/officeDocument/2006/relationships/hyperlink" Target="https://energiavirasto.fi/toimitusvarmuus" TargetMode="External"/><Relationship Id="rId4558" Type="http://schemas.openxmlformats.org/officeDocument/2006/relationships/hyperlink" Target="https://www.nve.no/energiforsyning/kraftproduksjon/vannkraft/vannkraftdatabase/" TargetMode="External"/><Relationship Id="rId4972" Type="http://schemas.openxmlformats.org/officeDocument/2006/relationships/hyperlink" Target="https://www.verbund.com/de-at/ueber-verbund/kraftwerke/unsere-kraftwerke" TargetMode="External"/><Relationship Id="rId3574" Type="http://schemas.openxmlformats.org/officeDocument/2006/relationships/hyperlink" Target="https://www.nve.no/energiforsyning/kraftproduksjon/vannkraft/vannkraftdatabase/" TargetMode="External"/><Relationship Id="rId4625" Type="http://schemas.openxmlformats.org/officeDocument/2006/relationships/hyperlink" Target="https://www.nve.no/energiforsyning/kraftproduksjon/vannkraft/vannkraftdatabase/" TargetMode="External"/><Relationship Id="rId495" Type="http://schemas.openxmlformats.org/officeDocument/2006/relationships/hyperlink" Target="https://www.ceps.cz/cs/priprava-provozu" TargetMode="External"/><Relationship Id="rId2176" Type="http://schemas.openxmlformats.org/officeDocument/2006/relationships/hyperlink" Target="https://sede.minetur.gob.es/en-US/datosabiertos/catalogo/registro-productores-electrica" TargetMode="External"/><Relationship Id="rId2590" Type="http://schemas.openxmlformats.org/officeDocument/2006/relationships/hyperlink" Target="https://sede.minetur.gob.es/en-US/datosabiertos/catalogo/registro-productores-electrica" TargetMode="External"/><Relationship Id="rId3227" Type="http://schemas.openxmlformats.org/officeDocument/2006/relationships/hyperlink" Target="https://www.nve.no/energiforsyning/kraftproduksjon/vannkraft/vannkraftdatabase/" TargetMode="External"/><Relationship Id="rId3641" Type="http://schemas.openxmlformats.org/officeDocument/2006/relationships/hyperlink" Target="https://www.nve.no/energiforsyning/kraftproduksjon/vannkraft/vannkraftdatabase/" TargetMode="External"/><Relationship Id="rId148" Type="http://schemas.openxmlformats.org/officeDocument/2006/relationships/hyperlink" Target="https://www.tennet.org/english/operational_management/export_data.aspx" TargetMode="External"/><Relationship Id="rId562" Type="http://schemas.openxmlformats.org/officeDocument/2006/relationships/hyperlink" Target="https://www.ceps.cz/cs/priprava-provozu" TargetMode="External"/><Relationship Id="rId11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43" Type="http://schemas.openxmlformats.org/officeDocument/2006/relationships/hyperlink" Target="https://sede.minetur.gob.es/en-US/datosabiertos/catalogo/registro-productores-electrica" TargetMode="External"/><Relationship Id="rId215" Type="http://schemas.openxmlformats.org/officeDocument/2006/relationships/hyperlink" Target="https://www.services-rte.com/en/view-data-published-by-rte/production-installed-capacity.html" TargetMode="External"/><Relationship Id="rId2310" Type="http://schemas.openxmlformats.org/officeDocument/2006/relationships/hyperlink" Target="https://sede.minetur.gob.es/en-US/datosabiertos/catalogo/registro-productores-electrica" TargetMode="External"/><Relationship Id="rId4068" Type="http://schemas.openxmlformats.org/officeDocument/2006/relationships/hyperlink" Target="https://www.nve.no/energiforsyning/kraftproduksjon/vannkraft/vannkraftdatabase/" TargetMode="External"/><Relationship Id="rId4482" Type="http://schemas.openxmlformats.org/officeDocument/2006/relationships/hyperlink" Target="https://www.nve.no/energiforsyning/kraftproduksjon/vannkraft/vannkraftdatabase/" TargetMode="External"/><Relationship Id="rId3084" Type="http://schemas.openxmlformats.org/officeDocument/2006/relationships/hyperlink" Target="https://www.gov.uk/government/statistics/electricity-chapter-5-digest-of-united-kingdom-energy-statistics-dukes" TargetMode="External"/><Relationship Id="rId4135" Type="http://schemas.openxmlformats.org/officeDocument/2006/relationships/hyperlink" Target="https://www.nve.no/energiforsyning/kraftproduksjon/vannkraft/vannkraftdatabase/" TargetMode="External"/><Relationship Id="rId1729" Type="http://schemas.openxmlformats.org/officeDocument/2006/relationships/hyperlink" Target="https://sede.minetur.gob.es/en-US/datosabiertos/catalogo/registro-productores-electrica" TargetMode="External"/><Relationship Id="rId3151" Type="http://schemas.openxmlformats.org/officeDocument/2006/relationships/hyperlink" Target="https://www.nve.no/energiforsyning/kraftproduksjon/vannkraft/vannkraftdatabase/" TargetMode="External"/><Relationship Id="rId4202" Type="http://schemas.openxmlformats.org/officeDocument/2006/relationships/hyperlink" Target="https://www.nve.no/energiforsyning/kraftproduksjon/vannkraft/vannkraftdatabase/" TargetMode="External"/><Relationship Id="rId3968" Type="http://schemas.openxmlformats.org/officeDocument/2006/relationships/hyperlink" Target="https://www.nve.no/energiforsyning/kraftproduksjon/vannkraft/vannkraftdatabase/" TargetMode="External"/><Relationship Id="rId5" Type="http://schemas.openxmlformats.org/officeDocument/2006/relationships/hyperlink" Target="https://www.elia.be/en/grid-data/power-generation/generating-facilities" TargetMode="External"/><Relationship Id="rId8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6" Type="http://schemas.openxmlformats.org/officeDocument/2006/relationships/hyperlink" Target="https://energiavirasto.fi/toimitusvarmuus" TargetMode="External"/><Relationship Id="rId2984" Type="http://schemas.openxmlformats.org/officeDocument/2006/relationships/hyperlink" Target="https://www.gov.uk/government/statistics/electricity-chapter-5-digest-of-united-kingdom-energy-statistics-dukes" TargetMode="External"/><Relationship Id="rId6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37" Type="http://schemas.openxmlformats.org/officeDocument/2006/relationships/hyperlink" Target="https://sede.minetur.gob.es/en-US/datosabiertos/catalogo/registro-productores-electrica" TargetMode="External"/><Relationship Id="rId1653" Type="http://schemas.openxmlformats.org/officeDocument/2006/relationships/hyperlink" Target="https://energiavirasto.fi/toimitusvarmuus" TargetMode="External"/><Relationship Id="rId2704" Type="http://schemas.openxmlformats.org/officeDocument/2006/relationships/hyperlink" Target="https://sede.minetur.gob.es/en-US/datosabiertos/catalogo/registro-productores-electrica" TargetMode="External"/><Relationship Id="rId1306" Type="http://schemas.openxmlformats.org/officeDocument/2006/relationships/hyperlink" Target="http://www2018.terna.it/it-it/sistemaelettrico/transparencyreport/generation/installedgenerationcapacity.aspx" TargetMode="External"/><Relationship Id="rId1720" Type="http://schemas.openxmlformats.org/officeDocument/2006/relationships/hyperlink" Target="https://sede.minetur.gob.es/en-US/datosabiertos/catalogo/registro-productores-electrica" TargetMode="External"/><Relationship Id="rId4876" Type="http://schemas.openxmlformats.org/officeDocument/2006/relationships/hyperlink" Target="https://www.seng.si/en/hydropower-plants/small-hydropower-plants/" TargetMode="External"/><Relationship Id="rId12" Type="http://schemas.openxmlformats.org/officeDocument/2006/relationships/hyperlink" Target="https://www.elia.be/en/grid-data/power-generation/generating-facilities" TargetMode="External"/><Relationship Id="rId3478" Type="http://schemas.openxmlformats.org/officeDocument/2006/relationships/hyperlink" Target="https://www.nve.no/energiforsyning/kraftproduksjon/vannkraft/vannkraftdatabase/" TargetMode="External"/><Relationship Id="rId3892" Type="http://schemas.openxmlformats.org/officeDocument/2006/relationships/hyperlink" Target="https://www.nve.no/energiforsyning/kraftproduksjon/vannkraft/vannkraftdatabase/" TargetMode="External"/><Relationship Id="rId4529" Type="http://schemas.openxmlformats.org/officeDocument/2006/relationships/hyperlink" Target="https://www.nve.no/energiforsyning/kraftproduksjon/vannkraft/vannkraftdatabase/" TargetMode="External"/><Relationship Id="rId4943" Type="http://schemas.openxmlformats.org/officeDocument/2006/relationships/hyperlink" Target="https://www.verbund.com/de-at/ueber-verbund/kraftwerke/unsere-kraftwerke" TargetMode="External"/><Relationship Id="rId399" Type="http://schemas.openxmlformats.org/officeDocument/2006/relationships/hyperlink" Target="http://gpi.tge.pl/en/wykaz-jednostek" TargetMode="External"/><Relationship Id="rId2494" Type="http://schemas.openxmlformats.org/officeDocument/2006/relationships/hyperlink" Target="https://sede.minetur.gob.es/en-US/datosabiertos/catalogo/registro-productores-electrica" TargetMode="External"/><Relationship Id="rId3545" Type="http://schemas.openxmlformats.org/officeDocument/2006/relationships/hyperlink" Target="https://www.nve.no/energiforsyning/kraftproduksjon/vannkraft/vannkraftdatabase/" TargetMode="External"/><Relationship Id="rId466" Type="http://schemas.openxmlformats.org/officeDocument/2006/relationships/hyperlink" Target="https://www.ceps.cz/cs/priprava-provozu" TargetMode="External"/><Relationship Id="rId8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7" Type="http://schemas.openxmlformats.org/officeDocument/2006/relationships/hyperlink" Target="https://sede.minetur.gob.es/en-US/datosabiertos/catalogo/registro-productores-electrica" TargetMode="External"/><Relationship Id="rId2561" Type="http://schemas.openxmlformats.org/officeDocument/2006/relationships/hyperlink" Target="https://sede.minetur.gob.es/en-US/datosabiertos/catalogo/registro-productores-electrica" TargetMode="External"/><Relationship Id="rId119" Type="http://schemas.openxmlformats.org/officeDocument/2006/relationships/hyperlink" Target="https://www.tennet.org/english/operational_management/export_data.aspx" TargetMode="External"/><Relationship Id="rId533" Type="http://schemas.openxmlformats.org/officeDocument/2006/relationships/hyperlink" Target="https://www.ceps.cz/cs/priprava-provozu" TargetMode="External"/><Relationship Id="rId11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14" Type="http://schemas.openxmlformats.org/officeDocument/2006/relationships/hyperlink" Target="https://sede.minetur.gob.es/en-US/datosabiertos/catalogo/registro-productores-electrica" TargetMode="External"/><Relationship Id="rId3612" Type="http://schemas.openxmlformats.org/officeDocument/2006/relationships/hyperlink" Target="https://www.nve.no/energiforsyning/kraftproduksjon/vannkraft/vannkraftdatabase/" TargetMode="External"/><Relationship Id="rId6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86" Type="http://schemas.openxmlformats.org/officeDocument/2006/relationships/hyperlink" Target="https://www.nve.no/energiforsyning/kraftproduksjon/vannkraft/vannkraftdatabase/" TargetMode="External"/><Relationship Id="rId4039" Type="http://schemas.openxmlformats.org/officeDocument/2006/relationships/hyperlink" Target="https://www.nve.no/energiforsyning/kraftproduksjon/vannkraft/vannkraftdatabase/" TargetMode="External"/><Relationship Id="rId4453" Type="http://schemas.openxmlformats.org/officeDocument/2006/relationships/hyperlink" Target="https://www.nve.no/energiforsyning/kraftproduksjon/vannkraft/vannkraftdatabase/" TargetMode="External"/><Relationship Id="rId3055" Type="http://schemas.openxmlformats.org/officeDocument/2006/relationships/hyperlink" Target="https://www.gov.uk/government/statistics/electricity-chapter-5-digest-of-united-kingdom-energy-statistics-dukes" TargetMode="External"/><Relationship Id="rId4106" Type="http://schemas.openxmlformats.org/officeDocument/2006/relationships/hyperlink" Target="https://www.nve.no/energiforsyning/kraftproduksjon/vannkraft/vannkraftdatabase/" TargetMode="External"/><Relationship Id="rId4520" Type="http://schemas.openxmlformats.org/officeDocument/2006/relationships/hyperlink" Target="https://www.nve.no/energiforsyning/kraftproduksjon/vannkraft/vannkraftdatabase/" TargetMode="External"/><Relationship Id="rId390" Type="http://schemas.openxmlformats.org/officeDocument/2006/relationships/hyperlink" Target="http://gpi.tge.pl/en/wykaz-jednostek" TargetMode="External"/><Relationship Id="rId2071" Type="http://schemas.openxmlformats.org/officeDocument/2006/relationships/hyperlink" Target="https://sede.minetur.gob.es/en-US/datosabiertos/catalogo/registro-productores-electrica" TargetMode="External"/><Relationship Id="rId3122" Type="http://schemas.openxmlformats.org/officeDocument/2006/relationships/hyperlink" Target="https://www.nve.no/energiforsyning/kraftproduksjon/vannkraft/vannkraftdatabase/" TargetMode="External"/><Relationship Id="rId110" Type="http://schemas.openxmlformats.org/officeDocument/2006/relationships/hyperlink" Target="https://www.tennet.org/english/operational_management/export_data.aspx" TargetMode="External"/><Relationship Id="rId2888" Type="http://schemas.openxmlformats.org/officeDocument/2006/relationships/hyperlink" Target="https://www.gov.uk/government/statistics/electricity-chapter-5-digest-of-united-kingdom-energy-statistics-dukes" TargetMode="External"/><Relationship Id="rId3939" Type="http://schemas.openxmlformats.org/officeDocument/2006/relationships/hyperlink" Target="https://www.nve.no/energiforsyning/kraftproduksjon/vannkraft/vannkraftdatabase/" TargetMode="External"/><Relationship Id="rId2955" Type="http://schemas.openxmlformats.org/officeDocument/2006/relationships/hyperlink" Target="https://www.gov.uk/government/statistics/electricity-chapter-5-digest-of-united-kingdom-energy-statistics-dukes" TargetMode="External"/><Relationship Id="rId9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7" Type="http://schemas.openxmlformats.org/officeDocument/2006/relationships/hyperlink" Target="https://energiavirasto.fi/toimitusvarmuus" TargetMode="External"/><Relationship Id="rId1971" Type="http://schemas.openxmlformats.org/officeDocument/2006/relationships/hyperlink" Target="https://sede.minetur.gob.es/en-US/datosabiertos/catalogo/registro-productores-electrica" TargetMode="External"/><Relationship Id="rId2608" Type="http://schemas.openxmlformats.org/officeDocument/2006/relationships/hyperlink" Target="https://sede.minetur.gob.es/en-US/datosabiertos/catalogo/registro-productores-electrica" TargetMode="External"/><Relationship Id="rId5014" Type="http://schemas.openxmlformats.org/officeDocument/2006/relationships/hyperlink" Target="https://www.evn.at/EVN-Group/Energie-Zukunft/Energie-aus-Niederosterreich/Gas-und-Kohle.aspx" TargetMode="External"/><Relationship Id="rId1624" Type="http://schemas.openxmlformats.org/officeDocument/2006/relationships/hyperlink" Target="https://energiavirasto.fi/toimitusvarmuus" TargetMode="External"/><Relationship Id="rId4030" Type="http://schemas.openxmlformats.org/officeDocument/2006/relationships/hyperlink" Target="https://www.nve.no/energiforsyning/kraftproduksjon/vannkraft/vannkraftdatabase/" TargetMode="External"/><Relationship Id="rId3796" Type="http://schemas.openxmlformats.org/officeDocument/2006/relationships/hyperlink" Target="https://www.nve.no/energiforsyning/kraftproduksjon/vannkraft/vannkraftdatabase/" TargetMode="External"/><Relationship Id="rId2398" Type="http://schemas.openxmlformats.org/officeDocument/2006/relationships/hyperlink" Target="https://sede.minetur.gob.es/en-US/datosabiertos/catalogo/registro-productores-electrica" TargetMode="External"/><Relationship Id="rId3449" Type="http://schemas.openxmlformats.org/officeDocument/2006/relationships/hyperlink" Target="https://www.nve.no/energiforsyning/kraftproduksjon/vannkraft/vannkraftdatabase/" TargetMode="External"/><Relationship Id="rId4847" Type="http://schemas.openxmlformats.org/officeDocument/2006/relationships/hyperlink" Target="https://www.energetika-lj.si/sites/www.jhl.si/files/dokumenti/energetika-id-brosura-ang-web.pdf" TargetMode="External"/><Relationship Id="rId3863" Type="http://schemas.openxmlformats.org/officeDocument/2006/relationships/hyperlink" Target="https://www.nve.no/energiforsyning/kraftproduksjon/vannkraft/vannkraftdatabase/" TargetMode="External"/><Relationship Id="rId4914" Type="http://schemas.openxmlformats.org/officeDocument/2006/relationships/hyperlink" Target="https://www.verbund.com/de-at/ueber-verbund/kraftwerke/unsere-kraftwerke" TargetMode="External"/><Relationship Id="rId7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5" Type="http://schemas.openxmlformats.org/officeDocument/2006/relationships/hyperlink" Target="https://sede.minetur.gob.es/en-US/datosabiertos/catalogo/registro-productores-electrica" TargetMode="External"/><Relationship Id="rId3516" Type="http://schemas.openxmlformats.org/officeDocument/2006/relationships/hyperlink" Target="https://www.nve.no/energiforsyning/kraftproduksjon/vannkraft/vannkraftdatabase/" TargetMode="External"/><Relationship Id="rId3930" Type="http://schemas.openxmlformats.org/officeDocument/2006/relationships/hyperlink" Target="https://www.nve.no/energiforsyning/kraftproduksjon/vannkraft/vannkraftdatabase/" TargetMode="External"/><Relationship Id="rId437" Type="http://schemas.openxmlformats.org/officeDocument/2006/relationships/hyperlink" Target="https://www.ceps.cz/cs/priprava-provozu" TargetMode="External"/><Relationship Id="rId8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1" Type="http://schemas.openxmlformats.org/officeDocument/2006/relationships/hyperlink" Target="https://energiavirasto.fi/toimitusvarmuus" TargetMode="External"/><Relationship Id="rId2118" Type="http://schemas.openxmlformats.org/officeDocument/2006/relationships/hyperlink" Target="https://sede.minetur.gob.es/en-US/datosabiertos/catalogo/registro-productores-electrica" TargetMode="External"/><Relationship Id="rId2532" Type="http://schemas.openxmlformats.org/officeDocument/2006/relationships/hyperlink" Target="https://sede.minetur.gob.es/en-US/datosabiertos/catalogo/registro-productores-electrica" TargetMode="External"/><Relationship Id="rId504" Type="http://schemas.openxmlformats.org/officeDocument/2006/relationships/hyperlink" Target="https://www.ceps.cz/cs/priprava-provozu" TargetMode="External"/><Relationship Id="rId11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57" Type="http://schemas.openxmlformats.org/officeDocument/2006/relationships/hyperlink" Target="https://www.nve.no/energiforsyning/kraftproduksjon/vannkraft/vannkraftdatabase/" TargetMode="External"/><Relationship Id="rId4771" Type="http://schemas.openxmlformats.org/officeDocument/2006/relationships/hyperlink" Target="https://www.nve.no/energiforsyning/kraftproduksjon/vannkraft/vannkraftdatabase/" TargetMode="External"/><Relationship Id="rId3373" Type="http://schemas.openxmlformats.org/officeDocument/2006/relationships/hyperlink" Target="https://www.nve.no/energiforsyning/kraftproduksjon/vannkraft/vannkraftdatabase/" TargetMode="External"/><Relationship Id="rId4424" Type="http://schemas.openxmlformats.org/officeDocument/2006/relationships/hyperlink" Target="https://www.nve.no/energiforsyning/kraftproduksjon/vannkraft/vannkraftdatabase/" TargetMode="External"/><Relationship Id="rId294" Type="http://schemas.openxmlformats.org/officeDocument/2006/relationships/hyperlink" Target="https://www.services-rte.com/en/view-data-published-by-rte/production-installed-capacity.html" TargetMode="External"/><Relationship Id="rId3026" Type="http://schemas.openxmlformats.org/officeDocument/2006/relationships/hyperlink" Target="https://www.gov.uk/government/statistics/electricity-chapter-5-digest-of-united-kingdom-energy-statistics-dukes" TargetMode="External"/><Relationship Id="rId361" Type="http://schemas.openxmlformats.org/officeDocument/2006/relationships/hyperlink" Target="http://gpi.tge.pl/en/wykaz-jednostek" TargetMode="External"/><Relationship Id="rId2042" Type="http://schemas.openxmlformats.org/officeDocument/2006/relationships/hyperlink" Target="https://sede.minetur.gob.es/en-US/datosabiertos/catalogo/registro-productores-electrica" TargetMode="External"/><Relationship Id="rId3440" Type="http://schemas.openxmlformats.org/officeDocument/2006/relationships/hyperlink" Target="https://www.nve.no/energiforsyning/kraftproduksjon/vannkraft/vannkraftdatabase/" TargetMode="External"/><Relationship Id="rId2859" Type="http://schemas.openxmlformats.org/officeDocument/2006/relationships/hyperlink" Target="https://www.gov.uk/government/statistics/electricity-chapter-5-digest-of-united-kingdom-energy-statistics-dukes" TargetMode="External"/><Relationship Id="rId1875" Type="http://schemas.openxmlformats.org/officeDocument/2006/relationships/hyperlink" Target="https://sede.minetur.gob.es/en-US/datosabiertos/catalogo/registro-productores-electrica" TargetMode="External"/><Relationship Id="rId4281" Type="http://schemas.openxmlformats.org/officeDocument/2006/relationships/hyperlink" Target="https://www.nve.no/energiforsyning/kraftproduksjon/vannkraft/vannkraftdatabase/" TargetMode="External"/><Relationship Id="rId1528" Type="http://schemas.openxmlformats.org/officeDocument/2006/relationships/hyperlink" Target="https://energiavirasto.fi/toimitusvarmuus" TargetMode="External"/><Relationship Id="rId2926" Type="http://schemas.openxmlformats.org/officeDocument/2006/relationships/hyperlink" Target="https://www.gov.uk/government/statistics/electricity-chapter-5-digest-of-united-kingdom-energy-statistics-dukes" TargetMode="External"/><Relationship Id="rId1942" Type="http://schemas.openxmlformats.org/officeDocument/2006/relationships/hyperlink" Target="https://sede.minetur.gob.es/en-US/datosabiertos/catalogo/registro-productores-electrica" TargetMode="External"/><Relationship Id="rId4001" Type="http://schemas.openxmlformats.org/officeDocument/2006/relationships/hyperlink" Target="https://www.nve.no/energiforsyning/kraftproduksjon/vannkraft/vannkraftdatabase/" TargetMode="External"/><Relationship Id="rId3767" Type="http://schemas.openxmlformats.org/officeDocument/2006/relationships/hyperlink" Target="https://www.nve.no/energiforsyning/kraftproduksjon/vannkraft/vannkraftdatabase/" TargetMode="External"/><Relationship Id="rId4818" Type="http://schemas.openxmlformats.org/officeDocument/2006/relationships/hyperlink" Target="http://www.teb.si/en/production-units" TargetMode="External"/><Relationship Id="rId6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69" Type="http://schemas.openxmlformats.org/officeDocument/2006/relationships/hyperlink" Target="https://sede.minetur.gob.es/en-US/datosabiertos/catalogo/registro-productores-electrica" TargetMode="External"/><Relationship Id="rId2783" Type="http://schemas.openxmlformats.org/officeDocument/2006/relationships/hyperlink" Target="https://sede.minetur.gob.es/en-US/datosabiertos/catalogo/registro-productores-electrica" TargetMode="External"/><Relationship Id="rId3834" Type="http://schemas.openxmlformats.org/officeDocument/2006/relationships/hyperlink" Target="https://www.nve.no/energiforsyning/kraftproduksjon/vannkraft/vannkraftdatabase/" TargetMode="External"/><Relationship Id="rId7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5" Type="http://schemas.openxmlformats.org/officeDocument/2006/relationships/hyperlink" Target="http://www2018.terna.it/it-it/sistemaelettrico/transparencyreport/generation/installedgenerationcapacity.aspx" TargetMode="External"/><Relationship Id="rId2436" Type="http://schemas.openxmlformats.org/officeDocument/2006/relationships/hyperlink" Target="https://sede.minetur.gob.es/en-US/datosabiertos/catalogo/registro-productores-electrica" TargetMode="External"/><Relationship Id="rId2850" Type="http://schemas.openxmlformats.org/officeDocument/2006/relationships/hyperlink" Target="https://sede.minetur.gob.es/en-US/datosabiertos/catalogo/registro-productores-electrica" TargetMode="External"/><Relationship Id="rId91" Type="http://schemas.openxmlformats.org/officeDocument/2006/relationships/hyperlink" Target="https://www.elia.be/en/grid-data/power-generation/generating-facilities" TargetMode="External"/><Relationship Id="rId408" Type="http://schemas.openxmlformats.org/officeDocument/2006/relationships/hyperlink" Target="http://gpi.tge.pl/en/wykaz-jednostek" TargetMode="External"/><Relationship Id="rId8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2" Type="http://schemas.openxmlformats.org/officeDocument/2006/relationships/hyperlink" Target="https://energiavirasto.fi/toimitusvarmuus" TargetMode="External"/><Relationship Id="rId2503" Type="http://schemas.openxmlformats.org/officeDocument/2006/relationships/hyperlink" Target="https://sede.minetur.gob.es/en-US/datosabiertos/catalogo/registro-productores-electrica" TargetMode="External"/><Relationship Id="rId3901" Type="http://schemas.openxmlformats.org/officeDocument/2006/relationships/hyperlink" Target="https://www.nve.no/energiforsyning/kraftproduksjon/vannkraft/vannkraftdatabase/" TargetMode="External"/><Relationship Id="rId11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277" Type="http://schemas.openxmlformats.org/officeDocument/2006/relationships/hyperlink" Target="https://www.nve.no/energiforsyning/kraftproduksjon/vannkraft/vannkraftdatabase/" TargetMode="External"/><Relationship Id="rId4675" Type="http://schemas.openxmlformats.org/officeDocument/2006/relationships/hyperlink" Target="https://www.nve.no/energiforsyning/kraftproduksjon/vannkraft/vannkraftdatabase/" TargetMode="External"/><Relationship Id="rId198" Type="http://schemas.openxmlformats.org/officeDocument/2006/relationships/hyperlink" Target="https://www.services-rte.com/en/view-data-published-by-rte/production-installed-capacity.html" TargetMode="External"/><Relationship Id="rId3691" Type="http://schemas.openxmlformats.org/officeDocument/2006/relationships/hyperlink" Target="https://www.nve.no/energiforsyning/kraftproduksjon/vannkraft/vannkraftdatabase/" TargetMode="External"/><Relationship Id="rId4328" Type="http://schemas.openxmlformats.org/officeDocument/2006/relationships/hyperlink" Target="https://www.nve.no/energiforsyning/kraftproduksjon/vannkraft/vannkraftdatabase/" TargetMode="External"/><Relationship Id="rId4742" Type="http://schemas.openxmlformats.org/officeDocument/2006/relationships/hyperlink" Target="https://www.nve.no/energiforsyning/kraftproduksjon/vannkraft/vannkraftdatabase/" TargetMode="External"/><Relationship Id="rId2293" Type="http://schemas.openxmlformats.org/officeDocument/2006/relationships/hyperlink" Target="https://sede.minetur.gob.es/en-US/datosabiertos/catalogo/registro-productores-electrica" TargetMode="External"/><Relationship Id="rId3344" Type="http://schemas.openxmlformats.org/officeDocument/2006/relationships/hyperlink" Target="https://www.nve.no/energiforsyning/kraftproduksjon/vannkraft/vannkraftdatabase/" TargetMode="External"/><Relationship Id="rId265" Type="http://schemas.openxmlformats.org/officeDocument/2006/relationships/hyperlink" Target="https://www.services-rte.com/en/view-data-published-by-rte/production-installed-capacity.html" TargetMode="External"/><Relationship Id="rId2360" Type="http://schemas.openxmlformats.org/officeDocument/2006/relationships/hyperlink" Target="https://sede.minetur.gob.es/en-US/datosabiertos/catalogo/registro-productores-electrica" TargetMode="External"/><Relationship Id="rId3411" Type="http://schemas.openxmlformats.org/officeDocument/2006/relationships/hyperlink" Target="https://www.nve.no/energiforsyning/kraftproduksjon/vannkraft/vannkraftdatabase/" TargetMode="External"/><Relationship Id="rId332" Type="http://schemas.openxmlformats.org/officeDocument/2006/relationships/hyperlink" Target="http://gpi.tge.pl/en/wykaz-jednostek" TargetMode="External"/><Relationship Id="rId2013" Type="http://schemas.openxmlformats.org/officeDocument/2006/relationships/hyperlink" Target="https://sede.minetur.gob.es/en-US/datosabiertos/catalogo/registro-productores-electrica" TargetMode="External"/><Relationship Id="rId4185" Type="http://schemas.openxmlformats.org/officeDocument/2006/relationships/hyperlink" Target="https://www.nve.no/energiforsyning/kraftproduksjon/vannkraft/vannkraftdatabase/" TargetMode="External"/><Relationship Id="rId1779" Type="http://schemas.openxmlformats.org/officeDocument/2006/relationships/hyperlink" Target="https://sede.minetur.gob.es/en-US/datosabiertos/catalogo/registro-productores-electrica" TargetMode="External"/><Relationship Id="rId4252" Type="http://schemas.openxmlformats.org/officeDocument/2006/relationships/hyperlink" Target="https://www.nve.no/energiforsyning/kraftproduksjon/vannkraft/vannkraftdatabase/" TargetMode="External"/><Relationship Id="rId1846" Type="http://schemas.openxmlformats.org/officeDocument/2006/relationships/hyperlink" Target="https://sede.minetur.gob.es/en-US/datosabiertos/catalogo/registro-productores-electrica" TargetMode="External"/><Relationship Id="rId1913" Type="http://schemas.openxmlformats.org/officeDocument/2006/relationships/hyperlink" Target="https://sede.minetur.gob.es/en-US/datosabiertos/catalogo/registro-productores-electrica" TargetMode="External"/><Relationship Id="rId2687" Type="http://schemas.openxmlformats.org/officeDocument/2006/relationships/hyperlink" Target="https://sede.minetur.gob.es/en-US/datosabiertos/catalogo/registro-productores-electrica" TargetMode="External"/><Relationship Id="rId3738" Type="http://schemas.openxmlformats.org/officeDocument/2006/relationships/hyperlink" Target="https://www.nve.no/energiforsyning/kraftproduksjon/vannkraft/vannkraftdatabase/" TargetMode="External"/><Relationship Id="rId6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9" Type="http://schemas.openxmlformats.org/officeDocument/2006/relationships/hyperlink" Target="http://www2018.terna.it/it-it/sistemaelettrico/transparencyreport/generation/installedgenerationcapacity.aspx" TargetMode="External"/><Relationship Id="rId1356" Type="http://schemas.openxmlformats.org/officeDocument/2006/relationships/hyperlink" Target="http://www2018.terna.it/it-it/sistemaelettrico/transparencyreport/generation/installedgenerationcapacity.aspx" TargetMode="External"/><Relationship Id="rId2754" Type="http://schemas.openxmlformats.org/officeDocument/2006/relationships/hyperlink" Target="https://sede.minetur.gob.es/en-US/datosabiertos/catalogo/registro-productores-electrica" TargetMode="External"/><Relationship Id="rId3805" Type="http://schemas.openxmlformats.org/officeDocument/2006/relationships/hyperlink" Target="https://www.nve.no/energiforsyning/kraftproduksjon/vannkraft/vannkraftdatabase/" TargetMode="External"/><Relationship Id="rId7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70" Type="http://schemas.openxmlformats.org/officeDocument/2006/relationships/hyperlink" Target="https://sede.minetur.gob.es/en-US/datosabiertos/catalogo/registro-productores-electrica" TargetMode="External"/><Relationship Id="rId2407" Type="http://schemas.openxmlformats.org/officeDocument/2006/relationships/hyperlink" Target="https://sede.minetur.gob.es/en-US/datosabiertos/catalogo/registro-productores-electrica" TargetMode="External"/><Relationship Id="rId2821" Type="http://schemas.openxmlformats.org/officeDocument/2006/relationships/hyperlink" Target="https://sede.minetur.gob.es/en-US/datosabiertos/catalogo/registro-productores-electrica" TargetMode="External"/><Relationship Id="rId62" Type="http://schemas.openxmlformats.org/officeDocument/2006/relationships/hyperlink" Target="https://www.elia.be/en/grid-data/power-generation/generating-facilities" TargetMode="External"/><Relationship Id="rId1423" Type="http://schemas.openxmlformats.org/officeDocument/2006/relationships/hyperlink" Target="https://energiavirasto.fi/toimitusvarmuus" TargetMode="External"/><Relationship Id="rId4579" Type="http://schemas.openxmlformats.org/officeDocument/2006/relationships/hyperlink" Target="https://www.nve.no/energiforsyning/kraftproduksjon/vannkraft/vannkraftdatabase/" TargetMode="External"/><Relationship Id="rId4993" Type="http://schemas.openxmlformats.org/officeDocument/2006/relationships/hyperlink" Target="https://www.verbund.com/de-at/ueber-verbund/kraftwerke/unsere-kraftwerke" TargetMode="External"/><Relationship Id="rId3595" Type="http://schemas.openxmlformats.org/officeDocument/2006/relationships/hyperlink" Target="https://www.nve.no/energiforsyning/kraftproduksjon/vannkraft/vannkraftdatabase/" TargetMode="External"/><Relationship Id="rId4646" Type="http://schemas.openxmlformats.org/officeDocument/2006/relationships/hyperlink" Target="https://www.nve.no/energiforsyning/kraftproduksjon/vannkraft/vannkraftdatabase/" TargetMode="External"/><Relationship Id="rId2197" Type="http://schemas.openxmlformats.org/officeDocument/2006/relationships/hyperlink" Target="https://sede.minetur.gob.es/en-US/datosabiertos/catalogo/registro-productores-electrica" TargetMode="External"/><Relationship Id="rId3248" Type="http://schemas.openxmlformats.org/officeDocument/2006/relationships/hyperlink" Target="https://www.nve.no/energiforsyning/kraftproduksjon/vannkraft/vannkraftdatabase/" TargetMode="External"/><Relationship Id="rId3662" Type="http://schemas.openxmlformats.org/officeDocument/2006/relationships/hyperlink" Target="https://www.nve.no/energiforsyning/kraftproduksjon/vannkraft/vannkraftdatabase/" TargetMode="External"/><Relationship Id="rId4713" Type="http://schemas.openxmlformats.org/officeDocument/2006/relationships/hyperlink" Target="https://www.nve.no/energiforsyning/kraftproduksjon/vannkraft/vannkraftdatabase/" TargetMode="External"/><Relationship Id="rId169" Type="http://schemas.openxmlformats.org/officeDocument/2006/relationships/hyperlink" Target="https://www.services-rte.com/en/view-data-published-by-rte/production-installed-capacity.html" TargetMode="External"/><Relationship Id="rId5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4" Type="http://schemas.openxmlformats.org/officeDocument/2006/relationships/hyperlink" Target="https://sede.minetur.gob.es/en-US/datosabiertos/catalogo/registro-productores-electrica" TargetMode="External"/><Relationship Id="rId3315" Type="http://schemas.openxmlformats.org/officeDocument/2006/relationships/hyperlink" Target="https://www.nve.no/energiforsyning/kraftproduksjon/vannkraft/vannkraftdatabase/" TargetMode="External"/><Relationship Id="rId236" Type="http://schemas.openxmlformats.org/officeDocument/2006/relationships/hyperlink" Target="https://www.services-rte.com/en/view-data-published-by-rte/production-installed-capacity.html" TargetMode="External"/><Relationship Id="rId6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0" Type="http://schemas.openxmlformats.org/officeDocument/2006/relationships/hyperlink" Target="http://www2018.terna.it/it-it/sistemaelettrico/transparencyreport/generation/installedgenerationcapacity.aspx" TargetMode="External"/><Relationship Id="rId2331" Type="http://schemas.openxmlformats.org/officeDocument/2006/relationships/hyperlink" Target="https://sede.minetur.gob.es/en-US/datosabiertos/catalogo/registro-productores-electrica" TargetMode="External"/><Relationship Id="rId303" Type="http://schemas.openxmlformats.org/officeDocument/2006/relationships/hyperlink" Target="https://www.services-rte.com/en/view-data-published-by-rte/production-installed-capacity.html" TargetMode="External"/><Relationship Id="rId4089" Type="http://schemas.openxmlformats.org/officeDocument/2006/relationships/hyperlink" Target="https://www.nve.no/energiforsyning/kraftproduksjon/vannkraft/vannkraftdatabase/" TargetMode="External"/><Relationship Id="rId10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56" Type="http://schemas.openxmlformats.org/officeDocument/2006/relationships/hyperlink" Target="https://www.nve.no/energiforsyning/kraftproduksjon/vannkraft/vannkraftdatabase/" TargetMode="External"/><Relationship Id="rId4570" Type="http://schemas.openxmlformats.org/officeDocument/2006/relationships/hyperlink" Target="https://www.nve.no/energiforsyning/kraftproduksjon/vannkraft/vannkraftdatabase/" TargetMode="External"/><Relationship Id="rId1817" Type="http://schemas.openxmlformats.org/officeDocument/2006/relationships/hyperlink" Target="https://sede.minetur.gob.es/en-US/datosabiertos/catalogo/registro-productores-electrica" TargetMode="External"/><Relationship Id="rId3172" Type="http://schemas.openxmlformats.org/officeDocument/2006/relationships/hyperlink" Target="https://www.nve.no/energiforsyning/kraftproduksjon/vannkraft/vannkraftdatabase/" TargetMode="External"/><Relationship Id="rId4223" Type="http://schemas.openxmlformats.org/officeDocument/2006/relationships/hyperlink" Target="https://www.nve.no/energiforsyning/kraftproduksjon/vannkraft/vannkraftdatabase/" TargetMode="External"/><Relationship Id="rId160" Type="http://schemas.openxmlformats.org/officeDocument/2006/relationships/hyperlink" Target="https://www.tennet.org/english/operational_management/export_data.aspx" TargetMode="External"/><Relationship Id="rId3989" Type="http://schemas.openxmlformats.org/officeDocument/2006/relationships/hyperlink" Target="https://www.nve.no/energiforsyning/kraftproduksjon/vannkraft/vannkraftdatabase/" TargetMode="External"/><Relationship Id="rId9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58" Type="http://schemas.openxmlformats.org/officeDocument/2006/relationships/hyperlink" Target="https://sede.minetur.gob.es/en-US/datosabiertos/catalogo/registro-productores-electrica" TargetMode="External"/><Relationship Id="rId3709" Type="http://schemas.openxmlformats.org/officeDocument/2006/relationships/hyperlink" Target="https://www.nve.no/energiforsyning/kraftproduksjon/vannkraft/vannkraftdatabase/" TargetMode="External"/><Relationship Id="rId4080" Type="http://schemas.openxmlformats.org/officeDocument/2006/relationships/hyperlink" Target="https://www.nve.no/energiforsyning/kraftproduksjon/vannkraft/vannkraftdatabase/" TargetMode="External"/><Relationship Id="rId1674" Type="http://schemas.openxmlformats.org/officeDocument/2006/relationships/hyperlink" Target="https://energiavirasto.fi/toimitusvarmuus" TargetMode="External"/><Relationship Id="rId2725" Type="http://schemas.openxmlformats.org/officeDocument/2006/relationships/hyperlink" Target="https://sede.minetur.gob.es/en-US/datosabiertos/catalogo/registro-productores-electrica" TargetMode="External"/><Relationship Id="rId1327" Type="http://schemas.openxmlformats.org/officeDocument/2006/relationships/hyperlink" Target="http://www2018.terna.it/it-it/sistemaelettrico/transparencyreport/generation/installedgenerationcapacity.aspx" TargetMode="External"/><Relationship Id="rId1741" Type="http://schemas.openxmlformats.org/officeDocument/2006/relationships/hyperlink" Target="https://sede.minetur.gob.es/en-US/datosabiertos/catalogo/registro-productores-electrica" TargetMode="External"/><Relationship Id="rId4897" Type="http://schemas.openxmlformats.org/officeDocument/2006/relationships/hyperlink" Target="http://www.dem.si/en-gb/Power-plants-and-generation/General-data" TargetMode="External"/><Relationship Id="rId33" Type="http://schemas.openxmlformats.org/officeDocument/2006/relationships/hyperlink" Target="https://www.elia.be/en/grid-data/power-generation/generating-facilities" TargetMode="External"/><Relationship Id="rId3499" Type="http://schemas.openxmlformats.org/officeDocument/2006/relationships/hyperlink" Target="https://www.nve.no/energiforsyning/kraftproduksjon/vannkraft/vannkraftdatabase/" TargetMode="External"/><Relationship Id="rId3566" Type="http://schemas.openxmlformats.org/officeDocument/2006/relationships/hyperlink" Target="https://www.nve.no/energiforsyning/kraftproduksjon/vannkraft/vannkraftdatabase/" TargetMode="External"/><Relationship Id="rId4964" Type="http://schemas.openxmlformats.org/officeDocument/2006/relationships/hyperlink" Target="https://www.verbund.com/de-at/ueber-verbund/kraftwerke/unsere-kraftwerke" TargetMode="External"/><Relationship Id="rId487" Type="http://schemas.openxmlformats.org/officeDocument/2006/relationships/hyperlink" Target="https://www.ceps.cz/cs/priprava-provozu" TargetMode="External"/><Relationship Id="rId2168" Type="http://schemas.openxmlformats.org/officeDocument/2006/relationships/hyperlink" Target="https://sede.minetur.gob.es/en-US/datosabiertos/catalogo/registro-productores-electrica" TargetMode="External"/><Relationship Id="rId3219" Type="http://schemas.openxmlformats.org/officeDocument/2006/relationships/hyperlink" Target="https://www.nve.no/energiforsyning/kraftproduksjon/vannkraft/vannkraftdatabase/" TargetMode="External"/><Relationship Id="rId3980" Type="http://schemas.openxmlformats.org/officeDocument/2006/relationships/hyperlink" Target="https://www.nve.no/energiforsyning/kraftproduksjon/vannkraft/vannkraftdatabase/" TargetMode="External"/><Relationship Id="rId4617" Type="http://schemas.openxmlformats.org/officeDocument/2006/relationships/hyperlink" Target="https://www.nve.no/energiforsyning/kraftproduksjon/vannkraft/vannkraftdatabase/" TargetMode="External"/><Relationship Id="rId11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82" Type="http://schemas.openxmlformats.org/officeDocument/2006/relationships/hyperlink" Target="https://sede.minetur.gob.es/en-US/datosabiertos/catalogo/registro-productores-electrica" TargetMode="External"/><Relationship Id="rId3633" Type="http://schemas.openxmlformats.org/officeDocument/2006/relationships/hyperlink" Target="https://www.nve.no/energiforsyning/kraftproduksjon/vannkraft/vannkraftdatabase/" TargetMode="External"/><Relationship Id="rId554" Type="http://schemas.openxmlformats.org/officeDocument/2006/relationships/hyperlink" Target="https://www.ceps.cz/cs/priprava-provozu" TargetMode="External"/><Relationship Id="rId2235" Type="http://schemas.openxmlformats.org/officeDocument/2006/relationships/hyperlink" Target="https://sede.minetur.gob.es/en-US/datosabiertos/catalogo/registro-productores-electrica" TargetMode="External"/><Relationship Id="rId3700" Type="http://schemas.openxmlformats.org/officeDocument/2006/relationships/hyperlink" Target="https://www.nve.no/energiforsyning/kraftproduksjon/vannkraft/vannkraftdatabase/" TargetMode="External"/><Relationship Id="rId207" Type="http://schemas.openxmlformats.org/officeDocument/2006/relationships/hyperlink" Target="https://www.services-rte.com/en/view-data-published-by-rte/production-installed-capacity.html" TargetMode="External"/><Relationship Id="rId6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1" Type="http://schemas.openxmlformats.org/officeDocument/2006/relationships/hyperlink" Target="http://www2018.terna.it/it-it/sistemaelettrico/transparencyreport/generation/installedgenerationcapacity.aspx" TargetMode="External"/><Relationship Id="rId2302" Type="http://schemas.openxmlformats.org/officeDocument/2006/relationships/hyperlink" Target="https://sede.minetur.gob.es/en-US/datosabiertos/catalogo/registro-productores-electrica" TargetMode="External"/><Relationship Id="rId4474" Type="http://schemas.openxmlformats.org/officeDocument/2006/relationships/hyperlink" Target="https://www.nve.no/energiforsyning/kraftproduksjon/vannkraft/vannkraftdatabase/" TargetMode="External"/><Relationship Id="rId3076" Type="http://schemas.openxmlformats.org/officeDocument/2006/relationships/hyperlink" Target="https://www.gov.uk/government/statistics/electricity-chapter-5-digest-of-united-kingdom-energy-statistics-dukes" TargetMode="External"/><Relationship Id="rId3490" Type="http://schemas.openxmlformats.org/officeDocument/2006/relationships/hyperlink" Target="https://www.nve.no/energiforsyning/kraftproduksjon/vannkraft/vannkraftdatabase/" TargetMode="External"/><Relationship Id="rId4127" Type="http://schemas.openxmlformats.org/officeDocument/2006/relationships/hyperlink" Target="https://www.nve.no/energiforsyning/kraftproduksjon/vannkraft/vannkraftdatabase/" TargetMode="External"/><Relationship Id="rId4541" Type="http://schemas.openxmlformats.org/officeDocument/2006/relationships/hyperlink" Target="https://www.nve.no/energiforsyning/kraftproduksjon/vannkraft/vannkraftdatabase/" TargetMode="External"/><Relationship Id="rId2092" Type="http://schemas.openxmlformats.org/officeDocument/2006/relationships/hyperlink" Target="https://sede.minetur.gob.es/en-US/datosabiertos/catalogo/registro-productores-electrica" TargetMode="External"/><Relationship Id="rId3143" Type="http://schemas.openxmlformats.org/officeDocument/2006/relationships/hyperlink" Target="https://www.nve.no/energiforsyning/kraftproduksjon/vannkraft/vannkraftdatabase/" TargetMode="External"/><Relationship Id="rId131" Type="http://schemas.openxmlformats.org/officeDocument/2006/relationships/hyperlink" Target="https://www.tennet.org/english/operational_management/export_data.aspx" TargetMode="External"/><Relationship Id="rId3210" Type="http://schemas.openxmlformats.org/officeDocument/2006/relationships/hyperlink" Target="https://www.nve.no/energiforsyning/kraftproduksjon/vannkraft/vannkraftdatabase/" TargetMode="External"/><Relationship Id="rId2976" Type="http://schemas.openxmlformats.org/officeDocument/2006/relationships/hyperlink" Target="https://www.gov.uk/government/statistics/electricity-chapter-5-digest-of-united-kingdom-energy-statistics-dukes" TargetMode="External"/><Relationship Id="rId9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8" Type="http://schemas.openxmlformats.org/officeDocument/2006/relationships/hyperlink" Target="https://energiavirasto.fi/toimitusvarmuus" TargetMode="External"/><Relationship Id="rId1992" Type="http://schemas.openxmlformats.org/officeDocument/2006/relationships/hyperlink" Target="https://sede.minetur.gob.es/en-US/datosabiertos/catalogo/registro-productores-electrica" TargetMode="External"/><Relationship Id="rId2629" Type="http://schemas.openxmlformats.org/officeDocument/2006/relationships/hyperlink" Target="https://sede.minetur.gob.es/en-US/datosabiertos/catalogo/registro-productores-electrica" TargetMode="External"/><Relationship Id="rId5035" Type="http://schemas.openxmlformats.org/officeDocument/2006/relationships/hyperlink" Target="https://www.bwsc.com/references/nordjylland-power-plant" TargetMode="External"/><Relationship Id="rId1645" Type="http://schemas.openxmlformats.org/officeDocument/2006/relationships/hyperlink" Target="https://energiavirasto.fi/toimitusvarmuus" TargetMode="External"/><Relationship Id="rId4051" Type="http://schemas.openxmlformats.org/officeDocument/2006/relationships/hyperlink" Target="https://www.nve.no/energiforsyning/kraftproduksjon/vannkraft/vannkraftdatabase/" TargetMode="External"/><Relationship Id="rId1712" Type="http://schemas.openxmlformats.org/officeDocument/2006/relationships/hyperlink" Target="https://sede.minetur.gob.es/en-US/datosabiertos/catalogo/registro-productores-electrica" TargetMode="External"/><Relationship Id="rId4868" Type="http://schemas.openxmlformats.org/officeDocument/2006/relationships/hyperlink" Target="http://www.dem.si/en-gb/Power-plants-and-generation/General-data" TargetMode="External"/><Relationship Id="rId3884" Type="http://schemas.openxmlformats.org/officeDocument/2006/relationships/hyperlink" Target="https://www.nve.no/energiforsyning/kraftproduksjon/vannkraft/vannkraftdatabase/" TargetMode="External"/><Relationship Id="rId4935" Type="http://schemas.openxmlformats.org/officeDocument/2006/relationships/hyperlink" Target="https://www.verbund.com/de-at/ueber-verbund/kraftwerke/unsere-kraftwerke" TargetMode="External"/><Relationship Id="rId2486" Type="http://schemas.openxmlformats.org/officeDocument/2006/relationships/hyperlink" Target="https://sede.minetur.gob.es/en-US/datosabiertos/catalogo/registro-productores-electrica" TargetMode="External"/><Relationship Id="rId3537" Type="http://schemas.openxmlformats.org/officeDocument/2006/relationships/hyperlink" Target="https://www.nve.no/energiforsyning/kraftproduksjon/vannkraft/vannkraftdatabase/" TargetMode="External"/><Relationship Id="rId3951" Type="http://schemas.openxmlformats.org/officeDocument/2006/relationships/hyperlink" Target="https://www.nve.no/energiforsyning/kraftproduksjon/vannkraft/vannkraftdatabase/" TargetMode="External"/><Relationship Id="rId458" Type="http://schemas.openxmlformats.org/officeDocument/2006/relationships/hyperlink" Target="https://www.ceps.cz/cs/priprava-provozu" TargetMode="External"/><Relationship Id="rId8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39" Type="http://schemas.openxmlformats.org/officeDocument/2006/relationships/hyperlink" Target="https://sede.minetur.gob.es/en-US/datosabiertos/catalogo/registro-productores-electrica" TargetMode="External"/><Relationship Id="rId2553" Type="http://schemas.openxmlformats.org/officeDocument/2006/relationships/hyperlink" Target="https://sede.minetur.gob.es/en-US/datosabiertos/catalogo/registro-productores-electrica" TargetMode="External"/><Relationship Id="rId3604" Type="http://schemas.openxmlformats.org/officeDocument/2006/relationships/hyperlink" Target="https://www.nve.no/energiforsyning/kraftproduksjon/vannkraft/vannkraftdatabase/" TargetMode="External"/><Relationship Id="rId525" Type="http://schemas.openxmlformats.org/officeDocument/2006/relationships/hyperlink" Target="https://www.ceps.cz/cs/priprava-provozu" TargetMode="External"/><Relationship Id="rId11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06" Type="http://schemas.openxmlformats.org/officeDocument/2006/relationships/hyperlink" Target="https://sede.minetur.gob.es/en-US/datosabiertos/catalogo/registro-productores-electrica" TargetMode="External"/><Relationship Id="rId2620" Type="http://schemas.openxmlformats.org/officeDocument/2006/relationships/hyperlink" Target="https://sede.minetur.gob.es/en-US/datosabiertos/catalogo/registro-productores-electrica" TargetMode="External"/><Relationship Id="rId12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78" Type="http://schemas.openxmlformats.org/officeDocument/2006/relationships/hyperlink" Target="https://www.nve.no/energiforsyning/kraftproduksjon/vannkraft/vannkraftdatabase/" TargetMode="External"/><Relationship Id="rId3394" Type="http://schemas.openxmlformats.org/officeDocument/2006/relationships/hyperlink" Target="https://www.nve.no/energiforsyning/kraftproduksjon/vannkraft/vannkraftdatabase/" TargetMode="External"/><Relationship Id="rId4792" Type="http://schemas.openxmlformats.org/officeDocument/2006/relationships/hyperlink" Target="https://www.nve.no/media/8967/termiske-kraftverk-i-norge-2019.xlsx" TargetMode="External"/><Relationship Id="rId3047" Type="http://schemas.openxmlformats.org/officeDocument/2006/relationships/hyperlink" Target="https://www.gov.uk/government/statistics/electricity-chapter-5-digest-of-united-kingdom-energy-statistics-dukes" TargetMode="External"/><Relationship Id="rId4445" Type="http://schemas.openxmlformats.org/officeDocument/2006/relationships/hyperlink" Target="https://www.nve.no/energiforsyning/kraftproduksjon/vannkraft/vannkraftdatabase/" TargetMode="External"/><Relationship Id="rId3461" Type="http://schemas.openxmlformats.org/officeDocument/2006/relationships/hyperlink" Target="https://www.nve.no/energiforsyning/kraftproduksjon/vannkraft/vannkraftdatabase/" TargetMode="External"/><Relationship Id="rId4512" Type="http://schemas.openxmlformats.org/officeDocument/2006/relationships/hyperlink" Target="https://www.nve.no/energiforsyning/kraftproduksjon/vannkraft/vannkraftdatabase/" TargetMode="External"/><Relationship Id="rId382" Type="http://schemas.openxmlformats.org/officeDocument/2006/relationships/hyperlink" Target="http://gpi.tge.pl/en/wykaz-jednostek" TargetMode="External"/><Relationship Id="rId2063" Type="http://schemas.openxmlformats.org/officeDocument/2006/relationships/hyperlink" Target="https://sede.minetur.gob.es/en-US/datosabiertos/catalogo/registro-productores-electrica" TargetMode="External"/><Relationship Id="rId3114" Type="http://schemas.openxmlformats.org/officeDocument/2006/relationships/hyperlink" Target="https://www.nve.no/energiforsyning/kraftproduksjon/vannkraft/vannkraftdatabase/" TargetMode="External"/><Relationship Id="rId2130" Type="http://schemas.openxmlformats.org/officeDocument/2006/relationships/hyperlink" Target="https://sede.minetur.gob.es/en-US/datosabiertos/catalogo/registro-productores-electrica" TargetMode="External"/><Relationship Id="rId102" Type="http://schemas.openxmlformats.org/officeDocument/2006/relationships/hyperlink" Target="https://www.tennet.org/english/operational_management/export_data.aspx" TargetMode="External"/><Relationship Id="rId1896" Type="http://schemas.openxmlformats.org/officeDocument/2006/relationships/hyperlink" Target="https://sede.minetur.gob.es/en-US/datosabiertos/catalogo/registro-productores-electrica" TargetMode="External"/><Relationship Id="rId2947" Type="http://schemas.openxmlformats.org/officeDocument/2006/relationships/hyperlink" Target="https://www.gov.uk/government/statistics/electricity-chapter-5-digest-of-united-kingdom-energy-statistics-dukes" TargetMode="External"/><Relationship Id="rId5006" Type="http://schemas.openxmlformats.org/officeDocument/2006/relationships/hyperlink" Target="https://www.evn.at/EVN-Group/Energie-Zukunft/Energie-aus-Niederosterreich/Gas-und-Kohle.aspx" TargetMode="External"/><Relationship Id="rId9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9" Type="http://schemas.openxmlformats.org/officeDocument/2006/relationships/hyperlink" Target="https://energiavirasto.fi/toimitusvarmuus" TargetMode="External"/><Relationship Id="rId1963" Type="http://schemas.openxmlformats.org/officeDocument/2006/relationships/hyperlink" Target="https://sede.minetur.gob.es/en-US/datosabiertos/catalogo/registro-productores-electrica" TargetMode="External"/><Relationship Id="rId4022" Type="http://schemas.openxmlformats.org/officeDocument/2006/relationships/hyperlink" Target="https://www.nve.no/energiforsyning/kraftproduksjon/vannkraft/vannkraftdatabase/" TargetMode="External"/><Relationship Id="rId1616" Type="http://schemas.openxmlformats.org/officeDocument/2006/relationships/hyperlink" Target="https://energiavirasto.fi/toimitusvarmuus" TargetMode="External"/><Relationship Id="rId3788" Type="http://schemas.openxmlformats.org/officeDocument/2006/relationships/hyperlink" Target="https://www.nve.no/energiforsyning/kraftproduksjon/vannkraft/vannkraftdatabase/" TargetMode="External"/><Relationship Id="rId4839" Type="http://schemas.openxmlformats.org/officeDocument/2006/relationships/hyperlink" Target="https://www.seng.si/en/hydropower-plants/small-hydropower-plants/" TargetMode="External"/><Relationship Id="rId3855" Type="http://schemas.openxmlformats.org/officeDocument/2006/relationships/hyperlink" Target="https://www.nve.no/energiforsyning/kraftproduksjon/vannkraft/vannkraftdatabase/" TargetMode="External"/><Relationship Id="rId7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7" Type="http://schemas.openxmlformats.org/officeDocument/2006/relationships/hyperlink" Target="https://sede.minetur.gob.es/en-US/datosabiertos/catalogo/registro-productores-electrica" TargetMode="External"/><Relationship Id="rId3508" Type="http://schemas.openxmlformats.org/officeDocument/2006/relationships/hyperlink" Target="https://www.nve.no/energiforsyning/kraftproduksjon/vannkraft/vannkraftdatabase/" TargetMode="External"/><Relationship Id="rId4906" Type="http://schemas.openxmlformats.org/officeDocument/2006/relationships/hyperlink" Target="https://www.verbund.com/de-at/ueber-verbund/kraftwerke/unsere-kraftwerke" TargetMode="External"/><Relationship Id="rId429" Type="http://schemas.openxmlformats.org/officeDocument/2006/relationships/hyperlink" Target="https://www.ceps.cz/cs/priprava-provozu" TargetMode="External"/><Relationship Id="rId10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3" Type="http://schemas.openxmlformats.org/officeDocument/2006/relationships/hyperlink" Target="https://energiavirasto.fi/toimitusvarmuus" TargetMode="External"/><Relationship Id="rId2871" Type="http://schemas.openxmlformats.org/officeDocument/2006/relationships/hyperlink" Target="https://www.gov.uk/government/statistics/electricity-chapter-5-digest-of-united-kingdom-energy-statistics-dukes" TargetMode="External"/><Relationship Id="rId3922" Type="http://schemas.openxmlformats.org/officeDocument/2006/relationships/hyperlink" Target="https://www.nve.no/energiforsyning/kraftproduksjon/vannkraft/vannkraftdataba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64AF-2BB1-47B8-9BE3-4E6FD28AEBB4}">
  <dimension ref="A1:H2"/>
  <sheetViews>
    <sheetView workbookViewId="0">
      <selection activeCell="E29" sqref="E29"/>
    </sheetView>
  </sheetViews>
  <sheetFormatPr defaultRowHeight="14.25" x14ac:dyDescent="0.45"/>
  <cols>
    <col min="3" max="3" width="36" bestFit="1" customWidth="1"/>
    <col min="4" max="4" width="39.33203125" bestFit="1" customWidth="1"/>
    <col min="5" max="5" width="31.06640625" bestFit="1" customWidth="1"/>
    <col min="6" max="6" width="29.33203125" bestFit="1" customWidth="1"/>
    <col min="7" max="7" width="31.73046875" bestFit="1" customWidth="1"/>
  </cols>
  <sheetData>
    <row r="1" spans="1:8" x14ac:dyDescent="0.45">
      <c r="A1" t="s">
        <v>11254</v>
      </c>
      <c r="B1" t="s">
        <v>11297</v>
      </c>
      <c r="C1" t="s">
        <v>11284</v>
      </c>
      <c r="D1" t="s">
        <v>11290</v>
      </c>
      <c r="E1" t="s">
        <v>11252</v>
      </c>
      <c r="F1" t="s">
        <v>11253</v>
      </c>
      <c r="G1" t="s">
        <v>11291</v>
      </c>
      <c r="H1" t="s">
        <v>11299</v>
      </c>
    </row>
    <row r="2" spans="1:8" x14ac:dyDescent="0.45">
      <c r="A2" t="s">
        <v>11298</v>
      </c>
      <c r="B2">
        <v>1</v>
      </c>
      <c r="C2">
        <f>plants!P6120</f>
        <v>9.0291696511528713E-2</v>
      </c>
      <c r="D2">
        <f>plants!O6120</f>
        <v>3.7112762750194329E-7</v>
      </c>
      <c r="E2" s="16">
        <f>plants!H6120</f>
        <v>6.1551038899972452</v>
      </c>
      <c r="F2" s="16">
        <f>plants!I6120</f>
        <v>78015.039950839055</v>
      </c>
      <c r="G2" s="17">
        <f>plants!J6120</f>
        <v>1.2265588015912482E-2</v>
      </c>
      <c r="H2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6120"/>
  <sheetViews>
    <sheetView tabSelected="1" topLeftCell="A6104" zoomScale="81" workbookViewId="0">
      <selection activeCell="J6115" sqref="J6115"/>
    </sheetView>
  </sheetViews>
  <sheetFormatPr defaultRowHeight="14.25" x14ac:dyDescent="0.45"/>
  <cols>
    <col min="5" max="5" width="33.59765625" bestFit="1" customWidth="1"/>
    <col min="6" max="6" width="14.6640625" bestFit="1" customWidth="1"/>
    <col min="7" max="7" width="11.265625" bestFit="1" customWidth="1"/>
    <col min="8" max="8" width="30.6640625" bestFit="1" customWidth="1"/>
    <col min="9" max="9" width="29.6640625" bestFit="1" customWidth="1"/>
    <col min="10" max="10" width="32.6640625" bestFit="1" customWidth="1"/>
    <col min="11" max="11" width="30.6640625" bestFit="1" customWidth="1"/>
    <col min="12" max="12" width="32.06640625" bestFit="1" customWidth="1"/>
    <col min="13" max="13" width="39.1328125" bestFit="1" customWidth="1"/>
    <col min="14" max="14" width="46" bestFit="1" customWidth="1"/>
    <col min="15" max="15" width="46" customWidth="1"/>
    <col min="16" max="16" width="37.9296875" bestFit="1" customWidth="1"/>
    <col min="17" max="17" width="19.796875" bestFit="1" customWidth="1"/>
    <col min="18" max="18" width="67.59765625" customWidth="1"/>
    <col min="19" max="19" width="32.46484375" bestFit="1" customWidth="1"/>
    <col min="20" max="20" width="19.53125" bestFit="1" customWidth="1"/>
    <col min="21" max="21" width="15.46484375" bestFit="1" customWidth="1"/>
    <col min="22" max="22" width="255.59765625" bestFit="1" customWidth="1"/>
  </cols>
  <sheetData>
    <row r="1" spans="1:23" x14ac:dyDescent="0.4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 t="s">
        <v>10</v>
      </c>
      <c r="N1" s="1" t="s">
        <v>11</v>
      </c>
      <c r="O1" s="1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hidden="1" x14ac:dyDescent="0.45">
      <c r="A2" s="1" t="s">
        <v>21</v>
      </c>
      <c r="B2" t="s">
        <v>6020</v>
      </c>
      <c r="F2" t="s">
        <v>10289</v>
      </c>
      <c r="G2">
        <v>413</v>
      </c>
      <c r="H2" t="s">
        <v>10307</v>
      </c>
      <c r="I2" t="s">
        <v>10321</v>
      </c>
      <c r="N2">
        <v>50.413960000000003</v>
      </c>
      <c r="P2">
        <v>4.4064500000000004</v>
      </c>
      <c r="Q2" t="s">
        <v>10337</v>
      </c>
      <c r="R2" t="s">
        <v>11037</v>
      </c>
      <c r="S2" t="s">
        <v>10307</v>
      </c>
      <c r="W2" s="2" t="s">
        <v>11193</v>
      </c>
    </row>
    <row r="3" spans="1:23" hidden="1" x14ac:dyDescent="0.45">
      <c r="A3" s="1" t="s">
        <v>22</v>
      </c>
      <c r="B3" t="s">
        <v>6021</v>
      </c>
      <c r="F3" t="s">
        <v>10289</v>
      </c>
      <c r="G3">
        <v>43</v>
      </c>
      <c r="H3" t="s">
        <v>10307</v>
      </c>
      <c r="I3" t="s">
        <v>10322</v>
      </c>
      <c r="K3" t="s">
        <v>10331</v>
      </c>
      <c r="M3" t="s">
        <v>10334</v>
      </c>
      <c r="R3" t="s">
        <v>11037</v>
      </c>
      <c r="S3" t="s">
        <v>10307</v>
      </c>
      <c r="W3" s="2" t="s">
        <v>11193</v>
      </c>
    </row>
    <row r="4" spans="1:23" hidden="1" x14ac:dyDescent="0.45">
      <c r="A4" s="1" t="s">
        <v>23</v>
      </c>
      <c r="B4" t="s">
        <v>6021</v>
      </c>
      <c r="F4" t="s">
        <v>10289</v>
      </c>
      <c r="G4">
        <v>5</v>
      </c>
      <c r="H4" t="s">
        <v>10307</v>
      </c>
      <c r="I4" t="s">
        <v>10323</v>
      </c>
      <c r="K4" t="s">
        <v>10331</v>
      </c>
      <c r="M4" t="s">
        <v>10334</v>
      </c>
      <c r="R4" t="s">
        <v>11037</v>
      </c>
      <c r="S4" t="s">
        <v>10307</v>
      </c>
      <c r="W4" s="2" t="s">
        <v>11193</v>
      </c>
    </row>
    <row r="5" spans="1:23" hidden="1" x14ac:dyDescent="0.45">
      <c r="A5" s="1" t="s">
        <v>24</v>
      </c>
      <c r="B5" t="s">
        <v>6021</v>
      </c>
      <c r="F5" t="s">
        <v>10289</v>
      </c>
      <c r="G5">
        <v>18</v>
      </c>
      <c r="H5" t="s">
        <v>10308</v>
      </c>
      <c r="I5" t="s">
        <v>10322</v>
      </c>
      <c r="R5" t="s">
        <v>11037</v>
      </c>
      <c r="S5" t="s">
        <v>10308</v>
      </c>
      <c r="W5" s="2" t="s">
        <v>11193</v>
      </c>
    </row>
    <row r="6" spans="1:23" hidden="1" x14ac:dyDescent="0.45">
      <c r="A6" s="1" t="s">
        <v>25</v>
      </c>
      <c r="B6" t="s">
        <v>6021</v>
      </c>
      <c r="F6" t="s">
        <v>10289</v>
      </c>
      <c r="G6">
        <v>451</v>
      </c>
      <c r="H6" t="s">
        <v>10307</v>
      </c>
      <c r="I6" t="s">
        <v>10321</v>
      </c>
      <c r="N6">
        <v>50.430040000000012</v>
      </c>
      <c r="P6">
        <v>4.3951799999999999</v>
      </c>
      <c r="Q6" t="s">
        <v>10338</v>
      </c>
      <c r="R6" t="s">
        <v>11037</v>
      </c>
      <c r="S6" t="s">
        <v>10307</v>
      </c>
      <c r="W6" s="2" t="s">
        <v>11193</v>
      </c>
    </row>
    <row r="7" spans="1:23" hidden="1" x14ac:dyDescent="0.45">
      <c r="A7" s="1" t="s">
        <v>26</v>
      </c>
      <c r="B7" t="s">
        <v>6021</v>
      </c>
      <c r="F7" t="s">
        <v>10289</v>
      </c>
      <c r="G7">
        <v>95</v>
      </c>
      <c r="H7" t="s">
        <v>10309</v>
      </c>
      <c r="I7" t="s">
        <v>10323</v>
      </c>
      <c r="N7">
        <v>50.585079999999998</v>
      </c>
      <c r="P7">
        <v>5.4188599999999996</v>
      </c>
      <c r="R7" t="s">
        <v>11038</v>
      </c>
      <c r="S7" t="s">
        <v>10317</v>
      </c>
      <c r="T7" t="s">
        <v>10309</v>
      </c>
      <c r="W7" s="2" t="s">
        <v>11193</v>
      </c>
    </row>
    <row r="8" spans="1:23" hidden="1" x14ac:dyDescent="0.45">
      <c r="A8" s="1" t="s">
        <v>27</v>
      </c>
      <c r="B8" t="s">
        <v>6021</v>
      </c>
      <c r="F8" t="s">
        <v>10289</v>
      </c>
      <c r="G8">
        <v>32</v>
      </c>
      <c r="H8" t="s">
        <v>10308</v>
      </c>
      <c r="I8" t="s">
        <v>10322</v>
      </c>
      <c r="R8" t="s">
        <v>11037</v>
      </c>
      <c r="S8" t="s">
        <v>10308</v>
      </c>
      <c r="W8" s="2" t="s">
        <v>11193</v>
      </c>
    </row>
    <row r="9" spans="1:23" hidden="1" x14ac:dyDescent="0.45">
      <c r="A9" s="1" t="s">
        <v>28</v>
      </c>
      <c r="B9" t="s">
        <v>6021</v>
      </c>
      <c r="F9" t="s">
        <v>10289</v>
      </c>
      <c r="G9">
        <v>23.8</v>
      </c>
      <c r="H9" t="s">
        <v>10307</v>
      </c>
      <c r="K9" t="s">
        <v>10331</v>
      </c>
      <c r="M9" t="s">
        <v>10334</v>
      </c>
      <c r="R9" t="s">
        <v>11037</v>
      </c>
      <c r="S9" t="s">
        <v>10307</v>
      </c>
      <c r="W9" s="2" t="s">
        <v>11193</v>
      </c>
    </row>
    <row r="10" spans="1:23" hidden="1" x14ac:dyDescent="0.45">
      <c r="A10" s="1" t="s">
        <v>29</v>
      </c>
      <c r="B10" t="s">
        <v>6021</v>
      </c>
      <c r="F10" t="s">
        <v>10289</v>
      </c>
      <c r="G10">
        <v>1.8</v>
      </c>
      <c r="H10" t="s">
        <v>10310</v>
      </c>
      <c r="R10" t="s">
        <v>11038</v>
      </c>
      <c r="S10" t="s">
        <v>10310</v>
      </c>
      <c r="W10" s="2" t="s">
        <v>11193</v>
      </c>
    </row>
    <row r="11" spans="1:23" hidden="1" x14ac:dyDescent="0.45">
      <c r="A11" s="1" t="s">
        <v>30</v>
      </c>
      <c r="B11" t="s">
        <v>6021</v>
      </c>
      <c r="F11" t="s">
        <v>10289</v>
      </c>
      <c r="G11">
        <v>18</v>
      </c>
      <c r="H11" t="s">
        <v>10308</v>
      </c>
      <c r="I11" t="s">
        <v>10322</v>
      </c>
      <c r="R11" t="s">
        <v>11037</v>
      </c>
      <c r="S11" t="s">
        <v>10308</v>
      </c>
      <c r="W11" s="2" t="s">
        <v>11193</v>
      </c>
    </row>
    <row r="12" spans="1:23" hidden="1" x14ac:dyDescent="0.45">
      <c r="A12" s="1" t="s">
        <v>31</v>
      </c>
      <c r="B12" t="s">
        <v>6021</v>
      </c>
      <c r="F12" t="s">
        <v>10289</v>
      </c>
      <c r="G12">
        <v>474</v>
      </c>
      <c r="H12" t="s">
        <v>10310</v>
      </c>
      <c r="N12">
        <v>50.382540000000013</v>
      </c>
      <c r="P12">
        <v>5.8441400000000003</v>
      </c>
      <c r="Q12" t="s">
        <v>10339</v>
      </c>
      <c r="R12" t="s">
        <v>11038</v>
      </c>
      <c r="S12" t="s">
        <v>10310</v>
      </c>
      <c r="V12" t="s">
        <v>11057</v>
      </c>
      <c r="W12" s="2" t="s">
        <v>11193</v>
      </c>
    </row>
    <row r="13" spans="1:23" hidden="1" x14ac:dyDescent="0.45">
      <c r="A13" s="1" t="s">
        <v>32</v>
      </c>
      <c r="B13" t="s">
        <v>6021</v>
      </c>
      <c r="F13" t="s">
        <v>10289</v>
      </c>
      <c r="G13">
        <v>690</v>
      </c>
      <c r="H13" t="s">
        <v>10310</v>
      </c>
      <c r="N13">
        <v>50.382540000000013</v>
      </c>
      <c r="P13">
        <v>5.8441400000000003</v>
      </c>
      <c r="Q13" t="s">
        <v>10340</v>
      </c>
      <c r="R13" t="s">
        <v>11038</v>
      </c>
      <c r="S13" t="s">
        <v>10310</v>
      </c>
      <c r="V13" t="s">
        <v>11057</v>
      </c>
      <c r="W13" s="2" t="s">
        <v>11193</v>
      </c>
    </row>
    <row r="14" spans="1:23" hidden="1" x14ac:dyDescent="0.45">
      <c r="A14" s="1" t="s">
        <v>33</v>
      </c>
      <c r="B14" t="s">
        <v>6021</v>
      </c>
      <c r="F14" t="s">
        <v>10289</v>
      </c>
      <c r="G14">
        <v>445</v>
      </c>
      <c r="H14" t="s">
        <v>10311</v>
      </c>
      <c r="I14" t="s">
        <v>10323</v>
      </c>
      <c r="N14">
        <v>51.324809999999999</v>
      </c>
      <c r="P14">
        <v>4.2588900000000001</v>
      </c>
      <c r="Q14" t="s">
        <v>10341</v>
      </c>
      <c r="R14" t="s">
        <v>10311</v>
      </c>
      <c r="W14" s="2" t="s">
        <v>11193</v>
      </c>
    </row>
    <row r="15" spans="1:23" hidden="1" x14ac:dyDescent="0.45">
      <c r="A15" s="1" t="s">
        <v>34</v>
      </c>
      <c r="B15" t="s">
        <v>6021</v>
      </c>
      <c r="F15" t="s">
        <v>10289</v>
      </c>
      <c r="G15">
        <v>433</v>
      </c>
      <c r="H15" t="s">
        <v>10311</v>
      </c>
      <c r="I15" t="s">
        <v>10323</v>
      </c>
      <c r="N15">
        <v>51.324809999999999</v>
      </c>
      <c r="P15">
        <v>4.2588900000000001</v>
      </c>
      <c r="Q15" t="s">
        <v>10342</v>
      </c>
      <c r="R15" t="s">
        <v>10311</v>
      </c>
      <c r="W15" s="2" t="s">
        <v>11193</v>
      </c>
    </row>
    <row r="16" spans="1:23" hidden="1" x14ac:dyDescent="0.45">
      <c r="A16" s="1" t="s">
        <v>35</v>
      </c>
      <c r="B16" t="s">
        <v>6021</v>
      </c>
      <c r="F16" t="s">
        <v>10289</v>
      </c>
      <c r="G16">
        <v>1006</v>
      </c>
      <c r="H16" t="s">
        <v>10311</v>
      </c>
      <c r="I16" t="s">
        <v>10323</v>
      </c>
      <c r="N16">
        <v>51.324809999999999</v>
      </c>
      <c r="P16">
        <v>4.2588900000000001</v>
      </c>
      <c r="Q16" t="s">
        <v>10343</v>
      </c>
      <c r="R16" t="s">
        <v>10311</v>
      </c>
      <c r="W16" s="2" t="s">
        <v>11193</v>
      </c>
    </row>
    <row r="17" spans="1:23" hidden="1" x14ac:dyDescent="0.45">
      <c r="A17" s="1" t="s">
        <v>36</v>
      </c>
      <c r="B17" t="s">
        <v>6021</v>
      </c>
      <c r="F17" t="s">
        <v>10289</v>
      </c>
      <c r="G17">
        <v>1039</v>
      </c>
      <c r="H17" t="s">
        <v>10311</v>
      </c>
      <c r="I17" t="s">
        <v>10323</v>
      </c>
      <c r="N17">
        <v>51.324809999999999</v>
      </c>
      <c r="P17">
        <v>4.2588900000000001</v>
      </c>
      <c r="Q17" t="s">
        <v>10344</v>
      </c>
      <c r="R17" t="s">
        <v>10311</v>
      </c>
      <c r="W17" s="2" t="s">
        <v>11193</v>
      </c>
    </row>
    <row r="18" spans="1:23" hidden="1" x14ac:dyDescent="0.45">
      <c r="A18" s="1" t="s">
        <v>37</v>
      </c>
      <c r="B18" t="s">
        <v>6021</v>
      </c>
      <c r="F18" t="s">
        <v>10289</v>
      </c>
      <c r="G18">
        <v>2.5</v>
      </c>
      <c r="H18" t="s">
        <v>10308</v>
      </c>
      <c r="N18">
        <v>50.802439999999997</v>
      </c>
      <c r="P18">
        <v>4.3007200000000001</v>
      </c>
      <c r="R18" t="s">
        <v>11037</v>
      </c>
      <c r="S18" t="s">
        <v>10308</v>
      </c>
      <c r="V18" t="s">
        <v>11058</v>
      </c>
      <c r="W18" s="2" t="s">
        <v>11193</v>
      </c>
    </row>
    <row r="19" spans="1:23" hidden="1" x14ac:dyDescent="0.45">
      <c r="A19" s="1" t="s">
        <v>38</v>
      </c>
      <c r="B19" t="s">
        <v>6021</v>
      </c>
      <c r="F19" t="s">
        <v>10289</v>
      </c>
      <c r="G19">
        <v>2.5</v>
      </c>
      <c r="H19" t="s">
        <v>10308</v>
      </c>
      <c r="N19">
        <v>50.802439999999997</v>
      </c>
      <c r="P19">
        <v>4.3007200000000001</v>
      </c>
      <c r="R19" t="s">
        <v>11037</v>
      </c>
      <c r="S19" t="s">
        <v>10308</v>
      </c>
      <c r="V19" t="s">
        <v>11058</v>
      </c>
      <c r="W19" s="2" t="s">
        <v>11193</v>
      </c>
    </row>
    <row r="20" spans="1:23" hidden="1" x14ac:dyDescent="0.45">
      <c r="A20" s="1" t="s">
        <v>39</v>
      </c>
      <c r="B20" t="s">
        <v>6021</v>
      </c>
      <c r="F20" t="s">
        <v>10289</v>
      </c>
      <c r="G20">
        <v>150</v>
      </c>
      <c r="H20" t="s">
        <v>10307</v>
      </c>
      <c r="I20" t="s">
        <v>10322</v>
      </c>
      <c r="R20" t="s">
        <v>11037</v>
      </c>
      <c r="S20" t="s">
        <v>10307</v>
      </c>
      <c r="W20" s="2" t="s">
        <v>11193</v>
      </c>
    </row>
    <row r="21" spans="1:23" hidden="1" x14ac:dyDescent="0.45">
      <c r="A21" s="1" t="s">
        <v>40</v>
      </c>
      <c r="B21" t="s">
        <v>6021</v>
      </c>
      <c r="F21" t="s">
        <v>10289</v>
      </c>
      <c r="G21">
        <v>150</v>
      </c>
      <c r="H21" t="s">
        <v>10307</v>
      </c>
      <c r="I21" t="s">
        <v>10322</v>
      </c>
      <c r="R21" t="s">
        <v>11037</v>
      </c>
      <c r="S21" t="s">
        <v>10307</v>
      </c>
      <c r="W21" s="2" t="s">
        <v>11193</v>
      </c>
    </row>
    <row r="22" spans="1:23" hidden="1" x14ac:dyDescent="0.45">
      <c r="A22" s="1" t="s">
        <v>41</v>
      </c>
      <c r="B22" t="s">
        <v>6021</v>
      </c>
      <c r="F22" t="s">
        <v>10289</v>
      </c>
      <c r="G22">
        <v>160</v>
      </c>
      <c r="H22" t="s">
        <v>10307</v>
      </c>
      <c r="I22" t="s">
        <v>10323</v>
      </c>
      <c r="R22" t="s">
        <v>11037</v>
      </c>
      <c r="S22" t="s">
        <v>10307</v>
      </c>
      <c r="W22" s="2" t="s">
        <v>11193</v>
      </c>
    </row>
    <row r="23" spans="1:23" hidden="1" x14ac:dyDescent="0.45">
      <c r="A23" s="1" t="s">
        <v>42</v>
      </c>
      <c r="B23" t="s">
        <v>6021</v>
      </c>
      <c r="F23" t="s">
        <v>10289</v>
      </c>
      <c r="G23">
        <v>465</v>
      </c>
      <c r="H23" t="s">
        <v>10307</v>
      </c>
      <c r="I23" t="s">
        <v>10321</v>
      </c>
      <c r="N23">
        <v>51.263069999999999</v>
      </c>
      <c r="P23">
        <v>3.2112099999999999</v>
      </c>
      <c r="Q23" t="s">
        <v>10345</v>
      </c>
      <c r="R23" t="s">
        <v>11037</v>
      </c>
      <c r="S23" t="s">
        <v>10307</v>
      </c>
      <c r="W23" s="2" t="s">
        <v>11193</v>
      </c>
    </row>
    <row r="24" spans="1:23" hidden="1" x14ac:dyDescent="0.45">
      <c r="A24" s="1" t="s">
        <v>43</v>
      </c>
      <c r="B24" t="s">
        <v>6021</v>
      </c>
      <c r="F24" t="s">
        <v>10289</v>
      </c>
      <c r="G24">
        <v>18</v>
      </c>
      <c r="H24" t="s">
        <v>10308</v>
      </c>
      <c r="I24" t="s">
        <v>10322</v>
      </c>
      <c r="R24" t="s">
        <v>11037</v>
      </c>
      <c r="S24" t="s">
        <v>10308</v>
      </c>
      <c r="W24" s="2" t="s">
        <v>11193</v>
      </c>
    </row>
    <row r="25" spans="1:23" hidden="1" x14ac:dyDescent="0.45">
      <c r="A25" s="1" t="s">
        <v>44</v>
      </c>
      <c r="B25" t="s">
        <v>6021</v>
      </c>
      <c r="F25" t="s">
        <v>10289</v>
      </c>
      <c r="G25">
        <v>1.9</v>
      </c>
      <c r="H25" t="s">
        <v>10310</v>
      </c>
      <c r="R25" t="s">
        <v>11038</v>
      </c>
      <c r="S25" t="s">
        <v>10310</v>
      </c>
      <c r="W25" s="2" t="s">
        <v>11193</v>
      </c>
    </row>
    <row r="26" spans="1:23" hidden="1" x14ac:dyDescent="0.45">
      <c r="A26" s="1" t="s">
        <v>45</v>
      </c>
      <c r="B26" t="s">
        <v>6021</v>
      </c>
      <c r="F26" t="s">
        <v>10289</v>
      </c>
      <c r="G26">
        <v>43</v>
      </c>
      <c r="H26" t="s">
        <v>10307</v>
      </c>
      <c r="K26" t="s">
        <v>10331</v>
      </c>
      <c r="M26" t="s">
        <v>10334</v>
      </c>
      <c r="R26" t="s">
        <v>11037</v>
      </c>
      <c r="S26" t="s">
        <v>10307</v>
      </c>
      <c r="W26" s="2" t="s">
        <v>11193</v>
      </c>
    </row>
    <row r="27" spans="1:23" hidden="1" x14ac:dyDescent="0.45">
      <c r="A27" s="1" t="s">
        <v>46</v>
      </c>
      <c r="B27" t="s">
        <v>6021</v>
      </c>
      <c r="F27" t="s">
        <v>10289</v>
      </c>
      <c r="G27">
        <v>11</v>
      </c>
      <c r="H27" t="s">
        <v>10312</v>
      </c>
      <c r="I27" t="s">
        <v>10323</v>
      </c>
      <c r="K27" t="s">
        <v>10331</v>
      </c>
      <c r="M27" t="s">
        <v>10334</v>
      </c>
      <c r="R27" t="s">
        <v>11037</v>
      </c>
      <c r="S27" t="s">
        <v>10312</v>
      </c>
      <c r="W27" s="2" t="s">
        <v>11193</v>
      </c>
    </row>
    <row r="28" spans="1:23" hidden="1" x14ac:dyDescent="0.45">
      <c r="A28" s="1" t="s">
        <v>47</v>
      </c>
      <c r="B28" t="s">
        <v>6021</v>
      </c>
      <c r="F28" t="s">
        <v>10289</v>
      </c>
      <c r="G28">
        <v>44.7</v>
      </c>
      <c r="H28" t="s">
        <v>10312</v>
      </c>
      <c r="I28" t="s">
        <v>10323</v>
      </c>
      <c r="K28" t="s">
        <v>10331</v>
      </c>
      <c r="M28" t="s">
        <v>10334</v>
      </c>
      <c r="R28" t="s">
        <v>11037</v>
      </c>
      <c r="S28" t="s">
        <v>10312</v>
      </c>
      <c r="W28" s="2" t="s">
        <v>11193</v>
      </c>
    </row>
    <row r="29" spans="1:23" hidden="1" x14ac:dyDescent="0.45">
      <c r="A29" s="1" t="s">
        <v>48</v>
      </c>
      <c r="B29" t="s">
        <v>6021</v>
      </c>
      <c r="F29" t="s">
        <v>10289</v>
      </c>
      <c r="G29">
        <v>43</v>
      </c>
      <c r="H29" t="s">
        <v>10307</v>
      </c>
      <c r="I29" t="s">
        <v>10322</v>
      </c>
      <c r="K29" t="s">
        <v>10331</v>
      </c>
      <c r="M29" t="s">
        <v>10334</v>
      </c>
      <c r="R29" t="s">
        <v>11037</v>
      </c>
      <c r="S29" t="s">
        <v>10307</v>
      </c>
      <c r="W29" s="2" t="s">
        <v>11193</v>
      </c>
    </row>
    <row r="30" spans="1:23" hidden="1" x14ac:dyDescent="0.45">
      <c r="A30" s="1" t="s">
        <v>49</v>
      </c>
      <c r="B30" t="s">
        <v>6021</v>
      </c>
      <c r="F30" t="s">
        <v>10289</v>
      </c>
      <c r="G30">
        <v>32</v>
      </c>
      <c r="H30" t="s">
        <v>10307</v>
      </c>
      <c r="I30" t="s">
        <v>10322</v>
      </c>
      <c r="K30" t="s">
        <v>10331</v>
      </c>
      <c r="M30" t="s">
        <v>10334</v>
      </c>
      <c r="R30" t="s">
        <v>11037</v>
      </c>
      <c r="S30" t="s">
        <v>10307</v>
      </c>
      <c r="W30" s="2" t="s">
        <v>11193</v>
      </c>
    </row>
    <row r="31" spans="1:23" hidden="1" x14ac:dyDescent="0.45">
      <c r="A31" s="1" t="s">
        <v>50</v>
      </c>
      <c r="B31" t="s">
        <v>6021</v>
      </c>
      <c r="F31" t="s">
        <v>10289</v>
      </c>
      <c r="G31">
        <v>10</v>
      </c>
      <c r="H31" t="s">
        <v>10307</v>
      </c>
      <c r="I31" t="s">
        <v>10323</v>
      </c>
      <c r="K31" t="s">
        <v>10331</v>
      </c>
      <c r="M31" t="s">
        <v>10334</v>
      </c>
      <c r="R31" t="s">
        <v>11037</v>
      </c>
      <c r="S31" t="s">
        <v>10307</v>
      </c>
      <c r="W31" s="2" t="s">
        <v>11193</v>
      </c>
    </row>
    <row r="32" spans="1:23" hidden="1" x14ac:dyDescent="0.45">
      <c r="A32" s="1" t="s">
        <v>51</v>
      </c>
      <c r="B32" t="s">
        <v>6021</v>
      </c>
      <c r="F32" t="s">
        <v>10289</v>
      </c>
      <c r="G32">
        <v>18</v>
      </c>
      <c r="H32" t="s">
        <v>10308</v>
      </c>
      <c r="I32" t="s">
        <v>10322</v>
      </c>
      <c r="R32" t="s">
        <v>11037</v>
      </c>
      <c r="S32" t="s">
        <v>10308</v>
      </c>
      <c r="W32" s="2" t="s">
        <v>11193</v>
      </c>
    </row>
    <row r="33" spans="1:23" hidden="1" x14ac:dyDescent="0.45">
      <c r="A33" s="1" t="s">
        <v>52</v>
      </c>
      <c r="B33" t="s">
        <v>6021</v>
      </c>
      <c r="F33" t="s">
        <v>10289</v>
      </c>
      <c r="G33">
        <v>43</v>
      </c>
      <c r="H33" t="s">
        <v>10307</v>
      </c>
      <c r="K33" t="s">
        <v>10331</v>
      </c>
      <c r="M33" t="s">
        <v>10334</v>
      </c>
      <c r="R33" t="s">
        <v>11037</v>
      </c>
      <c r="S33" t="s">
        <v>10307</v>
      </c>
      <c r="W33" s="2" t="s">
        <v>11193</v>
      </c>
    </row>
    <row r="34" spans="1:23" hidden="1" x14ac:dyDescent="0.45">
      <c r="A34" s="1" t="s">
        <v>53</v>
      </c>
      <c r="B34" t="s">
        <v>6021</v>
      </c>
      <c r="F34" t="s">
        <v>10289</v>
      </c>
      <c r="G34">
        <v>43</v>
      </c>
      <c r="H34" t="s">
        <v>10307</v>
      </c>
      <c r="K34" t="s">
        <v>10331</v>
      </c>
      <c r="M34" t="s">
        <v>10334</v>
      </c>
      <c r="R34" t="s">
        <v>11037</v>
      </c>
      <c r="S34" t="s">
        <v>10307</v>
      </c>
      <c r="W34" s="2" t="s">
        <v>11193</v>
      </c>
    </row>
    <row r="35" spans="1:23" hidden="1" x14ac:dyDescent="0.45">
      <c r="A35" s="1" t="s">
        <v>54</v>
      </c>
      <c r="B35" t="s">
        <v>6021</v>
      </c>
      <c r="F35" t="s">
        <v>10289</v>
      </c>
      <c r="G35">
        <v>268</v>
      </c>
      <c r="H35" t="s">
        <v>10309</v>
      </c>
      <c r="I35" t="s">
        <v>10323</v>
      </c>
      <c r="N35">
        <v>51.134210000000003</v>
      </c>
      <c r="P35">
        <v>3.7759800000000001</v>
      </c>
      <c r="Q35" t="s">
        <v>10346</v>
      </c>
      <c r="R35" t="s">
        <v>11038</v>
      </c>
      <c r="S35" t="s">
        <v>10317</v>
      </c>
      <c r="T35" t="s">
        <v>10309</v>
      </c>
      <c r="W35" s="2" t="s">
        <v>11193</v>
      </c>
    </row>
    <row r="36" spans="1:23" hidden="1" x14ac:dyDescent="0.45">
      <c r="A36" s="1" t="s">
        <v>55</v>
      </c>
      <c r="B36" t="s">
        <v>6021</v>
      </c>
      <c r="F36" t="s">
        <v>10289</v>
      </c>
      <c r="G36">
        <v>350</v>
      </c>
      <c r="H36" t="s">
        <v>10307</v>
      </c>
      <c r="I36" t="s">
        <v>10321</v>
      </c>
      <c r="N36">
        <v>50.471670000000003</v>
      </c>
      <c r="P36">
        <v>3.8252100000000002</v>
      </c>
      <c r="Q36" t="s">
        <v>10347</v>
      </c>
      <c r="R36" t="s">
        <v>11037</v>
      </c>
      <c r="S36" t="s">
        <v>10307</v>
      </c>
      <c r="W36" s="2" t="s">
        <v>11193</v>
      </c>
    </row>
    <row r="37" spans="1:23" hidden="1" x14ac:dyDescent="0.45">
      <c r="A37" s="1" t="s">
        <v>56</v>
      </c>
      <c r="B37" t="s">
        <v>6021</v>
      </c>
      <c r="F37" t="s">
        <v>10289</v>
      </c>
      <c r="G37">
        <v>15</v>
      </c>
      <c r="H37" t="s">
        <v>10312</v>
      </c>
      <c r="I37" t="s">
        <v>10323</v>
      </c>
      <c r="R37" t="s">
        <v>11037</v>
      </c>
      <c r="S37" t="s">
        <v>10312</v>
      </c>
      <c r="W37" s="2" t="s">
        <v>11193</v>
      </c>
    </row>
    <row r="38" spans="1:23" hidden="1" x14ac:dyDescent="0.45">
      <c r="A38" s="1" t="s">
        <v>57</v>
      </c>
      <c r="B38" t="s">
        <v>6021</v>
      </c>
      <c r="F38" t="s">
        <v>10289</v>
      </c>
      <c r="G38">
        <v>15</v>
      </c>
      <c r="H38" t="s">
        <v>10312</v>
      </c>
      <c r="I38" t="s">
        <v>10323</v>
      </c>
      <c r="R38" t="s">
        <v>11037</v>
      </c>
      <c r="S38" t="s">
        <v>10312</v>
      </c>
      <c r="W38" s="2" t="s">
        <v>11193</v>
      </c>
    </row>
    <row r="39" spans="1:23" hidden="1" x14ac:dyDescent="0.45">
      <c r="A39" s="1" t="s">
        <v>58</v>
      </c>
      <c r="B39" t="s">
        <v>6021</v>
      </c>
      <c r="F39" t="s">
        <v>10289</v>
      </c>
      <c r="G39">
        <v>15</v>
      </c>
      <c r="H39" t="s">
        <v>10312</v>
      </c>
      <c r="I39" t="s">
        <v>10323</v>
      </c>
      <c r="R39" t="s">
        <v>11037</v>
      </c>
      <c r="S39" t="s">
        <v>10312</v>
      </c>
      <c r="W39" s="2" t="s">
        <v>11193</v>
      </c>
    </row>
    <row r="40" spans="1:23" hidden="1" x14ac:dyDescent="0.45">
      <c r="A40" s="1" t="s">
        <v>59</v>
      </c>
      <c r="B40" t="s">
        <v>6021</v>
      </c>
      <c r="F40" t="s">
        <v>10289</v>
      </c>
      <c r="G40">
        <v>140</v>
      </c>
      <c r="H40" t="s">
        <v>10307</v>
      </c>
      <c r="K40" t="s">
        <v>10331</v>
      </c>
      <c r="M40" t="s">
        <v>10334</v>
      </c>
      <c r="Q40" t="s">
        <v>10348</v>
      </c>
      <c r="R40" t="s">
        <v>11037</v>
      </c>
      <c r="S40" t="s">
        <v>10307</v>
      </c>
      <c r="W40" s="2" t="s">
        <v>11193</v>
      </c>
    </row>
    <row r="41" spans="1:23" hidden="1" x14ac:dyDescent="0.45">
      <c r="A41" s="1" t="s">
        <v>60</v>
      </c>
      <c r="B41" t="s">
        <v>6021</v>
      </c>
      <c r="F41" t="s">
        <v>10289</v>
      </c>
      <c r="G41">
        <v>481</v>
      </c>
      <c r="H41" t="s">
        <v>10311</v>
      </c>
      <c r="I41" t="s">
        <v>10323</v>
      </c>
      <c r="N41">
        <v>50.534640000000003</v>
      </c>
      <c r="P41">
        <v>5.27121</v>
      </c>
      <c r="Q41" t="s">
        <v>10349</v>
      </c>
      <c r="R41" t="s">
        <v>10311</v>
      </c>
      <c r="W41" s="2" t="s">
        <v>11193</v>
      </c>
    </row>
    <row r="42" spans="1:23" hidden="1" x14ac:dyDescent="0.45">
      <c r="A42" s="1" t="s">
        <v>61</v>
      </c>
      <c r="B42" t="s">
        <v>6021</v>
      </c>
      <c r="F42" t="s">
        <v>10289</v>
      </c>
      <c r="G42">
        <v>481</v>
      </c>
      <c r="H42" t="s">
        <v>10311</v>
      </c>
      <c r="I42" t="s">
        <v>10323</v>
      </c>
      <c r="N42">
        <v>50.534640000000003</v>
      </c>
      <c r="P42">
        <v>5.27121</v>
      </c>
      <c r="Q42" t="s">
        <v>10350</v>
      </c>
      <c r="R42" t="s">
        <v>10311</v>
      </c>
      <c r="W42" s="2" t="s">
        <v>11193</v>
      </c>
    </row>
    <row r="43" spans="1:23" hidden="1" x14ac:dyDescent="0.45">
      <c r="A43" s="1" t="s">
        <v>62</v>
      </c>
      <c r="B43" t="s">
        <v>6021</v>
      </c>
      <c r="F43" t="s">
        <v>10289</v>
      </c>
      <c r="G43">
        <v>1008</v>
      </c>
      <c r="H43" t="s">
        <v>10311</v>
      </c>
      <c r="I43" t="s">
        <v>10323</v>
      </c>
      <c r="N43">
        <v>50.534640000000003</v>
      </c>
      <c r="P43">
        <v>5.27121</v>
      </c>
      <c r="Q43" t="s">
        <v>10351</v>
      </c>
      <c r="R43" t="s">
        <v>10311</v>
      </c>
      <c r="W43" s="2" t="s">
        <v>11193</v>
      </c>
    </row>
    <row r="44" spans="1:23" hidden="1" x14ac:dyDescent="0.45">
      <c r="A44" s="1" t="s">
        <v>63</v>
      </c>
      <c r="B44" t="s">
        <v>6021</v>
      </c>
      <c r="F44" t="s">
        <v>10289</v>
      </c>
      <c r="G44">
        <v>1038</v>
      </c>
      <c r="H44" t="s">
        <v>10311</v>
      </c>
      <c r="I44" t="s">
        <v>10323</v>
      </c>
      <c r="N44">
        <v>50.534640000000003</v>
      </c>
      <c r="P44">
        <v>5.27121</v>
      </c>
      <c r="Q44" t="s">
        <v>10352</v>
      </c>
      <c r="R44" t="s">
        <v>10311</v>
      </c>
      <c r="W44" s="2" t="s">
        <v>11193</v>
      </c>
    </row>
    <row r="45" spans="1:23" hidden="1" x14ac:dyDescent="0.45">
      <c r="A45" s="1" t="s">
        <v>64</v>
      </c>
      <c r="B45" t="s">
        <v>6021</v>
      </c>
      <c r="F45" t="s">
        <v>10289</v>
      </c>
      <c r="G45">
        <v>18.600000000000001</v>
      </c>
      <c r="H45" t="s">
        <v>10308</v>
      </c>
      <c r="I45" t="s">
        <v>10322</v>
      </c>
      <c r="R45" t="s">
        <v>11037</v>
      </c>
      <c r="S45" t="s">
        <v>10308</v>
      </c>
      <c r="W45" s="2" t="s">
        <v>11193</v>
      </c>
    </row>
    <row r="46" spans="1:23" hidden="1" x14ac:dyDescent="0.45">
      <c r="A46" s="1" t="s">
        <v>65</v>
      </c>
      <c r="B46" t="s">
        <v>6021</v>
      </c>
      <c r="F46" t="s">
        <v>10289</v>
      </c>
      <c r="G46">
        <v>255</v>
      </c>
      <c r="H46" t="s">
        <v>10307</v>
      </c>
      <c r="I46" t="s">
        <v>10322</v>
      </c>
      <c r="R46" t="s">
        <v>11037</v>
      </c>
      <c r="S46" t="s">
        <v>10307</v>
      </c>
      <c r="W46" s="2" t="s">
        <v>11193</v>
      </c>
    </row>
    <row r="47" spans="1:23" hidden="1" x14ac:dyDescent="0.45">
      <c r="A47" s="1" t="s">
        <v>66</v>
      </c>
      <c r="B47" t="s">
        <v>6021</v>
      </c>
      <c r="F47" t="s">
        <v>10289</v>
      </c>
      <c r="G47">
        <v>43</v>
      </c>
      <c r="H47" t="s">
        <v>10307</v>
      </c>
      <c r="I47" t="s">
        <v>10322</v>
      </c>
      <c r="K47" t="s">
        <v>10331</v>
      </c>
      <c r="M47" t="s">
        <v>10334</v>
      </c>
      <c r="R47" t="s">
        <v>11037</v>
      </c>
      <c r="S47" t="s">
        <v>10307</v>
      </c>
      <c r="W47" s="2" t="s">
        <v>11193</v>
      </c>
    </row>
    <row r="48" spans="1:23" hidden="1" x14ac:dyDescent="0.45">
      <c r="A48" s="1" t="s">
        <v>67</v>
      </c>
      <c r="B48" t="s">
        <v>6021</v>
      </c>
      <c r="F48" t="s">
        <v>10289</v>
      </c>
      <c r="G48">
        <v>43</v>
      </c>
      <c r="H48" t="s">
        <v>10307</v>
      </c>
      <c r="I48" t="s">
        <v>10322</v>
      </c>
      <c r="K48" t="s">
        <v>10331</v>
      </c>
      <c r="M48" t="s">
        <v>10334</v>
      </c>
      <c r="R48" t="s">
        <v>11037</v>
      </c>
      <c r="S48" t="s">
        <v>10307</v>
      </c>
      <c r="W48" s="2" t="s">
        <v>11193</v>
      </c>
    </row>
    <row r="49" spans="1:23" hidden="1" x14ac:dyDescent="0.45">
      <c r="A49" s="1" t="s">
        <v>68</v>
      </c>
      <c r="B49" t="s">
        <v>6021</v>
      </c>
      <c r="F49" t="s">
        <v>10289</v>
      </c>
      <c r="G49">
        <v>43</v>
      </c>
      <c r="H49" t="s">
        <v>10307</v>
      </c>
      <c r="I49" t="s">
        <v>10322</v>
      </c>
      <c r="K49" t="s">
        <v>10331</v>
      </c>
      <c r="M49" t="s">
        <v>10334</v>
      </c>
      <c r="R49" t="s">
        <v>11037</v>
      </c>
      <c r="S49" t="s">
        <v>10307</v>
      </c>
      <c r="W49" s="2" t="s">
        <v>11193</v>
      </c>
    </row>
    <row r="50" spans="1:23" hidden="1" x14ac:dyDescent="0.45">
      <c r="A50" s="1" t="s">
        <v>69</v>
      </c>
      <c r="B50" t="s">
        <v>6021</v>
      </c>
      <c r="F50" t="s">
        <v>10289</v>
      </c>
      <c r="G50">
        <v>12</v>
      </c>
      <c r="H50" t="s">
        <v>10312</v>
      </c>
      <c r="R50" t="s">
        <v>11037</v>
      </c>
      <c r="S50" t="s">
        <v>10312</v>
      </c>
      <c r="W50" s="2" t="s">
        <v>11193</v>
      </c>
    </row>
    <row r="51" spans="1:23" hidden="1" x14ac:dyDescent="0.45">
      <c r="A51" s="1" t="s">
        <v>70</v>
      </c>
      <c r="B51" t="s">
        <v>6021</v>
      </c>
      <c r="F51" t="s">
        <v>10289</v>
      </c>
      <c r="G51">
        <v>386.2</v>
      </c>
      <c r="H51" t="s">
        <v>10307</v>
      </c>
      <c r="I51" t="s">
        <v>10321</v>
      </c>
      <c r="N51">
        <v>51.369770000000003</v>
      </c>
      <c r="P51">
        <v>4.2666700000000004</v>
      </c>
      <c r="Q51" t="s">
        <v>10353</v>
      </c>
      <c r="R51" t="s">
        <v>11037</v>
      </c>
      <c r="S51" t="s">
        <v>10307</v>
      </c>
      <c r="W51" s="2" t="s">
        <v>11193</v>
      </c>
    </row>
    <row r="52" spans="1:23" hidden="1" x14ac:dyDescent="0.45">
      <c r="A52" s="1" t="s">
        <v>71</v>
      </c>
      <c r="B52" t="s">
        <v>6021</v>
      </c>
      <c r="F52" t="s">
        <v>10289</v>
      </c>
      <c r="G52">
        <v>18</v>
      </c>
      <c r="H52" t="s">
        <v>10308</v>
      </c>
      <c r="I52" t="s">
        <v>10322</v>
      </c>
      <c r="R52" t="s">
        <v>11037</v>
      </c>
      <c r="S52" t="s">
        <v>10308</v>
      </c>
      <c r="W52" s="2" t="s">
        <v>11193</v>
      </c>
    </row>
    <row r="53" spans="1:23" hidden="1" x14ac:dyDescent="0.45">
      <c r="A53" s="1" t="s">
        <v>72</v>
      </c>
      <c r="B53" t="s">
        <v>6021</v>
      </c>
      <c r="F53" t="s">
        <v>10289</v>
      </c>
      <c r="G53">
        <v>40</v>
      </c>
      <c r="H53" t="s">
        <v>10307</v>
      </c>
      <c r="K53" t="s">
        <v>10331</v>
      </c>
      <c r="M53" t="s">
        <v>10334</v>
      </c>
      <c r="R53" t="s">
        <v>11037</v>
      </c>
      <c r="S53" t="s">
        <v>10307</v>
      </c>
      <c r="W53" s="2" t="s">
        <v>11193</v>
      </c>
    </row>
    <row r="54" spans="1:23" hidden="1" x14ac:dyDescent="0.45">
      <c r="A54" s="1" t="s">
        <v>73</v>
      </c>
      <c r="B54" t="s">
        <v>6021</v>
      </c>
      <c r="F54" t="s">
        <v>10289</v>
      </c>
      <c r="G54">
        <v>18</v>
      </c>
      <c r="H54" t="s">
        <v>10308</v>
      </c>
      <c r="I54" t="s">
        <v>10322</v>
      </c>
      <c r="R54" t="s">
        <v>11037</v>
      </c>
      <c r="S54" t="s">
        <v>10308</v>
      </c>
      <c r="W54" s="2" t="s">
        <v>11193</v>
      </c>
    </row>
    <row r="55" spans="1:23" hidden="1" x14ac:dyDescent="0.45">
      <c r="A55" s="1" t="s">
        <v>74</v>
      </c>
      <c r="B55" t="s">
        <v>6021</v>
      </c>
      <c r="F55" t="s">
        <v>10289</v>
      </c>
      <c r="G55">
        <v>315</v>
      </c>
      <c r="H55" t="s">
        <v>10313</v>
      </c>
      <c r="I55" t="s">
        <v>10323</v>
      </c>
      <c r="N55">
        <v>51.158610000000003</v>
      </c>
      <c r="P55">
        <v>3.8074599999999998</v>
      </c>
      <c r="Q55" t="s">
        <v>10354</v>
      </c>
      <c r="R55" t="s">
        <v>11037</v>
      </c>
      <c r="S55" t="s">
        <v>10313</v>
      </c>
      <c r="W55" s="2" t="s">
        <v>11193</v>
      </c>
    </row>
    <row r="56" spans="1:23" hidden="1" x14ac:dyDescent="0.45">
      <c r="A56" s="1" t="s">
        <v>75</v>
      </c>
      <c r="B56" t="s">
        <v>6021</v>
      </c>
      <c r="F56" t="s">
        <v>10289</v>
      </c>
      <c r="G56">
        <v>18</v>
      </c>
      <c r="H56" t="s">
        <v>10308</v>
      </c>
      <c r="I56" t="s">
        <v>10322</v>
      </c>
      <c r="N56">
        <v>51.158790000000003</v>
      </c>
      <c r="P56">
        <v>3.8081499999999999</v>
      </c>
      <c r="Q56" t="s">
        <v>10354</v>
      </c>
      <c r="R56" t="s">
        <v>11037</v>
      </c>
      <c r="S56" t="s">
        <v>10308</v>
      </c>
      <c r="W56" s="2" t="s">
        <v>11193</v>
      </c>
    </row>
    <row r="57" spans="1:23" hidden="1" x14ac:dyDescent="0.45">
      <c r="A57" s="1" t="s">
        <v>76</v>
      </c>
      <c r="B57" t="s">
        <v>6021</v>
      </c>
      <c r="F57" t="s">
        <v>10289</v>
      </c>
      <c r="G57">
        <v>43</v>
      </c>
      <c r="H57" t="s">
        <v>10307</v>
      </c>
      <c r="I57" t="s">
        <v>10322</v>
      </c>
      <c r="K57" t="s">
        <v>10331</v>
      </c>
      <c r="M57" t="s">
        <v>10334</v>
      </c>
      <c r="R57" t="s">
        <v>11037</v>
      </c>
      <c r="S57" t="s">
        <v>10307</v>
      </c>
      <c r="W57" s="2" t="s">
        <v>11193</v>
      </c>
    </row>
    <row r="58" spans="1:23" hidden="1" x14ac:dyDescent="0.45">
      <c r="A58" s="1" t="s">
        <v>77</v>
      </c>
      <c r="B58" t="s">
        <v>6021</v>
      </c>
      <c r="F58" t="s">
        <v>10289</v>
      </c>
      <c r="G58">
        <v>15</v>
      </c>
      <c r="H58" t="s">
        <v>10307</v>
      </c>
      <c r="I58" t="s">
        <v>10323</v>
      </c>
      <c r="K58" t="s">
        <v>10331</v>
      </c>
      <c r="M58" t="s">
        <v>10334</v>
      </c>
      <c r="R58" t="s">
        <v>11037</v>
      </c>
      <c r="S58" t="s">
        <v>10307</v>
      </c>
      <c r="W58" s="2" t="s">
        <v>11193</v>
      </c>
    </row>
    <row r="59" spans="1:23" hidden="1" x14ac:dyDescent="0.45">
      <c r="A59" s="1" t="s">
        <v>78</v>
      </c>
      <c r="B59" t="s">
        <v>6022</v>
      </c>
      <c r="F59" t="s">
        <v>10289</v>
      </c>
      <c r="G59">
        <v>18</v>
      </c>
      <c r="H59" t="s">
        <v>10312</v>
      </c>
      <c r="K59" t="s">
        <v>10331</v>
      </c>
      <c r="M59" t="s">
        <v>10334</v>
      </c>
      <c r="R59" t="s">
        <v>11037</v>
      </c>
      <c r="S59" t="s">
        <v>10312</v>
      </c>
      <c r="W59" s="2" t="s">
        <v>11193</v>
      </c>
    </row>
    <row r="60" spans="1:23" hidden="1" x14ac:dyDescent="0.45">
      <c r="A60" s="1" t="s">
        <v>79</v>
      </c>
      <c r="B60" t="s">
        <v>6022</v>
      </c>
      <c r="F60" t="s">
        <v>10289</v>
      </c>
      <c r="G60">
        <v>20</v>
      </c>
      <c r="H60" t="s">
        <v>10312</v>
      </c>
      <c r="R60" t="s">
        <v>11037</v>
      </c>
      <c r="S60" t="s">
        <v>10312</v>
      </c>
      <c r="W60" s="2" t="s">
        <v>11193</v>
      </c>
    </row>
    <row r="61" spans="1:23" hidden="1" x14ac:dyDescent="0.45">
      <c r="A61" s="1" t="s">
        <v>80</v>
      </c>
      <c r="B61" t="s">
        <v>6023</v>
      </c>
      <c r="F61" t="s">
        <v>10289</v>
      </c>
      <c r="G61">
        <v>12.9</v>
      </c>
      <c r="H61" t="s">
        <v>10307</v>
      </c>
      <c r="K61" t="s">
        <v>10331</v>
      </c>
      <c r="M61" t="s">
        <v>10334</v>
      </c>
      <c r="R61" t="s">
        <v>11037</v>
      </c>
      <c r="S61" t="s">
        <v>10307</v>
      </c>
      <c r="W61" s="2" t="s">
        <v>11193</v>
      </c>
    </row>
    <row r="62" spans="1:23" hidden="1" x14ac:dyDescent="0.45">
      <c r="A62" s="1" t="s">
        <v>81</v>
      </c>
      <c r="B62" t="s">
        <v>6023</v>
      </c>
      <c r="F62" t="s">
        <v>10289</v>
      </c>
      <c r="G62">
        <v>34</v>
      </c>
      <c r="H62" t="s">
        <v>10312</v>
      </c>
      <c r="R62" t="s">
        <v>11037</v>
      </c>
      <c r="S62" t="s">
        <v>10312</v>
      </c>
      <c r="W62" s="2" t="s">
        <v>11193</v>
      </c>
    </row>
    <row r="63" spans="1:23" hidden="1" x14ac:dyDescent="0.45">
      <c r="A63" s="1" t="s">
        <v>82</v>
      </c>
      <c r="B63" t="s">
        <v>6023</v>
      </c>
      <c r="F63" t="s">
        <v>10289</v>
      </c>
      <c r="G63">
        <v>34</v>
      </c>
      <c r="H63" t="s">
        <v>10312</v>
      </c>
      <c r="R63" t="s">
        <v>11037</v>
      </c>
      <c r="S63" t="s">
        <v>10312</v>
      </c>
      <c r="W63" s="2" t="s">
        <v>11193</v>
      </c>
    </row>
    <row r="64" spans="1:23" hidden="1" x14ac:dyDescent="0.45">
      <c r="A64" s="1" t="s">
        <v>83</v>
      </c>
      <c r="B64" t="s">
        <v>6023</v>
      </c>
      <c r="F64" t="s">
        <v>10289</v>
      </c>
      <c r="G64">
        <v>16</v>
      </c>
      <c r="H64" t="s">
        <v>10312</v>
      </c>
      <c r="R64" t="s">
        <v>11037</v>
      </c>
      <c r="S64" t="s">
        <v>10312</v>
      </c>
      <c r="W64" s="2" t="s">
        <v>11193</v>
      </c>
    </row>
    <row r="65" spans="1:23" hidden="1" x14ac:dyDescent="0.45">
      <c r="A65" s="1" t="s">
        <v>84</v>
      </c>
      <c r="B65" t="s">
        <v>6023</v>
      </c>
      <c r="F65" t="s">
        <v>10289</v>
      </c>
      <c r="G65">
        <v>144</v>
      </c>
      <c r="H65" t="s">
        <v>10310</v>
      </c>
      <c r="Q65" t="s">
        <v>10355</v>
      </c>
      <c r="R65" t="s">
        <v>11038</v>
      </c>
      <c r="S65" t="s">
        <v>10310</v>
      </c>
      <c r="V65" t="s">
        <v>11057</v>
      </c>
      <c r="W65" s="2" t="s">
        <v>11193</v>
      </c>
    </row>
    <row r="66" spans="1:23" hidden="1" x14ac:dyDescent="0.45">
      <c r="A66" s="1" t="s">
        <v>85</v>
      </c>
      <c r="B66" t="s">
        <v>6024</v>
      </c>
      <c r="F66" t="s">
        <v>10289</v>
      </c>
      <c r="G66">
        <v>64</v>
      </c>
      <c r="H66" t="s">
        <v>10307</v>
      </c>
      <c r="I66" t="s">
        <v>10322</v>
      </c>
      <c r="N66">
        <v>50.617750000000001</v>
      </c>
      <c r="P66">
        <v>5.5826699999999994</v>
      </c>
      <c r="R66" t="s">
        <v>11037</v>
      </c>
      <c r="S66" t="s">
        <v>10307</v>
      </c>
      <c r="W66" s="2" t="s">
        <v>11193</v>
      </c>
    </row>
    <row r="67" spans="1:23" hidden="1" x14ac:dyDescent="0.45">
      <c r="A67" s="1" t="s">
        <v>86</v>
      </c>
      <c r="B67" t="s">
        <v>6024</v>
      </c>
      <c r="F67" t="s">
        <v>10289</v>
      </c>
      <c r="G67">
        <v>64</v>
      </c>
      <c r="H67" t="s">
        <v>10307</v>
      </c>
      <c r="I67" t="s">
        <v>10322</v>
      </c>
      <c r="N67">
        <v>50.617750000000001</v>
      </c>
      <c r="P67">
        <v>5.5826699999999994</v>
      </c>
      <c r="R67" t="s">
        <v>11037</v>
      </c>
      <c r="S67" t="s">
        <v>10307</v>
      </c>
      <c r="W67" s="2" t="s">
        <v>11193</v>
      </c>
    </row>
    <row r="68" spans="1:23" hidden="1" x14ac:dyDescent="0.45">
      <c r="A68" s="1" t="s">
        <v>87</v>
      </c>
      <c r="B68" t="s">
        <v>6024</v>
      </c>
      <c r="F68" t="s">
        <v>10289</v>
      </c>
      <c r="G68">
        <v>25</v>
      </c>
      <c r="H68" t="s">
        <v>10307</v>
      </c>
      <c r="R68" t="s">
        <v>11037</v>
      </c>
      <c r="S68" t="s">
        <v>10307</v>
      </c>
      <c r="W68" s="2" t="s">
        <v>11193</v>
      </c>
    </row>
    <row r="69" spans="1:23" hidden="1" x14ac:dyDescent="0.45">
      <c r="A69" s="1" t="s">
        <v>88</v>
      </c>
      <c r="B69" t="s">
        <v>6024</v>
      </c>
      <c r="F69" t="s">
        <v>10289</v>
      </c>
      <c r="G69">
        <v>25</v>
      </c>
      <c r="H69" t="s">
        <v>10307</v>
      </c>
      <c r="R69" t="s">
        <v>11037</v>
      </c>
      <c r="S69" t="s">
        <v>10307</v>
      </c>
      <c r="W69" s="2" t="s">
        <v>11193</v>
      </c>
    </row>
    <row r="70" spans="1:23" hidden="1" x14ac:dyDescent="0.45">
      <c r="A70" s="1" t="s">
        <v>89</v>
      </c>
      <c r="B70" t="s">
        <v>6024</v>
      </c>
      <c r="F70" t="s">
        <v>10289</v>
      </c>
      <c r="G70">
        <v>21</v>
      </c>
      <c r="H70" t="s">
        <v>10312</v>
      </c>
      <c r="R70" t="s">
        <v>11037</v>
      </c>
      <c r="S70" t="s">
        <v>10312</v>
      </c>
      <c r="W70" s="2" t="s">
        <v>11193</v>
      </c>
    </row>
    <row r="71" spans="1:23" hidden="1" x14ac:dyDescent="0.45">
      <c r="A71" s="1" t="s">
        <v>90</v>
      </c>
      <c r="B71" t="s">
        <v>6024</v>
      </c>
      <c r="F71" t="s">
        <v>10289</v>
      </c>
      <c r="G71">
        <v>24</v>
      </c>
      <c r="H71" t="s">
        <v>10312</v>
      </c>
      <c r="R71" t="s">
        <v>11037</v>
      </c>
      <c r="S71" t="s">
        <v>10312</v>
      </c>
      <c r="W71" s="2" t="s">
        <v>11193</v>
      </c>
    </row>
    <row r="72" spans="1:23" hidden="1" x14ac:dyDescent="0.45">
      <c r="A72" s="1" t="s">
        <v>91</v>
      </c>
      <c r="B72" t="s">
        <v>6024</v>
      </c>
      <c r="F72" t="s">
        <v>10289</v>
      </c>
      <c r="G72">
        <v>41</v>
      </c>
      <c r="H72" t="s">
        <v>10312</v>
      </c>
      <c r="R72" t="s">
        <v>11037</v>
      </c>
      <c r="S72" t="s">
        <v>10312</v>
      </c>
      <c r="W72" s="2" t="s">
        <v>11193</v>
      </c>
    </row>
    <row r="73" spans="1:23" hidden="1" x14ac:dyDescent="0.45">
      <c r="A73" s="1" t="s">
        <v>92</v>
      </c>
      <c r="B73" t="s">
        <v>6024</v>
      </c>
      <c r="F73" t="s">
        <v>10289</v>
      </c>
      <c r="G73">
        <v>20</v>
      </c>
      <c r="H73" t="s">
        <v>10307</v>
      </c>
      <c r="K73" t="s">
        <v>10331</v>
      </c>
      <c r="M73" t="s">
        <v>10334</v>
      </c>
      <c r="R73" t="s">
        <v>11037</v>
      </c>
      <c r="S73" t="s">
        <v>10307</v>
      </c>
      <c r="W73" s="2" t="s">
        <v>11193</v>
      </c>
    </row>
    <row r="74" spans="1:23" hidden="1" x14ac:dyDescent="0.45">
      <c r="A74" s="1" t="s">
        <v>93</v>
      </c>
      <c r="B74" t="s">
        <v>6024</v>
      </c>
      <c r="F74" t="s">
        <v>10289</v>
      </c>
      <c r="G74">
        <v>150</v>
      </c>
      <c r="H74" t="s">
        <v>10307</v>
      </c>
      <c r="I74" t="s">
        <v>10322</v>
      </c>
      <c r="R74" t="s">
        <v>11037</v>
      </c>
      <c r="S74" t="s">
        <v>10307</v>
      </c>
      <c r="W74" s="2" t="s">
        <v>11193</v>
      </c>
    </row>
    <row r="75" spans="1:23" hidden="1" x14ac:dyDescent="0.45">
      <c r="A75" s="1" t="s">
        <v>94</v>
      </c>
      <c r="B75" t="s">
        <v>6024</v>
      </c>
      <c r="F75" t="s">
        <v>10289</v>
      </c>
      <c r="G75">
        <v>150</v>
      </c>
      <c r="H75" t="s">
        <v>10307</v>
      </c>
      <c r="I75" t="s">
        <v>10322</v>
      </c>
      <c r="R75" t="s">
        <v>11037</v>
      </c>
      <c r="S75" t="s">
        <v>10307</v>
      </c>
      <c r="W75" s="2" t="s">
        <v>11193</v>
      </c>
    </row>
    <row r="76" spans="1:23" hidden="1" x14ac:dyDescent="0.45">
      <c r="A76" s="1" t="s">
        <v>95</v>
      </c>
      <c r="B76" t="s">
        <v>6024</v>
      </c>
      <c r="F76" t="s">
        <v>10289</v>
      </c>
      <c r="G76">
        <v>58</v>
      </c>
      <c r="H76" t="s">
        <v>10307</v>
      </c>
      <c r="I76" t="s">
        <v>10322</v>
      </c>
      <c r="N76">
        <v>51.059420000000003</v>
      </c>
      <c r="P76">
        <v>3.7364600000000001</v>
      </c>
      <c r="R76" t="s">
        <v>11037</v>
      </c>
      <c r="S76" t="s">
        <v>10307</v>
      </c>
      <c r="W76" s="2" t="s">
        <v>11193</v>
      </c>
    </row>
    <row r="77" spans="1:23" hidden="1" x14ac:dyDescent="0.45">
      <c r="A77" s="1" t="s">
        <v>96</v>
      </c>
      <c r="B77" t="s">
        <v>6024</v>
      </c>
      <c r="F77" t="s">
        <v>10289</v>
      </c>
      <c r="G77">
        <v>58</v>
      </c>
      <c r="H77" t="s">
        <v>10307</v>
      </c>
      <c r="I77" t="s">
        <v>10322</v>
      </c>
      <c r="N77">
        <v>51.059420000000003</v>
      </c>
      <c r="P77">
        <v>3.7364600000000001</v>
      </c>
      <c r="R77" t="s">
        <v>11037</v>
      </c>
      <c r="S77" t="s">
        <v>10307</v>
      </c>
      <c r="W77" s="2" t="s">
        <v>11193</v>
      </c>
    </row>
    <row r="78" spans="1:23" hidden="1" x14ac:dyDescent="0.45">
      <c r="A78" s="1" t="s">
        <v>97</v>
      </c>
      <c r="B78" t="s">
        <v>6024</v>
      </c>
      <c r="F78" t="s">
        <v>10289</v>
      </c>
      <c r="G78">
        <v>9.9</v>
      </c>
      <c r="H78" t="s">
        <v>10310</v>
      </c>
      <c r="N78">
        <v>50.533810000000003</v>
      </c>
      <c r="P78">
        <v>5.29636</v>
      </c>
      <c r="R78" t="s">
        <v>11038</v>
      </c>
      <c r="S78" t="s">
        <v>10310</v>
      </c>
      <c r="W78" s="2" t="s">
        <v>11193</v>
      </c>
    </row>
    <row r="79" spans="1:23" hidden="1" x14ac:dyDescent="0.45">
      <c r="A79" s="1" t="s">
        <v>98</v>
      </c>
      <c r="B79" t="s">
        <v>6024</v>
      </c>
      <c r="F79" t="s">
        <v>10289</v>
      </c>
      <c r="G79">
        <v>9</v>
      </c>
      <c r="H79" t="s">
        <v>10310</v>
      </c>
      <c r="N79">
        <v>50.491790000000002</v>
      </c>
      <c r="P79">
        <v>5.06975</v>
      </c>
      <c r="R79" t="s">
        <v>11038</v>
      </c>
      <c r="S79" t="s">
        <v>10310</v>
      </c>
      <c r="W79" s="2" t="s">
        <v>11193</v>
      </c>
    </row>
    <row r="80" spans="1:23" hidden="1" x14ac:dyDescent="0.45">
      <c r="A80" s="1" t="s">
        <v>99</v>
      </c>
      <c r="B80" t="s">
        <v>6024</v>
      </c>
      <c r="F80" t="s">
        <v>10289</v>
      </c>
      <c r="G80">
        <v>0.8</v>
      </c>
      <c r="H80" t="s">
        <v>10310</v>
      </c>
      <c r="N80">
        <v>50.446629999999999</v>
      </c>
      <c r="P80">
        <v>4.7738899999999997</v>
      </c>
      <c r="R80" t="s">
        <v>11038</v>
      </c>
      <c r="S80" t="s">
        <v>10310</v>
      </c>
      <c r="V80" t="s">
        <v>11058</v>
      </c>
      <c r="W80" s="2" t="s">
        <v>11193</v>
      </c>
    </row>
    <row r="81" spans="1:23" hidden="1" x14ac:dyDescent="0.45">
      <c r="A81" s="1" t="s">
        <v>100</v>
      </c>
      <c r="B81" t="s">
        <v>6024</v>
      </c>
      <c r="F81" t="s">
        <v>10289</v>
      </c>
      <c r="G81">
        <v>5</v>
      </c>
      <c r="H81" t="s">
        <v>10310</v>
      </c>
      <c r="N81">
        <v>50.465949999999999</v>
      </c>
      <c r="P81">
        <v>4.8992800000000001</v>
      </c>
      <c r="R81" t="s">
        <v>11038</v>
      </c>
      <c r="S81" t="s">
        <v>10310</v>
      </c>
      <c r="W81" s="2" t="s">
        <v>11193</v>
      </c>
    </row>
    <row r="82" spans="1:23" hidden="1" x14ac:dyDescent="0.45">
      <c r="A82" s="1" t="s">
        <v>101</v>
      </c>
      <c r="B82" t="s">
        <v>6024</v>
      </c>
      <c r="F82" t="s">
        <v>10289</v>
      </c>
      <c r="G82">
        <v>10</v>
      </c>
      <c r="H82" t="s">
        <v>10310</v>
      </c>
      <c r="N82">
        <v>50.593490000000003</v>
      </c>
      <c r="P82">
        <v>5.4613699999999996</v>
      </c>
      <c r="R82" t="s">
        <v>11038</v>
      </c>
      <c r="S82" t="s">
        <v>10310</v>
      </c>
      <c r="W82" s="2" t="s">
        <v>11193</v>
      </c>
    </row>
    <row r="83" spans="1:23" hidden="1" x14ac:dyDescent="0.45">
      <c r="A83" s="1" t="s">
        <v>102</v>
      </c>
      <c r="B83" t="s">
        <v>6024</v>
      </c>
      <c r="F83" t="s">
        <v>10289</v>
      </c>
      <c r="G83">
        <v>20</v>
      </c>
      <c r="H83" t="s">
        <v>10310</v>
      </c>
      <c r="N83">
        <v>50.751779999999997</v>
      </c>
      <c r="P83">
        <v>5.6878000000000002</v>
      </c>
      <c r="R83" t="s">
        <v>11038</v>
      </c>
      <c r="S83" t="s">
        <v>10310</v>
      </c>
      <c r="W83" s="2" t="s">
        <v>11193</v>
      </c>
    </row>
    <row r="84" spans="1:23" hidden="1" x14ac:dyDescent="0.45">
      <c r="A84" s="1" t="s">
        <v>103</v>
      </c>
      <c r="B84" t="s">
        <v>6024</v>
      </c>
      <c r="F84" t="s">
        <v>10289</v>
      </c>
      <c r="G84">
        <v>19.7</v>
      </c>
      <c r="H84" t="s">
        <v>10310</v>
      </c>
      <c r="N84">
        <v>50.653170000000003</v>
      </c>
      <c r="P84">
        <v>5.6313700000000004</v>
      </c>
      <c r="R84" t="s">
        <v>11038</v>
      </c>
      <c r="S84" t="s">
        <v>10310</v>
      </c>
      <c r="W84" s="2" t="s">
        <v>11193</v>
      </c>
    </row>
    <row r="85" spans="1:23" hidden="1" x14ac:dyDescent="0.45">
      <c r="A85" s="1" t="s">
        <v>104</v>
      </c>
      <c r="B85" t="s">
        <v>6024</v>
      </c>
      <c r="F85" t="s">
        <v>10289</v>
      </c>
      <c r="G85">
        <v>48</v>
      </c>
      <c r="H85" t="s">
        <v>10307</v>
      </c>
      <c r="I85" t="s">
        <v>10322</v>
      </c>
      <c r="N85">
        <v>50.44746</v>
      </c>
      <c r="P85">
        <v>4.6633899999999997</v>
      </c>
      <c r="R85" t="s">
        <v>11037</v>
      </c>
      <c r="S85" t="s">
        <v>10307</v>
      </c>
      <c r="W85" s="2" t="s">
        <v>11193</v>
      </c>
    </row>
    <row r="86" spans="1:23" hidden="1" x14ac:dyDescent="0.45">
      <c r="A86" s="1" t="s">
        <v>105</v>
      </c>
      <c r="B86" t="s">
        <v>6024</v>
      </c>
      <c r="F86" t="s">
        <v>10289</v>
      </c>
      <c r="G86">
        <v>48</v>
      </c>
      <c r="H86" t="s">
        <v>10307</v>
      </c>
      <c r="I86" t="s">
        <v>10322</v>
      </c>
      <c r="N86">
        <v>50.44746</v>
      </c>
      <c r="P86">
        <v>4.6633899999999997</v>
      </c>
      <c r="R86" t="s">
        <v>11037</v>
      </c>
      <c r="S86" t="s">
        <v>10307</v>
      </c>
      <c r="W86" s="2" t="s">
        <v>11193</v>
      </c>
    </row>
    <row r="87" spans="1:23" hidden="1" x14ac:dyDescent="0.45">
      <c r="A87" s="1" t="s">
        <v>106</v>
      </c>
      <c r="B87" t="s">
        <v>6024</v>
      </c>
      <c r="F87" t="s">
        <v>10289</v>
      </c>
      <c r="G87">
        <v>10</v>
      </c>
      <c r="H87" t="s">
        <v>10307</v>
      </c>
      <c r="I87" t="s">
        <v>10323</v>
      </c>
      <c r="N87">
        <v>50.44746</v>
      </c>
      <c r="P87">
        <v>4.6633899999999997</v>
      </c>
      <c r="R87" t="s">
        <v>11037</v>
      </c>
      <c r="S87" t="s">
        <v>10307</v>
      </c>
      <c r="W87" s="2" t="s">
        <v>11193</v>
      </c>
    </row>
    <row r="88" spans="1:23" hidden="1" x14ac:dyDescent="0.45">
      <c r="A88" s="1" t="s">
        <v>107</v>
      </c>
      <c r="B88" t="s">
        <v>6024</v>
      </c>
      <c r="F88" t="s">
        <v>10289</v>
      </c>
      <c r="G88">
        <v>385</v>
      </c>
      <c r="H88" t="s">
        <v>10307</v>
      </c>
      <c r="I88" t="s">
        <v>10321</v>
      </c>
      <c r="N88">
        <v>51.104959999999998</v>
      </c>
      <c r="P88">
        <v>3.72567</v>
      </c>
      <c r="Q88" t="s">
        <v>10356</v>
      </c>
      <c r="R88" t="s">
        <v>11037</v>
      </c>
      <c r="S88" t="s">
        <v>10307</v>
      </c>
      <c r="W88" s="2" t="s">
        <v>11193</v>
      </c>
    </row>
    <row r="89" spans="1:23" hidden="1" x14ac:dyDescent="0.45">
      <c r="A89" s="1" t="s">
        <v>108</v>
      </c>
      <c r="B89" t="s">
        <v>6024</v>
      </c>
      <c r="F89" t="s">
        <v>10289</v>
      </c>
      <c r="G89">
        <v>170</v>
      </c>
      <c r="H89" t="s">
        <v>10307</v>
      </c>
      <c r="R89" t="s">
        <v>11037</v>
      </c>
      <c r="S89" t="s">
        <v>10307</v>
      </c>
      <c r="W89" s="2" t="s">
        <v>11193</v>
      </c>
    </row>
    <row r="90" spans="1:23" hidden="1" x14ac:dyDescent="0.45">
      <c r="A90" s="1" t="s">
        <v>109</v>
      </c>
      <c r="B90" t="s">
        <v>6025</v>
      </c>
      <c r="F90" t="s">
        <v>10289</v>
      </c>
      <c r="G90">
        <v>19.399999999999999</v>
      </c>
      <c r="H90" t="s">
        <v>10312</v>
      </c>
      <c r="I90" t="s">
        <v>10321</v>
      </c>
      <c r="R90" t="s">
        <v>11037</v>
      </c>
      <c r="S90" t="s">
        <v>10312</v>
      </c>
      <c r="W90" s="2" t="s">
        <v>11193</v>
      </c>
    </row>
    <row r="91" spans="1:23" hidden="1" x14ac:dyDescent="0.45">
      <c r="A91" s="1" t="s">
        <v>110</v>
      </c>
      <c r="B91" t="s">
        <v>6025</v>
      </c>
      <c r="F91" t="s">
        <v>10289</v>
      </c>
      <c r="G91">
        <v>138</v>
      </c>
      <c r="H91" t="s">
        <v>10307</v>
      </c>
      <c r="I91" t="s">
        <v>10321</v>
      </c>
      <c r="K91" t="s">
        <v>10331</v>
      </c>
      <c r="M91" t="s">
        <v>10334</v>
      </c>
      <c r="N91">
        <v>51.242559999999997</v>
      </c>
      <c r="P91">
        <v>4.3248100000000003</v>
      </c>
      <c r="Q91" t="s">
        <v>10357</v>
      </c>
      <c r="R91" t="s">
        <v>11037</v>
      </c>
      <c r="S91" t="s">
        <v>10307</v>
      </c>
      <c r="W91" s="2" t="s">
        <v>11193</v>
      </c>
    </row>
    <row r="92" spans="1:23" hidden="1" x14ac:dyDescent="0.45">
      <c r="A92" s="1" t="s">
        <v>111</v>
      </c>
      <c r="B92" t="s">
        <v>6026</v>
      </c>
      <c r="F92" t="s">
        <v>10289</v>
      </c>
      <c r="G92">
        <v>422</v>
      </c>
      <c r="H92" t="s">
        <v>10307</v>
      </c>
      <c r="I92" t="s">
        <v>10321</v>
      </c>
      <c r="Q92" t="s">
        <v>10358</v>
      </c>
      <c r="R92" t="s">
        <v>11037</v>
      </c>
      <c r="S92" t="s">
        <v>10307</v>
      </c>
      <c r="W92" s="2" t="s">
        <v>11193</v>
      </c>
    </row>
    <row r="93" spans="1:23" hidden="1" x14ac:dyDescent="0.45">
      <c r="A93" s="1" t="s">
        <v>112</v>
      </c>
      <c r="B93" t="s">
        <v>6027</v>
      </c>
      <c r="C93" t="s">
        <v>7317</v>
      </c>
      <c r="D93" t="s">
        <v>7838</v>
      </c>
      <c r="E93" t="s">
        <v>8598</v>
      </c>
      <c r="F93" t="s">
        <v>10290</v>
      </c>
      <c r="G93">
        <v>62</v>
      </c>
      <c r="H93" t="s">
        <v>10307</v>
      </c>
      <c r="N93">
        <v>52.388109999999998</v>
      </c>
      <c r="P93">
        <v>5.2153999999999998</v>
      </c>
      <c r="R93" t="s">
        <v>11037</v>
      </c>
      <c r="S93" t="s">
        <v>10307</v>
      </c>
      <c r="W93" s="2" t="s">
        <v>11194</v>
      </c>
    </row>
    <row r="94" spans="1:23" hidden="1" x14ac:dyDescent="0.45">
      <c r="A94" s="1" t="s">
        <v>113</v>
      </c>
      <c r="B94" t="s">
        <v>6027</v>
      </c>
      <c r="C94" t="s">
        <v>7318</v>
      </c>
      <c r="D94" t="s">
        <v>7838</v>
      </c>
      <c r="E94" t="s">
        <v>8598</v>
      </c>
      <c r="F94" t="s">
        <v>10290</v>
      </c>
      <c r="G94">
        <v>55</v>
      </c>
      <c r="H94" t="s">
        <v>10307</v>
      </c>
      <c r="N94">
        <v>52.388109999999998</v>
      </c>
      <c r="P94">
        <v>5.2153999999999998</v>
      </c>
      <c r="R94" t="s">
        <v>11037</v>
      </c>
      <c r="S94" t="s">
        <v>10307</v>
      </c>
      <c r="W94" s="2" t="s">
        <v>11194</v>
      </c>
    </row>
    <row r="95" spans="1:23" hidden="1" x14ac:dyDescent="0.45">
      <c r="A95" s="1" t="s">
        <v>114</v>
      </c>
      <c r="B95" t="s">
        <v>6028</v>
      </c>
      <c r="C95" t="s">
        <v>7319</v>
      </c>
      <c r="D95" t="s">
        <v>7839</v>
      </c>
      <c r="E95" t="s">
        <v>8599</v>
      </c>
      <c r="F95" t="s">
        <v>10290</v>
      </c>
      <c r="G95">
        <v>645</v>
      </c>
      <c r="H95" t="s">
        <v>10314</v>
      </c>
      <c r="I95" t="s">
        <v>10323</v>
      </c>
      <c r="N95">
        <v>51.708379999999998</v>
      </c>
      <c r="P95">
        <v>4.8438100000000004</v>
      </c>
      <c r="Q95" t="s">
        <v>10359</v>
      </c>
      <c r="R95" t="s">
        <v>11037</v>
      </c>
      <c r="S95" t="s">
        <v>10314</v>
      </c>
      <c r="W95" s="2" t="s">
        <v>11194</v>
      </c>
    </row>
    <row r="96" spans="1:23" hidden="1" x14ac:dyDescent="0.45">
      <c r="A96" s="1" t="s">
        <v>115</v>
      </c>
      <c r="B96" t="s">
        <v>6028</v>
      </c>
      <c r="C96" t="s">
        <v>7319</v>
      </c>
      <c r="D96" t="s">
        <v>7839</v>
      </c>
      <c r="E96" t="s">
        <v>8599</v>
      </c>
      <c r="F96" t="s">
        <v>10290</v>
      </c>
      <c r="G96">
        <v>640</v>
      </c>
      <c r="H96" t="s">
        <v>10314</v>
      </c>
      <c r="I96" t="s">
        <v>10323</v>
      </c>
      <c r="N96">
        <v>51.708379999999998</v>
      </c>
      <c r="P96">
        <v>4.8438100000000004</v>
      </c>
      <c r="Q96" t="s">
        <v>10359</v>
      </c>
      <c r="R96" t="s">
        <v>11037</v>
      </c>
      <c r="S96" t="s">
        <v>10314</v>
      </c>
      <c r="W96" s="2" t="s">
        <v>11194</v>
      </c>
    </row>
    <row r="97" spans="1:23" hidden="1" x14ac:dyDescent="0.45">
      <c r="A97" s="1" t="s">
        <v>116</v>
      </c>
      <c r="B97" t="s">
        <v>6029</v>
      </c>
      <c r="C97" t="s">
        <v>7320</v>
      </c>
      <c r="D97" t="s">
        <v>7840</v>
      </c>
      <c r="E97" t="s">
        <v>8600</v>
      </c>
      <c r="F97" t="s">
        <v>10290</v>
      </c>
      <c r="G97">
        <v>7</v>
      </c>
      <c r="H97" t="s">
        <v>10307</v>
      </c>
      <c r="N97">
        <v>52.465519999999998</v>
      </c>
      <c r="P97">
        <v>4.8136099999999997</v>
      </c>
      <c r="R97" t="s">
        <v>11037</v>
      </c>
      <c r="S97" t="s">
        <v>10307</v>
      </c>
      <c r="W97" s="2" t="s">
        <v>11194</v>
      </c>
    </row>
    <row r="98" spans="1:23" hidden="1" x14ac:dyDescent="0.45">
      <c r="A98" s="1" t="s">
        <v>117</v>
      </c>
      <c r="B98" t="s">
        <v>6028</v>
      </c>
      <c r="C98" t="s">
        <v>7321</v>
      </c>
      <c r="D98" t="s">
        <v>7841</v>
      </c>
      <c r="E98" t="s">
        <v>8601</v>
      </c>
      <c r="F98" t="s">
        <v>10290</v>
      </c>
      <c r="G98">
        <v>33</v>
      </c>
      <c r="H98" t="s">
        <v>10307</v>
      </c>
      <c r="N98">
        <v>51.505549999999999</v>
      </c>
      <c r="P98">
        <v>4.3399800000000006</v>
      </c>
      <c r="R98" t="s">
        <v>11037</v>
      </c>
      <c r="S98" t="s">
        <v>10307</v>
      </c>
      <c r="W98" s="2" t="s">
        <v>11194</v>
      </c>
    </row>
    <row r="99" spans="1:23" hidden="1" x14ac:dyDescent="0.45">
      <c r="A99" s="1" t="s">
        <v>118</v>
      </c>
      <c r="B99" t="s">
        <v>6030</v>
      </c>
      <c r="C99" t="s">
        <v>7322</v>
      </c>
      <c r="D99" t="s">
        <v>7842</v>
      </c>
      <c r="E99" t="s">
        <v>8602</v>
      </c>
      <c r="F99" t="s">
        <v>10290</v>
      </c>
      <c r="G99">
        <v>492</v>
      </c>
      <c r="H99" t="s">
        <v>10311</v>
      </c>
      <c r="I99" t="s">
        <v>10323</v>
      </c>
      <c r="N99">
        <v>51.431480000000001</v>
      </c>
      <c r="P99">
        <v>3.7187100000000002</v>
      </c>
      <c r="Q99" t="s">
        <v>10360</v>
      </c>
      <c r="R99" t="s">
        <v>10311</v>
      </c>
      <c r="W99" s="2" t="s">
        <v>11194</v>
      </c>
    </row>
    <row r="100" spans="1:23" hidden="1" x14ac:dyDescent="0.45">
      <c r="A100" s="1" t="s">
        <v>119</v>
      </c>
      <c r="B100" t="s">
        <v>6028</v>
      </c>
      <c r="C100" t="s">
        <v>7323</v>
      </c>
      <c r="D100" t="s">
        <v>7843</v>
      </c>
      <c r="E100" t="s">
        <v>8603</v>
      </c>
      <c r="F100" t="s">
        <v>10290</v>
      </c>
      <c r="G100">
        <v>25</v>
      </c>
      <c r="H100" t="s">
        <v>10314</v>
      </c>
      <c r="I100" t="s">
        <v>10323</v>
      </c>
      <c r="N100">
        <v>51.753809999999987</v>
      </c>
      <c r="P100">
        <v>5.8528000000000002</v>
      </c>
      <c r="R100" t="s">
        <v>11037</v>
      </c>
      <c r="S100" t="s">
        <v>10314</v>
      </c>
      <c r="W100" s="2" t="s">
        <v>11194</v>
      </c>
    </row>
    <row r="101" spans="1:23" hidden="1" x14ac:dyDescent="0.45">
      <c r="A101" s="1" t="s">
        <v>120</v>
      </c>
      <c r="B101" t="s">
        <v>6031</v>
      </c>
      <c r="C101" t="s">
        <v>7324</v>
      </c>
      <c r="D101" t="s">
        <v>7844</v>
      </c>
      <c r="E101" t="s">
        <v>8604</v>
      </c>
      <c r="F101" t="s">
        <v>10290</v>
      </c>
      <c r="G101">
        <v>72</v>
      </c>
      <c r="H101" t="s">
        <v>10307</v>
      </c>
      <c r="N101">
        <v>53.20975</v>
      </c>
      <c r="P101">
        <v>6.0295899999999998</v>
      </c>
      <c r="R101" t="s">
        <v>11037</v>
      </c>
      <c r="S101" t="s">
        <v>10307</v>
      </c>
      <c r="W101" s="2" t="s">
        <v>11194</v>
      </c>
    </row>
    <row r="102" spans="1:23" hidden="1" x14ac:dyDescent="0.45">
      <c r="A102" s="1" t="s">
        <v>121</v>
      </c>
      <c r="B102" t="s">
        <v>6031</v>
      </c>
      <c r="C102" t="s">
        <v>7324</v>
      </c>
      <c r="D102" t="s">
        <v>7844</v>
      </c>
      <c r="E102" t="s">
        <v>8604</v>
      </c>
      <c r="F102" t="s">
        <v>10290</v>
      </c>
      <c r="G102">
        <v>72</v>
      </c>
      <c r="H102" t="s">
        <v>10307</v>
      </c>
      <c r="N102">
        <v>53.20975</v>
      </c>
      <c r="P102">
        <v>6.0295899999999998</v>
      </c>
      <c r="R102" t="s">
        <v>11037</v>
      </c>
      <c r="S102" t="s">
        <v>10307</v>
      </c>
      <c r="W102" s="2" t="s">
        <v>11194</v>
      </c>
    </row>
    <row r="103" spans="1:23" hidden="1" x14ac:dyDescent="0.45">
      <c r="A103" s="1" t="s">
        <v>122</v>
      </c>
      <c r="B103" t="s">
        <v>6027</v>
      </c>
      <c r="C103" t="s">
        <v>7325</v>
      </c>
      <c r="D103" t="s">
        <v>7845</v>
      </c>
      <c r="E103" t="s">
        <v>8605</v>
      </c>
      <c r="F103" t="s">
        <v>10290</v>
      </c>
      <c r="G103">
        <v>249</v>
      </c>
      <c r="H103" t="s">
        <v>10307</v>
      </c>
      <c r="N103">
        <v>52.338979999999999</v>
      </c>
      <c r="P103">
        <v>5.0213400000000004</v>
      </c>
      <c r="Q103" t="s">
        <v>10361</v>
      </c>
      <c r="R103" t="s">
        <v>11037</v>
      </c>
      <c r="S103" t="s">
        <v>10307</v>
      </c>
      <c r="W103" s="2" t="s">
        <v>11194</v>
      </c>
    </row>
    <row r="104" spans="1:23" hidden="1" x14ac:dyDescent="0.45">
      <c r="A104" s="1" t="s">
        <v>123</v>
      </c>
      <c r="B104" t="s">
        <v>6032</v>
      </c>
      <c r="C104" t="s">
        <v>7325</v>
      </c>
      <c r="D104" t="s">
        <v>7845</v>
      </c>
      <c r="E104" t="s">
        <v>8605</v>
      </c>
      <c r="F104" t="s">
        <v>10290</v>
      </c>
      <c r="G104">
        <v>435</v>
      </c>
      <c r="H104" t="s">
        <v>10307</v>
      </c>
      <c r="N104">
        <v>52.338979999999999</v>
      </c>
      <c r="P104">
        <v>5.0213400000000004</v>
      </c>
      <c r="Q104" t="s">
        <v>10361</v>
      </c>
      <c r="R104" t="s">
        <v>11037</v>
      </c>
      <c r="S104" t="s">
        <v>10307</v>
      </c>
      <c r="W104" s="2" t="s">
        <v>11194</v>
      </c>
    </row>
    <row r="105" spans="1:23" hidden="1" x14ac:dyDescent="0.45">
      <c r="A105" s="1" t="s">
        <v>124</v>
      </c>
      <c r="B105" t="s">
        <v>6033</v>
      </c>
      <c r="C105" t="s">
        <v>7326</v>
      </c>
      <c r="D105" t="s">
        <v>7846</v>
      </c>
      <c r="E105" t="s">
        <v>8606</v>
      </c>
      <c r="F105" t="s">
        <v>10290</v>
      </c>
      <c r="G105">
        <v>0</v>
      </c>
      <c r="H105" t="s">
        <v>10307</v>
      </c>
      <c r="N105">
        <v>51.910249999999998</v>
      </c>
      <c r="P105">
        <v>4.4260800000000007</v>
      </c>
      <c r="R105" t="s">
        <v>11037</v>
      </c>
      <c r="S105" t="s">
        <v>10307</v>
      </c>
      <c r="W105" s="2" t="s">
        <v>11194</v>
      </c>
    </row>
    <row r="106" spans="1:23" hidden="1" x14ac:dyDescent="0.45">
      <c r="A106" s="1" t="s">
        <v>125</v>
      </c>
      <c r="B106" t="s">
        <v>6031</v>
      </c>
      <c r="C106" t="s">
        <v>7327</v>
      </c>
      <c r="D106" t="s">
        <v>7847</v>
      </c>
      <c r="E106" t="s">
        <v>8607</v>
      </c>
      <c r="F106" t="s">
        <v>10290</v>
      </c>
      <c r="G106">
        <v>0</v>
      </c>
      <c r="H106" t="s">
        <v>10314</v>
      </c>
      <c r="I106" t="s">
        <v>10323</v>
      </c>
      <c r="N106">
        <v>51.856070000000003</v>
      </c>
      <c r="P106">
        <v>5.8304300000000007</v>
      </c>
      <c r="Q106" t="s">
        <v>10362</v>
      </c>
      <c r="R106" t="s">
        <v>11037</v>
      </c>
      <c r="S106" t="s">
        <v>10314</v>
      </c>
      <c r="W106" s="2" t="s">
        <v>11194</v>
      </c>
    </row>
    <row r="107" spans="1:23" hidden="1" x14ac:dyDescent="0.45">
      <c r="A107" s="1" t="s">
        <v>126</v>
      </c>
      <c r="B107" t="s">
        <v>6031</v>
      </c>
      <c r="C107" t="s">
        <v>7328</v>
      </c>
      <c r="D107" t="s">
        <v>7848</v>
      </c>
      <c r="E107" t="s">
        <v>8608</v>
      </c>
      <c r="F107" t="s">
        <v>10290</v>
      </c>
      <c r="G107">
        <v>0</v>
      </c>
      <c r="H107" t="s">
        <v>10307</v>
      </c>
      <c r="N107">
        <v>52.469069999999988</v>
      </c>
      <c r="P107">
        <v>6.1076699999999997</v>
      </c>
      <c r="R107" t="s">
        <v>11037</v>
      </c>
      <c r="S107" t="s">
        <v>10307</v>
      </c>
      <c r="W107" s="2" t="s">
        <v>11194</v>
      </c>
    </row>
    <row r="108" spans="1:23" hidden="1" x14ac:dyDescent="0.45">
      <c r="A108" s="1" t="s">
        <v>127</v>
      </c>
      <c r="B108" t="s">
        <v>6027</v>
      </c>
      <c r="C108" t="s">
        <v>7329</v>
      </c>
      <c r="D108" t="s">
        <v>7849</v>
      </c>
      <c r="E108" t="s">
        <v>8609</v>
      </c>
      <c r="F108" t="s">
        <v>10290</v>
      </c>
      <c r="G108">
        <v>585</v>
      </c>
      <c r="H108" t="s">
        <v>10307</v>
      </c>
      <c r="N108">
        <v>52.405369999999998</v>
      </c>
      <c r="P108">
        <v>4.8448199999999986</v>
      </c>
      <c r="Q108" t="s">
        <v>10363</v>
      </c>
      <c r="R108" t="s">
        <v>11037</v>
      </c>
      <c r="S108" t="s">
        <v>10307</v>
      </c>
      <c r="W108" s="2" t="s">
        <v>11194</v>
      </c>
    </row>
    <row r="109" spans="1:23" hidden="1" x14ac:dyDescent="0.45">
      <c r="A109" s="1" t="s">
        <v>128</v>
      </c>
      <c r="B109" t="s">
        <v>6027</v>
      </c>
      <c r="C109" t="s">
        <v>7329</v>
      </c>
      <c r="D109" t="s">
        <v>7849</v>
      </c>
      <c r="E109" t="s">
        <v>8609</v>
      </c>
      <c r="F109" t="s">
        <v>10290</v>
      </c>
      <c r="G109">
        <v>650</v>
      </c>
      <c r="H109" t="s">
        <v>10314</v>
      </c>
      <c r="I109" t="s">
        <v>10323</v>
      </c>
      <c r="N109">
        <v>52.405369999999998</v>
      </c>
      <c r="P109">
        <v>4.8448199999999986</v>
      </c>
      <c r="Q109" t="s">
        <v>10363</v>
      </c>
      <c r="R109" t="s">
        <v>11037</v>
      </c>
      <c r="S109" t="s">
        <v>10314</v>
      </c>
      <c r="W109" s="2" t="s">
        <v>11194</v>
      </c>
    </row>
    <row r="110" spans="1:23" hidden="1" x14ac:dyDescent="0.45">
      <c r="A110" s="1" t="s">
        <v>129</v>
      </c>
      <c r="B110" t="s">
        <v>6034</v>
      </c>
      <c r="C110" t="s">
        <v>7330</v>
      </c>
      <c r="D110" t="s">
        <v>7850</v>
      </c>
      <c r="E110" t="s">
        <v>8609</v>
      </c>
      <c r="F110" t="s">
        <v>10290</v>
      </c>
      <c r="G110">
        <v>432</v>
      </c>
      <c r="H110" t="s">
        <v>10307</v>
      </c>
      <c r="N110">
        <v>52.405369999999998</v>
      </c>
      <c r="P110">
        <v>4.8448199999999986</v>
      </c>
      <c r="Q110" t="s">
        <v>10363</v>
      </c>
      <c r="R110" t="s">
        <v>11037</v>
      </c>
      <c r="S110" t="s">
        <v>10307</v>
      </c>
      <c r="W110" s="2" t="s">
        <v>11194</v>
      </c>
    </row>
    <row r="111" spans="1:23" hidden="1" x14ac:dyDescent="0.45">
      <c r="A111" s="1" t="s">
        <v>130</v>
      </c>
      <c r="B111" t="s">
        <v>6027</v>
      </c>
      <c r="C111" t="s">
        <v>7331</v>
      </c>
      <c r="D111" t="s">
        <v>7851</v>
      </c>
      <c r="E111" t="s">
        <v>8610</v>
      </c>
      <c r="F111" t="s">
        <v>10290</v>
      </c>
      <c r="G111">
        <v>144</v>
      </c>
      <c r="H111" t="s">
        <v>10315</v>
      </c>
      <c r="N111">
        <v>52.471550000000001</v>
      </c>
      <c r="P111">
        <v>4.6347300000000002</v>
      </c>
      <c r="R111" t="s">
        <v>10315</v>
      </c>
      <c r="W111" s="2" t="s">
        <v>11194</v>
      </c>
    </row>
    <row r="112" spans="1:23" hidden="1" x14ac:dyDescent="0.45">
      <c r="A112" s="1" t="s">
        <v>131</v>
      </c>
      <c r="B112" t="s">
        <v>6027</v>
      </c>
      <c r="C112" t="s">
        <v>7332</v>
      </c>
      <c r="D112" t="s">
        <v>7852</v>
      </c>
      <c r="E112" t="s">
        <v>8611</v>
      </c>
      <c r="F112" t="s">
        <v>10290</v>
      </c>
      <c r="G112">
        <v>247</v>
      </c>
      <c r="H112" t="s">
        <v>10307</v>
      </c>
      <c r="N112">
        <v>52.102919999999997</v>
      </c>
      <c r="P112">
        <v>5.0713699999999999</v>
      </c>
      <c r="Q112" t="s">
        <v>10364</v>
      </c>
      <c r="R112" t="s">
        <v>11037</v>
      </c>
      <c r="S112" t="s">
        <v>10307</v>
      </c>
      <c r="W112" s="2" t="s">
        <v>11194</v>
      </c>
    </row>
    <row r="113" spans="1:23" hidden="1" x14ac:dyDescent="0.45">
      <c r="A113" s="1" t="s">
        <v>132</v>
      </c>
      <c r="B113" t="s">
        <v>6033</v>
      </c>
      <c r="C113" t="s">
        <v>7333</v>
      </c>
      <c r="D113" t="s">
        <v>7853</v>
      </c>
      <c r="E113" t="s">
        <v>8612</v>
      </c>
      <c r="F113" t="s">
        <v>10290</v>
      </c>
      <c r="G113">
        <v>0</v>
      </c>
      <c r="H113" t="s">
        <v>10314</v>
      </c>
      <c r="I113" t="s">
        <v>10323</v>
      </c>
      <c r="N113">
        <v>51.962620000000001</v>
      </c>
      <c r="P113">
        <v>4.0215199999999998</v>
      </c>
      <c r="Q113" t="s">
        <v>10365</v>
      </c>
      <c r="R113" t="s">
        <v>11037</v>
      </c>
      <c r="S113" t="s">
        <v>10314</v>
      </c>
      <c r="W113" s="2" t="s">
        <v>11194</v>
      </c>
    </row>
    <row r="114" spans="1:23" hidden="1" x14ac:dyDescent="0.45">
      <c r="A114" s="1" t="s">
        <v>133</v>
      </c>
      <c r="B114" t="s">
        <v>6033</v>
      </c>
      <c r="C114" t="s">
        <v>7333</v>
      </c>
      <c r="D114" t="s">
        <v>7853</v>
      </c>
      <c r="E114" t="s">
        <v>8612</v>
      </c>
      <c r="F114" t="s">
        <v>10290</v>
      </c>
      <c r="G114">
        <v>0</v>
      </c>
      <c r="H114" t="s">
        <v>10314</v>
      </c>
      <c r="I114" t="s">
        <v>10323</v>
      </c>
      <c r="N114">
        <v>51.962620000000001</v>
      </c>
      <c r="P114">
        <v>4.0215199999999998</v>
      </c>
      <c r="Q114" t="s">
        <v>10366</v>
      </c>
      <c r="R114" t="s">
        <v>11037</v>
      </c>
      <c r="S114" t="s">
        <v>10314</v>
      </c>
      <c r="W114" s="2" t="s">
        <v>11194</v>
      </c>
    </row>
    <row r="115" spans="1:23" hidden="1" x14ac:dyDescent="0.45">
      <c r="A115" s="1" t="s">
        <v>134</v>
      </c>
      <c r="B115" t="s">
        <v>6033</v>
      </c>
      <c r="C115" t="s">
        <v>7334</v>
      </c>
      <c r="D115" t="s">
        <v>7854</v>
      </c>
      <c r="E115" t="s">
        <v>8613</v>
      </c>
      <c r="F115" t="s">
        <v>10290</v>
      </c>
      <c r="G115">
        <v>1068</v>
      </c>
      <c r="H115" t="s">
        <v>10314</v>
      </c>
      <c r="I115" t="s">
        <v>10323</v>
      </c>
      <c r="N115">
        <v>51.962620000000001</v>
      </c>
      <c r="P115">
        <v>4.0215199999999998</v>
      </c>
      <c r="Q115" t="s">
        <v>10367</v>
      </c>
      <c r="R115" t="s">
        <v>11037</v>
      </c>
      <c r="S115" t="s">
        <v>10314</v>
      </c>
      <c r="W115" s="2" t="s">
        <v>11194</v>
      </c>
    </row>
    <row r="116" spans="1:23" hidden="1" x14ac:dyDescent="0.45">
      <c r="A116" s="1" t="s">
        <v>135</v>
      </c>
      <c r="B116" t="s">
        <v>6027</v>
      </c>
      <c r="C116" t="s">
        <v>7335</v>
      </c>
      <c r="D116" t="s">
        <v>7855</v>
      </c>
      <c r="E116" t="s">
        <v>8611</v>
      </c>
      <c r="F116" t="s">
        <v>10290</v>
      </c>
      <c r="G116">
        <v>227</v>
      </c>
      <c r="H116" t="s">
        <v>10307</v>
      </c>
      <c r="N116">
        <v>52.101559999999999</v>
      </c>
      <c r="P116">
        <v>5.0798100000000002</v>
      </c>
      <c r="Q116" t="s">
        <v>10368</v>
      </c>
      <c r="R116" t="s">
        <v>11037</v>
      </c>
      <c r="S116" t="s">
        <v>10307</v>
      </c>
      <c r="W116" s="2" t="s">
        <v>11194</v>
      </c>
    </row>
    <row r="117" spans="1:23" hidden="1" x14ac:dyDescent="0.45">
      <c r="A117" s="1" t="s">
        <v>136</v>
      </c>
      <c r="B117" t="s">
        <v>6033</v>
      </c>
      <c r="C117" t="s">
        <v>7336</v>
      </c>
      <c r="D117" t="s">
        <v>7856</v>
      </c>
      <c r="E117" t="s">
        <v>8606</v>
      </c>
      <c r="F117" t="s">
        <v>10290</v>
      </c>
      <c r="G117">
        <v>218</v>
      </c>
      <c r="H117" t="s">
        <v>10307</v>
      </c>
      <c r="N117">
        <v>51.953659999999999</v>
      </c>
      <c r="P117">
        <v>4.5615500000000004</v>
      </c>
      <c r="Q117" t="s">
        <v>10369</v>
      </c>
      <c r="R117" t="s">
        <v>11037</v>
      </c>
      <c r="S117" t="s">
        <v>10307</v>
      </c>
      <c r="W117" s="2" t="s">
        <v>11194</v>
      </c>
    </row>
    <row r="118" spans="1:23" hidden="1" x14ac:dyDescent="0.45">
      <c r="A118" s="1" t="s">
        <v>137</v>
      </c>
      <c r="B118" t="s">
        <v>6028</v>
      </c>
      <c r="C118" t="s">
        <v>7337</v>
      </c>
      <c r="D118" t="s">
        <v>7857</v>
      </c>
      <c r="E118" t="s">
        <v>8614</v>
      </c>
      <c r="F118" t="s">
        <v>10290</v>
      </c>
      <c r="G118">
        <v>225</v>
      </c>
      <c r="H118" t="s">
        <v>10307</v>
      </c>
      <c r="N118">
        <v>50.979709999999997</v>
      </c>
      <c r="P118">
        <v>5.80891</v>
      </c>
      <c r="Q118" t="s">
        <v>10370</v>
      </c>
      <c r="R118" t="s">
        <v>11037</v>
      </c>
      <c r="S118" t="s">
        <v>10307</v>
      </c>
      <c r="W118" s="2" t="s">
        <v>11194</v>
      </c>
    </row>
    <row r="119" spans="1:23" hidden="1" x14ac:dyDescent="0.45">
      <c r="A119" s="1" t="s">
        <v>138</v>
      </c>
      <c r="B119" t="s">
        <v>6027</v>
      </c>
      <c r="C119" t="s">
        <v>7331</v>
      </c>
      <c r="D119" t="s">
        <v>7851</v>
      </c>
      <c r="E119" t="s">
        <v>8610</v>
      </c>
      <c r="F119" t="s">
        <v>10290</v>
      </c>
      <c r="G119">
        <v>459</v>
      </c>
      <c r="H119" t="s">
        <v>10307</v>
      </c>
      <c r="N119">
        <v>52.471550000000001</v>
      </c>
      <c r="P119">
        <v>4.6347300000000002</v>
      </c>
      <c r="Q119" t="s">
        <v>10371</v>
      </c>
      <c r="R119" t="s">
        <v>11037</v>
      </c>
      <c r="S119" t="s">
        <v>10307</v>
      </c>
      <c r="W119" s="2" t="s">
        <v>11194</v>
      </c>
    </row>
    <row r="120" spans="1:23" hidden="1" x14ac:dyDescent="0.45">
      <c r="A120" s="1" t="s">
        <v>139</v>
      </c>
      <c r="B120" t="s">
        <v>6027</v>
      </c>
      <c r="C120" t="s">
        <v>7331</v>
      </c>
      <c r="D120" t="s">
        <v>7851</v>
      </c>
      <c r="E120" t="s">
        <v>8610</v>
      </c>
      <c r="F120" t="s">
        <v>10290</v>
      </c>
      <c r="G120">
        <v>375</v>
      </c>
      <c r="H120" t="s">
        <v>10307</v>
      </c>
      <c r="N120">
        <v>52.471550000000001</v>
      </c>
      <c r="P120">
        <v>4.6347300000000002</v>
      </c>
      <c r="Q120" t="s">
        <v>10371</v>
      </c>
      <c r="R120" t="s">
        <v>11037</v>
      </c>
      <c r="S120" t="s">
        <v>10307</v>
      </c>
      <c r="W120" s="2" t="s">
        <v>11194</v>
      </c>
    </row>
    <row r="121" spans="1:23" hidden="1" x14ac:dyDescent="0.45">
      <c r="A121" s="1" t="s">
        <v>140</v>
      </c>
      <c r="B121" t="s">
        <v>6028</v>
      </c>
      <c r="C121" t="s">
        <v>7338</v>
      </c>
      <c r="D121" t="s">
        <v>7858</v>
      </c>
      <c r="E121" t="s">
        <v>8615</v>
      </c>
      <c r="F121" t="s">
        <v>10290</v>
      </c>
      <c r="G121">
        <v>640</v>
      </c>
      <c r="H121" t="s">
        <v>10307</v>
      </c>
      <c r="N121">
        <v>51.154089999999997</v>
      </c>
      <c r="P121">
        <v>5.9080300000000001</v>
      </c>
      <c r="Q121" t="s">
        <v>10372</v>
      </c>
      <c r="R121" t="s">
        <v>11037</v>
      </c>
      <c r="S121" t="s">
        <v>10307</v>
      </c>
      <c r="W121" s="2" t="s">
        <v>11194</v>
      </c>
    </row>
    <row r="122" spans="1:23" hidden="1" x14ac:dyDescent="0.45">
      <c r="A122" s="1" t="s">
        <v>141</v>
      </c>
      <c r="B122" t="s">
        <v>6028</v>
      </c>
      <c r="C122" t="s">
        <v>7338</v>
      </c>
      <c r="D122" t="s">
        <v>7858</v>
      </c>
      <c r="E122" t="s">
        <v>8615</v>
      </c>
      <c r="F122" t="s">
        <v>10290</v>
      </c>
      <c r="G122">
        <v>310</v>
      </c>
      <c r="H122" t="s">
        <v>10307</v>
      </c>
      <c r="N122">
        <v>51.154089999999997</v>
      </c>
      <c r="P122">
        <v>5.9080300000000001</v>
      </c>
      <c r="Q122" t="s">
        <v>10372</v>
      </c>
      <c r="R122" t="s">
        <v>11037</v>
      </c>
      <c r="S122" t="s">
        <v>10307</v>
      </c>
      <c r="W122" s="2" t="s">
        <v>11194</v>
      </c>
    </row>
    <row r="123" spans="1:23" hidden="1" x14ac:dyDescent="0.45">
      <c r="A123" s="1" t="s">
        <v>142</v>
      </c>
      <c r="B123" t="s">
        <v>6028</v>
      </c>
      <c r="C123" t="s">
        <v>7338</v>
      </c>
      <c r="D123" t="s">
        <v>7858</v>
      </c>
      <c r="E123" t="s">
        <v>8615</v>
      </c>
      <c r="F123" t="s">
        <v>10290</v>
      </c>
      <c r="G123">
        <v>310</v>
      </c>
      <c r="H123" t="s">
        <v>10307</v>
      </c>
      <c r="N123">
        <v>51.154089999999997</v>
      </c>
      <c r="P123">
        <v>5.9080300000000001</v>
      </c>
      <c r="Q123" t="s">
        <v>10372</v>
      </c>
      <c r="R123" t="s">
        <v>11037</v>
      </c>
      <c r="S123" t="s">
        <v>10307</v>
      </c>
      <c r="W123" s="2" t="s">
        <v>11194</v>
      </c>
    </row>
    <row r="124" spans="1:23" hidden="1" x14ac:dyDescent="0.45">
      <c r="A124" s="1" t="s">
        <v>143</v>
      </c>
      <c r="B124" t="s">
        <v>6028</v>
      </c>
      <c r="C124" t="s">
        <v>7338</v>
      </c>
      <c r="D124" t="s">
        <v>7858</v>
      </c>
      <c r="E124" t="s">
        <v>8615</v>
      </c>
      <c r="F124" t="s">
        <v>10290</v>
      </c>
      <c r="G124">
        <v>310</v>
      </c>
      <c r="H124" t="s">
        <v>10307</v>
      </c>
      <c r="N124">
        <v>51.154089999999997</v>
      </c>
      <c r="P124">
        <v>5.9080300000000001</v>
      </c>
      <c r="Q124" t="s">
        <v>10372</v>
      </c>
      <c r="R124" t="s">
        <v>11037</v>
      </c>
      <c r="S124" t="s">
        <v>10307</v>
      </c>
      <c r="W124" s="2" t="s">
        <v>11194</v>
      </c>
    </row>
    <row r="125" spans="1:23" hidden="1" x14ac:dyDescent="0.45">
      <c r="A125" s="1" t="s">
        <v>144</v>
      </c>
      <c r="B125" t="s">
        <v>6028</v>
      </c>
      <c r="C125" t="s">
        <v>7338</v>
      </c>
      <c r="D125" t="s">
        <v>7858</v>
      </c>
      <c r="E125" t="s">
        <v>8615</v>
      </c>
      <c r="F125" t="s">
        <v>10290</v>
      </c>
      <c r="G125">
        <v>510</v>
      </c>
      <c r="H125" t="s">
        <v>10315</v>
      </c>
      <c r="N125">
        <v>51.154089999999997</v>
      </c>
      <c r="P125">
        <v>5.9080300000000001</v>
      </c>
      <c r="Q125" t="s">
        <v>10372</v>
      </c>
      <c r="R125" t="s">
        <v>10315</v>
      </c>
      <c r="W125" s="2" t="s">
        <v>11194</v>
      </c>
    </row>
    <row r="126" spans="1:23" hidden="1" x14ac:dyDescent="0.45">
      <c r="A126" s="1" t="s">
        <v>145</v>
      </c>
      <c r="B126" t="s">
        <v>6028</v>
      </c>
      <c r="C126" t="s">
        <v>7339</v>
      </c>
      <c r="D126" t="s">
        <v>7859</v>
      </c>
      <c r="E126" t="s">
        <v>8616</v>
      </c>
      <c r="F126" t="s">
        <v>10290</v>
      </c>
      <c r="G126">
        <v>180</v>
      </c>
      <c r="H126" t="s">
        <v>10307</v>
      </c>
      <c r="N126">
        <v>53.319530000000007</v>
      </c>
      <c r="P126">
        <v>6.9481100000000007</v>
      </c>
      <c r="R126" t="s">
        <v>11037</v>
      </c>
      <c r="S126" t="s">
        <v>10307</v>
      </c>
      <c r="W126" s="2" t="s">
        <v>11194</v>
      </c>
    </row>
    <row r="127" spans="1:23" hidden="1" x14ac:dyDescent="0.45">
      <c r="A127" s="1" t="s">
        <v>146</v>
      </c>
      <c r="B127" t="s">
        <v>6028</v>
      </c>
      <c r="C127" t="s">
        <v>7339</v>
      </c>
      <c r="D127" t="s">
        <v>7859</v>
      </c>
      <c r="E127" t="s">
        <v>8616</v>
      </c>
      <c r="F127" t="s">
        <v>10290</v>
      </c>
      <c r="G127">
        <v>350</v>
      </c>
      <c r="H127" t="s">
        <v>10307</v>
      </c>
      <c r="N127">
        <v>53.319530000000007</v>
      </c>
      <c r="P127">
        <v>6.9481100000000007</v>
      </c>
      <c r="R127" t="s">
        <v>11037</v>
      </c>
      <c r="S127" t="s">
        <v>10307</v>
      </c>
      <c r="W127" s="2" t="s">
        <v>11194</v>
      </c>
    </row>
    <row r="128" spans="1:23" hidden="1" x14ac:dyDescent="0.45">
      <c r="A128" s="1" t="s">
        <v>147</v>
      </c>
      <c r="B128" t="s">
        <v>6028</v>
      </c>
      <c r="C128" t="s">
        <v>7340</v>
      </c>
      <c r="D128" t="s">
        <v>7860</v>
      </c>
      <c r="E128" t="s">
        <v>8599</v>
      </c>
      <c r="F128" t="s">
        <v>10290</v>
      </c>
      <c r="G128">
        <v>0</v>
      </c>
      <c r="H128" t="s">
        <v>10307</v>
      </c>
      <c r="N128">
        <v>51.695</v>
      </c>
      <c r="P128">
        <v>4.8465199999999999</v>
      </c>
      <c r="R128" t="s">
        <v>11037</v>
      </c>
      <c r="S128" t="s">
        <v>10307</v>
      </c>
      <c r="W128" s="2" t="s">
        <v>11194</v>
      </c>
    </row>
    <row r="129" spans="1:23" hidden="1" x14ac:dyDescent="0.45">
      <c r="A129" s="1" t="s">
        <v>148</v>
      </c>
      <c r="B129" t="s">
        <v>6033</v>
      </c>
      <c r="C129" t="s">
        <v>7341</v>
      </c>
      <c r="D129" t="s">
        <v>7861</v>
      </c>
      <c r="E129" t="s">
        <v>8617</v>
      </c>
      <c r="F129" t="s">
        <v>10290</v>
      </c>
      <c r="G129">
        <v>112</v>
      </c>
      <c r="H129" t="s">
        <v>10307</v>
      </c>
      <c r="N129">
        <v>52.076590000000003</v>
      </c>
      <c r="P129">
        <v>4.2906500000000003</v>
      </c>
      <c r="Q129" t="s">
        <v>10373</v>
      </c>
      <c r="R129" t="s">
        <v>11037</v>
      </c>
      <c r="S129" t="s">
        <v>10307</v>
      </c>
      <c r="W129" s="2" t="s">
        <v>11194</v>
      </c>
    </row>
    <row r="130" spans="1:23" hidden="1" x14ac:dyDescent="0.45">
      <c r="A130" s="1" t="s">
        <v>149</v>
      </c>
      <c r="B130" t="s">
        <v>6028</v>
      </c>
      <c r="C130" t="s">
        <v>7342</v>
      </c>
      <c r="D130" t="s">
        <v>7862</v>
      </c>
      <c r="E130" t="s">
        <v>8618</v>
      </c>
      <c r="F130" t="s">
        <v>10290</v>
      </c>
      <c r="G130">
        <v>0</v>
      </c>
      <c r="H130" t="s">
        <v>10307</v>
      </c>
      <c r="N130">
        <v>51.449440000000003</v>
      </c>
      <c r="P130">
        <v>5.45296</v>
      </c>
      <c r="R130" t="s">
        <v>11037</v>
      </c>
      <c r="S130" t="s">
        <v>10307</v>
      </c>
      <c r="W130" s="2" t="s">
        <v>11194</v>
      </c>
    </row>
    <row r="131" spans="1:23" hidden="1" x14ac:dyDescent="0.45">
      <c r="A131" s="1" t="s">
        <v>150</v>
      </c>
      <c r="B131" t="s">
        <v>6030</v>
      </c>
      <c r="C131" t="s">
        <v>7343</v>
      </c>
      <c r="D131" t="s">
        <v>7863</v>
      </c>
      <c r="E131" t="s">
        <v>8619</v>
      </c>
      <c r="F131" t="s">
        <v>10290</v>
      </c>
      <c r="G131">
        <v>456</v>
      </c>
      <c r="H131" t="s">
        <v>10307</v>
      </c>
      <c r="N131">
        <v>51.333190000000002</v>
      </c>
      <c r="P131">
        <v>3.7894700000000001</v>
      </c>
      <c r="Q131" t="s">
        <v>10374</v>
      </c>
      <c r="R131" t="s">
        <v>11037</v>
      </c>
      <c r="S131" t="s">
        <v>10307</v>
      </c>
      <c r="W131" s="2" t="s">
        <v>11194</v>
      </c>
    </row>
    <row r="132" spans="1:23" hidden="1" x14ac:dyDescent="0.45">
      <c r="A132" s="1" t="s">
        <v>151</v>
      </c>
      <c r="B132" t="s">
        <v>6028</v>
      </c>
      <c r="C132" t="s">
        <v>7344</v>
      </c>
      <c r="D132" t="s">
        <v>7864</v>
      </c>
      <c r="E132" t="s">
        <v>8620</v>
      </c>
      <c r="F132" t="s">
        <v>10290</v>
      </c>
      <c r="G132">
        <v>0</v>
      </c>
      <c r="H132" t="s">
        <v>10307</v>
      </c>
      <c r="N132">
        <v>52.213970000000003</v>
      </c>
      <c r="P132">
        <v>6.8287199999999997</v>
      </c>
      <c r="R132" t="s">
        <v>11037</v>
      </c>
      <c r="S132" t="s">
        <v>10307</v>
      </c>
      <c r="W132" s="2" t="s">
        <v>11194</v>
      </c>
    </row>
    <row r="133" spans="1:23" hidden="1" x14ac:dyDescent="0.45">
      <c r="A133" s="1" t="s">
        <v>152</v>
      </c>
      <c r="B133" t="s">
        <v>6028</v>
      </c>
      <c r="C133" t="s">
        <v>7345</v>
      </c>
      <c r="D133" t="s">
        <v>7865</v>
      </c>
      <c r="E133" t="s">
        <v>8621</v>
      </c>
      <c r="F133" t="s">
        <v>10290</v>
      </c>
      <c r="G133">
        <v>63</v>
      </c>
      <c r="H133" t="s">
        <v>10307</v>
      </c>
      <c r="N133">
        <v>52.696319999999993</v>
      </c>
      <c r="P133">
        <v>6.9141100000000009</v>
      </c>
      <c r="R133" t="s">
        <v>11037</v>
      </c>
      <c r="S133" t="s">
        <v>10307</v>
      </c>
      <c r="W133" s="2" t="s">
        <v>11194</v>
      </c>
    </row>
    <row r="134" spans="1:23" hidden="1" x14ac:dyDescent="0.45">
      <c r="A134" s="1" t="s">
        <v>153</v>
      </c>
      <c r="B134" t="s">
        <v>6031</v>
      </c>
      <c r="C134" t="s">
        <v>7346</v>
      </c>
      <c r="D134" t="s">
        <v>7866</v>
      </c>
      <c r="E134" t="s">
        <v>8622</v>
      </c>
      <c r="F134" t="s">
        <v>10290</v>
      </c>
      <c r="G134">
        <v>131</v>
      </c>
      <c r="H134" t="s">
        <v>10307</v>
      </c>
      <c r="N134">
        <v>53.439489999999999</v>
      </c>
      <c r="P134">
        <v>6.86165</v>
      </c>
      <c r="Q134" t="s">
        <v>10375</v>
      </c>
      <c r="R134" t="s">
        <v>11037</v>
      </c>
      <c r="S134" t="s">
        <v>10307</v>
      </c>
      <c r="W134" s="2" t="s">
        <v>11194</v>
      </c>
    </row>
    <row r="135" spans="1:23" hidden="1" x14ac:dyDescent="0.45">
      <c r="A135" s="1" t="s">
        <v>154</v>
      </c>
      <c r="B135" t="s">
        <v>6031</v>
      </c>
      <c r="C135" t="s">
        <v>7346</v>
      </c>
      <c r="D135" t="s">
        <v>7866</v>
      </c>
      <c r="E135" t="s">
        <v>8622</v>
      </c>
      <c r="F135" t="s">
        <v>10290</v>
      </c>
      <c r="G135">
        <v>359</v>
      </c>
      <c r="H135" t="s">
        <v>10307</v>
      </c>
      <c r="N135">
        <v>53.439489999999999</v>
      </c>
      <c r="P135">
        <v>6.86165</v>
      </c>
      <c r="Q135" t="s">
        <v>10376</v>
      </c>
      <c r="R135" t="s">
        <v>11037</v>
      </c>
      <c r="S135" t="s">
        <v>10307</v>
      </c>
      <c r="W135" s="2" t="s">
        <v>11194</v>
      </c>
    </row>
    <row r="136" spans="1:23" hidden="1" x14ac:dyDescent="0.45">
      <c r="A136" s="1" t="s">
        <v>155</v>
      </c>
      <c r="B136" t="s">
        <v>6031</v>
      </c>
      <c r="C136" t="s">
        <v>7346</v>
      </c>
      <c r="D136" t="s">
        <v>7866</v>
      </c>
      <c r="E136" t="s">
        <v>8622</v>
      </c>
      <c r="F136" t="s">
        <v>10290</v>
      </c>
      <c r="G136">
        <v>359</v>
      </c>
      <c r="H136" t="s">
        <v>10307</v>
      </c>
      <c r="N136">
        <v>53.439489999999999</v>
      </c>
      <c r="P136">
        <v>6.86165</v>
      </c>
      <c r="Q136" t="s">
        <v>10377</v>
      </c>
      <c r="R136" t="s">
        <v>11037</v>
      </c>
      <c r="S136" t="s">
        <v>10307</v>
      </c>
      <c r="W136" s="2" t="s">
        <v>11194</v>
      </c>
    </row>
    <row r="137" spans="1:23" hidden="1" x14ac:dyDescent="0.45">
      <c r="A137" s="1" t="s">
        <v>156</v>
      </c>
      <c r="B137" t="s">
        <v>6031</v>
      </c>
      <c r="C137" t="s">
        <v>7346</v>
      </c>
      <c r="D137" t="s">
        <v>7866</v>
      </c>
      <c r="E137" t="s">
        <v>8622</v>
      </c>
      <c r="F137" t="s">
        <v>10290</v>
      </c>
      <c r="G137">
        <v>361</v>
      </c>
      <c r="H137" t="s">
        <v>10307</v>
      </c>
      <c r="N137">
        <v>53.439489999999999</v>
      </c>
      <c r="P137">
        <v>6.86165</v>
      </c>
      <c r="Q137" t="s">
        <v>10378</v>
      </c>
      <c r="R137" t="s">
        <v>11037</v>
      </c>
      <c r="S137" t="s">
        <v>10307</v>
      </c>
      <c r="W137" s="2" t="s">
        <v>11194</v>
      </c>
    </row>
    <row r="138" spans="1:23" hidden="1" x14ac:dyDescent="0.45">
      <c r="A138" s="1" t="s">
        <v>157</v>
      </c>
      <c r="B138" t="s">
        <v>6031</v>
      </c>
      <c r="C138" t="s">
        <v>7346</v>
      </c>
      <c r="D138" t="s">
        <v>7866</v>
      </c>
      <c r="E138" t="s">
        <v>8622</v>
      </c>
      <c r="F138" t="s">
        <v>10290</v>
      </c>
      <c r="G138">
        <v>359</v>
      </c>
      <c r="H138" t="s">
        <v>10307</v>
      </c>
      <c r="N138">
        <v>53.439489999999999</v>
      </c>
      <c r="P138">
        <v>6.86165</v>
      </c>
      <c r="Q138" t="s">
        <v>10379</v>
      </c>
      <c r="R138" t="s">
        <v>11037</v>
      </c>
      <c r="S138" t="s">
        <v>10307</v>
      </c>
      <c r="W138" s="2" t="s">
        <v>11194</v>
      </c>
    </row>
    <row r="139" spans="1:23" hidden="1" x14ac:dyDescent="0.45">
      <c r="A139" s="1" t="s">
        <v>158</v>
      </c>
      <c r="B139" t="s">
        <v>6031</v>
      </c>
      <c r="C139" t="s">
        <v>7346</v>
      </c>
      <c r="D139" t="s">
        <v>7866</v>
      </c>
      <c r="E139" t="s">
        <v>8622</v>
      </c>
      <c r="F139" t="s">
        <v>10290</v>
      </c>
      <c r="G139">
        <v>360</v>
      </c>
      <c r="H139" t="s">
        <v>10307</v>
      </c>
      <c r="N139">
        <v>53.439489999999999</v>
      </c>
      <c r="P139">
        <v>6.86165</v>
      </c>
      <c r="Q139" t="s">
        <v>10380</v>
      </c>
      <c r="R139" t="s">
        <v>11037</v>
      </c>
      <c r="S139" t="s">
        <v>10307</v>
      </c>
      <c r="W139" s="2" t="s">
        <v>11194</v>
      </c>
    </row>
    <row r="140" spans="1:23" hidden="1" x14ac:dyDescent="0.45">
      <c r="A140" s="1" t="s">
        <v>159</v>
      </c>
      <c r="B140" t="s">
        <v>6028</v>
      </c>
      <c r="C140" t="s">
        <v>7347</v>
      </c>
      <c r="D140" t="s">
        <v>7867</v>
      </c>
      <c r="E140" t="s">
        <v>8623</v>
      </c>
      <c r="F140" t="s">
        <v>10290</v>
      </c>
      <c r="G140">
        <v>0</v>
      </c>
      <c r="H140" t="s">
        <v>10307</v>
      </c>
      <c r="N140">
        <v>51.463410000000003</v>
      </c>
      <c r="P140">
        <v>5.6883699999999999</v>
      </c>
      <c r="R140" t="s">
        <v>11037</v>
      </c>
      <c r="S140" t="s">
        <v>10307</v>
      </c>
      <c r="W140" s="2" t="s">
        <v>11194</v>
      </c>
    </row>
    <row r="141" spans="1:23" hidden="1" x14ac:dyDescent="0.45">
      <c r="A141" s="1" t="s">
        <v>160</v>
      </c>
      <c r="B141" t="s">
        <v>6028</v>
      </c>
      <c r="C141" t="s">
        <v>7348</v>
      </c>
      <c r="D141" t="s">
        <v>7868</v>
      </c>
      <c r="E141" t="s">
        <v>8624</v>
      </c>
      <c r="F141" t="s">
        <v>10290</v>
      </c>
      <c r="G141">
        <v>32</v>
      </c>
      <c r="H141" t="s">
        <v>10307</v>
      </c>
      <c r="N141">
        <v>51.701639999999998</v>
      </c>
      <c r="P141">
        <v>5.2800900000000004</v>
      </c>
      <c r="R141" t="s">
        <v>11037</v>
      </c>
      <c r="S141" t="s">
        <v>10307</v>
      </c>
      <c r="W141" s="2" t="s">
        <v>11194</v>
      </c>
    </row>
    <row r="142" spans="1:23" hidden="1" x14ac:dyDescent="0.45">
      <c r="A142" s="1" t="s">
        <v>161</v>
      </c>
      <c r="B142" t="s">
        <v>6028</v>
      </c>
      <c r="C142" t="s">
        <v>7349</v>
      </c>
      <c r="D142" t="s">
        <v>7869</v>
      </c>
      <c r="E142" t="s">
        <v>8625</v>
      </c>
      <c r="F142" t="s">
        <v>10290</v>
      </c>
      <c r="G142">
        <v>63</v>
      </c>
      <c r="H142" t="s">
        <v>10307</v>
      </c>
      <c r="N142">
        <v>52.737920000000003</v>
      </c>
      <c r="P142">
        <v>7.0136799999999999</v>
      </c>
      <c r="R142" t="s">
        <v>11037</v>
      </c>
      <c r="S142" t="s">
        <v>10307</v>
      </c>
      <c r="W142" s="2" t="s">
        <v>11194</v>
      </c>
    </row>
    <row r="143" spans="1:23" hidden="1" x14ac:dyDescent="0.45">
      <c r="A143" s="1" t="s">
        <v>162</v>
      </c>
      <c r="B143" t="s">
        <v>6033</v>
      </c>
      <c r="C143" t="s">
        <v>7350</v>
      </c>
      <c r="D143" t="s">
        <v>7870</v>
      </c>
      <c r="E143" t="s">
        <v>8626</v>
      </c>
      <c r="F143" t="s">
        <v>10290</v>
      </c>
      <c r="G143">
        <v>83</v>
      </c>
      <c r="H143" t="s">
        <v>10307</v>
      </c>
      <c r="N143">
        <v>52.163849999999996</v>
      </c>
      <c r="P143">
        <v>4.4941900000000006</v>
      </c>
      <c r="R143" t="s">
        <v>11037</v>
      </c>
      <c r="S143" t="s">
        <v>10307</v>
      </c>
      <c r="W143" s="2" t="s">
        <v>11194</v>
      </c>
    </row>
    <row r="144" spans="1:23" hidden="1" x14ac:dyDescent="0.45">
      <c r="A144" s="1" t="s">
        <v>163</v>
      </c>
      <c r="B144" t="s">
        <v>6027</v>
      </c>
      <c r="C144" t="s">
        <v>7332</v>
      </c>
      <c r="D144" t="s">
        <v>7852</v>
      </c>
      <c r="E144" t="s">
        <v>8611</v>
      </c>
      <c r="F144" t="s">
        <v>10290</v>
      </c>
      <c r="G144">
        <v>0</v>
      </c>
      <c r="H144" t="s">
        <v>10307</v>
      </c>
      <c r="N144">
        <v>52.102919999999997</v>
      </c>
      <c r="P144">
        <v>5.0713699999999999</v>
      </c>
      <c r="R144" t="s">
        <v>11037</v>
      </c>
      <c r="S144" t="s">
        <v>10307</v>
      </c>
      <c r="W144" s="2" t="s">
        <v>11194</v>
      </c>
    </row>
    <row r="145" spans="1:23" hidden="1" x14ac:dyDescent="0.45">
      <c r="A145" s="1" t="s">
        <v>164</v>
      </c>
      <c r="B145" t="s">
        <v>6027</v>
      </c>
      <c r="C145" t="s">
        <v>7335</v>
      </c>
      <c r="D145" t="s">
        <v>7855</v>
      </c>
      <c r="E145" t="s">
        <v>8611</v>
      </c>
      <c r="F145" t="s">
        <v>10290</v>
      </c>
      <c r="G145">
        <v>103</v>
      </c>
      <c r="H145" t="s">
        <v>10307</v>
      </c>
      <c r="N145">
        <v>52.101570000000002</v>
      </c>
      <c r="P145">
        <v>5.0798199999999998</v>
      </c>
      <c r="Q145" t="s">
        <v>10368</v>
      </c>
      <c r="R145" t="s">
        <v>11037</v>
      </c>
      <c r="S145" t="s">
        <v>10307</v>
      </c>
      <c r="W145" s="2" t="s">
        <v>11194</v>
      </c>
    </row>
    <row r="146" spans="1:23" hidden="1" x14ac:dyDescent="0.45">
      <c r="A146" s="1" t="s">
        <v>165</v>
      </c>
      <c r="B146" t="s">
        <v>6035</v>
      </c>
      <c r="C146" t="s">
        <v>7351</v>
      </c>
      <c r="D146" t="s">
        <v>7871</v>
      </c>
      <c r="E146" t="s">
        <v>8613</v>
      </c>
      <c r="F146" t="s">
        <v>10290</v>
      </c>
      <c r="G146">
        <v>731</v>
      </c>
      <c r="H146" t="s">
        <v>10314</v>
      </c>
      <c r="I146" t="s">
        <v>10323</v>
      </c>
      <c r="N146">
        <v>51.944959999999988</v>
      </c>
      <c r="P146">
        <v>4.0676699999999997</v>
      </c>
      <c r="Q146" t="s">
        <v>10381</v>
      </c>
      <c r="R146" t="s">
        <v>11037</v>
      </c>
      <c r="S146" t="s">
        <v>10314</v>
      </c>
      <c r="W146" s="2" t="s">
        <v>11194</v>
      </c>
    </row>
    <row r="147" spans="1:23" hidden="1" x14ac:dyDescent="0.45">
      <c r="A147" s="1" t="s">
        <v>166</v>
      </c>
      <c r="B147" t="s">
        <v>6036</v>
      </c>
      <c r="C147" t="s">
        <v>7352</v>
      </c>
      <c r="D147" t="s">
        <v>7872</v>
      </c>
      <c r="E147" t="s">
        <v>8622</v>
      </c>
      <c r="F147" t="s">
        <v>10290</v>
      </c>
      <c r="G147">
        <v>437</v>
      </c>
      <c r="H147" t="s">
        <v>10307</v>
      </c>
      <c r="N147">
        <v>53.45149</v>
      </c>
      <c r="P147">
        <v>6.8526800000000003</v>
      </c>
      <c r="Q147" t="s">
        <v>10382</v>
      </c>
      <c r="R147" t="s">
        <v>11037</v>
      </c>
      <c r="S147" t="s">
        <v>10307</v>
      </c>
      <c r="W147" s="2" t="s">
        <v>11194</v>
      </c>
    </row>
    <row r="148" spans="1:23" hidden="1" x14ac:dyDescent="0.45">
      <c r="A148" s="1" t="s">
        <v>167</v>
      </c>
      <c r="B148" t="s">
        <v>6036</v>
      </c>
      <c r="C148" t="s">
        <v>7352</v>
      </c>
      <c r="D148" t="s">
        <v>7872</v>
      </c>
      <c r="E148" t="s">
        <v>8622</v>
      </c>
      <c r="F148" t="s">
        <v>10290</v>
      </c>
      <c r="G148">
        <v>437</v>
      </c>
      <c r="H148" t="s">
        <v>10307</v>
      </c>
      <c r="N148">
        <v>53.45149</v>
      </c>
      <c r="P148">
        <v>6.8526800000000003</v>
      </c>
      <c r="Q148" t="s">
        <v>10382</v>
      </c>
      <c r="R148" t="s">
        <v>11037</v>
      </c>
      <c r="S148" t="s">
        <v>10307</v>
      </c>
      <c r="W148" s="2" t="s">
        <v>11194</v>
      </c>
    </row>
    <row r="149" spans="1:23" hidden="1" x14ac:dyDescent="0.45">
      <c r="A149" s="1" t="s">
        <v>168</v>
      </c>
      <c r="B149" t="s">
        <v>6036</v>
      </c>
      <c r="C149" t="s">
        <v>7352</v>
      </c>
      <c r="D149" t="s">
        <v>7872</v>
      </c>
      <c r="E149" t="s">
        <v>8622</v>
      </c>
      <c r="F149" t="s">
        <v>10290</v>
      </c>
      <c r="G149">
        <v>437</v>
      </c>
      <c r="H149" t="s">
        <v>10307</v>
      </c>
      <c r="N149">
        <v>53.45149</v>
      </c>
      <c r="P149">
        <v>6.8526800000000003</v>
      </c>
      <c r="Q149" t="s">
        <v>10382</v>
      </c>
      <c r="R149" t="s">
        <v>11037</v>
      </c>
      <c r="S149" t="s">
        <v>10307</v>
      </c>
      <c r="W149" s="2" t="s">
        <v>11194</v>
      </c>
    </row>
    <row r="150" spans="1:23" hidden="1" x14ac:dyDescent="0.45">
      <c r="A150" s="1" t="s">
        <v>169</v>
      </c>
      <c r="B150" t="s">
        <v>6031</v>
      </c>
      <c r="C150" t="s">
        <v>7353</v>
      </c>
      <c r="D150" t="s">
        <v>7873</v>
      </c>
      <c r="E150" t="s">
        <v>8627</v>
      </c>
      <c r="F150" t="s">
        <v>10290</v>
      </c>
      <c r="G150">
        <v>0</v>
      </c>
      <c r="H150" t="s">
        <v>10307</v>
      </c>
      <c r="N150">
        <v>52.577530000000003</v>
      </c>
      <c r="P150">
        <v>5.5295899999999998</v>
      </c>
      <c r="R150" t="s">
        <v>11037</v>
      </c>
      <c r="S150" t="s">
        <v>10307</v>
      </c>
      <c r="W150" s="2" t="s">
        <v>11194</v>
      </c>
    </row>
    <row r="151" spans="1:23" hidden="1" x14ac:dyDescent="0.45">
      <c r="A151" s="1" t="s">
        <v>170</v>
      </c>
      <c r="B151" t="s">
        <v>6031</v>
      </c>
      <c r="C151" t="s">
        <v>7353</v>
      </c>
      <c r="D151" t="s">
        <v>7874</v>
      </c>
      <c r="E151" t="s">
        <v>8627</v>
      </c>
      <c r="F151" t="s">
        <v>10290</v>
      </c>
      <c r="G151">
        <v>435</v>
      </c>
      <c r="H151" t="s">
        <v>10307</v>
      </c>
      <c r="N151">
        <v>52.577530000000003</v>
      </c>
      <c r="P151">
        <v>5.5295899999999998</v>
      </c>
      <c r="Q151" t="s">
        <v>10383</v>
      </c>
      <c r="R151" t="s">
        <v>11037</v>
      </c>
      <c r="S151" t="s">
        <v>10307</v>
      </c>
      <c r="W151" s="2" t="s">
        <v>11194</v>
      </c>
    </row>
    <row r="152" spans="1:23" hidden="1" x14ac:dyDescent="0.45">
      <c r="A152" s="1" t="s">
        <v>171</v>
      </c>
      <c r="B152" t="s">
        <v>6031</v>
      </c>
      <c r="C152" t="s">
        <v>7353</v>
      </c>
      <c r="D152" t="s">
        <v>7874</v>
      </c>
      <c r="E152" t="s">
        <v>8627</v>
      </c>
      <c r="F152" t="s">
        <v>10290</v>
      </c>
      <c r="G152">
        <v>437</v>
      </c>
      <c r="H152" t="s">
        <v>10307</v>
      </c>
      <c r="N152">
        <v>52.577530000000003</v>
      </c>
      <c r="P152">
        <v>5.5295899999999998</v>
      </c>
      <c r="Q152" t="s">
        <v>10384</v>
      </c>
      <c r="R152" t="s">
        <v>11037</v>
      </c>
      <c r="S152" t="s">
        <v>10307</v>
      </c>
      <c r="W152" s="2" t="s">
        <v>11194</v>
      </c>
    </row>
    <row r="153" spans="1:23" hidden="1" x14ac:dyDescent="0.45">
      <c r="A153" s="1" t="s">
        <v>172</v>
      </c>
      <c r="B153" t="s">
        <v>6037</v>
      </c>
      <c r="C153" t="s">
        <v>7354</v>
      </c>
      <c r="D153" t="s">
        <v>7875</v>
      </c>
      <c r="E153" t="s">
        <v>8628</v>
      </c>
      <c r="F153" t="s">
        <v>10290</v>
      </c>
      <c r="G153">
        <v>348</v>
      </c>
      <c r="H153" t="s">
        <v>10307</v>
      </c>
      <c r="N153">
        <v>51.68506</v>
      </c>
      <c r="P153">
        <v>4.58094</v>
      </c>
      <c r="Q153" t="s">
        <v>10385</v>
      </c>
      <c r="R153" t="s">
        <v>11037</v>
      </c>
      <c r="S153" t="s">
        <v>10307</v>
      </c>
      <c r="W153" s="2" t="s">
        <v>11194</v>
      </c>
    </row>
    <row r="154" spans="1:23" hidden="1" x14ac:dyDescent="0.45">
      <c r="A154" s="1" t="s">
        <v>173</v>
      </c>
      <c r="B154" t="s">
        <v>6037</v>
      </c>
      <c r="C154" t="s">
        <v>7354</v>
      </c>
      <c r="D154" t="s">
        <v>7875</v>
      </c>
      <c r="E154" t="s">
        <v>8628</v>
      </c>
      <c r="F154" t="s">
        <v>10290</v>
      </c>
      <c r="G154">
        <v>426</v>
      </c>
      <c r="H154" t="s">
        <v>10307</v>
      </c>
      <c r="N154">
        <v>51.68506</v>
      </c>
      <c r="P154">
        <v>4.58094</v>
      </c>
      <c r="Q154" t="s">
        <v>10385</v>
      </c>
      <c r="R154" t="s">
        <v>11037</v>
      </c>
      <c r="S154" t="s">
        <v>10307</v>
      </c>
      <c r="W154" s="2" t="s">
        <v>11194</v>
      </c>
    </row>
    <row r="155" spans="1:23" hidden="1" x14ac:dyDescent="0.45">
      <c r="A155" s="1" t="s">
        <v>174</v>
      </c>
      <c r="B155" t="s">
        <v>6027</v>
      </c>
      <c r="C155" t="s">
        <v>7355</v>
      </c>
      <c r="D155" t="s">
        <v>7876</v>
      </c>
      <c r="E155" t="s">
        <v>8629</v>
      </c>
      <c r="F155" t="s">
        <v>10290</v>
      </c>
      <c r="G155">
        <v>67</v>
      </c>
      <c r="H155" t="s">
        <v>10307</v>
      </c>
      <c r="N155">
        <v>52.516080000000002</v>
      </c>
      <c r="P155">
        <v>4.9952399999999999</v>
      </c>
      <c r="R155" t="s">
        <v>11037</v>
      </c>
      <c r="S155" t="s">
        <v>10307</v>
      </c>
      <c r="W155" s="2" t="s">
        <v>11194</v>
      </c>
    </row>
    <row r="156" spans="1:23" hidden="1" x14ac:dyDescent="0.45">
      <c r="A156" s="1" t="s">
        <v>175</v>
      </c>
      <c r="B156" t="s">
        <v>6033</v>
      </c>
      <c r="C156" t="s">
        <v>7336</v>
      </c>
      <c r="D156" t="s">
        <v>7856</v>
      </c>
      <c r="E156" t="s">
        <v>8606</v>
      </c>
      <c r="F156" t="s">
        <v>10290</v>
      </c>
      <c r="G156">
        <v>24</v>
      </c>
      <c r="H156" t="s">
        <v>10307</v>
      </c>
      <c r="N156">
        <v>51.953690000000002</v>
      </c>
      <c r="P156">
        <v>4.5616000000000003</v>
      </c>
      <c r="R156" t="s">
        <v>11037</v>
      </c>
      <c r="S156" t="s">
        <v>10307</v>
      </c>
      <c r="W156" s="2" t="s">
        <v>11194</v>
      </c>
    </row>
    <row r="157" spans="1:23" hidden="1" x14ac:dyDescent="0.45">
      <c r="A157" s="1" t="s">
        <v>176</v>
      </c>
      <c r="B157" t="s">
        <v>6033</v>
      </c>
      <c r="C157" t="s">
        <v>7336</v>
      </c>
      <c r="D157" t="s">
        <v>7856</v>
      </c>
      <c r="E157" t="s">
        <v>8606</v>
      </c>
      <c r="F157" t="s">
        <v>10290</v>
      </c>
      <c r="G157">
        <v>24</v>
      </c>
      <c r="H157" t="s">
        <v>10307</v>
      </c>
      <c r="N157">
        <v>51.953690000000002</v>
      </c>
      <c r="P157">
        <v>4.5616000000000003</v>
      </c>
      <c r="R157" t="s">
        <v>11037</v>
      </c>
      <c r="S157" t="s">
        <v>10307</v>
      </c>
      <c r="W157" s="2" t="s">
        <v>11194</v>
      </c>
    </row>
    <row r="158" spans="1:23" hidden="1" x14ac:dyDescent="0.45">
      <c r="A158" s="1" t="s">
        <v>177</v>
      </c>
      <c r="B158" t="s">
        <v>6038</v>
      </c>
      <c r="C158" t="s">
        <v>7356</v>
      </c>
      <c r="D158" t="s">
        <v>7877</v>
      </c>
      <c r="E158" t="s">
        <v>8606</v>
      </c>
      <c r="F158" t="s">
        <v>10290</v>
      </c>
      <c r="G158">
        <v>428</v>
      </c>
      <c r="H158" t="s">
        <v>10307</v>
      </c>
      <c r="N158">
        <v>51.893259999999998</v>
      </c>
      <c r="P158">
        <v>4.3472099999999996</v>
      </c>
      <c r="Q158" t="s">
        <v>10386</v>
      </c>
      <c r="R158" t="s">
        <v>11037</v>
      </c>
      <c r="S158" t="s">
        <v>10307</v>
      </c>
      <c r="W158" s="2" t="s">
        <v>11194</v>
      </c>
    </row>
    <row r="159" spans="1:23" hidden="1" x14ac:dyDescent="0.45">
      <c r="A159" s="1" t="s">
        <v>178</v>
      </c>
      <c r="B159" t="s">
        <v>6039</v>
      </c>
      <c r="C159" t="s">
        <v>7357</v>
      </c>
      <c r="D159" t="s">
        <v>7877</v>
      </c>
      <c r="E159" t="s">
        <v>8630</v>
      </c>
      <c r="F159" t="s">
        <v>10290</v>
      </c>
      <c r="G159">
        <v>800</v>
      </c>
      <c r="H159" t="s">
        <v>10307</v>
      </c>
      <c r="R159" t="s">
        <v>11037</v>
      </c>
      <c r="S159" t="s">
        <v>10307</v>
      </c>
      <c r="W159" s="2" t="s">
        <v>11194</v>
      </c>
    </row>
    <row r="160" spans="1:23" hidden="1" x14ac:dyDescent="0.45">
      <c r="A160" s="1" t="s">
        <v>179</v>
      </c>
      <c r="B160" t="s">
        <v>6028</v>
      </c>
      <c r="C160" t="s">
        <v>7358</v>
      </c>
      <c r="D160" t="s">
        <v>7878</v>
      </c>
      <c r="E160" t="s">
        <v>8631</v>
      </c>
      <c r="F160" t="s">
        <v>10290</v>
      </c>
      <c r="G160">
        <v>60</v>
      </c>
      <c r="H160" t="s">
        <v>10307</v>
      </c>
      <c r="N160">
        <v>52.245869999999996</v>
      </c>
      <c r="P160">
        <v>6.794789999999999</v>
      </c>
      <c r="R160" t="s">
        <v>11037</v>
      </c>
      <c r="S160" t="s">
        <v>10307</v>
      </c>
      <c r="W160" s="2" t="s">
        <v>11194</v>
      </c>
    </row>
    <row r="161" spans="1:23" hidden="1" x14ac:dyDescent="0.45">
      <c r="A161" s="1" t="s">
        <v>180</v>
      </c>
      <c r="B161" t="s">
        <v>6040</v>
      </c>
      <c r="C161" t="s">
        <v>7359</v>
      </c>
      <c r="D161" t="s">
        <v>7879</v>
      </c>
      <c r="E161" t="s">
        <v>8632</v>
      </c>
      <c r="F161" t="s">
        <v>10290</v>
      </c>
      <c r="G161">
        <v>432</v>
      </c>
      <c r="H161" t="s">
        <v>10307</v>
      </c>
      <c r="N161">
        <v>51.447959999999988</v>
      </c>
      <c r="P161">
        <v>3.69252</v>
      </c>
      <c r="Q161" t="s">
        <v>10387</v>
      </c>
      <c r="R161" t="s">
        <v>11037</v>
      </c>
      <c r="S161" t="s">
        <v>10307</v>
      </c>
      <c r="W161" s="2" t="s">
        <v>11194</v>
      </c>
    </row>
    <row r="162" spans="1:23" hidden="1" x14ac:dyDescent="0.45">
      <c r="A162" s="1" t="s">
        <v>181</v>
      </c>
      <c r="B162" t="s">
        <v>6040</v>
      </c>
      <c r="C162" t="s">
        <v>7359</v>
      </c>
      <c r="D162" t="s">
        <v>7879</v>
      </c>
      <c r="E162" t="s">
        <v>8632</v>
      </c>
      <c r="F162" t="s">
        <v>10290</v>
      </c>
      <c r="G162">
        <v>432</v>
      </c>
      <c r="H162" t="s">
        <v>10307</v>
      </c>
      <c r="N162">
        <v>51.447959999999988</v>
      </c>
      <c r="P162">
        <v>3.69252</v>
      </c>
      <c r="Q162" t="s">
        <v>10387</v>
      </c>
      <c r="R162" t="s">
        <v>11037</v>
      </c>
      <c r="S162" t="s">
        <v>10307</v>
      </c>
      <c r="W162" s="2" t="s">
        <v>11194</v>
      </c>
    </row>
    <row r="163" spans="1:23" hidden="1" x14ac:dyDescent="0.45">
      <c r="A163" s="1" t="s">
        <v>182</v>
      </c>
      <c r="B163" t="s">
        <v>6033</v>
      </c>
      <c r="C163" t="s">
        <v>7333</v>
      </c>
      <c r="D163" t="s">
        <v>7853</v>
      </c>
      <c r="E163" t="s">
        <v>8612</v>
      </c>
      <c r="F163" t="s">
        <v>10290</v>
      </c>
      <c r="G163">
        <v>79</v>
      </c>
      <c r="H163" t="s">
        <v>10307</v>
      </c>
      <c r="N163">
        <v>51.95861</v>
      </c>
      <c r="P163">
        <v>4.0260899999999999</v>
      </c>
      <c r="R163" t="s">
        <v>11037</v>
      </c>
      <c r="S163" t="s">
        <v>10307</v>
      </c>
      <c r="W163" s="2" t="s">
        <v>11194</v>
      </c>
    </row>
    <row r="164" spans="1:23" hidden="1" x14ac:dyDescent="0.45">
      <c r="A164" s="1" t="s">
        <v>183</v>
      </c>
      <c r="B164" t="s">
        <v>6027</v>
      </c>
      <c r="C164" t="s">
        <v>7360</v>
      </c>
      <c r="D164" t="s">
        <v>7880</v>
      </c>
      <c r="E164" t="s">
        <v>8633</v>
      </c>
      <c r="F164" t="s">
        <v>10290</v>
      </c>
      <c r="G164">
        <v>249</v>
      </c>
      <c r="H164" t="s">
        <v>10314</v>
      </c>
      <c r="I164" t="s">
        <v>10323</v>
      </c>
      <c r="N164">
        <v>51.224020000000003</v>
      </c>
      <c r="P164">
        <v>5.9708500000000004</v>
      </c>
      <c r="R164" t="s">
        <v>11037</v>
      </c>
      <c r="S164" t="s">
        <v>10314</v>
      </c>
      <c r="W164" s="2" t="s">
        <v>11194</v>
      </c>
    </row>
    <row r="165" spans="1:23" hidden="1" x14ac:dyDescent="0.45">
      <c r="A165" s="1" t="s">
        <v>184</v>
      </c>
      <c r="B165" t="s">
        <v>6041</v>
      </c>
      <c r="C165" t="s">
        <v>7361</v>
      </c>
      <c r="D165" t="s">
        <v>7881</v>
      </c>
      <c r="E165" t="s">
        <v>8634</v>
      </c>
      <c r="F165" t="s">
        <v>10290</v>
      </c>
      <c r="G165">
        <v>38</v>
      </c>
      <c r="H165" t="s">
        <v>10315</v>
      </c>
      <c r="N165">
        <v>52.477080000000008</v>
      </c>
      <c r="P165">
        <v>4.5898099999999999</v>
      </c>
      <c r="R165" t="s">
        <v>10315</v>
      </c>
      <c r="W165" s="2" t="s">
        <v>11194</v>
      </c>
    </row>
    <row r="166" spans="1:23" hidden="1" x14ac:dyDescent="0.45">
      <c r="A166" s="1" t="s">
        <v>185</v>
      </c>
      <c r="F166" t="s">
        <v>10291</v>
      </c>
      <c r="G166">
        <v>150</v>
      </c>
      <c r="H166" t="s">
        <v>10309</v>
      </c>
      <c r="L166">
        <v>2018</v>
      </c>
      <c r="Q166" t="s">
        <v>10388</v>
      </c>
      <c r="R166" t="s">
        <v>11038</v>
      </c>
      <c r="S166" t="s">
        <v>10317</v>
      </c>
      <c r="T166" t="s">
        <v>10309</v>
      </c>
      <c r="W166" s="2" t="s">
        <v>11195</v>
      </c>
    </row>
    <row r="167" spans="1:23" hidden="1" x14ac:dyDescent="0.45">
      <c r="A167" s="1" t="s">
        <v>186</v>
      </c>
      <c r="F167" t="s">
        <v>10291</v>
      </c>
      <c r="G167">
        <v>130</v>
      </c>
      <c r="H167" t="s">
        <v>10307</v>
      </c>
      <c r="L167">
        <v>2004</v>
      </c>
      <c r="Q167" t="s">
        <v>10389</v>
      </c>
      <c r="R167" t="s">
        <v>11037</v>
      </c>
      <c r="S167" t="s">
        <v>10307</v>
      </c>
      <c r="W167" s="2" t="s">
        <v>11195</v>
      </c>
    </row>
    <row r="168" spans="1:23" hidden="1" x14ac:dyDescent="0.45">
      <c r="A168" s="1" t="s">
        <v>187</v>
      </c>
      <c r="F168" t="s">
        <v>10291</v>
      </c>
      <c r="G168">
        <v>130</v>
      </c>
      <c r="H168" t="s">
        <v>10307</v>
      </c>
      <c r="L168">
        <v>2004</v>
      </c>
      <c r="Q168" t="s">
        <v>10390</v>
      </c>
      <c r="R168" t="s">
        <v>11037</v>
      </c>
      <c r="S168" t="s">
        <v>10307</v>
      </c>
      <c r="W168" s="2" t="s">
        <v>11195</v>
      </c>
    </row>
    <row r="169" spans="1:23" hidden="1" x14ac:dyDescent="0.45">
      <c r="A169" s="1" t="s">
        <v>188</v>
      </c>
      <c r="F169" t="s">
        <v>10291</v>
      </c>
      <c r="G169">
        <v>427</v>
      </c>
      <c r="H169" t="s">
        <v>10307</v>
      </c>
      <c r="N169">
        <v>48.869590000000002</v>
      </c>
      <c r="P169">
        <v>6.0837699999999986</v>
      </c>
      <c r="Q169" t="s">
        <v>10391</v>
      </c>
      <c r="R169" t="s">
        <v>11037</v>
      </c>
      <c r="S169" t="s">
        <v>10307</v>
      </c>
      <c r="W169" s="2" t="s">
        <v>11195</v>
      </c>
    </row>
    <row r="170" spans="1:23" hidden="1" x14ac:dyDescent="0.45">
      <c r="A170" s="1" t="s">
        <v>189</v>
      </c>
      <c r="F170" t="s">
        <v>10291</v>
      </c>
      <c r="G170">
        <v>585</v>
      </c>
      <c r="H170" t="s">
        <v>10307</v>
      </c>
      <c r="L170">
        <v>2017</v>
      </c>
      <c r="N170">
        <v>50.297739999999997</v>
      </c>
      <c r="P170">
        <v>3.3142900000000002</v>
      </c>
      <c r="Q170" t="s">
        <v>10392</v>
      </c>
      <c r="R170" t="s">
        <v>11037</v>
      </c>
      <c r="S170" t="s">
        <v>10307</v>
      </c>
      <c r="W170" s="2" t="s">
        <v>11195</v>
      </c>
    </row>
    <row r="171" spans="1:23" hidden="1" x14ac:dyDescent="0.45">
      <c r="A171" s="1" t="s">
        <v>190</v>
      </c>
      <c r="F171" t="s">
        <v>10291</v>
      </c>
      <c r="G171">
        <v>425</v>
      </c>
      <c r="H171" t="s">
        <v>10307</v>
      </c>
      <c r="L171">
        <v>2010</v>
      </c>
      <c r="N171">
        <v>43.416159999999998</v>
      </c>
      <c r="P171">
        <v>4.8697400000000002</v>
      </c>
      <c r="Q171" t="s">
        <v>10393</v>
      </c>
      <c r="R171" t="s">
        <v>11037</v>
      </c>
      <c r="S171" t="s">
        <v>10307</v>
      </c>
      <c r="W171" s="2" t="s">
        <v>11195</v>
      </c>
    </row>
    <row r="172" spans="1:23" hidden="1" x14ac:dyDescent="0.45">
      <c r="A172" s="1" t="s">
        <v>191</v>
      </c>
      <c r="F172" t="s">
        <v>10291</v>
      </c>
      <c r="G172">
        <v>428</v>
      </c>
      <c r="H172" t="s">
        <v>10307</v>
      </c>
      <c r="L172">
        <v>2009</v>
      </c>
      <c r="N172">
        <v>43.42801</v>
      </c>
      <c r="P172">
        <v>4.88652</v>
      </c>
      <c r="Q172" t="s">
        <v>10394</v>
      </c>
      <c r="R172" t="s">
        <v>11037</v>
      </c>
      <c r="S172" t="s">
        <v>10307</v>
      </c>
      <c r="W172" s="2" t="s">
        <v>11195</v>
      </c>
    </row>
    <row r="173" spans="1:23" hidden="1" x14ac:dyDescent="0.45">
      <c r="A173" s="1" t="s">
        <v>192</v>
      </c>
      <c r="F173" t="s">
        <v>10291</v>
      </c>
      <c r="G173">
        <v>413</v>
      </c>
      <c r="H173" t="s">
        <v>10307</v>
      </c>
      <c r="L173">
        <v>2019</v>
      </c>
      <c r="N173">
        <v>48.693359999999998</v>
      </c>
      <c r="P173">
        <v>5.9146800000000006</v>
      </c>
      <c r="Q173" t="s">
        <v>10395</v>
      </c>
      <c r="R173" t="s">
        <v>11037</v>
      </c>
      <c r="S173" t="s">
        <v>10307</v>
      </c>
      <c r="W173" s="2" t="s">
        <v>11195</v>
      </c>
    </row>
    <row r="174" spans="1:23" hidden="1" x14ac:dyDescent="0.45">
      <c r="A174" s="1" t="s">
        <v>193</v>
      </c>
      <c r="F174" t="s">
        <v>10291</v>
      </c>
      <c r="G174">
        <v>796</v>
      </c>
      <c r="H174" t="s">
        <v>10307</v>
      </c>
      <c r="L174">
        <v>2005</v>
      </c>
      <c r="N174">
        <v>51.046280000000003</v>
      </c>
      <c r="P174">
        <v>2.3183500000000001</v>
      </c>
      <c r="Q174" t="s">
        <v>10396</v>
      </c>
      <c r="R174" t="s">
        <v>11037</v>
      </c>
      <c r="S174" t="s">
        <v>10307</v>
      </c>
      <c r="W174" s="2" t="s">
        <v>11195</v>
      </c>
    </row>
    <row r="175" spans="1:23" hidden="1" x14ac:dyDescent="0.45">
      <c r="A175" s="1" t="s">
        <v>194</v>
      </c>
      <c r="F175" t="s">
        <v>10291</v>
      </c>
      <c r="G175">
        <v>413</v>
      </c>
      <c r="H175" t="s">
        <v>10307</v>
      </c>
      <c r="L175">
        <v>2010</v>
      </c>
      <c r="N175">
        <v>49.154119999999999</v>
      </c>
      <c r="P175">
        <v>6.7046999999999999</v>
      </c>
      <c r="Q175" t="s">
        <v>10397</v>
      </c>
      <c r="R175" t="s">
        <v>11037</v>
      </c>
      <c r="S175" t="s">
        <v>10307</v>
      </c>
      <c r="W175" s="2" t="s">
        <v>11195</v>
      </c>
    </row>
    <row r="176" spans="1:23" hidden="1" x14ac:dyDescent="0.45">
      <c r="A176" s="1" t="s">
        <v>195</v>
      </c>
      <c r="F176" t="s">
        <v>10291</v>
      </c>
      <c r="G176">
        <v>413</v>
      </c>
      <c r="H176" t="s">
        <v>10307</v>
      </c>
      <c r="L176">
        <v>2010</v>
      </c>
      <c r="N176">
        <v>49.154119999999999</v>
      </c>
      <c r="P176">
        <v>6.7046999999999999</v>
      </c>
      <c r="Q176" t="s">
        <v>10398</v>
      </c>
      <c r="R176" t="s">
        <v>11037</v>
      </c>
      <c r="S176" t="s">
        <v>10307</v>
      </c>
      <c r="W176" s="2" t="s">
        <v>11195</v>
      </c>
    </row>
    <row r="177" spans="1:23" hidden="1" x14ac:dyDescent="0.45">
      <c r="A177" s="1" t="s">
        <v>196</v>
      </c>
      <c r="F177" t="s">
        <v>10291</v>
      </c>
      <c r="G177">
        <v>401</v>
      </c>
      <c r="H177" t="s">
        <v>10307</v>
      </c>
      <c r="L177">
        <v>2016</v>
      </c>
      <c r="N177">
        <v>46.272820000000003</v>
      </c>
      <c r="P177">
        <v>3.3009499999999998</v>
      </c>
      <c r="Q177" t="s">
        <v>10399</v>
      </c>
      <c r="R177" t="s">
        <v>11037</v>
      </c>
      <c r="S177" t="s">
        <v>10307</v>
      </c>
      <c r="W177" s="2" t="s">
        <v>11195</v>
      </c>
    </row>
    <row r="178" spans="1:23" hidden="1" x14ac:dyDescent="0.45">
      <c r="A178" s="1" t="s">
        <v>197</v>
      </c>
      <c r="F178" t="s">
        <v>10291</v>
      </c>
      <c r="G178">
        <v>203</v>
      </c>
      <c r="H178" t="s">
        <v>10307</v>
      </c>
      <c r="N178">
        <v>48.936990000000002</v>
      </c>
      <c r="P178">
        <v>2.2614399999999999</v>
      </c>
      <c r="Q178" t="s">
        <v>10400</v>
      </c>
      <c r="R178" t="s">
        <v>11037</v>
      </c>
      <c r="S178" t="s">
        <v>10307</v>
      </c>
      <c r="W178" s="2" t="s">
        <v>11195</v>
      </c>
    </row>
    <row r="179" spans="1:23" hidden="1" x14ac:dyDescent="0.45">
      <c r="A179" s="1" t="s">
        <v>198</v>
      </c>
      <c r="F179" t="s">
        <v>10291</v>
      </c>
      <c r="G179">
        <v>465</v>
      </c>
      <c r="H179" t="s">
        <v>10307</v>
      </c>
      <c r="N179">
        <v>43.358220000000003</v>
      </c>
      <c r="P179">
        <v>5.0211199999999998</v>
      </c>
      <c r="Q179" t="s">
        <v>10401</v>
      </c>
      <c r="R179" t="s">
        <v>11037</v>
      </c>
      <c r="S179" t="s">
        <v>10307</v>
      </c>
      <c r="W179" s="2" t="s">
        <v>11195</v>
      </c>
    </row>
    <row r="180" spans="1:23" hidden="1" x14ac:dyDescent="0.45">
      <c r="A180" s="1" t="s">
        <v>199</v>
      </c>
      <c r="F180" t="s">
        <v>10291</v>
      </c>
      <c r="G180">
        <v>465</v>
      </c>
      <c r="H180" t="s">
        <v>10307</v>
      </c>
      <c r="N180">
        <v>43.358220000000003</v>
      </c>
      <c r="P180">
        <v>5.0211199999999998</v>
      </c>
      <c r="Q180" t="s">
        <v>10402</v>
      </c>
      <c r="R180" t="s">
        <v>11037</v>
      </c>
      <c r="S180" t="s">
        <v>10307</v>
      </c>
      <c r="W180" s="2" t="s">
        <v>11195</v>
      </c>
    </row>
    <row r="181" spans="1:23" hidden="1" x14ac:dyDescent="0.45">
      <c r="A181" s="1" t="s">
        <v>200</v>
      </c>
      <c r="F181" t="s">
        <v>10291</v>
      </c>
      <c r="G181">
        <v>412</v>
      </c>
      <c r="H181" t="s">
        <v>10307</v>
      </c>
      <c r="L181">
        <v>2019</v>
      </c>
      <c r="N181">
        <v>50.229149999999997</v>
      </c>
      <c r="P181">
        <v>3.8680699999999999</v>
      </c>
      <c r="Q181" t="s">
        <v>10403</v>
      </c>
      <c r="R181" t="s">
        <v>11037</v>
      </c>
      <c r="S181" t="s">
        <v>10307</v>
      </c>
      <c r="W181" s="2" t="s">
        <v>11195</v>
      </c>
    </row>
    <row r="182" spans="1:23" hidden="1" x14ac:dyDescent="0.45">
      <c r="A182" s="1" t="s">
        <v>201</v>
      </c>
      <c r="F182" t="s">
        <v>10291</v>
      </c>
      <c r="G182">
        <v>435</v>
      </c>
      <c r="H182" t="s">
        <v>10307</v>
      </c>
      <c r="L182">
        <v>2010</v>
      </c>
      <c r="N182">
        <v>47.30265</v>
      </c>
      <c r="P182">
        <v>-2.1402800000000002</v>
      </c>
      <c r="Q182" t="s">
        <v>10404</v>
      </c>
      <c r="R182" t="s">
        <v>11037</v>
      </c>
      <c r="S182" t="s">
        <v>10307</v>
      </c>
      <c r="W182" s="2" t="s">
        <v>11195</v>
      </c>
    </row>
    <row r="183" spans="1:23" hidden="1" x14ac:dyDescent="0.45">
      <c r="A183" s="1" t="s">
        <v>202</v>
      </c>
      <c r="F183" t="s">
        <v>10291</v>
      </c>
      <c r="G183">
        <v>580</v>
      </c>
      <c r="H183" t="s">
        <v>10314</v>
      </c>
      <c r="I183" t="s">
        <v>10323</v>
      </c>
      <c r="N183">
        <v>47.277119999999996</v>
      </c>
      <c r="P183">
        <v>-1.88012</v>
      </c>
      <c r="Q183" t="s">
        <v>10405</v>
      </c>
      <c r="R183" t="s">
        <v>11037</v>
      </c>
      <c r="S183" t="s">
        <v>10314</v>
      </c>
      <c r="W183" s="2" t="s">
        <v>11195</v>
      </c>
    </row>
    <row r="184" spans="1:23" hidden="1" x14ac:dyDescent="0.45">
      <c r="A184" s="1" t="s">
        <v>203</v>
      </c>
      <c r="F184" t="s">
        <v>10291</v>
      </c>
      <c r="G184">
        <v>580</v>
      </c>
      <c r="H184" t="s">
        <v>10314</v>
      </c>
      <c r="I184" t="s">
        <v>10323</v>
      </c>
      <c r="N184">
        <v>47.277119999999996</v>
      </c>
      <c r="P184">
        <v>-1.88012</v>
      </c>
      <c r="Q184" t="s">
        <v>10406</v>
      </c>
      <c r="R184" t="s">
        <v>11037</v>
      </c>
      <c r="S184" t="s">
        <v>10314</v>
      </c>
      <c r="W184" s="2" t="s">
        <v>11195</v>
      </c>
    </row>
    <row r="185" spans="1:23" hidden="1" x14ac:dyDescent="0.45">
      <c r="A185" s="1" t="s">
        <v>204</v>
      </c>
      <c r="F185" t="s">
        <v>10291</v>
      </c>
      <c r="G185">
        <v>595</v>
      </c>
      <c r="H185" t="s">
        <v>10314</v>
      </c>
      <c r="I185" t="s">
        <v>10323</v>
      </c>
      <c r="L185">
        <v>1981</v>
      </c>
      <c r="N185">
        <v>49.154119999999999</v>
      </c>
      <c r="P185">
        <v>6.7046999999999999</v>
      </c>
      <c r="Q185" t="s">
        <v>10407</v>
      </c>
      <c r="R185" t="s">
        <v>11037</v>
      </c>
      <c r="S185" t="s">
        <v>10314</v>
      </c>
      <c r="W185" s="2" t="s">
        <v>11195</v>
      </c>
    </row>
    <row r="186" spans="1:23" hidden="1" x14ac:dyDescent="0.45">
      <c r="A186" s="1" t="s">
        <v>205</v>
      </c>
      <c r="F186" t="s">
        <v>10291</v>
      </c>
      <c r="G186">
        <v>580</v>
      </c>
      <c r="H186" t="s">
        <v>10314</v>
      </c>
      <c r="I186" t="s">
        <v>10323</v>
      </c>
      <c r="N186">
        <v>49.475529999999999</v>
      </c>
      <c r="P186">
        <v>0.14710999999999999</v>
      </c>
      <c r="Q186" t="s">
        <v>10408</v>
      </c>
      <c r="R186" t="s">
        <v>11037</v>
      </c>
      <c r="S186" t="s">
        <v>10314</v>
      </c>
      <c r="W186" s="2" t="s">
        <v>11195</v>
      </c>
    </row>
    <row r="187" spans="1:23" hidden="1" x14ac:dyDescent="0.45">
      <c r="A187" s="1" t="s">
        <v>206</v>
      </c>
      <c r="F187" t="s">
        <v>10291</v>
      </c>
      <c r="G187">
        <v>595</v>
      </c>
      <c r="H187" t="s">
        <v>10314</v>
      </c>
      <c r="I187" t="s">
        <v>10323</v>
      </c>
      <c r="L187">
        <v>1984</v>
      </c>
      <c r="N187">
        <v>46.468829999999997</v>
      </c>
      <c r="P187">
        <v>5.4895699999999996</v>
      </c>
      <c r="Q187" t="s">
        <v>10409</v>
      </c>
      <c r="R187" t="s">
        <v>11037</v>
      </c>
      <c r="S187" t="s">
        <v>10314</v>
      </c>
      <c r="W187" s="2" t="s">
        <v>11195</v>
      </c>
    </row>
    <row r="188" spans="1:23" hidden="1" x14ac:dyDescent="0.45">
      <c r="A188" s="1" t="s">
        <v>207</v>
      </c>
      <c r="F188" t="s">
        <v>10291</v>
      </c>
      <c r="G188">
        <v>125</v>
      </c>
      <c r="H188" t="s">
        <v>10308</v>
      </c>
      <c r="N188">
        <v>48.791510000000002</v>
      </c>
      <c r="P188">
        <v>2.4159299999999999</v>
      </c>
      <c r="Q188" t="s">
        <v>10410</v>
      </c>
      <c r="R188" t="s">
        <v>11037</v>
      </c>
      <c r="S188" t="s">
        <v>10308</v>
      </c>
      <c r="W188" s="2" t="s">
        <v>11195</v>
      </c>
    </row>
    <row r="189" spans="1:23" hidden="1" x14ac:dyDescent="0.45">
      <c r="A189" s="1" t="s">
        <v>208</v>
      </c>
      <c r="F189" t="s">
        <v>10291</v>
      </c>
      <c r="G189">
        <v>129</v>
      </c>
      <c r="H189" t="s">
        <v>10308</v>
      </c>
      <c r="N189">
        <v>48.791510000000002</v>
      </c>
      <c r="P189">
        <v>2.4159299999999999</v>
      </c>
      <c r="Q189" t="s">
        <v>10411</v>
      </c>
      <c r="R189" t="s">
        <v>11037</v>
      </c>
      <c r="S189" t="s">
        <v>10308</v>
      </c>
      <c r="W189" s="2" t="s">
        <v>11195</v>
      </c>
    </row>
    <row r="190" spans="1:23" hidden="1" x14ac:dyDescent="0.45">
      <c r="A190" s="1" t="s">
        <v>209</v>
      </c>
      <c r="F190" t="s">
        <v>10291</v>
      </c>
      <c r="G190">
        <v>85</v>
      </c>
      <c r="H190" t="s">
        <v>10308</v>
      </c>
      <c r="N190">
        <v>48.357019999999999</v>
      </c>
      <c r="P190">
        <v>-3.87053</v>
      </c>
      <c r="Q190" t="s">
        <v>10412</v>
      </c>
      <c r="R190" t="s">
        <v>11037</v>
      </c>
      <c r="S190" t="s">
        <v>10308</v>
      </c>
      <c r="W190" s="2" t="s">
        <v>11195</v>
      </c>
    </row>
    <row r="191" spans="1:23" hidden="1" x14ac:dyDescent="0.45">
      <c r="A191" s="1" t="s">
        <v>210</v>
      </c>
      <c r="F191" t="s">
        <v>10291</v>
      </c>
      <c r="G191">
        <v>85</v>
      </c>
      <c r="H191" t="s">
        <v>10308</v>
      </c>
      <c r="N191">
        <v>48.357019999999999</v>
      </c>
      <c r="P191">
        <v>-3.87053</v>
      </c>
      <c r="Q191" t="s">
        <v>10413</v>
      </c>
      <c r="R191" t="s">
        <v>11037</v>
      </c>
      <c r="S191" t="s">
        <v>10308</v>
      </c>
      <c r="W191" s="2" t="s">
        <v>11195</v>
      </c>
    </row>
    <row r="192" spans="1:23" hidden="1" x14ac:dyDescent="0.45">
      <c r="A192" s="1" t="s">
        <v>211</v>
      </c>
      <c r="F192" t="s">
        <v>10291</v>
      </c>
      <c r="G192">
        <v>134</v>
      </c>
      <c r="H192" t="s">
        <v>10308</v>
      </c>
      <c r="N192">
        <v>48.357019999999999</v>
      </c>
      <c r="P192">
        <v>-3.87053</v>
      </c>
      <c r="Q192" t="s">
        <v>10414</v>
      </c>
      <c r="R192" t="s">
        <v>11037</v>
      </c>
      <c r="S192" t="s">
        <v>10308</v>
      </c>
      <c r="W192" s="2" t="s">
        <v>11195</v>
      </c>
    </row>
    <row r="193" spans="1:23" hidden="1" x14ac:dyDescent="0.45">
      <c r="A193" s="1" t="s">
        <v>212</v>
      </c>
      <c r="F193" t="s">
        <v>10291</v>
      </c>
      <c r="G193">
        <v>85</v>
      </c>
      <c r="H193" t="s">
        <v>10308</v>
      </c>
      <c r="N193">
        <v>48.390360000000001</v>
      </c>
      <c r="P193">
        <v>-4.2637300000000007</v>
      </c>
      <c r="Q193" t="s">
        <v>10415</v>
      </c>
      <c r="R193" t="s">
        <v>11037</v>
      </c>
      <c r="S193" t="s">
        <v>10308</v>
      </c>
      <c r="W193" s="2" t="s">
        <v>11195</v>
      </c>
    </row>
    <row r="194" spans="1:23" hidden="1" x14ac:dyDescent="0.45">
      <c r="A194" s="1" t="s">
        <v>213</v>
      </c>
      <c r="F194" t="s">
        <v>10291</v>
      </c>
      <c r="G194">
        <v>85</v>
      </c>
      <c r="H194" t="s">
        <v>10308</v>
      </c>
      <c r="N194">
        <v>48.390360000000001</v>
      </c>
      <c r="P194">
        <v>-4.2637300000000007</v>
      </c>
      <c r="Q194" t="s">
        <v>10416</v>
      </c>
      <c r="R194" t="s">
        <v>11037</v>
      </c>
      <c r="S194" t="s">
        <v>10308</v>
      </c>
      <c r="W194" s="2" t="s">
        <v>11195</v>
      </c>
    </row>
    <row r="195" spans="1:23" hidden="1" x14ac:dyDescent="0.45">
      <c r="A195" s="1" t="s">
        <v>214</v>
      </c>
      <c r="F195" t="s">
        <v>10291</v>
      </c>
      <c r="G195">
        <v>185</v>
      </c>
      <c r="H195" t="s">
        <v>10308</v>
      </c>
      <c r="N195">
        <v>48.380450000000003</v>
      </c>
      <c r="P195">
        <v>2.8510800000000001</v>
      </c>
      <c r="Q195" t="s">
        <v>10417</v>
      </c>
      <c r="R195" t="s">
        <v>11037</v>
      </c>
      <c r="S195" t="s">
        <v>10308</v>
      </c>
      <c r="W195" s="2" t="s">
        <v>11195</v>
      </c>
    </row>
    <row r="196" spans="1:23" hidden="1" x14ac:dyDescent="0.45">
      <c r="A196" s="1" t="s">
        <v>215</v>
      </c>
      <c r="F196" t="s">
        <v>10291</v>
      </c>
      <c r="G196">
        <v>185</v>
      </c>
      <c r="H196" t="s">
        <v>10308</v>
      </c>
      <c r="N196">
        <v>48.380450000000003</v>
      </c>
      <c r="P196">
        <v>2.8510800000000001</v>
      </c>
      <c r="Q196" t="s">
        <v>10418</v>
      </c>
      <c r="R196" t="s">
        <v>11037</v>
      </c>
      <c r="S196" t="s">
        <v>10308</v>
      </c>
      <c r="W196" s="2" t="s">
        <v>11195</v>
      </c>
    </row>
    <row r="197" spans="1:23" hidden="1" x14ac:dyDescent="0.45">
      <c r="A197" s="1" t="s">
        <v>216</v>
      </c>
      <c r="F197" t="s">
        <v>10291</v>
      </c>
      <c r="G197">
        <v>181</v>
      </c>
      <c r="H197" t="s">
        <v>10308</v>
      </c>
      <c r="N197">
        <v>48.873489999999997</v>
      </c>
      <c r="P197">
        <v>2.6553300000000002</v>
      </c>
      <c r="Q197" t="s">
        <v>10419</v>
      </c>
      <c r="R197" t="s">
        <v>11037</v>
      </c>
      <c r="S197" t="s">
        <v>10308</v>
      </c>
      <c r="W197" s="2" t="s">
        <v>11195</v>
      </c>
    </row>
    <row r="198" spans="1:23" hidden="1" x14ac:dyDescent="0.45">
      <c r="A198" s="1" t="s">
        <v>217</v>
      </c>
      <c r="F198" t="s">
        <v>10291</v>
      </c>
      <c r="G198">
        <v>179</v>
      </c>
      <c r="H198" t="s">
        <v>10308</v>
      </c>
      <c r="N198">
        <v>48.873489999999997</v>
      </c>
      <c r="P198">
        <v>2.6553300000000002</v>
      </c>
      <c r="Q198" t="s">
        <v>10420</v>
      </c>
      <c r="R198" t="s">
        <v>11037</v>
      </c>
      <c r="S198" t="s">
        <v>10308</v>
      </c>
      <c r="W198" s="2" t="s">
        <v>11195</v>
      </c>
    </row>
    <row r="199" spans="1:23" hidden="1" x14ac:dyDescent="0.45">
      <c r="A199" s="1" t="s">
        <v>218</v>
      </c>
      <c r="F199" t="s">
        <v>10291</v>
      </c>
      <c r="G199">
        <v>182</v>
      </c>
      <c r="H199" t="s">
        <v>10308</v>
      </c>
      <c r="N199">
        <v>48.873489999999997</v>
      </c>
      <c r="P199">
        <v>2.6553300000000002</v>
      </c>
      <c r="Q199" t="s">
        <v>10421</v>
      </c>
      <c r="R199" t="s">
        <v>11037</v>
      </c>
      <c r="S199" t="s">
        <v>10308</v>
      </c>
      <c r="W199" s="2" t="s">
        <v>11195</v>
      </c>
    </row>
    <row r="200" spans="1:23" hidden="1" x14ac:dyDescent="0.45">
      <c r="A200" s="1" t="s">
        <v>219</v>
      </c>
      <c r="F200" t="s">
        <v>10291</v>
      </c>
      <c r="G200">
        <v>485</v>
      </c>
      <c r="H200" t="s">
        <v>10310</v>
      </c>
      <c r="I200" t="s">
        <v>10324</v>
      </c>
      <c r="N200">
        <v>45.384599999999999</v>
      </c>
      <c r="P200">
        <v>6.0020699999999998</v>
      </c>
      <c r="Q200" t="s">
        <v>10422</v>
      </c>
      <c r="R200" t="s">
        <v>11038</v>
      </c>
      <c r="S200" t="s">
        <v>10310</v>
      </c>
      <c r="W200" s="2" t="s">
        <v>11195</v>
      </c>
    </row>
    <row r="201" spans="1:23" hidden="1" x14ac:dyDescent="0.45">
      <c r="A201" s="1" t="s">
        <v>220</v>
      </c>
      <c r="F201" t="s">
        <v>10291</v>
      </c>
      <c r="G201">
        <v>384</v>
      </c>
      <c r="H201" t="s">
        <v>10310</v>
      </c>
      <c r="I201" t="s">
        <v>10324</v>
      </c>
      <c r="L201">
        <v>2019</v>
      </c>
      <c r="N201">
        <v>45.496670000000002</v>
      </c>
      <c r="P201">
        <v>6.5103799999999996</v>
      </c>
      <c r="Q201" t="s">
        <v>10423</v>
      </c>
      <c r="R201" t="s">
        <v>11038</v>
      </c>
      <c r="S201" t="s">
        <v>10310</v>
      </c>
      <c r="W201" s="2" t="s">
        <v>11195</v>
      </c>
    </row>
    <row r="202" spans="1:23" hidden="1" x14ac:dyDescent="0.45">
      <c r="A202" s="1" t="s">
        <v>221</v>
      </c>
      <c r="F202" t="s">
        <v>10291</v>
      </c>
      <c r="G202">
        <v>1700</v>
      </c>
      <c r="H202" t="s">
        <v>10310</v>
      </c>
      <c r="I202" t="s">
        <v>10324</v>
      </c>
      <c r="L202">
        <v>2017</v>
      </c>
      <c r="N202">
        <v>45.205970000000001</v>
      </c>
      <c r="P202">
        <v>6.1171899999999999</v>
      </c>
      <c r="Q202" t="s">
        <v>10424</v>
      </c>
      <c r="R202" t="s">
        <v>11038</v>
      </c>
      <c r="S202" t="s">
        <v>10310</v>
      </c>
      <c r="W202" s="2" t="s">
        <v>11195</v>
      </c>
    </row>
    <row r="203" spans="1:23" hidden="1" x14ac:dyDescent="0.45">
      <c r="A203" s="1" t="s">
        <v>222</v>
      </c>
      <c r="F203" t="s">
        <v>10291</v>
      </c>
      <c r="G203">
        <v>910</v>
      </c>
      <c r="H203" t="s">
        <v>10310</v>
      </c>
      <c r="I203" t="s">
        <v>10324</v>
      </c>
      <c r="N203">
        <v>44.737659999999998</v>
      </c>
      <c r="P203">
        <v>2.6434199999999999</v>
      </c>
      <c r="Q203" t="s">
        <v>10425</v>
      </c>
      <c r="R203" t="s">
        <v>11038</v>
      </c>
      <c r="S203" t="s">
        <v>10310</v>
      </c>
      <c r="W203" s="2" t="s">
        <v>11195</v>
      </c>
    </row>
    <row r="204" spans="1:23" hidden="1" x14ac:dyDescent="0.45">
      <c r="A204" s="1" t="s">
        <v>223</v>
      </c>
      <c r="F204" t="s">
        <v>10291</v>
      </c>
      <c r="G204">
        <v>808</v>
      </c>
      <c r="H204" t="s">
        <v>10310</v>
      </c>
      <c r="I204" t="s">
        <v>10324</v>
      </c>
      <c r="N204">
        <v>49.925559999999997</v>
      </c>
      <c r="P204">
        <v>4.6133100000000002</v>
      </c>
      <c r="Q204" t="s">
        <v>10426</v>
      </c>
      <c r="R204" t="s">
        <v>11038</v>
      </c>
      <c r="S204" t="s">
        <v>10310</v>
      </c>
      <c r="W204" s="2" t="s">
        <v>11195</v>
      </c>
    </row>
    <row r="205" spans="1:23" hidden="1" x14ac:dyDescent="0.45">
      <c r="A205" s="1" t="s">
        <v>224</v>
      </c>
      <c r="F205" t="s">
        <v>10291</v>
      </c>
      <c r="G205">
        <v>742.3</v>
      </c>
      <c r="H205" t="s">
        <v>10310</v>
      </c>
      <c r="I205" t="s">
        <v>10324</v>
      </c>
      <c r="N205">
        <v>45.180300000000003</v>
      </c>
      <c r="P205">
        <v>6.5796999999999999</v>
      </c>
      <c r="Q205" t="s">
        <v>10427</v>
      </c>
      <c r="R205" t="s">
        <v>11038</v>
      </c>
      <c r="S205" t="s">
        <v>10310</v>
      </c>
      <c r="W205" s="2" t="s">
        <v>11195</v>
      </c>
    </row>
    <row r="206" spans="1:23" hidden="1" x14ac:dyDescent="0.45">
      <c r="A206" s="1" t="s">
        <v>225</v>
      </c>
      <c r="F206" t="s">
        <v>10291</v>
      </c>
      <c r="G206">
        <v>104</v>
      </c>
      <c r="H206" t="s">
        <v>10310</v>
      </c>
      <c r="I206" t="s">
        <v>10325</v>
      </c>
      <c r="N206">
        <v>42.776679999999999</v>
      </c>
      <c r="P206">
        <v>1.6767099999999999</v>
      </c>
      <c r="Q206" t="s">
        <v>10428</v>
      </c>
      <c r="R206" t="s">
        <v>11038</v>
      </c>
      <c r="S206" t="s">
        <v>10310</v>
      </c>
      <c r="W206" s="2" t="s">
        <v>11195</v>
      </c>
    </row>
    <row r="207" spans="1:23" hidden="1" x14ac:dyDescent="0.45">
      <c r="A207" s="1" t="s">
        <v>226</v>
      </c>
      <c r="F207" t="s">
        <v>10291</v>
      </c>
      <c r="G207">
        <v>126</v>
      </c>
      <c r="H207" t="s">
        <v>10310</v>
      </c>
      <c r="I207" t="s">
        <v>10325</v>
      </c>
      <c r="L207">
        <v>1973</v>
      </c>
      <c r="N207">
        <v>43.976059999999997</v>
      </c>
      <c r="P207">
        <v>4.8172100000000002</v>
      </c>
      <c r="Q207" t="s">
        <v>10429</v>
      </c>
      <c r="R207" t="s">
        <v>11038</v>
      </c>
      <c r="S207" t="s">
        <v>10310</v>
      </c>
      <c r="W207" s="2" t="s">
        <v>11195</v>
      </c>
    </row>
    <row r="208" spans="1:23" hidden="1" x14ac:dyDescent="0.45">
      <c r="A208" s="1" t="s">
        <v>227</v>
      </c>
      <c r="F208" t="s">
        <v>10291</v>
      </c>
      <c r="G208">
        <v>140</v>
      </c>
      <c r="H208" t="s">
        <v>10310</v>
      </c>
      <c r="I208" t="s">
        <v>10325</v>
      </c>
      <c r="L208">
        <v>1960</v>
      </c>
      <c r="N208">
        <v>44.676049999999996</v>
      </c>
      <c r="P208">
        <v>4.7882699999999998</v>
      </c>
      <c r="Q208" t="s">
        <v>10430</v>
      </c>
      <c r="R208" t="s">
        <v>11038</v>
      </c>
      <c r="S208" t="s">
        <v>10310</v>
      </c>
      <c r="W208" s="2" t="s">
        <v>11195</v>
      </c>
    </row>
    <row r="209" spans="1:23" hidden="1" x14ac:dyDescent="0.45">
      <c r="A209" s="1" t="s">
        <v>228</v>
      </c>
      <c r="F209" t="s">
        <v>10291</v>
      </c>
      <c r="G209">
        <v>198</v>
      </c>
      <c r="H209" t="s">
        <v>10310</v>
      </c>
      <c r="I209" t="s">
        <v>10325</v>
      </c>
      <c r="L209">
        <v>1963</v>
      </c>
      <c r="N209">
        <v>44.823970000000003</v>
      </c>
      <c r="P209">
        <v>4.8104899999999997</v>
      </c>
      <c r="Q209" t="s">
        <v>10431</v>
      </c>
      <c r="R209" t="s">
        <v>11038</v>
      </c>
      <c r="S209" t="s">
        <v>10310</v>
      </c>
      <c r="W209" s="2" t="s">
        <v>11195</v>
      </c>
    </row>
    <row r="210" spans="1:23" hidden="1" x14ac:dyDescent="0.45">
      <c r="A210" s="1" t="s">
        <v>229</v>
      </c>
      <c r="F210" t="s">
        <v>10291</v>
      </c>
      <c r="G210">
        <v>180</v>
      </c>
      <c r="H210" t="s">
        <v>10310</v>
      </c>
      <c r="I210" t="s">
        <v>10325</v>
      </c>
      <c r="L210">
        <v>1968</v>
      </c>
      <c r="N210">
        <v>44.961280000000002</v>
      </c>
      <c r="P210">
        <v>4.8722099999999999</v>
      </c>
      <c r="Q210" t="s">
        <v>10432</v>
      </c>
      <c r="R210" t="s">
        <v>11038</v>
      </c>
      <c r="S210" t="s">
        <v>10310</v>
      </c>
      <c r="W210" s="2" t="s">
        <v>11195</v>
      </c>
    </row>
    <row r="211" spans="1:23" hidden="1" x14ac:dyDescent="0.45">
      <c r="A211" s="1" t="s">
        <v>230</v>
      </c>
      <c r="F211" t="s">
        <v>10291</v>
      </c>
      <c r="G211">
        <v>156</v>
      </c>
      <c r="H211" t="s">
        <v>10310</v>
      </c>
      <c r="I211" t="s">
        <v>10325</v>
      </c>
      <c r="L211">
        <v>1975</v>
      </c>
      <c r="N211">
        <v>44.096059999999987</v>
      </c>
      <c r="P211">
        <v>4.7232900000000004</v>
      </c>
      <c r="Q211" t="s">
        <v>10433</v>
      </c>
      <c r="R211" t="s">
        <v>11038</v>
      </c>
      <c r="S211" t="s">
        <v>10310</v>
      </c>
      <c r="W211" s="2" t="s">
        <v>11195</v>
      </c>
    </row>
    <row r="212" spans="1:23" hidden="1" x14ac:dyDescent="0.45">
      <c r="A212" s="1" t="s">
        <v>231</v>
      </c>
      <c r="F212" t="s">
        <v>10291</v>
      </c>
      <c r="G212">
        <v>293</v>
      </c>
      <c r="H212" t="s">
        <v>10310</v>
      </c>
      <c r="I212" t="s">
        <v>10325</v>
      </c>
      <c r="N212">
        <v>45.151850000000003</v>
      </c>
      <c r="P212">
        <v>2.0098500000000001</v>
      </c>
      <c r="Q212" t="s">
        <v>10434</v>
      </c>
      <c r="R212" t="s">
        <v>11038</v>
      </c>
      <c r="S212" t="s">
        <v>10310</v>
      </c>
      <c r="W212" s="2" t="s">
        <v>11195</v>
      </c>
    </row>
    <row r="213" spans="1:23" hidden="1" x14ac:dyDescent="0.45">
      <c r="A213" s="1" t="s">
        <v>232</v>
      </c>
      <c r="F213" t="s">
        <v>10291</v>
      </c>
      <c r="G213">
        <v>119</v>
      </c>
      <c r="H213" t="s">
        <v>10310</v>
      </c>
      <c r="I213" t="s">
        <v>10325</v>
      </c>
      <c r="N213">
        <v>44.696090000000012</v>
      </c>
      <c r="P213">
        <v>2.58555</v>
      </c>
      <c r="Q213" t="s">
        <v>10435</v>
      </c>
      <c r="R213" t="s">
        <v>11038</v>
      </c>
      <c r="S213" t="s">
        <v>10310</v>
      </c>
      <c r="W213" s="2" t="s">
        <v>11195</v>
      </c>
    </row>
    <row r="214" spans="1:23" hidden="1" x14ac:dyDescent="0.45">
      <c r="A214" s="1" t="s">
        <v>233</v>
      </c>
      <c r="F214" t="s">
        <v>10291</v>
      </c>
      <c r="G214">
        <v>348</v>
      </c>
      <c r="H214" t="s">
        <v>10310</v>
      </c>
      <c r="I214" t="s">
        <v>10325</v>
      </c>
      <c r="L214">
        <v>1952</v>
      </c>
      <c r="N214">
        <v>44.30368</v>
      </c>
      <c r="P214">
        <v>4.7421699999999998</v>
      </c>
      <c r="Q214" t="s">
        <v>10436</v>
      </c>
      <c r="R214" t="s">
        <v>11038</v>
      </c>
      <c r="S214" t="s">
        <v>10310</v>
      </c>
      <c r="W214" s="2" t="s">
        <v>11195</v>
      </c>
    </row>
    <row r="215" spans="1:23" hidden="1" x14ac:dyDescent="0.45">
      <c r="A215" s="1" t="s">
        <v>234</v>
      </c>
      <c r="F215" t="s">
        <v>10291</v>
      </c>
      <c r="G215">
        <v>175</v>
      </c>
      <c r="H215" t="s">
        <v>10310</v>
      </c>
      <c r="I215" t="s">
        <v>10325</v>
      </c>
      <c r="N215">
        <v>47.914659999999998</v>
      </c>
      <c r="P215">
        <v>7.5706699999999998</v>
      </c>
      <c r="Q215" t="s">
        <v>10437</v>
      </c>
      <c r="R215" t="s">
        <v>11038</v>
      </c>
      <c r="S215" t="s">
        <v>10310</v>
      </c>
      <c r="W215" s="2" t="s">
        <v>11195</v>
      </c>
    </row>
    <row r="216" spans="1:23" hidden="1" x14ac:dyDescent="0.45">
      <c r="A216" s="1" t="s">
        <v>235</v>
      </c>
      <c r="F216" t="s">
        <v>10291</v>
      </c>
      <c r="G216">
        <v>150</v>
      </c>
      <c r="H216" t="s">
        <v>10310</v>
      </c>
      <c r="I216" t="s">
        <v>10325</v>
      </c>
      <c r="L216">
        <v>2018</v>
      </c>
      <c r="R216" t="s">
        <v>11038</v>
      </c>
      <c r="S216" t="s">
        <v>10310</v>
      </c>
      <c r="W216" s="2" t="s">
        <v>11195</v>
      </c>
    </row>
    <row r="217" spans="1:23" hidden="1" x14ac:dyDescent="0.45">
      <c r="A217" s="1" t="s">
        <v>236</v>
      </c>
      <c r="F217" t="s">
        <v>10291</v>
      </c>
      <c r="G217">
        <v>122</v>
      </c>
      <c r="H217" t="s">
        <v>10310</v>
      </c>
      <c r="I217" t="s">
        <v>10325</v>
      </c>
      <c r="L217">
        <v>2018</v>
      </c>
      <c r="R217" t="s">
        <v>11038</v>
      </c>
      <c r="S217" t="s">
        <v>10310</v>
      </c>
      <c r="W217" s="2" t="s">
        <v>11195</v>
      </c>
    </row>
    <row r="218" spans="1:23" hidden="1" x14ac:dyDescent="0.45">
      <c r="A218" s="1" t="s">
        <v>237</v>
      </c>
      <c r="F218" t="s">
        <v>10291</v>
      </c>
      <c r="G218">
        <v>420</v>
      </c>
      <c r="H218" t="s">
        <v>10310</v>
      </c>
      <c r="I218" t="s">
        <v>10325</v>
      </c>
      <c r="L218">
        <v>1948</v>
      </c>
      <c r="N218">
        <v>46.052709999999998</v>
      </c>
      <c r="P218">
        <v>5.8128500000000001</v>
      </c>
      <c r="Q218" t="s">
        <v>10438</v>
      </c>
      <c r="R218" t="s">
        <v>11038</v>
      </c>
      <c r="S218" t="s">
        <v>10310</v>
      </c>
      <c r="W218" s="2" t="s">
        <v>11195</v>
      </c>
    </row>
    <row r="219" spans="1:23" hidden="1" x14ac:dyDescent="0.45">
      <c r="A219" s="1" t="s">
        <v>238</v>
      </c>
      <c r="F219" t="s">
        <v>10291</v>
      </c>
      <c r="G219">
        <v>140.5</v>
      </c>
      <c r="H219" t="s">
        <v>10310</v>
      </c>
      <c r="I219" t="s">
        <v>10325</v>
      </c>
      <c r="N219">
        <v>48.403849999999998</v>
      </c>
      <c r="P219">
        <v>7.7277500000000003</v>
      </c>
      <c r="Q219" t="s">
        <v>10439</v>
      </c>
      <c r="R219" t="s">
        <v>11038</v>
      </c>
      <c r="S219" t="s">
        <v>10310</v>
      </c>
      <c r="W219" s="2" t="s">
        <v>11195</v>
      </c>
    </row>
    <row r="220" spans="1:23" hidden="1" x14ac:dyDescent="0.45">
      <c r="A220" s="1" t="s">
        <v>239</v>
      </c>
      <c r="F220" t="s">
        <v>10291</v>
      </c>
      <c r="G220">
        <v>115.6</v>
      </c>
      <c r="H220" t="s">
        <v>10310</v>
      </c>
      <c r="I220" t="s">
        <v>10325</v>
      </c>
      <c r="N220">
        <v>45.284239999999997</v>
      </c>
      <c r="P220">
        <v>6.35799</v>
      </c>
      <c r="Q220" t="s">
        <v>10440</v>
      </c>
      <c r="R220" t="s">
        <v>11038</v>
      </c>
      <c r="S220" t="s">
        <v>10310</v>
      </c>
      <c r="W220" s="2" t="s">
        <v>11195</v>
      </c>
    </row>
    <row r="221" spans="1:23" hidden="1" x14ac:dyDescent="0.45">
      <c r="A221" s="1" t="s">
        <v>240</v>
      </c>
      <c r="F221" t="s">
        <v>10291</v>
      </c>
      <c r="G221">
        <v>162.1</v>
      </c>
      <c r="H221" t="s">
        <v>10310</v>
      </c>
      <c r="I221" t="s">
        <v>10325</v>
      </c>
      <c r="L221">
        <v>2016</v>
      </c>
      <c r="N221">
        <v>47.655340000000002</v>
      </c>
      <c r="P221">
        <v>7.5195899999999991</v>
      </c>
      <c r="Q221" t="s">
        <v>10441</v>
      </c>
      <c r="R221" t="s">
        <v>11038</v>
      </c>
      <c r="S221" t="s">
        <v>10310</v>
      </c>
      <c r="W221" s="2" t="s">
        <v>11195</v>
      </c>
    </row>
    <row r="222" spans="1:23" hidden="1" x14ac:dyDescent="0.45">
      <c r="A222" s="1" t="s">
        <v>241</v>
      </c>
      <c r="F222" t="s">
        <v>10291</v>
      </c>
      <c r="G222">
        <v>156.19999999999999</v>
      </c>
      <c r="H222" t="s">
        <v>10310</v>
      </c>
      <c r="I222" t="s">
        <v>10325</v>
      </c>
      <c r="N222">
        <v>48.153709999999997</v>
      </c>
      <c r="P222">
        <v>7.5898000000000003</v>
      </c>
      <c r="Q222" t="s">
        <v>10442</v>
      </c>
      <c r="R222" t="s">
        <v>11038</v>
      </c>
      <c r="S222" t="s">
        <v>10310</v>
      </c>
      <c r="W222" s="2" t="s">
        <v>11195</v>
      </c>
    </row>
    <row r="223" spans="1:23" hidden="1" x14ac:dyDescent="0.45">
      <c r="A223" s="1" t="s">
        <v>242</v>
      </c>
      <c r="F223" t="s">
        <v>10291</v>
      </c>
      <c r="G223">
        <v>295</v>
      </c>
      <c r="H223" t="s">
        <v>10310</v>
      </c>
      <c r="I223" t="s">
        <v>10325</v>
      </c>
      <c r="L223">
        <v>1957</v>
      </c>
      <c r="N223">
        <v>44.59281</v>
      </c>
      <c r="P223">
        <v>4.72593</v>
      </c>
      <c r="Q223" t="s">
        <v>10443</v>
      </c>
      <c r="R223" t="s">
        <v>11038</v>
      </c>
      <c r="S223" t="s">
        <v>10310</v>
      </c>
      <c r="W223" s="2" t="s">
        <v>11195</v>
      </c>
    </row>
    <row r="224" spans="1:23" hidden="1" x14ac:dyDescent="0.45">
      <c r="A224" s="1" t="s">
        <v>243</v>
      </c>
      <c r="F224" t="s">
        <v>10291</v>
      </c>
      <c r="G224">
        <v>156</v>
      </c>
      <c r="H224" t="s">
        <v>10310</v>
      </c>
      <c r="I224" t="s">
        <v>10325</v>
      </c>
      <c r="N224">
        <v>47.773989999999998</v>
      </c>
      <c r="P224">
        <v>7.5224600000000006</v>
      </c>
      <c r="Q224" t="s">
        <v>10444</v>
      </c>
      <c r="R224" t="s">
        <v>11038</v>
      </c>
      <c r="S224" t="s">
        <v>10310</v>
      </c>
      <c r="W224" s="2" t="s">
        <v>11195</v>
      </c>
    </row>
    <row r="225" spans="1:23" hidden="1" x14ac:dyDescent="0.45">
      <c r="A225" s="1" t="s">
        <v>244</v>
      </c>
      <c r="F225" t="s">
        <v>10291</v>
      </c>
      <c r="G225">
        <v>104</v>
      </c>
      <c r="H225" t="s">
        <v>10310</v>
      </c>
      <c r="I225" t="s">
        <v>10325</v>
      </c>
      <c r="N225">
        <v>45.916420000000002</v>
      </c>
      <c r="P225">
        <v>6.7259199999999986</v>
      </c>
      <c r="Q225" t="s">
        <v>10445</v>
      </c>
      <c r="R225" t="s">
        <v>11038</v>
      </c>
      <c r="S225" t="s">
        <v>10310</v>
      </c>
      <c r="W225" s="2" t="s">
        <v>11195</v>
      </c>
    </row>
    <row r="226" spans="1:23" hidden="1" x14ac:dyDescent="0.45">
      <c r="A226" s="1" t="s">
        <v>245</v>
      </c>
      <c r="F226" t="s">
        <v>10291</v>
      </c>
      <c r="G226">
        <v>124.2</v>
      </c>
      <c r="H226" t="s">
        <v>10310</v>
      </c>
      <c r="I226" t="s">
        <v>10325</v>
      </c>
      <c r="N226">
        <v>45.52711</v>
      </c>
      <c r="P226">
        <v>6.31996</v>
      </c>
      <c r="Q226" t="s">
        <v>10446</v>
      </c>
      <c r="R226" t="s">
        <v>11038</v>
      </c>
      <c r="S226" t="s">
        <v>10310</v>
      </c>
      <c r="W226" s="2" t="s">
        <v>11195</v>
      </c>
    </row>
    <row r="227" spans="1:23" hidden="1" x14ac:dyDescent="0.45">
      <c r="A227" s="1" t="s">
        <v>246</v>
      </c>
      <c r="F227" t="s">
        <v>10291</v>
      </c>
      <c r="G227">
        <v>152</v>
      </c>
      <c r="H227" t="s">
        <v>10310</v>
      </c>
      <c r="I227" t="s">
        <v>10325</v>
      </c>
      <c r="L227">
        <v>2016</v>
      </c>
      <c r="N227">
        <v>48.284120000000001</v>
      </c>
      <c r="P227">
        <v>7.6772800000000014</v>
      </c>
      <c r="Q227" t="s">
        <v>10447</v>
      </c>
      <c r="R227" t="s">
        <v>11038</v>
      </c>
      <c r="S227" t="s">
        <v>10310</v>
      </c>
      <c r="W227" s="2" t="s">
        <v>11195</v>
      </c>
    </row>
    <row r="228" spans="1:23" hidden="1" x14ac:dyDescent="0.45">
      <c r="A228" s="1" t="s">
        <v>247</v>
      </c>
      <c r="F228" t="s">
        <v>10291</v>
      </c>
      <c r="G228">
        <v>101</v>
      </c>
      <c r="H228" t="s">
        <v>10310</v>
      </c>
      <c r="I228" t="s">
        <v>10325</v>
      </c>
      <c r="N228">
        <v>44.872489999999999</v>
      </c>
      <c r="P228">
        <v>5.7731899999999996</v>
      </c>
      <c r="Q228" t="s">
        <v>10448</v>
      </c>
      <c r="R228" t="s">
        <v>11038</v>
      </c>
      <c r="S228" t="s">
        <v>10310</v>
      </c>
      <c r="W228" s="2" t="s">
        <v>11195</v>
      </c>
    </row>
    <row r="229" spans="1:23" hidden="1" x14ac:dyDescent="0.45">
      <c r="A229" s="1" t="s">
        <v>248</v>
      </c>
      <c r="F229" t="s">
        <v>10291</v>
      </c>
      <c r="G229">
        <v>145.4</v>
      </c>
      <c r="H229" t="s">
        <v>10310</v>
      </c>
      <c r="I229" t="s">
        <v>10325</v>
      </c>
      <c r="N229">
        <v>45.209919999999997</v>
      </c>
      <c r="P229">
        <v>6.4766300000000001</v>
      </c>
      <c r="Q229" t="s">
        <v>10449</v>
      </c>
      <c r="R229" t="s">
        <v>11038</v>
      </c>
      <c r="S229" t="s">
        <v>10310</v>
      </c>
      <c r="W229" s="2" t="s">
        <v>11195</v>
      </c>
    </row>
    <row r="230" spans="1:23" hidden="1" x14ac:dyDescent="0.45">
      <c r="A230" s="1" t="s">
        <v>249</v>
      </c>
      <c r="F230" t="s">
        <v>10291</v>
      </c>
      <c r="G230">
        <v>147.80000000000001</v>
      </c>
      <c r="H230" t="s">
        <v>10310</v>
      </c>
      <c r="I230" t="s">
        <v>10325</v>
      </c>
      <c r="L230">
        <v>2016</v>
      </c>
      <c r="N230">
        <v>48.52561</v>
      </c>
      <c r="P230">
        <v>7.7945600000000006</v>
      </c>
      <c r="Q230" t="s">
        <v>10450</v>
      </c>
      <c r="R230" t="s">
        <v>11038</v>
      </c>
      <c r="S230" t="s">
        <v>10310</v>
      </c>
      <c r="W230" s="2" t="s">
        <v>11195</v>
      </c>
    </row>
    <row r="231" spans="1:23" hidden="1" x14ac:dyDescent="0.45">
      <c r="A231" s="1" t="s">
        <v>250</v>
      </c>
      <c r="F231" t="s">
        <v>10291</v>
      </c>
      <c r="G231">
        <v>210</v>
      </c>
      <c r="H231" t="s">
        <v>10310</v>
      </c>
      <c r="I231" t="s">
        <v>10325</v>
      </c>
      <c r="L231">
        <v>1970</v>
      </c>
      <c r="N231">
        <v>43.824150000000003</v>
      </c>
      <c r="P231">
        <v>4.6434899999999999</v>
      </c>
      <c r="Q231" t="s">
        <v>10451</v>
      </c>
      <c r="R231" t="s">
        <v>11038</v>
      </c>
      <c r="S231" t="s">
        <v>10310</v>
      </c>
      <c r="W231" s="2" t="s">
        <v>11195</v>
      </c>
    </row>
    <row r="232" spans="1:23" hidden="1" x14ac:dyDescent="0.45">
      <c r="A232" s="1" t="s">
        <v>251</v>
      </c>
      <c r="F232" t="s">
        <v>10291</v>
      </c>
      <c r="G232">
        <v>140.5</v>
      </c>
      <c r="H232" t="s">
        <v>10310</v>
      </c>
      <c r="I232" t="s">
        <v>10325</v>
      </c>
      <c r="N232">
        <v>48.020299999999999</v>
      </c>
      <c r="P232">
        <v>7.5739300000000007</v>
      </c>
      <c r="Q232" t="s">
        <v>10452</v>
      </c>
      <c r="R232" t="s">
        <v>11038</v>
      </c>
      <c r="S232" t="s">
        <v>10310</v>
      </c>
      <c r="W232" s="2" t="s">
        <v>11195</v>
      </c>
    </row>
    <row r="233" spans="1:23" hidden="1" x14ac:dyDescent="0.45">
      <c r="A233" s="1" t="s">
        <v>252</v>
      </c>
      <c r="F233" t="s">
        <v>10291</v>
      </c>
      <c r="G233">
        <v>360</v>
      </c>
      <c r="H233" t="s">
        <v>10310</v>
      </c>
      <c r="I233" t="s">
        <v>10326</v>
      </c>
      <c r="N233">
        <v>45.243729999999999</v>
      </c>
      <c r="P233">
        <v>2.2248299999999999</v>
      </c>
      <c r="Q233" t="s">
        <v>10453</v>
      </c>
      <c r="R233" t="s">
        <v>11038</v>
      </c>
      <c r="S233" t="s">
        <v>10310</v>
      </c>
      <c r="W233" s="2" t="s">
        <v>11195</v>
      </c>
    </row>
    <row r="234" spans="1:23" hidden="1" x14ac:dyDescent="0.45">
      <c r="A234" s="1" t="s">
        <v>253</v>
      </c>
      <c r="F234" t="s">
        <v>10291</v>
      </c>
      <c r="G234">
        <v>592</v>
      </c>
      <c r="H234" t="s">
        <v>10310</v>
      </c>
      <c r="I234" t="s">
        <v>10326</v>
      </c>
      <c r="L234">
        <v>2018</v>
      </c>
      <c r="N234">
        <v>45.685450000000003</v>
      </c>
      <c r="P234">
        <v>6.6224899999999991</v>
      </c>
      <c r="Q234" t="s">
        <v>10454</v>
      </c>
      <c r="R234" t="s">
        <v>11038</v>
      </c>
      <c r="S234" t="s">
        <v>10310</v>
      </c>
      <c r="W234" s="2" t="s">
        <v>11195</v>
      </c>
    </row>
    <row r="235" spans="1:23" hidden="1" x14ac:dyDescent="0.45">
      <c r="A235" s="1" t="s">
        <v>254</v>
      </c>
      <c r="F235" t="s">
        <v>10291</v>
      </c>
      <c r="G235">
        <v>235</v>
      </c>
      <c r="H235" t="s">
        <v>10310</v>
      </c>
      <c r="I235" t="s">
        <v>10326</v>
      </c>
      <c r="N235">
        <v>45.412689999999998</v>
      </c>
      <c r="P235">
        <v>2.4986199999999998</v>
      </c>
      <c r="Q235" t="s">
        <v>10455</v>
      </c>
      <c r="R235" t="s">
        <v>11038</v>
      </c>
      <c r="S235" t="s">
        <v>10310</v>
      </c>
      <c r="W235" s="2" t="s">
        <v>11195</v>
      </c>
    </row>
    <row r="236" spans="1:23" hidden="1" x14ac:dyDescent="0.45">
      <c r="A236" s="1" t="s">
        <v>255</v>
      </c>
      <c r="F236" t="s">
        <v>10291</v>
      </c>
      <c r="G236">
        <v>406</v>
      </c>
      <c r="H236" t="s">
        <v>10310</v>
      </c>
      <c r="I236" t="s">
        <v>10326</v>
      </c>
      <c r="N236">
        <v>44.76793</v>
      </c>
      <c r="P236">
        <v>2.6841499999999998</v>
      </c>
      <c r="Q236" t="s">
        <v>10456</v>
      </c>
      <c r="R236" t="s">
        <v>11038</v>
      </c>
      <c r="S236" t="s">
        <v>10310</v>
      </c>
      <c r="W236" s="2" t="s">
        <v>11195</v>
      </c>
    </row>
    <row r="237" spans="1:23" hidden="1" x14ac:dyDescent="0.45">
      <c r="A237" s="1" t="s">
        <v>256</v>
      </c>
      <c r="F237" t="s">
        <v>10291</v>
      </c>
      <c r="G237">
        <v>123</v>
      </c>
      <c r="H237" t="s">
        <v>10310</v>
      </c>
      <c r="I237" t="s">
        <v>10326</v>
      </c>
      <c r="N237">
        <v>45.213479999999997</v>
      </c>
      <c r="P237">
        <v>6.7205300000000001</v>
      </c>
      <c r="Q237" t="s">
        <v>10457</v>
      </c>
      <c r="R237" t="s">
        <v>11038</v>
      </c>
      <c r="S237" t="s">
        <v>10310</v>
      </c>
      <c r="W237" s="2" t="s">
        <v>11195</v>
      </c>
    </row>
    <row r="238" spans="1:23" hidden="1" x14ac:dyDescent="0.45">
      <c r="A238" s="1" t="s">
        <v>257</v>
      </c>
      <c r="F238" t="s">
        <v>10291</v>
      </c>
      <c r="G238">
        <v>139</v>
      </c>
      <c r="H238" t="s">
        <v>10310</v>
      </c>
      <c r="I238" t="s">
        <v>10326</v>
      </c>
      <c r="N238">
        <v>44.420780000000001</v>
      </c>
      <c r="P238">
        <v>6.0201599999999997</v>
      </c>
      <c r="Q238" t="s">
        <v>10458</v>
      </c>
      <c r="R238" t="s">
        <v>11038</v>
      </c>
      <c r="S238" t="s">
        <v>10310</v>
      </c>
      <c r="W238" s="2" t="s">
        <v>11195</v>
      </c>
    </row>
    <row r="239" spans="1:23" hidden="1" x14ac:dyDescent="0.45">
      <c r="A239" s="1" t="s">
        <v>258</v>
      </c>
      <c r="F239" t="s">
        <v>10291</v>
      </c>
      <c r="G239">
        <v>297</v>
      </c>
      <c r="H239" t="s">
        <v>10310</v>
      </c>
      <c r="I239" t="s">
        <v>10326</v>
      </c>
      <c r="N239">
        <v>45.617870000000003</v>
      </c>
      <c r="P239">
        <v>6.7907400000000004</v>
      </c>
      <c r="Q239" t="s">
        <v>10459</v>
      </c>
      <c r="R239" t="s">
        <v>11038</v>
      </c>
      <c r="S239" t="s">
        <v>10310</v>
      </c>
      <c r="W239" s="2" t="s">
        <v>11195</v>
      </c>
    </row>
    <row r="240" spans="1:23" hidden="1" x14ac:dyDescent="0.45">
      <c r="A240" s="1" t="s">
        <v>259</v>
      </c>
      <c r="F240" t="s">
        <v>10291</v>
      </c>
      <c r="G240">
        <v>366</v>
      </c>
      <c r="H240" t="s">
        <v>10310</v>
      </c>
      <c r="I240" t="s">
        <v>10326</v>
      </c>
      <c r="N240">
        <v>44.961179999999999</v>
      </c>
      <c r="P240">
        <v>5.6887400000000001</v>
      </c>
      <c r="Q240" t="s">
        <v>10460</v>
      </c>
      <c r="R240" t="s">
        <v>11038</v>
      </c>
      <c r="S240" t="s">
        <v>10310</v>
      </c>
      <c r="W240" s="2" t="s">
        <v>11195</v>
      </c>
    </row>
    <row r="241" spans="1:23" hidden="1" x14ac:dyDescent="0.45">
      <c r="A241" s="1" t="s">
        <v>260</v>
      </c>
      <c r="F241" t="s">
        <v>10291</v>
      </c>
      <c r="G241">
        <v>131.80000000000001</v>
      </c>
      <c r="H241" t="s">
        <v>10310</v>
      </c>
      <c r="I241" t="s">
        <v>10326</v>
      </c>
      <c r="N241">
        <v>44.690259999999988</v>
      </c>
      <c r="P241">
        <v>4.2721499999999999</v>
      </c>
      <c r="Q241" t="s">
        <v>10461</v>
      </c>
      <c r="R241" t="s">
        <v>11038</v>
      </c>
      <c r="S241" t="s">
        <v>10310</v>
      </c>
      <c r="W241" s="2" t="s">
        <v>11195</v>
      </c>
    </row>
    <row r="242" spans="1:23" hidden="1" x14ac:dyDescent="0.45">
      <c r="A242" s="1" t="s">
        <v>261</v>
      </c>
      <c r="F242" t="s">
        <v>10291</v>
      </c>
      <c r="G242">
        <v>187</v>
      </c>
      <c r="H242" t="s">
        <v>10310</v>
      </c>
      <c r="I242" t="s">
        <v>10326</v>
      </c>
      <c r="N242">
        <v>43.921010000000003</v>
      </c>
      <c r="P242">
        <v>5.9243800000000002</v>
      </c>
      <c r="Q242" t="s">
        <v>10462</v>
      </c>
      <c r="R242" t="s">
        <v>11038</v>
      </c>
      <c r="S242" t="s">
        <v>10310</v>
      </c>
      <c r="W242" s="2" t="s">
        <v>11195</v>
      </c>
    </row>
    <row r="243" spans="1:23" hidden="1" x14ac:dyDescent="0.45">
      <c r="A243" s="1" t="s">
        <v>262</v>
      </c>
      <c r="F243" t="s">
        <v>10291</v>
      </c>
      <c r="G243">
        <v>109.4</v>
      </c>
      <c r="H243" t="s">
        <v>10310</v>
      </c>
      <c r="I243" t="s">
        <v>10326</v>
      </c>
      <c r="N243">
        <v>44.471980000000002</v>
      </c>
      <c r="P243">
        <v>3.988669999999999</v>
      </c>
      <c r="Q243" t="s">
        <v>10463</v>
      </c>
      <c r="R243" t="s">
        <v>11038</v>
      </c>
      <c r="S243" t="s">
        <v>10310</v>
      </c>
      <c r="W243" s="2" t="s">
        <v>11195</v>
      </c>
    </row>
    <row r="244" spans="1:23" hidden="1" x14ac:dyDescent="0.45">
      <c r="A244" s="1" t="s">
        <v>263</v>
      </c>
      <c r="F244" t="s">
        <v>10291</v>
      </c>
      <c r="G244">
        <v>446.9</v>
      </c>
      <c r="H244" t="s">
        <v>10310</v>
      </c>
      <c r="I244" t="s">
        <v>10326</v>
      </c>
      <c r="N244">
        <v>43.656039999999997</v>
      </c>
      <c r="P244">
        <v>3.40178</v>
      </c>
      <c r="Q244" t="s">
        <v>10464</v>
      </c>
      <c r="R244" t="s">
        <v>11038</v>
      </c>
      <c r="S244" t="s">
        <v>10310</v>
      </c>
      <c r="W244" s="2" t="s">
        <v>11195</v>
      </c>
    </row>
    <row r="245" spans="1:23" hidden="1" x14ac:dyDescent="0.45">
      <c r="A245" s="1" t="s">
        <v>264</v>
      </c>
      <c r="F245" t="s">
        <v>10291</v>
      </c>
      <c r="G245">
        <v>189.2</v>
      </c>
      <c r="H245" t="s">
        <v>10310</v>
      </c>
      <c r="I245" t="s">
        <v>10326</v>
      </c>
      <c r="N245">
        <v>42.821100000000001</v>
      </c>
      <c r="P245">
        <v>1.0330000000000001E-2</v>
      </c>
      <c r="Q245" t="s">
        <v>10465</v>
      </c>
      <c r="R245" t="s">
        <v>11038</v>
      </c>
      <c r="S245" t="s">
        <v>10310</v>
      </c>
      <c r="W245" s="2" t="s">
        <v>11195</v>
      </c>
    </row>
    <row r="246" spans="1:23" hidden="1" x14ac:dyDescent="0.45">
      <c r="A246" s="1" t="s">
        <v>265</v>
      </c>
      <c r="F246" t="s">
        <v>10291</v>
      </c>
      <c r="G246">
        <v>159</v>
      </c>
      <c r="H246" t="s">
        <v>10310</v>
      </c>
      <c r="I246" t="s">
        <v>10326</v>
      </c>
      <c r="N246">
        <v>43.527410000000003</v>
      </c>
      <c r="P246">
        <v>5.0734199999999996</v>
      </c>
      <c r="Q246" t="s">
        <v>10466</v>
      </c>
      <c r="R246" t="s">
        <v>11038</v>
      </c>
      <c r="S246" t="s">
        <v>10310</v>
      </c>
      <c r="W246" s="2" t="s">
        <v>11195</v>
      </c>
    </row>
    <row r="247" spans="1:23" hidden="1" x14ac:dyDescent="0.45">
      <c r="A247" s="1" t="s">
        <v>266</v>
      </c>
      <c r="F247" t="s">
        <v>10291</v>
      </c>
      <c r="G247">
        <v>141</v>
      </c>
      <c r="H247" t="s">
        <v>10310</v>
      </c>
      <c r="I247" t="s">
        <v>10326</v>
      </c>
      <c r="N247">
        <v>43.690489999999997</v>
      </c>
      <c r="P247">
        <v>5.3848900000000004</v>
      </c>
      <c r="Q247" t="s">
        <v>10467</v>
      </c>
      <c r="R247" t="s">
        <v>11038</v>
      </c>
      <c r="S247" t="s">
        <v>10310</v>
      </c>
      <c r="W247" s="2" t="s">
        <v>11195</v>
      </c>
    </row>
    <row r="248" spans="1:23" hidden="1" x14ac:dyDescent="0.45">
      <c r="A248" s="1" t="s">
        <v>267</v>
      </c>
      <c r="F248" t="s">
        <v>10291</v>
      </c>
      <c r="G248">
        <v>116</v>
      </c>
      <c r="H248" t="s">
        <v>10310</v>
      </c>
      <c r="I248" t="s">
        <v>10326</v>
      </c>
      <c r="N248">
        <v>45.030479999999997</v>
      </c>
      <c r="P248">
        <v>6.0791399999999998</v>
      </c>
      <c r="Q248" t="s">
        <v>10468</v>
      </c>
      <c r="R248" t="s">
        <v>11038</v>
      </c>
      <c r="S248" t="s">
        <v>10310</v>
      </c>
      <c r="W248" s="2" t="s">
        <v>11195</v>
      </c>
    </row>
    <row r="249" spans="1:23" hidden="1" x14ac:dyDescent="0.45">
      <c r="A249" s="1" t="s">
        <v>268</v>
      </c>
      <c r="F249" t="s">
        <v>10291</v>
      </c>
      <c r="G249">
        <v>132.30000000000001</v>
      </c>
      <c r="H249" t="s">
        <v>10310</v>
      </c>
      <c r="I249" t="s">
        <v>10326</v>
      </c>
      <c r="N249">
        <v>43.736870000000003</v>
      </c>
      <c r="P249">
        <v>6.1342300000000014</v>
      </c>
      <c r="Q249" t="s">
        <v>10469</v>
      </c>
      <c r="R249" t="s">
        <v>11038</v>
      </c>
      <c r="S249" t="s">
        <v>10310</v>
      </c>
      <c r="W249" s="2" t="s">
        <v>11195</v>
      </c>
    </row>
    <row r="250" spans="1:23" hidden="1" x14ac:dyDescent="0.45">
      <c r="A250" s="1" t="s">
        <v>269</v>
      </c>
      <c r="F250" t="s">
        <v>10291</v>
      </c>
      <c r="G250">
        <v>183</v>
      </c>
      <c r="H250" t="s">
        <v>10310</v>
      </c>
      <c r="I250" t="s">
        <v>10326</v>
      </c>
      <c r="N250">
        <v>44.829419999999999</v>
      </c>
      <c r="P250">
        <v>2.7404199999999999</v>
      </c>
      <c r="Q250" t="s">
        <v>10470</v>
      </c>
      <c r="R250" t="s">
        <v>11038</v>
      </c>
      <c r="S250" t="s">
        <v>10310</v>
      </c>
      <c r="W250" s="2" t="s">
        <v>11195</v>
      </c>
    </row>
    <row r="251" spans="1:23" hidden="1" x14ac:dyDescent="0.45">
      <c r="A251" s="1" t="s">
        <v>270</v>
      </c>
      <c r="F251" t="s">
        <v>10291</v>
      </c>
      <c r="G251">
        <v>384</v>
      </c>
      <c r="H251" t="s">
        <v>10310</v>
      </c>
      <c r="I251" t="s">
        <v>10326</v>
      </c>
      <c r="N251">
        <v>44.470950000000002</v>
      </c>
      <c r="P251">
        <v>6.2696699999999996</v>
      </c>
      <c r="Q251" t="s">
        <v>10471</v>
      </c>
      <c r="R251" t="s">
        <v>11038</v>
      </c>
      <c r="S251" t="s">
        <v>10310</v>
      </c>
      <c r="W251" s="2" t="s">
        <v>11195</v>
      </c>
    </row>
    <row r="252" spans="1:23" hidden="1" x14ac:dyDescent="0.45">
      <c r="A252" s="1" t="s">
        <v>271</v>
      </c>
      <c r="F252" t="s">
        <v>10291</v>
      </c>
      <c r="G252">
        <v>240</v>
      </c>
      <c r="H252" t="s">
        <v>10310</v>
      </c>
      <c r="I252" t="s">
        <v>10326</v>
      </c>
      <c r="L252">
        <v>2017</v>
      </c>
      <c r="N252">
        <v>44.175170000000001</v>
      </c>
      <c r="P252">
        <v>5.9521499999999996</v>
      </c>
      <c r="Q252" t="s">
        <v>10472</v>
      </c>
      <c r="R252" t="s">
        <v>11038</v>
      </c>
      <c r="S252" t="s">
        <v>10310</v>
      </c>
      <c r="W252" s="2" t="s">
        <v>11195</v>
      </c>
    </row>
    <row r="253" spans="1:23" hidden="1" x14ac:dyDescent="0.45">
      <c r="A253" s="1" t="s">
        <v>272</v>
      </c>
      <c r="F253" t="s">
        <v>10291</v>
      </c>
      <c r="G253">
        <v>103.3</v>
      </c>
      <c r="H253" t="s">
        <v>10310</v>
      </c>
      <c r="I253" t="s">
        <v>10326</v>
      </c>
      <c r="L253">
        <v>2016</v>
      </c>
      <c r="N253">
        <v>44.945159999999987</v>
      </c>
      <c r="P253">
        <v>2.2190599999999998</v>
      </c>
      <c r="Q253" t="s">
        <v>10473</v>
      </c>
      <c r="R253" t="s">
        <v>11038</v>
      </c>
      <c r="S253" t="s">
        <v>10310</v>
      </c>
      <c r="W253" s="2" t="s">
        <v>11195</v>
      </c>
    </row>
    <row r="254" spans="1:23" hidden="1" x14ac:dyDescent="0.45">
      <c r="A254" s="1" t="s">
        <v>273</v>
      </c>
      <c r="F254" t="s">
        <v>10291</v>
      </c>
      <c r="G254">
        <v>357</v>
      </c>
      <c r="H254" t="s">
        <v>10310</v>
      </c>
      <c r="I254" t="s">
        <v>10326</v>
      </c>
      <c r="N254">
        <v>45.214659999999988</v>
      </c>
      <c r="P254">
        <v>6.7120800000000003</v>
      </c>
      <c r="Q254" t="s">
        <v>10474</v>
      </c>
      <c r="R254" t="s">
        <v>11038</v>
      </c>
      <c r="S254" t="s">
        <v>10310</v>
      </c>
      <c r="W254" s="2" t="s">
        <v>11195</v>
      </c>
    </row>
    <row r="255" spans="1:23" hidden="1" x14ac:dyDescent="0.45">
      <c r="A255" s="1" t="s">
        <v>274</v>
      </c>
      <c r="F255" t="s">
        <v>10291</v>
      </c>
      <c r="G255">
        <v>285</v>
      </c>
      <c r="H255" t="s">
        <v>10310</v>
      </c>
      <c r="I255" t="s">
        <v>10326</v>
      </c>
      <c r="N255">
        <v>46.39734</v>
      </c>
      <c r="P255">
        <v>5.6655600000000002</v>
      </c>
      <c r="Q255" t="s">
        <v>10475</v>
      </c>
      <c r="R255" t="s">
        <v>11038</v>
      </c>
      <c r="S255" t="s">
        <v>10310</v>
      </c>
      <c r="W255" s="2" t="s">
        <v>11195</v>
      </c>
    </row>
    <row r="256" spans="1:23" hidden="1" x14ac:dyDescent="0.45">
      <c r="A256" s="1" t="s">
        <v>275</v>
      </c>
      <c r="F256" t="s">
        <v>10291</v>
      </c>
      <c r="G256">
        <v>1310</v>
      </c>
      <c r="H256" t="s">
        <v>10311</v>
      </c>
      <c r="I256" t="s">
        <v>10323</v>
      </c>
      <c r="N256">
        <v>47.508789999999998</v>
      </c>
      <c r="P256">
        <v>2.87574</v>
      </c>
      <c r="Q256" t="s">
        <v>10476</v>
      </c>
      <c r="R256" t="s">
        <v>10311</v>
      </c>
      <c r="W256" s="2" t="s">
        <v>11195</v>
      </c>
    </row>
    <row r="257" spans="1:23" hidden="1" x14ac:dyDescent="0.45">
      <c r="A257" s="1" t="s">
        <v>276</v>
      </c>
      <c r="F257" t="s">
        <v>10291</v>
      </c>
      <c r="G257">
        <v>1310</v>
      </c>
      <c r="H257" t="s">
        <v>10311</v>
      </c>
      <c r="I257" t="s">
        <v>10323</v>
      </c>
      <c r="N257">
        <v>47.508789999999998</v>
      </c>
      <c r="P257">
        <v>2.87574</v>
      </c>
      <c r="Q257" t="s">
        <v>10477</v>
      </c>
      <c r="R257" t="s">
        <v>10311</v>
      </c>
      <c r="W257" s="2" t="s">
        <v>11195</v>
      </c>
    </row>
    <row r="258" spans="1:23" hidden="1" x14ac:dyDescent="0.45">
      <c r="A258" s="1" t="s">
        <v>277</v>
      </c>
      <c r="F258" t="s">
        <v>10291</v>
      </c>
      <c r="G258">
        <v>910</v>
      </c>
      <c r="H258" t="s">
        <v>10311</v>
      </c>
      <c r="I258" t="s">
        <v>10323</v>
      </c>
      <c r="N258">
        <v>45.257420000000003</v>
      </c>
      <c r="P258">
        <v>-0.69064999999999999</v>
      </c>
      <c r="Q258" t="s">
        <v>10478</v>
      </c>
      <c r="R258" t="s">
        <v>10311</v>
      </c>
      <c r="W258" s="2" t="s">
        <v>11195</v>
      </c>
    </row>
    <row r="259" spans="1:23" hidden="1" x14ac:dyDescent="0.45">
      <c r="A259" s="1" t="s">
        <v>278</v>
      </c>
      <c r="F259" t="s">
        <v>10291</v>
      </c>
      <c r="G259">
        <v>910</v>
      </c>
      <c r="H259" t="s">
        <v>10311</v>
      </c>
      <c r="I259" t="s">
        <v>10323</v>
      </c>
      <c r="N259">
        <v>45.257420000000003</v>
      </c>
      <c r="P259">
        <v>-0.69064999999999999</v>
      </c>
      <c r="Q259" t="s">
        <v>10479</v>
      </c>
      <c r="R259" t="s">
        <v>10311</v>
      </c>
      <c r="W259" s="2" t="s">
        <v>11195</v>
      </c>
    </row>
    <row r="260" spans="1:23" hidden="1" x14ac:dyDescent="0.45">
      <c r="A260" s="1" t="s">
        <v>279</v>
      </c>
      <c r="F260" t="s">
        <v>10291</v>
      </c>
      <c r="G260">
        <v>910</v>
      </c>
      <c r="H260" t="s">
        <v>10311</v>
      </c>
      <c r="I260" t="s">
        <v>10323</v>
      </c>
      <c r="N260">
        <v>45.257420000000003</v>
      </c>
      <c r="P260">
        <v>-0.69064999999999999</v>
      </c>
      <c r="Q260" t="s">
        <v>10480</v>
      </c>
      <c r="R260" t="s">
        <v>10311</v>
      </c>
      <c r="W260" s="2" t="s">
        <v>11195</v>
      </c>
    </row>
    <row r="261" spans="1:23" hidden="1" x14ac:dyDescent="0.45">
      <c r="A261" s="1" t="s">
        <v>280</v>
      </c>
      <c r="F261" t="s">
        <v>10291</v>
      </c>
      <c r="G261">
        <v>910</v>
      </c>
      <c r="H261" t="s">
        <v>10311</v>
      </c>
      <c r="I261" t="s">
        <v>10323</v>
      </c>
      <c r="N261">
        <v>45.257420000000003</v>
      </c>
      <c r="P261">
        <v>-0.69064999999999999</v>
      </c>
      <c r="Q261" t="s">
        <v>10481</v>
      </c>
      <c r="R261" t="s">
        <v>10311</v>
      </c>
      <c r="W261" s="2" t="s">
        <v>11195</v>
      </c>
    </row>
    <row r="262" spans="1:23" hidden="1" x14ac:dyDescent="0.45">
      <c r="A262" s="1" t="s">
        <v>281</v>
      </c>
      <c r="F262" t="s">
        <v>10291</v>
      </c>
      <c r="G262">
        <v>910</v>
      </c>
      <c r="H262" t="s">
        <v>10311</v>
      </c>
      <c r="I262" t="s">
        <v>10323</v>
      </c>
      <c r="N262">
        <v>45.801409999999997</v>
      </c>
      <c r="P262">
        <v>5.26614</v>
      </c>
      <c r="Q262" t="s">
        <v>10482</v>
      </c>
      <c r="R262" t="s">
        <v>10311</v>
      </c>
      <c r="W262" s="2" t="s">
        <v>11195</v>
      </c>
    </row>
    <row r="263" spans="1:23" hidden="1" x14ac:dyDescent="0.45">
      <c r="A263" s="1" t="s">
        <v>282</v>
      </c>
      <c r="F263" t="s">
        <v>10291</v>
      </c>
      <c r="G263">
        <v>910</v>
      </c>
      <c r="H263" t="s">
        <v>10311</v>
      </c>
      <c r="I263" t="s">
        <v>10323</v>
      </c>
      <c r="N263">
        <v>45.801409999999997</v>
      </c>
      <c r="P263">
        <v>5.26614</v>
      </c>
      <c r="Q263" t="s">
        <v>10483</v>
      </c>
      <c r="R263" t="s">
        <v>10311</v>
      </c>
      <c r="W263" s="2" t="s">
        <v>11195</v>
      </c>
    </row>
    <row r="264" spans="1:23" hidden="1" x14ac:dyDescent="0.45">
      <c r="A264" s="1" t="s">
        <v>283</v>
      </c>
      <c r="F264" t="s">
        <v>10291</v>
      </c>
      <c r="G264">
        <v>880</v>
      </c>
      <c r="H264" t="s">
        <v>10311</v>
      </c>
      <c r="I264" t="s">
        <v>10323</v>
      </c>
      <c r="N264">
        <v>45.801409999999997</v>
      </c>
      <c r="P264">
        <v>5.26614</v>
      </c>
      <c r="Q264" t="s">
        <v>10484</v>
      </c>
      <c r="R264" t="s">
        <v>10311</v>
      </c>
      <c r="W264" s="2" t="s">
        <v>11195</v>
      </c>
    </row>
    <row r="265" spans="1:23" hidden="1" x14ac:dyDescent="0.45">
      <c r="A265" s="1" t="s">
        <v>284</v>
      </c>
      <c r="F265" t="s">
        <v>10291</v>
      </c>
      <c r="G265">
        <v>880</v>
      </c>
      <c r="H265" t="s">
        <v>10311</v>
      </c>
      <c r="I265" t="s">
        <v>10323</v>
      </c>
      <c r="N265">
        <v>45.801409999999997</v>
      </c>
      <c r="P265">
        <v>5.26614</v>
      </c>
      <c r="Q265" t="s">
        <v>10485</v>
      </c>
      <c r="R265" t="s">
        <v>10311</v>
      </c>
      <c r="W265" s="2" t="s">
        <v>11195</v>
      </c>
    </row>
    <row r="266" spans="1:23" hidden="1" x14ac:dyDescent="0.45">
      <c r="A266" s="1" t="s">
        <v>285</v>
      </c>
      <c r="F266" t="s">
        <v>10291</v>
      </c>
      <c r="G266">
        <v>1300</v>
      </c>
      <c r="H266" t="s">
        <v>10311</v>
      </c>
      <c r="I266" t="s">
        <v>10323</v>
      </c>
      <c r="N266">
        <v>49.415790000000001</v>
      </c>
      <c r="P266">
        <v>6.2180999999999997</v>
      </c>
      <c r="Q266" t="s">
        <v>10486</v>
      </c>
      <c r="R266" t="s">
        <v>10311</v>
      </c>
      <c r="W266" s="2" t="s">
        <v>11195</v>
      </c>
    </row>
    <row r="267" spans="1:23" hidden="1" x14ac:dyDescent="0.45">
      <c r="A267" s="1" t="s">
        <v>286</v>
      </c>
      <c r="F267" t="s">
        <v>10291</v>
      </c>
      <c r="G267">
        <v>1300</v>
      </c>
      <c r="H267" t="s">
        <v>10311</v>
      </c>
      <c r="I267" t="s">
        <v>10323</v>
      </c>
      <c r="N267">
        <v>49.415790000000001</v>
      </c>
      <c r="P267">
        <v>6.2180999999999997</v>
      </c>
      <c r="Q267" t="s">
        <v>10487</v>
      </c>
      <c r="R267" t="s">
        <v>10311</v>
      </c>
      <c r="W267" s="2" t="s">
        <v>11195</v>
      </c>
    </row>
    <row r="268" spans="1:23" hidden="1" x14ac:dyDescent="0.45">
      <c r="A268" s="1" t="s">
        <v>287</v>
      </c>
      <c r="F268" t="s">
        <v>10291</v>
      </c>
      <c r="G268">
        <v>1300</v>
      </c>
      <c r="H268" t="s">
        <v>10311</v>
      </c>
      <c r="I268" t="s">
        <v>10323</v>
      </c>
      <c r="N268">
        <v>49.415790000000001</v>
      </c>
      <c r="P268">
        <v>6.2180999999999997</v>
      </c>
      <c r="Q268" t="s">
        <v>10488</v>
      </c>
      <c r="R268" t="s">
        <v>10311</v>
      </c>
      <c r="W268" s="2" t="s">
        <v>11195</v>
      </c>
    </row>
    <row r="269" spans="1:23" hidden="1" x14ac:dyDescent="0.45">
      <c r="A269" s="1" t="s">
        <v>288</v>
      </c>
      <c r="F269" t="s">
        <v>10291</v>
      </c>
      <c r="G269">
        <v>1300</v>
      </c>
      <c r="H269" t="s">
        <v>10311</v>
      </c>
      <c r="I269" t="s">
        <v>10323</v>
      </c>
      <c r="N269">
        <v>49.415790000000001</v>
      </c>
      <c r="P269">
        <v>6.2180999999999997</v>
      </c>
      <c r="Q269" t="s">
        <v>10489</v>
      </c>
      <c r="R269" t="s">
        <v>10311</v>
      </c>
      <c r="W269" s="2" t="s">
        <v>11195</v>
      </c>
    </row>
    <row r="270" spans="1:23" hidden="1" x14ac:dyDescent="0.45">
      <c r="A270" s="1" t="s">
        <v>289</v>
      </c>
      <c r="F270" t="s">
        <v>10291</v>
      </c>
      <c r="G270">
        <v>905</v>
      </c>
      <c r="H270" t="s">
        <v>10311</v>
      </c>
      <c r="I270" t="s">
        <v>10323</v>
      </c>
      <c r="N270">
        <v>47.228559999999987</v>
      </c>
      <c r="P270">
        <v>0.16824</v>
      </c>
      <c r="Q270" t="s">
        <v>10490</v>
      </c>
      <c r="R270" t="s">
        <v>10311</v>
      </c>
      <c r="W270" s="2" t="s">
        <v>11195</v>
      </c>
    </row>
    <row r="271" spans="1:23" hidden="1" x14ac:dyDescent="0.45">
      <c r="A271" s="1" t="s">
        <v>290</v>
      </c>
      <c r="F271" t="s">
        <v>10291</v>
      </c>
      <c r="G271">
        <v>905</v>
      </c>
      <c r="H271" t="s">
        <v>10311</v>
      </c>
      <c r="I271" t="s">
        <v>10323</v>
      </c>
      <c r="N271">
        <v>47.228559999999987</v>
      </c>
      <c r="P271">
        <v>0.16824</v>
      </c>
      <c r="Q271" t="s">
        <v>10491</v>
      </c>
      <c r="R271" t="s">
        <v>10311</v>
      </c>
      <c r="W271" s="2" t="s">
        <v>11195</v>
      </c>
    </row>
    <row r="272" spans="1:23" hidden="1" x14ac:dyDescent="0.45">
      <c r="A272" s="1" t="s">
        <v>291</v>
      </c>
      <c r="F272" t="s">
        <v>10291</v>
      </c>
      <c r="G272">
        <v>905</v>
      </c>
      <c r="H272" t="s">
        <v>10311</v>
      </c>
      <c r="I272" t="s">
        <v>10323</v>
      </c>
      <c r="N272">
        <v>47.228559999999987</v>
      </c>
      <c r="P272">
        <v>0.16824</v>
      </c>
      <c r="Q272" t="s">
        <v>10492</v>
      </c>
      <c r="R272" t="s">
        <v>10311</v>
      </c>
      <c r="W272" s="2" t="s">
        <v>11195</v>
      </c>
    </row>
    <row r="273" spans="1:23" hidden="1" x14ac:dyDescent="0.45">
      <c r="A273" s="1" t="s">
        <v>292</v>
      </c>
      <c r="F273" t="s">
        <v>10291</v>
      </c>
      <c r="G273">
        <v>905</v>
      </c>
      <c r="H273" t="s">
        <v>10311</v>
      </c>
      <c r="I273" t="s">
        <v>10323</v>
      </c>
      <c r="N273">
        <v>47.228559999999987</v>
      </c>
      <c r="P273">
        <v>0.16824</v>
      </c>
      <c r="Q273" t="s">
        <v>10493</v>
      </c>
      <c r="R273" t="s">
        <v>10311</v>
      </c>
      <c r="W273" s="2" t="s">
        <v>11195</v>
      </c>
    </row>
    <row r="274" spans="1:23" hidden="1" x14ac:dyDescent="0.45">
      <c r="A274" s="1" t="s">
        <v>293</v>
      </c>
      <c r="F274" t="s">
        <v>10291</v>
      </c>
      <c r="G274">
        <v>1500</v>
      </c>
      <c r="H274" t="s">
        <v>10311</v>
      </c>
      <c r="I274" t="s">
        <v>10323</v>
      </c>
      <c r="N274">
        <v>50.091359999999987</v>
      </c>
      <c r="P274">
        <v>4.7924199999999999</v>
      </c>
      <c r="Q274" t="s">
        <v>10494</v>
      </c>
      <c r="R274" t="s">
        <v>10311</v>
      </c>
      <c r="W274" s="2" t="s">
        <v>11195</v>
      </c>
    </row>
    <row r="275" spans="1:23" hidden="1" x14ac:dyDescent="0.45">
      <c r="A275" s="1" t="s">
        <v>294</v>
      </c>
      <c r="F275" t="s">
        <v>10291</v>
      </c>
      <c r="G275">
        <v>1500</v>
      </c>
      <c r="H275" t="s">
        <v>10311</v>
      </c>
      <c r="I275" t="s">
        <v>10323</v>
      </c>
      <c r="N275">
        <v>50.091359999999987</v>
      </c>
      <c r="P275">
        <v>4.7924199999999999</v>
      </c>
      <c r="Q275" t="s">
        <v>10495</v>
      </c>
      <c r="R275" t="s">
        <v>10311</v>
      </c>
      <c r="W275" s="2" t="s">
        <v>11195</v>
      </c>
    </row>
    <row r="276" spans="1:23" hidden="1" x14ac:dyDescent="0.45">
      <c r="A276" s="1" t="s">
        <v>295</v>
      </c>
      <c r="F276" t="s">
        <v>10291</v>
      </c>
      <c r="G276">
        <v>1495</v>
      </c>
      <c r="H276" t="s">
        <v>10311</v>
      </c>
      <c r="I276" t="s">
        <v>10323</v>
      </c>
      <c r="N276">
        <v>46.456139999999998</v>
      </c>
      <c r="P276">
        <v>0.65239999999999998</v>
      </c>
      <c r="Q276" t="s">
        <v>10496</v>
      </c>
      <c r="R276" t="s">
        <v>10311</v>
      </c>
      <c r="W276" s="2" t="s">
        <v>11195</v>
      </c>
    </row>
    <row r="277" spans="1:23" hidden="1" x14ac:dyDescent="0.45">
      <c r="A277" s="1" t="s">
        <v>296</v>
      </c>
      <c r="F277" t="s">
        <v>10291</v>
      </c>
      <c r="G277">
        <v>1495</v>
      </c>
      <c r="H277" t="s">
        <v>10311</v>
      </c>
      <c r="I277" t="s">
        <v>10323</v>
      </c>
      <c r="N277">
        <v>46.456139999999998</v>
      </c>
      <c r="P277">
        <v>0.65239999999999998</v>
      </c>
      <c r="Q277" t="s">
        <v>10497</v>
      </c>
      <c r="R277" t="s">
        <v>10311</v>
      </c>
      <c r="W277" s="2" t="s">
        <v>11195</v>
      </c>
    </row>
    <row r="278" spans="1:23" hidden="1" x14ac:dyDescent="0.45">
      <c r="A278" s="1" t="s">
        <v>297</v>
      </c>
      <c r="F278" t="s">
        <v>10291</v>
      </c>
      <c r="G278">
        <v>915</v>
      </c>
      <c r="H278" t="s">
        <v>10311</v>
      </c>
      <c r="I278" t="s">
        <v>10323</v>
      </c>
      <c r="N278">
        <v>44.632510000000003</v>
      </c>
      <c r="P278">
        <v>4.7510500000000002</v>
      </c>
      <c r="Q278" t="s">
        <v>10498</v>
      </c>
      <c r="R278" t="s">
        <v>10311</v>
      </c>
      <c r="W278" s="2" t="s">
        <v>11195</v>
      </c>
    </row>
    <row r="279" spans="1:23" hidden="1" x14ac:dyDescent="0.45">
      <c r="A279" s="1" t="s">
        <v>298</v>
      </c>
      <c r="F279" t="s">
        <v>10291</v>
      </c>
      <c r="G279">
        <v>915</v>
      </c>
      <c r="H279" t="s">
        <v>10311</v>
      </c>
      <c r="I279" t="s">
        <v>10323</v>
      </c>
      <c r="N279">
        <v>44.632510000000003</v>
      </c>
      <c r="P279">
        <v>4.7510500000000002</v>
      </c>
      <c r="Q279" t="s">
        <v>10499</v>
      </c>
      <c r="R279" t="s">
        <v>10311</v>
      </c>
      <c r="W279" s="2" t="s">
        <v>11195</v>
      </c>
    </row>
    <row r="280" spans="1:23" hidden="1" x14ac:dyDescent="0.45">
      <c r="A280" s="1" t="s">
        <v>299</v>
      </c>
      <c r="F280" t="s">
        <v>10291</v>
      </c>
      <c r="G280">
        <v>915</v>
      </c>
      <c r="H280" t="s">
        <v>10311</v>
      </c>
      <c r="I280" t="s">
        <v>10323</v>
      </c>
      <c r="N280">
        <v>44.632510000000003</v>
      </c>
      <c r="P280">
        <v>4.7510500000000002</v>
      </c>
      <c r="Q280" t="s">
        <v>10500</v>
      </c>
      <c r="R280" t="s">
        <v>10311</v>
      </c>
      <c r="W280" s="2" t="s">
        <v>11195</v>
      </c>
    </row>
    <row r="281" spans="1:23" hidden="1" x14ac:dyDescent="0.45">
      <c r="A281" s="1" t="s">
        <v>300</v>
      </c>
      <c r="F281" t="s">
        <v>10291</v>
      </c>
      <c r="G281">
        <v>915</v>
      </c>
      <c r="H281" t="s">
        <v>10311</v>
      </c>
      <c r="I281" t="s">
        <v>10323</v>
      </c>
      <c r="N281">
        <v>44.632510000000003</v>
      </c>
      <c r="P281">
        <v>4.7510500000000002</v>
      </c>
      <c r="Q281" t="s">
        <v>10501</v>
      </c>
      <c r="R281" t="s">
        <v>10311</v>
      </c>
      <c r="W281" s="2" t="s">
        <v>11195</v>
      </c>
    </row>
    <row r="282" spans="1:23" hidden="1" x14ac:dyDescent="0.45">
      <c r="A282" s="1" t="s">
        <v>301</v>
      </c>
      <c r="F282" t="s">
        <v>10291</v>
      </c>
      <c r="G282">
        <v>890</v>
      </c>
      <c r="H282" t="s">
        <v>10311</v>
      </c>
      <c r="I282" t="s">
        <v>10323</v>
      </c>
      <c r="N282">
        <v>47.732520000000001</v>
      </c>
      <c r="P282">
        <v>2.5177200000000002</v>
      </c>
      <c r="Q282" t="s">
        <v>10502</v>
      </c>
      <c r="R282" t="s">
        <v>10311</v>
      </c>
      <c r="W282" s="2" t="s">
        <v>11195</v>
      </c>
    </row>
    <row r="283" spans="1:23" hidden="1" x14ac:dyDescent="0.45">
      <c r="A283" s="1" t="s">
        <v>302</v>
      </c>
      <c r="F283" t="s">
        <v>10291</v>
      </c>
      <c r="G283">
        <v>890</v>
      </c>
      <c r="H283" t="s">
        <v>10311</v>
      </c>
      <c r="I283" t="s">
        <v>10323</v>
      </c>
      <c r="N283">
        <v>47.732520000000001</v>
      </c>
      <c r="P283">
        <v>2.5177200000000002</v>
      </c>
      <c r="Q283" t="s">
        <v>10503</v>
      </c>
      <c r="R283" t="s">
        <v>10311</v>
      </c>
      <c r="W283" s="2" t="s">
        <v>11195</v>
      </c>
    </row>
    <row r="284" spans="1:23" hidden="1" x14ac:dyDescent="0.45">
      <c r="A284" s="1" t="s">
        <v>303</v>
      </c>
      <c r="F284" t="s">
        <v>10291</v>
      </c>
      <c r="G284">
        <v>890</v>
      </c>
      <c r="H284" t="s">
        <v>10311</v>
      </c>
      <c r="I284" t="s">
        <v>10323</v>
      </c>
      <c r="N284">
        <v>47.732520000000001</v>
      </c>
      <c r="P284">
        <v>2.5177200000000002</v>
      </c>
      <c r="Q284" t="s">
        <v>10504</v>
      </c>
      <c r="R284" t="s">
        <v>10311</v>
      </c>
      <c r="W284" s="2" t="s">
        <v>11195</v>
      </c>
    </row>
    <row r="285" spans="1:23" hidden="1" x14ac:dyDescent="0.45">
      <c r="A285" s="1" t="s">
        <v>304</v>
      </c>
      <c r="F285" t="s">
        <v>10291</v>
      </c>
      <c r="G285">
        <v>890</v>
      </c>
      <c r="H285" t="s">
        <v>10311</v>
      </c>
      <c r="I285" t="s">
        <v>10323</v>
      </c>
      <c r="N285">
        <v>47.732520000000001</v>
      </c>
      <c r="P285">
        <v>2.5177200000000002</v>
      </c>
      <c r="Q285" t="s">
        <v>10505</v>
      </c>
      <c r="R285" t="s">
        <v>10311</v>
      </c>
      <c r="W285" s="2" t="s">
        <v>11195</v>
      </c>
    </row>
    <row r="286" spans="1:23" hidden="1" x14ac:dyDescent="0.45">
      <c r="A286" s="1" t="s">
        <v>305</v>
      </c>
      <c r="F286" t="s">
        <v>10291</v>
      </c>
      <c r="G286">
        <v>880</v>
      </c>
      <c r="H286" t="s">
        <v>10311</v>
      </c>
      <c r="I286" t="s">
        <v>10323</v>
      </c>
      <c r="N286">
        <v>47.903030000000001</v>
      </c>
      <c r="P286">
        <v>7.5630800000000002</v>
      </c>
      <c r="Q286" t="s">
        <v>10506</v>
      </c>
      <c r="R286" t="s">
        <v>10311</v>
      </c>
      <c r="W286" s="2" t="s">
        <v>11195</v>
      </c>
    </row>
    <row r="287" spans="1:23" hidden="1" x14ac:dyDescent="0.45">
      <c r="A287" s="1" t="s">
        <v>306</v>
      </c>
      <c r="F287" t="s">
        <v>10291</v>
      </c>
      <c r="G287">
        <v>880</v>
      </c>
      <c r="H287" t="s">
        <v>10311</v>
      </c>
      <c r="I287" t="s">
        <v>10323</v>
      </c>
      <c r="N287">
        <v>47.903030000000001</v>
      </c>
      <c r="P287">
        <v>7.5630800000000002</v>
      </c>
      <c r="Q287" t="s">
        <v>10507</v>
      </c>
      <c r="R287" t="s">
        <v>10311</v>
      </c>
      <c r="W287" s="2" t="s">
        <v>11195</v>
      </c>
    </row>
    <row r="288" spans="1:23" hidden="1" x14ac:dyDescent="0.45">
      <c r="A288" s="1" t="s">
        <v>307</v>
      </c>
      <c r="F288" t="s">
        <v>10291</v>
      </c>
      <c r="G288">
        <v>1330</v>
      </c>
      <c r="H288" t="s">
        <v>10311</v>
      </c>
      <c r="I288" t="s">
        <v>10323</v>
      </c>
      <c r="N288">
        <v>49.536709999999999</v>
      </c>
      <c r="P288">
        <v>-1.88229</v>
      </c>
      <c r="Q288" t="s">
        <v>10508</v>
      </c>
      <c r="R288" t="s">
        <v>10311</v>
      </c>
      <c r="W288" s="2" t="s">
        <v>11195</v>
      </c>
    </row>
    <row r="289" spans="1:23" hidden="1" x14ac:dyDescent="0.45">
      <c r="A289" s="1" t="s">
        <v>308</v>
      </c>
      <c r="F289" t="s">
        <v>10291</v>
      </c>
      <c r="G289">
        <v>1330</v>
      </c>
      <c r="H289" t="s">
        <v>10311</v>
      </c>
      <c r="I289" t="s">
        <v>10323</v>
      </c>
      <c r="N289">
        <v>49.536709999999999</v>
      </c>
      <c r="P289">
        <v>-1.88229</v>
      </c>
      <c r="Q289" t="s">
        <v>10509</v>
      </c>
      <c r="R289" t="s">
        <v>10311</v>
      </c>
      <c r="W289" s="2" t="s">
        <v>11195</v>
      </c>
    </row>
    <row r="290" spans="1:23" hidden="1" x14ac:dyDescent="0.45">
      <c r="A290" s="1" t="s">
        <v>309</v>
      </c>
      <c r="F290" t="s">
        <v>10291</v>
      </c>
      <c r="G290">
        <v>1310</v>
      </c>
      <c r="H290" t="s">
        <v>10311</v>
      </c>
      <c r="I290" t="s">
        <v>10323</v>
      </c>
      <c r="N290">
        <v>44.104790000000001</v>
      </c>
      <c r="P290">
        <v>0.84606000000000003</v>
      </c>
      <c r="Q290" t="s">
        <v>10510</v>
      </c>
      <c r="R290" t="s">
        <v>10311</v>
      </c>
      <c r="W290" s="2" t="s">
        <v>11195</v>
      </c>
    </row>
    <row r="291" spans="1:23" hidden="1" x14ac:dyDescent="0.45">
      <c r="A291" s="1" t="s">
        <v>310</v>
      </c>
      <c r="F291" t="s">
        <v>10291</v>
      </c>
      <c r="G291">
        <v>1310</v>
      </c>
      <c r="H291" t="s">
        <v>10311</v>
      </c>
      <c r="I291" t="s">
        <v>10323</v>
      </c>
      <c r="N291">
        <v>44.104790000000001</v>
      </c>
      <c r="P291">
        <v>0.84606000000000003</v>
      </c>
      <c r="Q291" t="s">
        <v>10511</v>
      </c>
      <c r="R291" t="s">
        <v>10311</v>
      </c>
      <c r="W291" s="2" t="s">
        <v>11195</v>
      </c>
    </row>
    <row r="292" spans="1:23" hidden="1" x14ac:dyDescent="0.45">
      <c r="A292" s="1" t="s">
        <v>311</v>
      </c>
      <c r="F292" t="s">
        <v>10291</v>
      </c>
      <c r="G292">
        <v>910</v>
      </c>
      <c r="H292" t="s">
        <v>10311</v>
      </c>
      <c r="I292" t="s">
        <v>10323</v>
      </c>
      <c r="N292">
        <v>51.01267</v>
      </c>
      <c r="P292">
        <v>2.1395599999999999</v>
      </c>
      <c r="Q292" t="s">
        <v>10512</v>
      </c>
      <c r="R292" t="s">
        <v>10311</v>
      </c>
      <c r="W292" s="2" t="s">
        <v>11195</v>
      </c>
    </row>
    <row r="293" spans="1:23" hidden="1" x14ac:dyDescent="0.45">
      <c r="A293" s="1" t="s">
        <v>312</v>
      </c>
      <c r="F293" t="s">
        <v>10291</v>
      </c>
      <c r="G293">
        <v>910</v>
      </c>
      <c r="H293" t="s">
        <v>10311</v>
      </c>
      <c r="I293" t="s">
        <v>10323</v>
      </c>
      <c r="N293">
        <v>51.01267</v>
      </c>
      <c r="P293">
        <v>2.1395599999999999</v>
      </c>
      <c r="Q293" t="s">
        <v>10513</v>
      </c>
      <c r="R293" t="s">
        <v>10311</v>
      </c>
      <c r="W293" s="2" t="s">
        <v>11195</v>
      </c>
    </row>
    <row r="294" spans="1:23" hidden="1" x14ac:dyDescent="0.45">
      <c r="A294" s="1" t="s">
        <v>313</v>
      </c>
      <c r="F294" t="s">
        <v>10291</v>
      </c>
      <c r="G294">
        <v>910</v>
      </c>
      <c r="H294" t="s">
        <v>10311</v>
      </c>
      <c r="I294" t="s">
        <v>10323</v>
      </c>
      <c r="N294">
        <v>51.01267</v>
      </c>
      <c r="P294">
        <v>2.1395599999999999</v>
      </c>
      <c r="Q294" t="s">
        <v>10514</v>
      </c>
      <c r="R294" t="s">
        <v>10311</v>
      </c>
      <c r="W294" s="2" t="s">
        <v>11195</v>
      </c>
    </row>
    <row r="295" spans="1:23" hidden="1" x14ac:dyDescent="0.45">
      <c r="A295" s="1" t="s">
        <v>314</v>
      </c>
      <c r="F295" t="s">
        <v>10291</v>
      </c>
      <c r="G295">
        <v>910</v>
      </c>
      <c r="H295" t="s">
        <v>10311</v>
      </c>
      <c r="I295" t="s">
        <v>10323</v>
      </c>
      <c r="N295">
        <v>51.01267</v>
      </c>
      <c r="P295">
        <v>2.1395599999999999</v>
      </c>
      <c r="Q295" t="s">
        <v>10515</v>
      </c>
      <c r="R295" t="s">
        <v>10311</v>
      </c>
      <c r="W295" s="2" t="s">
        <v>11195</v>
      </c>
    </row>
    <row r="296" spans="1:23" hidden="1" x14ac:dyDescent="0.45">
      <c r="A296" s="1" t="s">
        <v>315</v>
      </c>
      <c r="F296" t="s">
        <v>10291</v>
      </c>
      <c r="G296">
        <v>910</v>
      </c>
      <c r="H296" t="s">
        <v>10311</v>
      </c>
      <c r="I296" t="s">
        <v>10323</v>
      </c>
      <c r="N296">
        <v>51.01267</v>
      </c>
      <c r="P296">
        <v>2.1395599999999999</v>
      </c>
      <c r="Q296" t="s">
        <v>10516</v>
      </c>
      <c r="R296" t="s">
        <v>10311</v>
      </c>
      <c r="W296" s="2" t="s">
        <v>11195</v>
      </c>
    </row>
    <row r="297" spans="1:23" hidden="1" x14ac:dyDescent="0.45">
      <c r="A297" s="1" t="s">
        <v>316</v>
      </c>
      <c r="F297" t="s">
        <v>10291</v>
      </c>
      <c r="G297">
        <v>910</v>
      </c>
      <c r="H297" t="s">
        <v>10311</v>
      </c>
      <c r="I297" t="s">
        <v>10323</v>
      </c>
      <c r="N297">
        <v>51.01267</v>
      </c>
      <c r="P297">
        <v>2.1395599999999999</v>
      </c>
      <c r="Q297" t="s">
        <v>10517</v>
      </c>
      <c r="R297" t="s">
        <v>10311</v>
      </c>
      <c r="W297" s="2" t="s">
        <v>11195</v>
      </c>
    </row>
    <row r="298" spans="1:23" hidden="1" x14ac:dyDescent="0.45">
      <c r="A298" s="1" t="s">
        <v>317</v>
      </c>
      <c r="F298" t="s">
        <v>10291</v>
      </c>
      <c r="G298">
        <v>1310</v>
      </c>
      <c r="H298" t="s">
        <v>10311</v>
      </c>
      <c r="I298" t="s">
        <v>10323</v>
      </c>
      <c r="N298">
        <v>48.515300000000003</v>
      </c>
      <c r="P298">
        <v>3.51776</v>
      </c>
      <c r="Q298" t="s">
        <v>10518</v>
      </c>
      <c r="R298" t="s">
        <v>10311</v>
      </c>
      <c r="W298" s="2" t="s">
        <v>11195</v>
      </c>
    </row>
    <row r="299" spans="1:23" hidden="1" x14ac:dyDescent="0.45">
      <c r="A299" s="1" t="s">
        <v>318</v>
      </c>
      <c r="F299" t="s">
        <v>10291</v>
      </c>
      <c r="G299">
        <v>1310</v>
      </c>
      <c r="H299" t="s">
        <v>10311</v>
      </c>
      <c r="I299" t="s">
        <v>10323</v>
      </c>
      <c r="N299">
        <v>48.515300000000003</v>
      </c>
      <c r="P299">
        <v>3.51776</v>
      </c>
      <c r="Q299" t="s">
        <v>10519</v>
      </c>
      <c r="R299" t="s">
        <v>10311</v>
      </c>
      <c r="W299" s="2" t="s">
        <v>11195</v>
      </c>
    </row>
    <row r="300" spans="1:23" hidden="1" x14ac:dyDescent="0.45">
      <c r="A300" s="1" t="s">
        <v>319</v>
      </c>
      <c r="F300" t="s">
        <v>10291</v>
      </c>
      <c r="G300">
        <v>1330</v>
      </c>
      <c r="H300" t="s">
        <v>10311</v>
      </c>
      <c r="I300" t="s">
        <v>10323</v>
      </c>
      <c r="N300">
        <v>49.858379999999997</v>
      </c>
      <c r="P300">
        <v>0.63449</v>
      </c>
      <c r="Q300" t="s">
        <v>10520</v>
      </c>
      <c r="R300" t="s">
        <v>10311</v>
      </c>
      <c r="W300" s="2" t="s">
        <v>11195</v>
      </c>
    </row>
    <row r="301" spans="1:23" hidden="1" x14ac:dyDescent="0.45">
      <c r="A301" s="1" t="s">
        <v>320</v>
      </c>
      <c r="F301" t="s">
        <v>10291</v>
      </c>
      <c r="G301">
        <v>1330</v>
      </c>
      <c r="H301" t="s">
        <v>10311</v>
      </c>
      <c r="I301" t="s">
        <v>10323</v>
      </c>
      <c r="N301">
        <v>49.858379999999997</v>
      </c>
      <c r="P301">
        <v>0.63449</v>
      </c>
      <c r="Q301" t="s">
        <v>10521</v>
      </c>
      <c r="R301" t="s">
        <v>10311</v>
      </c>
      <c r="W301" s="2" t="s">
        <v>11195</v>
      </c>
    </row>
    <row r="302" spans="1:23" hidden="1" x14ac:dyDescent="0.45">
      <c r="A302" s="1" t="s">
        <v>321</v>
      </c>
      <c r="F302" t="s">
        <v>10291</v>
      </c>
      <c r="G302">
        <v>1330</v>
      </c>
      <c r="H302" t="s">
        <v>10311</v>
      </c>
      <c r="I302" t="s">
        <v>10323</v>
      </c>
      <c r="N302">
        <v>49.858379999999997</v>
      </c>
      <c r="P302">
        <v>0.63449</v>
      </c>
      <c r="Q302" t="s">
        <v>10522</v>
      </c>
      <c r="R302" t="s">
        <v>10311</v>
      </c>
      <c r="W302" s="2" t="s">
        <v>11195</v>
      </c>
    </row>
    <row r="303" spans="1:23" hidden="1" x14ac:dyDescent="0.45">
      <c r="A303" s="1" t="s">
        <v>322</v>
      </c>
      <c r="F303" t="s">
        <v>10291</v>
      </c>
      <c r="G303">
        <v>1330</v>
      </c>
      <c r="H303" t="s">
        <v>10311</v>
      </c>
      <c r="I303" t="s">
        <v>10323</v>
      </c>
      <c r="N303">
        <v>49.858379999999997</v>
      </c>
      <c r="P303">
        <v>0.63449</v>
      </c>
      <c r="Q303" t="s">
        <v>10523</v>
      </c>
      <c r="R303" t="s">
        <v>10311</v>
      </c>
      <c r="W303" s="2" t="s">
        <v>11195</v>
      </c>
    </row>
    <row r="304" spans="1:23" hidden="1" x14ac:dyDescent="0.45">
      <c r="A304" s="1" t="s">
        <v>323</v>
      </c>
      <c r="F304" t="s">
        <v>10291</v>
      </c>
      <c r="G304">
        <v>1330</v>
      </c>
      <c r="H304" t="s">
        <v>10311</v>
      </c>
      <c r="I304" t="s">
        <v>10323</v>
      </c>
      <c r="N304">
        <v>49.975990000000003</v>
      </c>
      <c r="P304">
        <v>1.21025</v>
      </c>
      <c r="Q304" t="s">
        <v>10524</v>
      </c>
      <c r="R304" t="s">
        <v>10311</v>
      </c>
      <c r="W304" s="2" t="s">
        <v>11195</v>
      </c>
    </row>
    <row r="305" spans="1:23" hidden="1" x14ac:dyDescent="0.45">
      <c r="A305" s="1" t="s">
        <v>324</v>
      </c>
      <c r="F305" t="s">
        <v>10291</v>
      </c>
      <c r="G305">
        <v>1330</v>
      </c>
      <c r="H305" t="s">
        <v>10311</v>
      </c>
      <c r="I305" t="s">
        <v>10323</v>
      </c>
      <c r="N305">
        <v>49.975990000000003</v>
      </c>
      <c r="P305">
        <v>1.21025</v>
      </c>
      <c r="Q305" t="s">
        <v>10525</v>
      </c>
      <c r="R305" t="s">
        <v>10311</v>
      </c>
      <c r="W305" s="2" t="s">
        <v>11195</v>
      </c>
    </row>
    <row r="306" spans="1:23" hidden="1" x14ac:dyDescent="0.45">
      <c r="A306" s="1" t="s">
        <v>325</v>
      </c>
      <c r="F306" t="s">
        <v>10291</v>
      </c>
      <c r="G306">
        <v>1335</v>
      </c>
      <c r="H306" t="s">
        <v>10311</v>
      </c>
      <c r="I306" t="s">
        <v>10323</v>
      </c>
      <c r="N306">
        <v>45.405230000000003</v>
      </c>
      <c r="P306">
        <v>4.7552699999999994</v>
      </c>
      <c r="Q306" t="s">
        <v>10526</v>
      </c>
      <c r="R306" t="s">
        <v>10311</v>
      </c>
      <c r="W306" s="2" t="s">
        <v>11195</v>
      </c>
    </row>
    <row r="307" spans="1:23" hidden="1" x14ac:dyDescent="0.45">
      <c r="A307" s="1" t="s">
        <v>326</v>
      </c>
      <c r="F307" t="s">
        <v>10291</v>
      </c>
      <c r="G307">
        <v>1335</v>
      </c>
      <c r="H307" t="s">
        <v>10311</v>
      </c>
      <c r="I307" t="s">
        <v>10323</v>
      </c>
      <c r="N307">
        <v>45.405230000000003</v>
      </c>
      <c r="P307">
        <v>4.7552699999999994</v>
      </c>
      <c r="Q307" t="s">
        <v>10527</v>
      </c>
      <c r="R307" t="s">
        <v>10311</v>
      </c>
      <c r="W307" s="2" t="s">
        <v>11195</v>
      </c>
    </row>
    <row r="308" spans="1:23" hidden="1" x14ac:dyDescent="0.45">
      <c r="A308" s="1" t="s">
        <v>327</v>
      </c>
      <c r="F308" t="s">
        <v>10291</v>
      </c>
      <c r="G308">
        <v>915</v>
      </c>
      <c r="H308" t="s">
        <v>10311</v>
      </c>
      <c r="I308" t="s">
        <v>10323</v>
      </c>
      <c r="N308">
        <v>47.720059999999997</v>
      </c>
      <c r="P308">
        <v>1.58009</v>
      </c>
      <c r="Q308" t="s">
        <v>10528</v>
      </c>
      <c r="R308" t="s">
        <v>10311</v>
      </c>
      <c r="W308" s="2" t="s">
        <v>11195</v>
      </c>
    </row>
    <row r="309" spans="1:23" hidden="1" x14ac:dyDescent="0.45">
      <c r="A309" s="1" t="s">
        <v>328</v>
      </c>
      <c r="F309" t="s">
        <v>10291</v>
      </c>
      <c r="G309">
        <v>915</v>
      </c>
      <c r="H309" t="s">
        <v>10311</v>
      </c>
      <c r="I309" t="s">
        <v>10323</v>
      </c>
      <c r="N309">
        <v>47.720059999999997</v>
      </c>
      <c r="P309">
        <v>1.58009</v>
      </c>
      <c r="Q309" t="s">
        <v>10529</v>
      </c>
      <c r="R309" t="s">
        <v>10311</v>
      </c>
      <c r="W309" s="2" t="s">
        <v>11195</v>
      </c>
    </row>
    <row r="310" spans="1:23" hidden="1" x14ac:dyDescent="0.45">
      <c r="A310" s="1" t="s">
        <v>329</v>
      </c>
      <c r="F310" t="s">
        <v>10291</v>
      </c>
      <c r="G310">
        <v>915</v>
      </c>
      <c r="H310" t="s">
        <v>10311</v>
      </c>
      <c r="I310" t="s">
        <v>10323</v>
      </c>
      <c r="N310">
        <v>44.329059999999998</v>
      </c>
      <c r="P310">
        <v>4.7260499999999999</v>
      </c>
      <c r="Q310" t="s">
        <v>10530</v>
      </c>
      <c r="R310" t="s">
        <v>10311</v>
      </c>
      <c r="W310" s="2" t="s">
        <v>11195</v>
      </c>
    </row>
    <row r="311" spans="1:23" hidden="1" x14ac:dyDescent="0.45">
      <c r="A311" s="1" t="s">
        <v>330</v>
      </c>
      <c r="F311" t="s">
        <v>10291</v>
      </c>
      <c r="G311">
        <v>915</v>
      </c>
      <c r="H311" t="s">
        <v>10311</v>
      </c>
      <c r="I311" t="s">
        <v>10323</v>
      </c>
      <c r="N311">
        <v>44.329059999999998</v>
      </c>
      <c r="P311">
        <v>4.7260499999999999</v>
      </c>
      <c r="Q311" t="s">
        <v>10531</v>
      </c>
      <c r="R311" t="s">
        <v>10311</v>
      </c>
      <c r="W311" s="2" t="s">
        <v>11195</v>
      </c>
    </row>
    <row r="312" spans="1:23" hidden="1" x14ac:dyDescent="0.45">
      <c r="A312" s="1" t="s">
        <v>331</v>
      </c>
      <c r="F312" t="s">
        <v>10291</v>
      </c>
      <c r="G312">
        <v>915</v>
      </c>
      <c r="H312" t="s">
        <v>10311</v>
      </c>
      <c r="I312" t="s">
        <v>10323</v>
      </c>
      <c r="N312">
        <v>44.329059999999998</v>
      </c>
      <c r="P312">
        <v>4.7260499999999999</v>
      </c>
      <c r="Q312" t="s">
        <v>10532</v>
      </c>
      <c r="R312" t="s">
        <v>10311</v>
      </c>
      <c r="W312" s="2" t="s">
        <v>11195</v>
      </c>
    </row>
    <row r="313" spans="1:23" hidden="1" x14ac:dyDescent="0.45">
      <c r="A313" s="1" t="s">
        <v>332</v>
      </c>
      <c r="F313" t="s">
        <v>10291</v>
      </c>
      <c r="G313">
        <v>915</v>
      </c>
      <c r="H313" t="s">
        <v>10311</v>
      </c>
      <c r="I313" t="s">
        <v>10323</v>
      </c>
      <c r="N313">
        <v>44.329059999999998</v>
      </c>
      <c r="P313">
        <v>4.7260499999999999</v>
      </c>
      <c r="Q313" t="s">
        <v>10533</v>
      </c>
      <c r="R313" t="s">
        <v>10311</v>
      </c>
      <c r="W313" s="2" t="s">
        <v>11195</v>
      </c>
    </row>
    <row r="314" spans="1:23" hidden="1" x14ac:dyDescent="0.45">
      <c r="A314" s="1" t="s">
        <v>333</v>
      </c>
      <c r="F314" t="s">
        <v>10291</v>
      </c>
      <c r="G314">
        <v>62</v>
      </c>
      <c r="H314" t="s">
        <v>10315</v>
      </c>
      <c r="L314">
        <v>2009</v>
      </c>
      <c r="N314">
        <v>43.42801</v>
      </c>
      <c r="P314">
        <v>4.88652</v>
      </c>
      <c r="Q314" t="s">
        <v>10534</v>
      </c>
      <c r="R314" t="s">
        <v>10315</v>
      </c>
      <c r="W314" s="2" t="s">
        <v>11195</v>
      </c>
    </row>
    <row r="315" spans="1:23" hidden="1" x14ac:dyDescent="0.45">
      <c r="A315" s="1" t="s">
        <v>334</v>
      </c>
      <c r="B315" t="s">
        <v>6042</v>
      </c>
      <c r="F315" t="s">
        <v>10292</v>
      </c>
      <c r="G315">
        <v>370</v>
      </c>
      <c r="H315" t="s">
        <v>10316</v>
      </c>
      <c r="N315">
        <v>51.267189999999999</v>
      </c>
      <c r="P315">
        <v>19.31765</v>
      </c>
      <c r="Q315" t="s">
        <v>10535</v>
      </c>
      <c r="R315" t="s">
        <v>11037</v>
      </c>
      <c r="S315" t="s">
        <v>10316</v>
      </c>
      <c r="W315" s="2" t="s">
        <v>11196</v>
      </c>
    </row>
    <row r="316" spans="1:23" hidden="1" x14ac:dyDescent="0.45">
      <c r="A316" s="1" t="s">
        <v>335</v>
      </c>
      <c r="B316" t="s">
        <v>6042</v>
      </c>
      <c r="F316" t="s">
        <v>10292</v>
      </c>
      <c r="G316">
        <v>380</v>
      </c>
      <c r="H316" t="s">
        <v>10316</v>
      </c>
      <c r="N316">
        <v>51.267189999999999</v>
      </c>
      <c r="P316">
        <v>19.31765</v>
      </c>
      <c r="Q316" t="s">
        <v>10535</v>
      </c>
      <c r="R316" t="s">
        <v>11037</v>
      </c>
      <c r="S316" t="s">
        <v>10316</v>
      </c>
      <c r="W316" s="2" t="s">
        <v>11196</v>
      </c>
    </row>
    <row r="317" spans="1:23" hidden="1" x14ac:dyDescent="0.45">
      <c r="A317" s="1" t="s">
        <v>336</v>
      </c>
      <c r="B317" t="s">
        <v>6042</v>
      </c>
      <c r="F317" t="s">
        <v>10292</v>
      </c>
      <c r="G317">
        <v>380</v>
      </c>
      <c r="H317" t="s">
        <v>10316</v>
      </c>
      <c r="N317">
        <v>51.267189999999999</v>
      </c>
      <c r="P317">
        <v>19.31765</v>
      </c>
      <c r="Q317" t="s">
        <v>10535</v>
      </c>
      <c r="R317" t="s">
        <v>11037</v>
      </c>
      <c r="S317" t="s">
        <v>10316</v>
      </c>
      <c r="W317" s="2" t="s">
        <v>11196</v>
      </c>
    </row>
    <row r="318" spans="1:23" hidden="1" x14ac:dyDescent="0.45">
      <c r="A318" s="1" t="s">
        <v>337</v>
      </c>
      <c r="B318" t="s">
        <v>6042</v>
      </c>
      <c r="F318" t="s">
        <v>10292</v>
      </c>
      <c r="G318">
        <v>380</v>
      </c>
      <c r="H318" t="s">
        <v>10316</v>
      </c>
      <c r="N318">
        <v>51.267189999999999</v>
      </c>
      <c r="P318">
        <v>19.31765</v>
      </c>
      <c r="Q318" t="s">
        <v>10535</v>
      </c>
      <c r="R318" t="s">
        <v>11037</v>
      </c>
      <c r="S318" t="s">
        <v>10316</v>
      </c>
      <c r="W318" s="2" t="s">
        <v>11196</v>
      </c>
    </row>
    <row r="319" spans="1:23" hidden="1" x14ac:dyDescent="0.45">
      <c r="A319" s="1" t="s">
        <v>338</v>
      </c>
      <c r="B319" t="s">
        <v>6042</v>
      </c>
      <c r="F319" t="s">
        <v>10292</v>
      </c>
      <c r="G319">
        <v>394</v>
      </c>
      <c r="H319" t="s">
        <v>10316</v>
      </c>
      <c r="N319">
        <v>51.267189999999999</v>
      </c>
      <c r="P319">
        <v>19.31765</v>
      </c>
      <c r="Q319" t="s">
        <v>10535</v>
      </c>
      <c r="R319" t="s">
        <v>11037</v>
      </c>
      <c r="S319" t="s">
        <v>10316</v>
      </c>
      <c r="W319" s="2" t="s">
        <v>11196</v>
      </c>
    </row>
    <row r="320" spans="1:23" hidden="1" x14ac:dyDescent="0.45">
      <c r="A320" s="1" t="s">
        <v>339</v>
      </c>
      <c r="B320" t="s">
        <v>6042</v>
      </c>
      <c r="F320" t="s">
        <v>10292</v>
      </c>
      <c r="G320">
        <v>390</v>
      </c>
      <c r="H320" t="s">
        <v>10316</v>
      </c>
      <c r="N320">
        <v>51.267189999999999</v>
      </c>
      <c r="P320">
        <v>19.31765</v>
      </c>
      <c r="Q320" t="s">
        <v>10535</v>
      </c>
      <c r="R320" t="s">
        <v>11037</v>
      </c>
      <c r="S320" t="s">
        <v>10316</v>
      </c>
      <c r="W320" s="2" t="s">
        <v>11196</v>
      </c>
    </row>
    <row r="321" spans="1:23" hidden="1" x14ac:dyDescent="0.45">
      <c r="A321" s="1" t="s">
        <v>340</v>
      </c>
      <c r="B321" t="s">
        <v>6042</v>
      </c>
      <c r="F321" t="s">
        <v>10292</v>
      </c>
      <c r="G321">
        <v>390</v>
      </c>
      <c r="H321" t="s">
        <v>10316</v>
      </c>
      <c r="N321">
        <v>51.267189999999999</v>
      </c>
      <c r="P321">
        <v>19.31765</v>
      </c>
      <c r="Q321" t="s">
        <v>10535</v>
      </c>
      <c r="R321" t="s">
        <v>11037</v>
      </c>
      <c r="S321" t="s">
        <v>10316</v>
      </c>
      <c r="W321" s="2" t="s">
        <v>11196</v>
      </c>
    </row>
    <row r="322" spans="1:23" hidden="1" x14ac:dyDescent="0.45">
      <c r="A322" s="1" t="s">
        <v>341</v>
      </c>
      <c r="B322" t="s">
        <v>6042</v>
      </c>
      <c r="F322" t="s">
        <v>10292</v>
      </c>
      <c r="G322">
        <v>390</v>
      </c>
      <c r="H322" t="s">
        <v>10316</v>
      </c>
      <c r="N322">
        <v>51.267189999999999</v>
      </c>
      <c r="P322">
        <v>19.31765</v>
      </c>
      <c r="Q322" t="s">
        <v>10535</v>
      </c>
      <c r="R322" t="s">
        <v>11037</v>
      </c>
      <c r="S322" t="s">
        <v>10316</v>
      </c>
      <c r="W322" s="2" t="s">
        <v>11196</v>
      </c>
    </row>
    <row r="323" spans="1:23" hidden="1" x14ac:dyDescent="0.45">
      <c r="A323" s="1" t="s">
        <v>342</v>
      </c>
      <c r="B323" t="s">
        <v>6042</v>
      </c>
      <c r="F323" t="s">
        <v>10292</v>
      </c>
      <c r="G323">
        <v>390</v>
      </c>
      <c r="H323" t="s">
        <v>10316</v>
      </c>
      <c r="N323">
        <v>51.267189999999999</v>
      </c>
      <c r="P323">
        <v>19.31765</v>
      </c>
      <c r="Q323" t="s">
        <v>10535</v>
      </c>
      <c r="R323" t="s">
        <v>11037</v>
      </c>
      <c r="S323" t="s">
        <v>10316</v>
      </c>
      <c r="W323" s="2" t="s">
        <v>11196</v>
      </c>
    </row>
    <row r="324" spans="1:23" hidden="1" x14ac:dyDescent="0.45">
      <c r="A324" s="1" t="s">
        <v>343</v>
      </c>
      <c r="B324" t="s">
        <v>6042</v>
      </c>
      <c r="F324" t="s">
        <v>10292</v>
      </c>
      <c r="G324">
        <v>390</v>
      </c>
      <c r="H324" t="s">
        <v>10316</v>
      </c>
      <c r="N324">
        <v>51.267189999999999</v>
      </c>
      <c r="P324">
        <v>19.31765</v>
      </c>
      <c r="Q324" t="s">
        <v>10535</v>
      </c>
      <c r="R324" t="s">
        <v>11037</v>
      </c>
      <c r="S324" t="s">
        <v>10316</v>
      </c>
      <c r="W324" s="2" t="s">
        <v>11196</v>
      </c>
    </row>
    <row r="325" spans="1:23" hidden="1" x14ac:dyDescent="0.45">
      <c r="A325" s="1" t="s">
        <v>344</v>
      </c>
      <c r="B325" t="s">
        <v>6042</v>
      </c>
      <c r="F325" t="s">
        <v>10292</v>
      </c>
      <c r="G325">
        <v>390</v>
      </c>
      <c r="H325" t="s">
        <v>10316</v>
      </c>
      <c r="N325">
        <v>51.267189999999999</v>
      </c>
      <c r="P325">
        <v>19.31765</v>
      </c>
      <c r="Q325" t="s">
        <v>10535</v>
      </c>
      <c r="R325" t="s">
        <v>11037</v>
      </c>
      <c r="S325" t="s">
        <v>10316</v>
      </c>
      <c r="W325" s="2" t="s">
        <v>11196</v>
      </c>
    </row>
    <row r="326" spans="1:23" hidden="1" x14ac:dyDescent="0.45">
      <c r="A326" s="1" t="s">
        <v>345</v>
      </c>
      <c r="B326" t="s">
        <v>6042</v>
      </c>
      <c r="F326" t="s">
        <v>10292</v>
      </c>
      <c r="G326">
        <v>858</v>
      </c>
      <c r="H326" t="s">
        <v>10316</v>
      </c>
      <c r="N326">
        <v>51.267189999999999</v>
      </c>
      <c r="P326">
        <v>19.31765</v>
      </c>
      <c r="Q326" t="s">
        <v>10535</v>
      </c>
      <c r="R326" t="s">
        <v>11037</v>
      </c>
      <c r="S326" t="s">
        <v>10316</v>
      </c>
      <c r="W326" s="2" t="s">
        <v>11196</v>
      </c>
    </row>
    <row r="327" spans="1:23" hidden="1" x14ac:dyDescent="0.45">
      <c r="A327" s="1" t="s">
        <v>346</v>
      </c>
      <c r="B327" t="s">
        <v>6043</v>
      </c>
      <c r="F327" t="s">
        <v>10292</v>
      </c>
      <c r="G327">
        <v>222</v>
      </c>
      <c r="H327" t="s">
        <v>10314</v>
      </c>
      <c r="N327">
        <v>53.209809999999997</v>
      </c>
      <c r="P327">
        <v>14.46696</v>
      </c>
      <c r="Q327" t="s">
        <v>10536</v>
      </c>
      <c r="R327" t="s">
        <v>11037</v>
      </c>
      <c r="S327" t="s">
        <v>10314</v>
      </c>
      <c r="W327" s="2" t="s">
        <v>11196</v>
      </c>
    </row>
    <row r="328" spans="1:23" hidden="1" x14ac:dyDescent="0.45">
      <c r="A328" s="1" t="s">
        <v>347</v>
      </c>
      <c r="B328" t="s">
        <v>6043</v>
      </c>
      <c r="F328" t="s">
        <v>10292</v>
      </c>
      <c r="G328">
        <v>232</v>
      </c>
      <c r="H328" t="s">
        <v>10314</v>
      </c>
      <c r="N328">
        <v>53.209809999999997</v>
      </c>
      <c r="P328">
        <v>14.46696</v>
      </c>
      <c r="Q328" t="s">
        <v>10536</v>
      </c>
      <c r="R328" t="s">
        <v>11037</v>
      </c>
      <c r="S328" t="s">
        <v>10314</v>
      </c>
      <c r="W328" s="2" t="s">
        <v>11196</v>
      </c>
    </row>
    <row r="329" spans="1:23" hidden="1" x14ac:dyDescent="0.45">
      <c r="A329" s="1" t="s">
        <v>348</v>
      </c>
      <c r="B329" t="s">
        <v>6043</v>
      </c>
      <c r="F329" t="s">
        <v>10292</v>
      </c>
      <c r="G329">
        <v>222</v>
      </c>
      <c r="H329" t="s">
        <v>10314</v>
      </c>
      <c r="N329">
        <v>53.209809999999997</v>
      </c>
      <c r="P329">
        <v>14.46696</v>
      </c>
      <c r="Q329" t="s">
        <v>10536</v>
      </c>
      <c r="R329" t="s">
        <v>11037</v>
      </c>
      <c r="S329" t="s">
        <v>10314</v>
      </c>
      <c r="W329" s="2" t="s">
        <v>11196</v>
      </c>
    </row>
    <row r="330" spans="1:23" hidden="1" x14ac:dyDescent="0.45">
      <c r="A330" s="1" t="s">
        <v>349</v>
      </c>
      <c r="B330" t="s">
        <v>6043</v>
      </c>
      <c r="F330" t="s">
        <v>10292</v>
      </c>
      <c r="G330">
        <v>222</v>
      </c>
      <c r="H330" t="s">
        <v>10314</v>
      </c>
      <c r="N330">
        <v>53.209809999999997</v>
      </c>
      <c r="P330">
        <v>14.46696</v>
      </c>
      <c r="Q330" t="s">
        <v>10536</v>
      </c>
      <c r="R330" t="s">
        <v>11037</v>
      </c>
      <c r="S330" t="s">
        <v>10314</v>
      </c>
      <c r="W330" s="2" t="s">
        <v>11196</v>
      </c>
    </row>
    <row r="331" spans="1:23" hidden="1" x14ac:dyDescent="0.45">
      <c r="A331" s="1" t="s">
        <v>350</v>
      </c>
      <c r="B331" t="s">
        <v>6043</v>
      </c>
      <c r="F331" t="s">
        <v>10292</v>
      </c>
      <c r="G331">
        <v>227</v>
      </c>
      <c r="H331" t="s">
        <v>10314</v>
      </c>
      <c r="N331">
        <v>53.209809999999997</v>
      </c>
      <c r="P331">
        <v>14.46696</v>
      </c>
      <c r="Q331" t="s">
        <v>10536</v>
      </c>
      <c r="R331" t="s">
        <v>11037</v>
      </c>
      <c r="S331" t="s">
        <v>10314</v>
      </c>
      <c r="W331" s="2" t="s">
        <v>11196</v>
      </c>
    </row>
    <row r="332" spans="1:23" hidden="1" x14ac:dyDescent="0.45">
      <c r="A332" s="1" t="s">
        <v>351</v>
      </c>
      <c r="B332" t="s">
        <v>6043</v>
      </c>
      <c r="F332" t="s">
        <v>10292</v>
      </c>
      <c r="G332">
        <v>232</v>
      </c>
      <c r="H332" t="s">
        <v>10314</v>
      </c>
      <c r="N332">
        <v>53.209809999999997</v>
      </c>
      <c r="P332">
        <v>14.46696</v>
      </c>
      <c r="Q332" t="s">
        <v>10536</v>
      </c>
      <c r="R332" t="s">
        <v>11037</v>
      </c>
      <c r="S332" t="s">
        <v>10314</v>
      </c>
      <c r="W332" s="2" t="s">
        <v>11196</v>
      </c>
    </row>
    <row r="333" spans="1:23" hidden="1" x14ac:dyDescent="0.45">
      <c r="A333" s="1" t="s">
        <v>352</v>
      </c>
      <c r="B333" t="s">
        <v>6044</v>
      </c>
      <c r="F333" t="s">
        <v>10292</v>
      </c>
      <c r="G333">
        <v>28</v>
      </c>
      <c r="H333" t="s">
        <v>10310</v>
      </c>
      <c r="I333" t="s">
        <v>10324</v>
      </c>
      <c r="N333">
        <v>51.560759999999988</v>
      </c>
      <c r="P333">
        <v>15.451449999999999</v>
      </c>
      <c r="Q333" t="s">
        <v>10537</v>
      </c>
      <c r="R333" t="s">
        <v>11038</v>
      </c>
      <c r="S333" t="s">
        <v>10310</v>
      </c>
      <c r="W333" s="2" t="s">
        <v>11196</v>
      </c>
    </row>
    <row r="334" spans="1:23" hidden="1" x14ac:dyDescent="0.45">
      <c r="A334" s="1" t="s">
        <v>353</v>
      </c>
      <c r="B334" t="s">
        <v>6044</v>
      </c>
      <c r="F334" t="s">
        <v>10292</v>
      </c>
      <c r="G334">
        <v>29</v>
      </c>
      <c r="H334" t="s">
        <v>10310</v>
      </c>
      <c r="I334" t="s">
        <v>10324</v>
      </c>
      <c r="N334">
        <v>51.560759999999988</v>
      </c>
      <c r="P334">
        <v>15.451449999999999</v>
      </c>
      <c r="Q334" t="s">
        <v>10537</v>
      </c>
      <c r="R334" t="s">
        <v>11038</v>
      </c>
      <c r="S334" t="s">
        <v>10310</v>
      </c>
      <c r="W334" s="2" t="s">
        <v>11196</v>
      </c>
    </row>
    <row r="335" spans="1:23" hidden="1" x14ac:dyDescent="0.45">
      <c r="A335" s="1" t="s">
        <v>354</v>
      </c>
      <c r="B335" t="s">
        <v>6044</v>
      </c>
      <c r="F335" t="s">
        <v>10292</v>
      </c>
      <c r="G335">
        <v>28</v>
      </c>
      <c r="H335" t="s">
        <v>10310</v>
      </c>
      <c r="I335" t="s">
        <v>10324</v>
      </c>
      <c r="N335">
        <v>51.560759999999988</v>
      </c>
      <c r="P335">
        <v>15.451449999999999</v>
      </c>
      <c r="Q335" t="s">
        <v>10537</v>
      </c>
      <c r="R335" t="s">
        <v>11038</v>
      </c>
      <c r="S335" t="s">
        <v>10310</v>
      </c>
      <c r="W335" s="2" t="s">
        <v>11196</v>
      </c>
    </row>
    <row r="336" spans="1:23" hidden="1" x14ac:dyDescent="0.45">
      <c r="A336" s="1" t="s">
        <v>355</v>
      </c>
      <c r="B336" t="s">
        <v>6045</v>
      </c>
      <c r="F336" t="s">
        <v>10292</v>
      </c>
      <c r="G336">
        <v>225</v>
      </c>
      <c r="H336" t="s">
        <v>10314</v>
      </c>
      <c r="N336">
        <v>50.213560000000001</v>
      </c>
      <c r="P336">
        <v>19.2287</v>
      </c>
      <c r="Q336" t="s">
        <v>10538</v>
      </c>
      <c r="R336" t="s">
        <v>11037</v>
      </c>
      <c r="S336" t="s">
        <v>10314</v>
      </c>
      <c r="W336" s="2" t="s">
        <v>11196</v>
      </c>
    </row>
    <row r="337" spans="1:23" hidden="1" x14ac:dyDescent="0.45">
      <c r="A337" s="1" t="s">
        <v>356</v>
      </c>
      <c r="B337" t="s">
        <v>6045</v>
      </c>
      <c r="F337" t="s">
        <v>10292</v>
      </c>
      <c r="G337">
        <v>225</v>
      </c>
      <c r="H337" t="s">
        <v>10314</v>
      </c>
      <c r="N337">
        <v>50.213560000000001</v>
      </c>
      <c r="P337">
        <v>19.2287</v>
      </c>
      <c r="Q337" t="s">
        <v>10538</v>
      </c>
      <c r="R337" t="s">
        <v>11037</v>
      </c>
      <c r="S337" t="s">
        <v>10314</v>
      </c>
      <c r="W337" s="2" t="s">
        <v>11196</v>
      </c>
    </row>
    <row r="338" spans="1:23" hidden="1" x14ac:dyDescent="0.45">
      <c r="A338" s="1" t="s">
        <v>357</v>
      </c>
      <c r="B338" t="s">
        <v>6045</v>
      </c>
      <c r="F338" t="s">
        <v>10292</v>
      </c>
      <c r="G338">
        <v>225</v>
      </c>
      <c r="H338" t="s">
        <v>10314</v>
      </c>
      <c r="N338">
        <v>50.213560000000001</v>
      </c>
      <c r="P338">
        <v>19.2287</v>
      </c>
      <c r="Q338" t="s">
        <v>10538</v>
      </c>
      <c r="R338" t="s">
        <v>11037</v>
      </c>
      <c r="S338" t="s">
        <v>10314</v>
      </c>
      <c r="W338" s="2" t="s">
        <v>11196</v>
      </c>
    </row>
    <row r="339" spans="1:23" hidden="1" x14ac:dyDescent="0.45">
      <c r="A339" s="1" t="s">
        <v>358</v>
      </c>
      <c r="B339" t="s">
        <v>6045</v>
      </c>
      <c r="F339" t="s">
        <v>10292</v>
      </c>
      <c r="G339">
        <v>225</v>
      </c>
      <c r="H339" t="s">
        <v>10314</v>
      </c>
      <c r="N339">
        <v>50.213560000000001</v>
      </c>
      <c r="P339">
        <v>19.2287</v>
      </c>
      <c r="Q339" t="s">
        <v>10538</v>
      </c>
      <c r="R339" t="s">
        <v>11037</v>
      </c>
      <c r="S339" t="s">
        <v>10314</v>
      </c>
      <c r="W339" s="2" t="s">
        <v>11196</v>
      </c>
    </row>
    <row r="340" spans="1:23" hidden="1" x14ac:dyDescent="0.45">
      <c r="A340" s="1" t="s">
        <v>359</v>
      </c>
      <c r="B340" t="s">
        <v>6045</v>
      </c>
      <c r="F340" t="s">
        <v>10292</v>
      </c>
      <c r="G340">
        <v>220</v>
      </c>
      <c r="H340" t="s">
        <v>10314</v>
      </c>
      <c r="N340">
        <v>50.213560000000001</v>
      </c>
      <c r="P340">
        <v>19.2287</v>
      </c>
      <c r="Q340" t="s">
        <v>10538</v>
      </c>
      <c r="R340" t="s">
        <v>11037</v>
      </c>
      <c r="S340" t="s">
        <v>10314</v>
      </c>
      <c r="W340" s="2" t="s">
        <v>11196</v>
      </c>
    </row>
    <row r="341" spans="1:23" hidden="1" x14ac:dyDescent="0.45">
      <c r="A341" s="1" t="s">
        <v>360</v>
      </c>
      <c r="B341" t="s">
        <v>6045</v>
      </c>
      <c r="F341" t="s">
        <v>10292</v>
      </c>
      <c r="G341">
        <v>225</v>
      </c>
      <c r="H341" t="s">
        <v>10314</v>
      </c>
      <c r="N341">
        <v>50.213560000000001</v>
      </c>
      <c r="P341">
        <v>19.2287</v>
      </c>
      <c r="Q341" t="s">
        <v>10538</v>
      </c>
      <c r="R341" t="s">
        <v>11037</v>
      </c>
      <c r="S341" t="s">
        <v>10314</v>
      </c>
      <c r="W341" s="2" t="s">
        <v>11196</v>
      </c>
    </row>
    <row r="342" spans="1:23" hidden="1" x14ac:dyDescent="0.45">
      <c r="A342" s="1" t="s">
        <v>361</v>
      </c>
      <c r="B342" t="s">
        <v>6046</v>
      </c>
      <c r="F342" t="s">
        <v>10292</v>
      </c>
      <c r="G342">
        <v>100</v>
      </c>
      <c r="H342" t="s">
        <v>10314</v>
      </c>
      <c r="R342" t="s">
        <v>11037</v>
      </c>
      <c r="S342" t="s">
        <v>10314</v>
      </c>
      <c r="W342" s="2" t="s">
        <v>11196</v>
      </c>
    </row>
    <row r="343" spans="1:23" hidden="1" x14ac:dyDescent="0.45">
      <c r="A343" s="1" t="s">
        <v>362</v>
      </c>
      <c r="B343" t="s">
        <v>6046</v>
      </c>
      <c r="F343" t="s">
        <v>10292</v>
      </c>
      <c r="G343">
        <v>112</v>
      </c>
      <c r="H343" t="s">
        <v>10314</v>
      </c>
      <c r="R343" t="s">
        <v>11037</v>
      </c>
      <c r="S343" t="s">
        <v>10314</v>
      </c>
      <c r="W343" s="2" t="s">
        <v>11196</v>
      </c>
    </row>
    <row r="344" spans="1:23" hidden="1" x14ac:dyDescent="0.45">
      <c r="A344" s="1" t="s">
        <v>363</v>
      </c>
      <c r="B344" t="s">
        <v>6047</v>
      </c>
      <c r="F344" t="s">
        <v>10292</v>
      </c>
      <c r="G344">
        <v>228</v>
      </c>
      <c r="H344" t="s">
        <v>10314</v>
      </c>
      <c r="N344">
        <v>51.665059999999997</v>
      </c>
      <c r="P344">
        <v>21.465319999999998</v>
      </c>
      <c r="Q344" t="s">
        <v>10539</v>
      </c>
      <c r="R344" t="s">
        <v>11037</v>
      </c>
      <c r="S344" t="s">
        <v>10314</v>
      </c>
      <c r="W344" s="2" t="s">
        <v>11196</v>
      </c>
    </row>
    <row r="345" spans="1:23" hidden="1" x14ac:dyDescent="0.45">
      <c r="A345" s="1" t="s">
        <v>364</v>
      </c>
      <c r="B345" t="s">
        <v>6047</v>
      </c>
      <c r="F345" t="s">
        <v>10292</v>
      </c>
      <c r="G345">
        <v>228</v>
      </c>
      <c r="H345" t="s">
        <v>10314</v>
      </c>
      <c r="N345">
        <v>51.665059999999997</v>
      </c>
      <c r="P345">
        <v>21.465319999999998</v>
      </c>
      <c r="Q345" t="s">
        <v>10539</v>
      </c>
      <c r="R345" t="s">
        <v>11037</v>
      </c>
      <c r="S345" t="s">
        <v>10314</v>
      </c>
      <c r="W345" s="2" t="s">
        <v>11196</v>
      </c>
    </row>
    <row r="346" spans="1:23" hidden="1" x14ac:dyDescent="0.45">
      <c r="A346" s="1" t="s">
        <v>365</v>
      </c>
      <c r="B346" t="s">
        <v>6047</v>
      </c>
      <c r="F346" t="s">
        <v>10292</v>
      </c>
      <c r="G346">
        <v>225</v>
      </c>
      <c r="H346" t="s">
        <v>10314</v>
      </c>
      <c r="N346">
        <v>51.665059999999997</v>
      </c>
      <c r="P346">
        <v>21.465319999999998</v>
      </c>
      <c r="Q346" t="s">
        <v>10539</v>
      </c>
      <c r="R346" t="s">
        <v>11037</v>
      </c>
      <c r="S346" t="s">
        <v>10314</v>
      </c>
      <c r="W346" s="2" t="s">
        <v>11196</v>
      </c>
    </row>
    <row r="347" spans="1:23" hidden="1" x14ac:dyDescent="0.45">
      <c r="A347" s="1" t="s">
        <v>366</v>
      </c>
      <c r="B347" t="s">
        <v>6047</v>
      </c>
      <c r="F347" t="s">
        <v>10292</v>
      </c>
      <c r="G347">
        <v>228</v>
      </c>
      <c r="H347" t="s">
        <v>10314</v>
      </c>
      <c r="N347">
        <v>51.665059999999997</v>
      </c>
      <c r="P347">
        <v>21.465319999999998</v>
      </c>
      <c r="Q347" t="s">
        <v>10539</v>
      </c>
      <c r="R347" t="s">
        <v>11037</v>
      </c>
      <c r="S347" t="s">
        <v>10314</v>
      </c>
      <c r="W347" s="2" t="s">
        <v>11196</v>
      </c>
    </row>
    <row r="348" spans="1:23" hidden="1" x14ac:dyDescent="0.45">
      <c r="A348" s="1" t="s">
        <v>367</v>
      </c>
      <c r="B348" t="s">
        <v>6047</v>
      </c>
      <c r="F348" t="s">
        <v>10292</v>
      </c>
      <c r="G348">
        <v>228</v>
      </c>
      <c r="H348" t="s">
        <v>10314</v>
      </c>
      <c r="N348">
        <v>51.665059999999997</v>
      </c>
      <c r="P348">
        <v>21.465319999999998</v>
      </c>
      <c r="Q348" t="s">
        <v>10539</v>
      </c>
      <c r="R348" t="s">
        <v>11037</v>
      </c>
      <c r="S348" t="s">
        <v>10314</v>
      </c>
      <c r="W348" s="2" t="s">
        <v>11196</v>
      </c>
    </row>
    <row r="349" spans="1:23" hidden="1" x14ac:dyDescent="0.45">
      <c r="A349" s="1" t="s">
        <v>368</v>
      </c>
      <c r="B349" t="s">
        <v>6047</v>
      </c>
      <c r="F349" t="s">
        <v>10292</v>
      </c>
      <c r="G349">
        <v>228</v>
      </c>
      <c r="H349" t="s">
        <v>10314</v>
      </c>
      <c r="N349">
        <v>51.665059999999997</v>
      </c>
      <c r="P349">
        <v>21.465319999999998</v>
      </c>
      <c r="Q349" t="s">
        <v>10539</v>
      </c>
      <c r="R349" t="s">
        <v>11037</v>
      </c>
      <c r="S349" t="s">
        <v>10314</v>
      </c>
      <c r="W349" s="2" t="s">
        <v>11196</v>
      </c>
    </row>
    <row r="350" spans="1:23" hidden="1" x14ac:dyDescent="0.45">
      <c r="A350" s="1" t="s">
        <v>369</v>
      </c>
      <c r="B350" t="s">
        <v>6047</v>
      </c>
      <c r="F350" t="s">
        <v>10292</v>
      </c>
      <c r="G350">
        <v>228</v>
      </c>
      <c r="H350" t="s">
        <v>10314</v>
      </c>
      <c r="N350">
        <v>51.665059999999997</v>
      </c>
      <c r="P350">
        <v>21.465319999999998</v>
      </c>
      <c r="Q350" t="s">
        <v>10539</v>
      </c>
      <c r="R350" t="s">
        <v>11037</v>
      </c>
      <c r="S350" t="s">
        <v>10314</v>
      </c>
      <c r="W350" s="2" t="s">
        <v>11196</v>
      </c>
    </row>
    <row r="351" spans="1:23" hidden="1" x14ac:dyDescent="0.45">
      <c r="A351" s="1" t="s">
        <v>370</v>
      </c>
      <c r="B351" t="s">
        <v>6047</v>
      </c>
      <c r="F351" t="s">
        <v>10292</v>
      </c>
      <c r="G351">
        <v>228</v>
      </c>
      <c r="H351" t="s">
        <v>10314</v>
      </c>
      <c r="N351">
        <v>51.665059999999997</v>
      </c>
      <c r="P351">
        <v>21.465319999999998</v>
      </c>
      <c r="Q351" t="s">
        <v>10539</v>
      </c>
      <c r="R351" t="s">
        <v>11037</v>
      </c>
      <c r="S351" t="s">
        <v>10314</v>
      </c>
      <c r="W351" s="2" t="s">
        <v>11196</v>
      </c>
    </row>
    <row r="352" spans="1:23" hidden="1" x14ac:dyDescent="0.45">
      <c r="A352" s="1" t="s">
        <v>371</v>
      </c>
      <c r="B352" t="s">
        <v>6047</v>
      </c>
      <c r="F352" t="s">
        <v>10292</v>
      </c>
      <c r="G352">
        <v>560</v>
      </c>
      <c r="H352" t="s">
        <v>10314</v>
      </c>
      <c r="N352">
        <v>51.662559999999999</v>
      </c>
      <c r="P352">
        <v>21.457660000000001</v>
      </c>
      <c r="Q352" t="s">
        <v>10540</v>
      </c>
      <c r="R352" t="s">
        <v>11037</v>
      </c>
      <c r="S352" t="s">
        <v>10314</v>
      </c>
      <c r="W352" s="2" t="s">
        <v>11196</v>
      </c>
    </row>
    <row r="353" spans="1:23" hidden="1" x14ac:dyDescent="0.45">
      <c r="A353" s="1" t="s">
        <v>372</v>
      </c>
      <c r="B353" t="s">
        <v>6047</v>
      </c>
      <c r="F353" t="s">
        <v>10292</v>
      </c>
      <c r="G353">
        <v>560</v>
      </c>
      <c r="H353" t="s">
        <v>10314</v>
      </c>
      <c r="N353">
        <v>51.662559999999999</v>
      </c>
      <c r="P353">
        <v>21.457660000000001</v>
      </c>
      <c r="Q353" t="s">
        <v>10540</v>
      </c>
      <c r="R353" t="s">
        <v>11037</v>
      </c>
      <c r="S353" t="s">
        <v>10314</v>
      </c>
      <c r="W353" s="2" t="s">
        <v>11196</v>
      </c>
    </row>
    <row r="354" spans="1:23" hidden="1" x14ac:dyDescent="0.45">
      <c r="A354" s="1" t="s">
        <v>373</v>
      </c>
      <c r="B354" t="s">
        <v>6047</v>
      </c>
      <c r="F354" t="s">
        <v>10292</v>
      </c>
      <c r="G354">
        <v>1075</v>
      </c>
      <c r="H354" t="s">
        <v>10314</v>
      </c>
      <c r="R354" t="s">
        <v>11037</v>
      </c>
      <c r="S354" t="s">
        <v>10314</v>
      </c>
      <c r="W354" s="2" t="s">
        <v>11196</v>
      </c>
    </row>
    <row r="355" spans="1:23" hidden="1" x14ac:dyDescent="0.45">
      <c r="A355" s="1" t="s">
        <v>374</v>
      </c>
      <c r="B355" t="s">
        <v>6045</v>
      </c>
      <c r="F355" t="s">
        <v>10292</v>
      </c>
      <c r="G355">
        <v>460</v>
      </c>
      <c r="H355" t="s">
        <v>10314</v>
      </c>
      <c r="N355">
        <v>50.349649999999997</v>
      </c>
      <c r="P355">
        <v>19.141010000000001</v>
      </c>
      <c r="Q355" t="s">
        <v>10541</v>
      </c>
      <c r="R355" t="s">
        <v>11037</v>
      </c>
      <c r="S355" t="s">
        <v>10314</v>
      </c>
      <c r="W355" s="2" t="s">
        <v>11196</v>
      </c>
    </row>
    <row r="356" spans="1:23" hidden="1" x14ac:dyDescent="0.45">
      <c r="A356" s="1" t="s">
        <v>375</v>
      </c>
      <c r="B356" t="s">
        <v>6045</v>
      </c>
      <c r="F356" t="s">
        <v>10292</v>
      </c>
      <c r="G356">
        <v>120</v>
      </c>
      <c r="H356" t="s">
        <v>10314</v>
      </c>
      <c r="N356">
        <v>50.349649999999997</v>
      </c>
      <c r="P356">
        <v>19.141010000000001</v>
      </c>
      <c r="Q356" t="s">
        <v>10541</v>
      </c>
      <c r="R356" t="s">
        <v>11037</v>
      </c>
      <c r="S356" t="s">
        <v>10314</v>
      </c>
      <c r="W356" s="2" t="s">
        <v>11196</v>
      </c>
    </row>
    <row r="357" spans="1:23" hidden="1" x14ac:dyDescent="0.45">
      <c r="A357" s="1" t="s">
        <v>376</v>
      </c>
      <c r="B357" t="s">
        <v>6045</v>
      </c>
      <c r="F357" t="s">
        <v>10292</v>
      </c>
      <c r="G357">
        <v>120</v>
      </c>
      <c r="H357" t="s">
        <v>10314</v>
      </c>
      <c r="N357">
        <v>50.349649999999997</v>
      </c>
      <c r="P357">
        <v>19.141010000000001</v>
      </c>
      <c r="Q357" t="s">
        <v>10541</v>
      </c>
      <c r="R357" t="s">
        <v>11037</v>
      </c>
      <c r="S357" t="s">
        <v>10314</v>
      </c>
      <c r="W357" s="2" t="s">
        <v>11196</v>
      </c>
    </row>
    <row r="358" spans="1:23" hidden="1" x14ac:dyDescent="0.45">
      <c r="A358" s="1" t="s">
        <v>377</v>
      </c>
      <c r="B358" t="s">
        <v>6045</v>
      </c>
      <c r="F358" t="s">
        <v>10292</v>
      </c>
      <c r="G358">
        <v>125</v>
      </c>
      <c r="H358" t="s">
        <v>10314</v>
      </c>
      <c r="N358">
        <v>50.132359999999998</v>
      </c>
      <c r="P358">
        <v>18.840389999999999</v>
      </c>
      <c r="Q358" t="s">
        <v>10542</v>
      </c>
      <c r="R358" t="s">
        <v>11037</v>
      </c>
      <c r="S358" t="s">
        <v>10314</v>
      </c>
      <c r="W358" s="2" t="s">
        <v>11196</v>
      </c>
    </row>
    <row r="359" spans="1:23" hidden="1" x14ac:dyDescent="0.45">
      <c r="A359" s="1" t="s">
        <v>378</v>
      </c>
      <c r="B359" t="s">
        <v>6045</v>
      </c>
      <c r="F359" t="s">
        <v>10292</v>
      </c>
      <c r="G359">
        <v>125</v>
      </c>
      <c r="H359" t="s">
        <v>10314</v>
      </c>
      <c r="N359">
        <v>50.132359999999998</v>
      </c>
      <c r="P359">
        <v>18.840389999999999</v>
      </c>
      <c r="Q359" t="s">
        <v>10542</v>
      </c>
      <c r="R359" t="s">
        <v>11037</v>
      </c>
      <c r="S359" t="s">
        <v>10314</v>
      </c>
      <c r="W359" s="2" t="s">
        <v>11196</v>
      </c>
    </row>
    <row r="360" spans="1:23" hidden="1" x14ac:dyDescent="0.45">
      <c r="A360" s="1" t="s">
        <v>379</v>
      </c>
      <c r="B360" t="s">
        <v>6045</v>
      </c>
      <c r="F360" t="s">
        <v>10292</v>
      </c>
      <c r="G360">
        <v>230</v>
      </c>
      <c r="H360" t="s">
        <v>10314</v>
      </c>
      <c r="N360">
        <v>50.132359999999998</v>
      </c>
      <c r="P360">
        <v>18.840389999999999</v>
      </c>
      <c r="Q360" t="s">
        <v>10543</v>
      </c>
      <c r="R360" t="s">
        <v>11037</v>
      </c>
      <c r="S360" t="s">
        <v>10314</v>
      </c>
      <c r="W360" s="2" t="s">
        <v>11196</v>
      </c>
    </row>
    <row r="361" spans="1:23" hidden="1" x14ac:dyDescent="0.45">
      <c r="A361" s="1" t="s">
        <v>380</v>
      </c>
      <c r="B361" t="s">
        <v>6045</v>
      </c>
      <c r="F361" t="s">
        <v>10292</v>
      </c>
      <c r="G361">
        <v>225</v>
      </c>
      <c r="H361" t="s">
        <v>10314</v>
      </c>
      <c r="N361">
        <v>50.132359999999998</v>
      </c>
      <c r="P361">
        <v>18.840389999999999</v>
      </c>
      <c r="Q361" t="s">
        <v>10543</v>
      </c>
      <c r="R361" t="s">
        <v>11037</v>
      </c>
      <c r="S361" t="s">
        <v>10314</v>
      </c>
      <c r="W361" s="2" t="s">
        <v>11196</v>
      </c>
    </row>
    <row r="362" spans="1:23" hidden="1" x14ac:dyDescent="0.45">
      <c r="A362" s="1" t="s">
        <v>381</v>
      </c>
      <c r="B362" t="s">
        <v>6045</v>
      </c>
      <c r="F362" t="s">
        <v>10292</v>
      </c>
      <c r="G362">
        <v>225</v>
      </c>
      <c r="H362" t="s">
        <v>10314</v>
      </c>
      <c r="N362">
        <v>50.132359999999998</v>
      </c>
      <c r="P362">
        <v>18.840389999999999</v>
      </c>
      <c r="Q362" t="s">
        <v>10543</v>
      </c>
      <c r="R362" t="s">
        <v>11037</v>
      </c>
      <c r="S362" t="s">
        <v>10314</v>
      </c>
      <c r="W362" s="2" t="s">
        <v>11196</v>
      </c>
    </row>
    <row r="363" spans="1:23" hidden="1" x14ac:dyDescent="0.45">
      <c r="A363" s="1" t="s">
        <v>382</v>
      </c>
      <c r="B363" t="s">
        <v>6045</v>
      </c>
      <c r="F363" t="s">
        <v>10292</v>
      </c>
      <c r="G363">
        <v>225</v>
      </c>
      <c r="H363" t="s">
        <v>10314</v>
      </c>
      <c r="N363">
        <v>50.132359999999998</v>
      </c>
      <c r="P363">
        <v>18.840389999999999</v>
      </c>
      <c r="Q363" t="s">
        <v>10543</v>
      </c>
      <c r="R363" t="s">
        <v>11037</v>
      </c>
      <c r="S363" t="s">
        <v>10314</v>
      </c>
      <c r="W363" s="2" t="s">
        <v>11196</v>
      </c>
    </row>
    <row r="364" spans="1:23" hidden="1" x14ac:dyDescent="0.45">
      <c r="A364" s="1" t="s">
        <v>383</v>
      </c>
      <c r="B364" t="s">
        <v>6043</v>
      </c>
      <c r="F364" t="s">
        <v>10292</v>
      </c>
      <c r="G364">
        <v>386</v>
      </c>
      <c r="H364" t="s">
        <v>10314</v>
      </c>
      <c r="N364">
        <v>50.750660000000003</v>
      </c>
      <c r="P364">
        <v>17.88729</v>
      </c>
      <c r="Q364" t="s">
        <v>10544</v>
      </c>
      <c r="R364" t="s">
        <v>11037</v>
      </c>
      <c r="S364" t="s">
        <v>10314</v>
      </c>
      <c r="W364" s="2" t="s">
        <v>11196</v>
      </c>
    </row>
    <row r="365" spans="1:23" hidden="1" x14ac:dyDescent="0.45">
      <c r="A365" s="1" t="s">
        <v>384</v>
      </c>
      <c r="B365" t="s">
        <v>6043</v>
      </c>
      <c r="F365" t="s">
        <v>10292</v>
      </c>
      <c r="G365">
        <v>383</v>
      </c>
      <c r="H365" t="s">
        <v>10314</v>
      </c>
      <c r="N365">
        <v>50.750660000000003</v>
      </c>
      <c r="P365">
        <v>17.88729</v>
      </c>
      <c r="Q365" t="s">
        <v>10544</v>
      </c>
      <c r="R365" t="s">
        <v>11037</v>
      </c>
      <c r="S365" t="s">
        <v>10314</v>
      </c>
      <c r="W365" s="2" t="s">
        <v>11196</v>
      </c>
    </row>
    <row r="366" spans="1:23" hidden="1" x14ac:dyDescent="0.45">
      <c r="A366" s="1" t="s">
        <v>385</v>
      </c>
      <c r="B366" t="s">
        <v>6043</v>
      </c>
      <c r="F366" t="s">
        <v>10292</v>
      </c>
      <c r="G366">
        <v>383</v>
      </c>
      <c r="H366" t="s">
        <v>10314</v>
      </c>
      <c r="N366">
        <v>50.750660000000003</v>
      </c>
      <c r="P366">
        <v>17.88729</v>
      </c>
      <c r="Q366" t="s">
        <v>10544</v>
      </c>
      <c r="R366" t="s">
        <v>11037</v>
      </c>
      <c r="S366" t="s">
        <v>10314</v>
      </c>
      <c r="W366" s="2" t="s">
        <v>11196</v>
      </c>
    </row>
    <row r="367" spans="1:23" hidden="1" x14ac:dyDescent="0.45">
      <c r="A367" s="1" t="s">
        <v>386</v>
      </c>
      <c r="B367" t="s">
        <v>6043</v>
      </c>
      <c r="F367" t="s">
        <v>10292</v>
      </c>
      <c r="G367">
        <v>380</v>
      </c>
      <c r="H367" t="s">
        <v>10314</v>
      </c>
      <c r="N367">
        <v>50.750660000000003</v>
      </c>
      <c r="P367">
        <v>17.88729</v>
      </c>
      <c r="Q367" t="s">
        <v>10544</v>
      </c>
      <c r="R367" t="s">
        <v>11037</v>
      </c>
      <c r="S367" t="s">
        <v>10314</v>
      </c>
      <c r="W367" s="2" t="s">
        <v>11196</v>
      </c>
    </row>
    <row r="368" spans="1:23" hidden="1" x14ac:dyDescent="0.45">
      <c r="A368" s="1" t="s">
        <v>387</v>
      </c>
      <c r="B368" t="s">
        <v>6043</v>
      </c>
      <c r="F368" t="s">
        <v>10292</v>
      </c>
      <c r="G368">
        <v>905</v>
      </c>
      <c r="H368" t="s">
        <v>10314</v>
      </c>
      <c r="R368" t="s">
        <v>11037</v>
      </c>
      <c r="S368" t="s">
        <v>10314</v>
      </c>
      <c r="W368" s="2" t="s">
        <v>11196</v>
      </c>
    </row>
    <row r="369" spans="1:23" hidden="1" x14ac:dyDescent="0.45">
      <c r="A369" s="1" t="s">
        <v>388</v>
      </c>
      <c r="B369" t="s">
        <v>6043</v>
      </c>
      <c r="F369" t="s">
        <v>10292</v>
      </c>
      <c r="G369">
        <v>905</v>
      </c>
      <c r="H369" t="s">
        <v>10314</v>
      </c>
      <c r="R369" t="s">
        <v>11037</v>
      </c>
      <c r="S369" t="s">
        <v>10314</v>
      </c>
      <c r="W369" s="2" t="s">
        <v>11196</v>
      </c>
    </row>
    <row r="370" spans="1:23" hidden="1" x14ac:dyDescent="0.45">
      <c r="A370" s="1" t="s">
        <v>389</v>
      </c>
      <c r="B370" t="s">
        <v>6048</v>
      </c>
      <c r="F370" t="s">
        <v>10292</v>
      </c>
      <c r="G370">
        <v>230</v>
      </c>
      <c r="H370" t="s">
        <v>10314</v>
      </c>
      <c r="N370">
        <v>53.104619999999997</v>
      </c>
      <c r="P370">
        <v>21.613119999999999</v>
      </c>
      <c r="Q370" t="s">
        <v>10545</v>
      </c>
      <c r="R370" t="s">
        <v>11037</v>
      </c>
      <c r="S370" t="s">
        <v>10314</v>
      </c>
      <c r="W370" s="2" t="s">
        <v>11196</v>
      </c>
    </row>
    <row r="371" spans="1:23" hidden="1" x14ac:dyDescent="0.45">
      <c r="A371" s="1" t="s">
        <v>390</v>
      </c>
      <c r="B371" t="s">
        <v>6048</v>
      </c>
      <c r="F371" t="s">
        <v>10292</v>
      </c>
      <c r="G371">
        <v>230</v>
      </c>
      <c r="H371" t="s">
        <v>10314</v>
      </c>
      <c r="N371">
        <v>53.104619999999997</v>
      </c>
      <c r="P371">
        <v>21.613119999999999</v>
      </c>
      <c r="Q371" t="s">
        <v>10545</v>
      </c>
      <c r="R371" t="s">
        <v>11037</v>
      </c>
      <c r="S371" t="s">
        <v>10314</v>
      </c>
      <c r="W371" s="2" t="s">
        <v>11196</v>
      </c>
    </row>
    <row r="372" spans="1:23" hidden="1" x14ac:dyDescent="0.45">
      <c r="A372" s="1" t="s">
        <v>391</v>
      </c>
      <c r="B372" t="s">
        <v>6048</v>
      </c>
      <c r="F372" t="s">
        <v>10292</v>
      </c>
      <c r="G372">
        <v>230</v>
      </c>
      <c r="H372" t="s">
        <v>10314</v>
      </c>
      <c r="N372">
        <v>53.104619999999997</v>
      </c>
      <c r="P372">
        <v>21.613119999999999</v>
      </c>
      <c r="Q372" t="s">
        <v>10545</v>
      </c>
      <c r="R372" t="s">
        <v>11037</v>
      </c>
      <c r="S372" t="s">
        <v>10314</v>
      </c>
      <c r="W372" s="2" t="s">
        <v>11196</v>
      </c>
    </row>
    <row r="373" spans="1:23" hidden="1" x14ac:dyDescent="0.45">
      <c r="A373" s="1" t="s">
        <v>392</v>
      </c>
      <c r="B373" t="s">
        <v>6049</v>
      </c>
      <c r="F373" t="s">
        <v>10292</v>
      </c>
      <c r="G373">
        <v>222</v>
      </c>
      <c r="H373" t="s">
        <v>10316</v>
      </c>
      <c r="N373">
        <v>52.302399999999999</v>
      </c>
      <c r="P373">
        <v>18.23807</v>
      </c>
      <c r="Q373" t="s">
        <v>10546</v>
      </c>
      <c r="R373" t="s">
        <v>11037</v>
      </c>
      <c r="S373" t="s">
        <v>10316</v>
      </c>
      <c r="W373" s="2" t="s">
        <v>11196</v>
      </c>
    </row>
    <row r="374" spans="1:23" hidden="1" x14ac:dyDescent="0.45">
      <c r="A374" s="1" t="s">
        <v>393</v>
      </c>
      <c r="B374" t="s">
        <v>6049</v>
      </c>
      <c r="F374" t="s">
        <v>10292</v>
      </c>
      <c r="G374">
        <v>222</v>
      </c>
      <c r="H374" t="s">
        <v>10316</v>
      </c>
      <c r="N374">
        <v>52.302399999999999</v>
      </c>
      <c r="P374">
        <v>18.23807</v>
      </c>
      <c r="Q374" t="s">
        <v>10546</v>
      </c>
      <c r="R374" t="s">
        <v>11037</v>
      </c>
      <c r="S374" t="s">
        <v>10316</v>
      </c>
      <c r="W374" s="2" t="s">
        <v>11196</v>
      </c>
    </row>
    <row r="375" spans="1:23" hidden="1" x14ac:dyDescent="0.45">
      <c r="A375" s="1" t="s">
        <v>394</v>
      </c>
      <c r="B375" t="s">
        <v>6049</v>
      </c>
      <c r="F375" t="s">
        <v>10292</v>
      </c>
      <c r="G375">
        <v>200</v>
      </c>
      <c r="H375" t="s">
        <v>10316</v>
      </c>
      <c r="N375">
        <v>52.302399999999999</v>
      </c>
      <c r="P375">
        <v>18.23807</v>
      </c>
      <c r="Q375" t="s">
        <v>10546</v>
      </c>
      <c r="R375" t="s">
        <v>11037</v>
      </c>
      <c r="S375" t="s">
        <v>10316</v>
      </c>
      <c r="W375" s="2" t="s">
        <v>11196</v>
      </c>
    </row>
    <row r="376" spans="1:23" hidden="1" x14ac:dyDescent="0.45">
      <c r="A376" s="1" t="s">
        <v>395</v>
      </c>
      <c r="B376" t="s">
        <v>6049</v>
      </c>
      <c r="F376" t="s">
        <v>10292</v>
      </c>
      <c r="G376">
        <v>200</v>
      </c>
      <c r="H376" t="s">
        <v>10316</v>
      </c>
      <c r="N376">
        <v>52.302399999999999</v>
      </c>
      <c r="P376">
        <v>18.23807</v>
      </c>
      <c r="Q376" t="s">
        <v>10546</v>
      </c>
      <c r="R376" t="s">
        <v>11037</v>
      </c>
      <c r="S376" t="s">
        <v>10316</v>
      </c>
      <c r="W376" s="2" t="s">
        <v>11196</v>
      </c>
    </row>
    <row r="377" spans="1:23" hidden="1" x14ac:dyDescent="0.45">
      <c r="A377" s="1" t="s">
        <v>396</v>
      </c>
      <c r="B377" t="s">
        <v>6049</v>
      </c>
      <c r="F377" t="s">
        <v>10292</v>
      </c>
      <c r="G377">
        <v>200</v>
      </c>
      <c r="H377" t="s">
        <v>10316</v>
      </c>
      <c r="N377">
        <v>52.302399999999999</v>
      </c>
      <c r="P377">
        <v>18.23807</v>
      </c>
      <c r="Q377" t="s">
        <v>10546</v>
      </c>
      <c r="R377" t="s">
        <v>11037</v>
      </c>
      <c r="S377" t="s">
        <v>10316</v>
      </c>
      <c r="W377" s="2" t="s">
        <v>11196</v>
      </c>
    </row>
    <row r="378" spans="1:23" hidden="1" x14ac:dyDescent="0.45">
      <c r="A378" s="1" t="s">
        <v>397</v>
      </c>
      <c r="B378" t="s">
        <v>6049</v>
      </c>
      <c r="F378" t="s">
        <v>10292</v>
      </c>
      <c r="G378">
        <v>200</v>
      </c>
      <c r="H378" t="s">
        <v>10316</v>
      </c>
      <c r="N378">
        <v>52.302399999999999</v>
      </c>
      <c r="P378">
        <v>18.23807</v>
      </c>
      <c r="Q378" t="s">
        <v>10546</v>
      </c>
      <c r="R378" t="s">
        <v>11037</v>
      </c>
      <c r="S378" t="s">
        <v>10316</v>
      </c>
      <c r="W378" s="2" t="s">
        <v>11196</v>
      </c>
    </row>
    <row r="379" spans="1:23" hidden="1" x14ac:dyDescent="0.45">
      <c r="A379" s="1" t="s">
        <v>398</v>
      </c>
      <c r="B379" t="s">
        <v>6050</v>
      </c>
      <c r="F379" t="s">
        <v>10292</v>
      </c>
      <c r="G379">
        <v>474</v>
      </c>
      <c r="H379" t="s">
        <v>10316</v>
      </c>
      <c r="N379">
        <v>52.302399999999999</v>
      </c>
      <c r="P379">
        <v>18.23807</v>
      </c>
      <c r="Q379" t="s">
        <v>10547</v>
      </c>
      <c r="R379" t="s">
        <v>11037</v>
      </c>
      <c r="S379" t="s">
        <v>10316</v>
      </c>
      <c r="W379" s="2" t="s">
        <v>11196</v>
      </c>
    </row>
    <row r="380" spans="1:23" hidden="1" x14ac:dyDescent="0.45">
      <c r="A380" s="1" t="s">
        <v>399</v>
      </c>
      <c r="B380" t="s">
        <v>6051</v>
      </c>
      <c r="F380" t="s">
        <v>10292</v>
      </c>
      <c r="G380">
        <v>225</v>
      </c>
      <c r="H380" t="s">
        <v>10314</v>
      </c>
      <c r="N380">
        <v>50.435339999999997</v>
      </c>
      <c r="P380">
        <v>21.336739999999999</v>
      </c>
      <c r="Q380" t="s">
        <v>10548</v>
      </c>
      <c r="R380" t="s">
        <v>11037</v>
      </c>
      <c r="S380" t="s">
        <v>10314</v>
      </c>
      <c r="W380" s="2" t="s">
        <v>11196</v>
      </c>
    </row>
    <row r="381" spans="1:23" hidden="1" x14ac:dyDescent="0.45">
      <c r="A381" s="1" t="s">
        <v>400</v>
      </c>
      <c r="B381" t="s">
        <v>6051</v>
      </c>
      <c r="F381" t="s">
        <v>10292</v>
      </c>
      <c r="G381">
        <v>242</v>
      </c>
      <c r="H381" t="s">
        <v>10314</v>
      </c>
      <c r="N381">
        <v>50.435339999999997</v>
      </c>
      <c r="P381">
        <v>21.336739999999999</v>
      </c>
      <c r="Q381" t="s">
        <v>10548</v>
      </c>
      <c r="R381" t="s">
        <v>11037</v>
      </c>
      <c r="S381" t="s">
        <v>10314</v>
      </c>
      <c r="W381" s="2" t="s">
        <v>11196</v>
      </c>
    </row>
    <row r="382" spans="1:23" hidden="1" x14ac:dyDescent="0.45">
      <c r="A382" s="1" t="s">
        <v>401</v>
      </c>
      <c r="B382" t="s">
        <v>6051</v>
      </c>
      <c r="F382" t="s">
        <v>10292</v>
      </c>
      <c r="G382">
        <v>242</v>
      </c>
      <c r="H382" t="s">
        <v>10314</v>
      </c>
      <c r="N382">
        <v>50.435339999999997</v>
      </c>
      <c r="P382">
        <v>21.336739999999999</v>
      </c>
      <c r="Q382" t="s">
        <v>10548</v>
      </c>
      <c r="R382" t="s">
        <v>11037</v>
      </c>
      <c r="S382" t="s">
        <v>10314</v>
      </c>
      <c r="W382" s="2" t="s">
        <v>11196</v>
      </c>
    </row>
    <row r="383" spans="1:23" hidden="1" x14ac:dyDescent="0.45">
      <c r="A383" s="1" t="s">
        <v>402</v>
      </c>
      <c r="B383" t="s">
        <v>6051</v>
      </c>
      <c r="F383" t="s">
        <v>10292</v>
      </c>
      <c r="G383">
        <v>242</v>
      </c>
      <c r="H383" t="s">
        <v>10314</v>
      </c>
      <c r="N383">
        <v>50.435339999999997</v>
      </c>
      <c r="P383">
        <v>21.336739999999999</v>
      </c>
      <c r="Q383" t="s">
        <v>10548</v>
      </c>
      <c r="R383" t="s">
        <v>11037</v>
      </c>
      <c r="S383" t="s">
        <v>10314</v>
      </c>
      <c r="W383" s="2" t="s">
        <v>11196</v>
      </c>
    </row>
    <row r="384" spans="1:23" hidden="1" x14ac:dyDescent="0.45">
      <c r="A384" s="1" t="s">
        <v>403</v>
      </c>
      <c r="B384" t="s">
        <v>6051</v>
      </c>
      <c r="F384" t="s">
        <v>10292</v>
      </c>
      <c r="G384">
        <v>225</v>
      </c>
      <c r="H384" t="s">
        <v>10314</v>
      </c>
      <c r="N384">
        <v>50.435339999999997</v>
      </c>
      <c r="P384">
        <v>21.336739999999999</v>
      </c>
      <c r="Q384" t="s">
        <v>10548</v>
      </c>
      <c r="R384" t="s">
        <v>11037</v>
      </c>
      <c r="S384" t="s">
        <v>10314</v>
      </c>
      <c r="W384" s="2" t="s">
        <v>11196</v>
      </c>
    </row>
    <row r="385" spans="1:23" hidden="1" x14ac:dyDescent="0.45">
      <c r="A385" s="1" t="s">
        <v>404</v>
      </c>
      <c r="B385" t="s">
        <v>6051</v>
      </c>
      <c r="F385" t="s">
        <v>10292</v>
      </c>
      <c r="G385">
        <v>242</v>
      </c>
      <c r="H385" t="s">
        <v>10314</v>
      </c>
      <c r="N385">
        <v>50.435339999999997</v>
      </c>
      <c r="P385">
        <v>21.336739999999999</v>
      </c>
      <c r="Q385" t="s">
        <v>10548</v>
      </c>
      <c r="R385" t="s">
        <v>11037</v>
      </c>
      <c r="S385" t="s">
        <v>10314</v>
      </c>
      <c r="W385" s="2" t="s">
        <v>11196</v>
      </c>
    </row>
    <row r="386" spans="1:23" hidden="1" x14ac:dyDescent="0.45">
      <c r="A386" s="1" t="s">
        <v>405</v>
      </c>
      <c r="B386" t="s">
        <v>6051</v>
      </c>
      <c r="F386" t="s">
        <v>10292</v>
      </c>
      <c r="G386">
        <v>239</v>
      </c>
      <c r="H386" t="s">
        <v>10314</v>
      </c>
      <c r="N386">
        <v>50.435339999999997</v>
      </c>
      <c r="P386">
        <v>21.336739999999999</v>
      </c>
      <c r="Q386" t="s">
        <v>10548</v>
      </c>
      <c r="R386" t="s">
        <v>11037</v>
      </c>
      <c r="S386" t="s">
        <v>10314</v>
      </c>
      <c r="W386" s="2" t="s">
        <v>11196</v>
      </c>
    </row>
    <row r="387" spans="1:23" hidden="1" x14ac:dyDescent="0.45">
      <c r="A387" s="1" t="s">
        <v>406</v>
      </c>
      <c r="B387" t="s">
        <v>6044</v>
      </c>
      <c r="F387" t="s">
        <v>10292</v>
      </c>
      <c r="G387">
        <v>135</v>
      </c>
      <c r="H387" t="s">
        <v>10310</v>
      </c>
      <c r="I387" t="s">
        <v>10324</v>
      </c>
      <c r="N387">
        <v>49.77957</v>
      </c>
      <c r="P387">
        <v>19.212</v>
      </c>
      <c r="Q387" t="s">
        <v>10549</v>
      </c>
      <c r="R387" t="s">
        <v>11038</v>
      </c>
      <c r="S387" t="s">
        <v>10310</v>
      </c>
      <c r="W387" s="2" t="s">
        <v>11196</v>
      </c>
    </row>
    <row r="388" spans="1:23" hidden="1" x14ac:dyDescent="0.45">
      <c r="A388" s="1" t="s">
        <v>407</v>
      </c>
      <c r="B388" t="s">
        <v>6044</v>
      </c>
      <c r="F388" t="s">
        <v>10292</v>
      </c>
      <c r="G388">
        <v>135</v>
      </c>
      <c r="H388" t="s">
        <v>10310</v>
      </c>
      <c r="I388" t="s">
        <v>10324</v>
      </c>
      <c r="N388">
        <v>49.77957</v>
      </c>
      <c r="P388">
        <v>19.212</v>
      </c>
      <c r="Q388" t="s">
        <v>10549</v>
      </c>
      <c r="R388" t="s">
        <v>11038</v>
      </c>
      <c r="S388" t="s">
        <v>10310</v>
      </c>
      <c r="W388" s="2" t="s">
        <v>11196</v>
      </c>
    </row>
    <row r="389" spans="1:23" hidden="1" x14ac:dyDescent="0.45">
      <c r="A389" s="1" t="s">
        <v>408</v>
      </c>
      <c r="B389" t="s">
        <v>6044</v>
      </c>
      <c r="F389" t="s">
        <v>10292</v>
      </c>
      <c r="G389">
        <v>135</v>
      </c>
      <c r="H389" t="s">
        <v>10310</v>
      </c>
      <c r="I389" t="s">
        <v>10324</v>
      </c>
      <c r="N389">
        <v>49.77957</v>
      </c>
      <c r="P389">
        <v>19.212</v>
      </c>
      <c r="Q389" t="s">
        <v>10549</v>
      </c>
      <c r="R389" t="s">
        <v>11038</v>
      </c>
      <c r="S389" t="s">
        <v>10310</v>
      </c>
      <c r="W389" s="2" t="s">
        <v>11196</v>
      </c>
    </row>
    <row r="390" spans="1:23" hidden="1" x14ac:dyDescent="0.45">
      <c r="A390" s="1" t="s">
        <v>409</v>
      </c>
      <c r="B390" t="s">
        <v>6044</v>
      </c>
      <c r="F390" t="s">
        <v>10292</v>
      </c>
      <c r="G390">
        <v>135</v>
      </c>
      <c r="H390" t="s">
        <v>10310</v>
      </c>
      <c r="I390" t="s">
        <v>10324</v>
      </c>
      <c r="N390">
        <v>49.77957</v>
      </c>
      <c r="P390">
        <v>19.212</v>
      </c>
      <c r="Q390" t="s">
        <v>10549</v>
      </c>
      <c r="R390" t="s">
        <v>11038</v>
      </c>
      <c r="S390" t="s">
        <v>10310</v>
      </c>
      <c r="W390" s="2" t="s">
        <v>11196</v>
      </c>
    </row>
    <row r="391" spans="1:23" hidden="1" x14ac:dyDescent="0.45">
      <c r="A391" s="1" t="s">
        <v>410</v>
      </c>
      <c r="B391" t="s">
        <v>6052</v>
      </c>
      <c r="F391" t="s">
        <v>10292</v>
      </c>
      <c r="G391">
        <v>225</v>
      </c>
      <c r="H391" t="s">
        <v>10314</v>
      </c>
      <c r="N391">
        <v>50.131700000000002</v>
      </c>
      <c r="P391">
        <v>18.52045</v>
      </c>
      <c r="Q391" t="s">
        <v>10550</v>
      </c>
      <c r="R391" t="s">
        <v>11037</v>
      </c>
      <c r="S391" t="s">
        <v>10314</v>
      </c>
      <c r="W391" s="2" t="s">
        <v>11196</v>
      </c>
    </row>
    <row r="392" spans="1:23" hidden="1" x14ac:dyDescent="0.45">
      <c r="A392" s="1" t="s">
        <v>411</v>
      </c>
      <c r="B392" t="s">
        <v>6052</v>
      </c>
      <c r="F392" t="s">
        <v>10292</v>
      </c>
      <c r="G392">
        <v>225</v>
      </c>
      <c r="H392" t="s">
        <v>10314</v>
      </c>
      <c r="N392">
        <v>50.131700000000002</v>
      </c>
      <c r="P392">
        <v>18.52045</v>
      </c>
      <c r="Q392" t="s">
        <v>10550</v>
      </c>
      <c r="R392" t="s">
        <v>11037</v>
      </c>
      <c r="S392" t="s">
        <v>10314</v>
      </c>
      <c r="W392" s="2" t="s">
        <v>11196</v>
      </c>
    </row>
    <row r="393" spans="1:23" hidden="1" x14ac:dyDescent="0.45">
      <c r="A393" s="1" t="s">
        <v>412</v>
      </c>
      <c r="B393" t="s">
        <v>6052</v>
      </c>
      <c r="F393" t="s">
        <v>10292</v>
      </c>
      <c r="G393">
        <v>225</v>
      </c>
      <c r="H393" t="s">
        <v>10314</v>
      </c>
      <c r="N393">
        <v>50.131700000000002</v>
      </c>
      <c r="P393">
        <v>18.52045</v>
      </c>
      <c r="Q393" t="s">
        <v>10550</v>
      </c>
      <c r="R393" t="s">
        <v>11037</v>
      </c>
      <c r="S393" t="s">
        <v>10314</v>
      </c>
      <c r="W393" s="2" t="s">
        <v>11196</v>
      </c>
    </row>
    <row r="394" spans="1:23" hidden="1" x14ac:dyDescent="0.45">
      <c r="A394" s="1" t="s">
        <v>413</v>
      </c>
      <c r="B394" t="s">
        <v>6052</v>
      </c>
      <c r="F394" t="s">
        <v>10292</v>
      </c>
      <c r="G394">
        <v>225</v>
      </c>
      <c r="H394" t="s">
        <v>10314</v>
      </c>
      <c r="N394">
        <v>50.131700000000002</v>
      </c>
      <c r="P394">
        <v>18.52045</v>
      </c>
      <c r="Q394" t="s">
        <v>10550</v>
      </c>
      <c r="R394" t="s">
        <v>11037</v>
      </c>
      <c r="S394" t="s">
        <v>10314</v>
      </c>
      <c r="W394" s="2" t="s">
        <v>11196</v>
      </c>
    </row>
    <row r="395" spans="1:23" hidden="1" x14ac:dyDescent="0.45">
      <c r="A395" s="1" t="s">
        <v>414</v>
      </c>
      <c r="B395" t="s">
        <v>6052</v>
      </c>
      <c r="F395" t="s">
        <v>10292</v>
      </c>
      <c r="G395">
        <v>225</v>
      </c>
      <c r="H395" t="s">
        <v>10314</v>
      </c>
      <c r="N395">
        <v>50.131700000000002</v>
      </c>
      <c r="P395">
        <v>18.52045</v>
      </c>
      <c r="Q395" t="s">
        <v>10550</v>
      </c>
      <c r="R395" t="s">
        <v>11037</v>
      </c>
      <c r="S395" t="s">
        <v>10314</v>
      </c>
      <c r="W395" s="2" t="s">
        <v>11196</v>
      </c>
    </row>
    <row r="396" spans="1:23" hidden="1" x14ac:dyDescent="0.45">
      <c r="A396" s="1" t="s">
        <v>415</v>
      </c>
      <c r="B396" t="s">
        <v>6052</v>
      </c>
      <c r="F396" t="s">
        <v>10292</v>
      </c>
      <c r="G396">
        <v>225</v>
      </c>
      <c r="H396" t="s">
        <v>10314</v>
      </c>
      <c r="N396">
        <v>50.131700000000002</v>
      </c>
      <c r="P396">
        <v>18.52045</v>
      </c>
      <c r="Q396" t="s">
        <v>10550</v>
      </c>
      <c r="R396" t="s">
        <v>11037</v>
      </c>
      <c r="S396" t="s">
        <v>10314</v>
      </c>
      <c r="W396" s="2" t="s">
        <v>11196</v>
      </c>
    </row>
    <row r="397" spans="1:23" hidden="1" x14ac:dyDescent="0.45">
      <c r="A397" s="1" t="s">
        <v>416</v>
      </c>
      <c r="B397" t="s">
        <v>6052</v>
      </c>
      <c r="F397" t="s">
        <v>10292</v>
      </c>
      <c r="G397">
        <v>225</v>
      </c>
      <c r="H397" t="s">
        <v>10314</v>
      </c>
      <c r="N397">
        <v>50.131700000000002</v>
      </c>
      <c r="P397">
        <v>18.52045</v>
      </c>
      <c r="Q397" t="s">
        <v>10550</v>
      </c>
      <c r="R397" t="s">
        <v>11037</v>
      </c>
      <c r="S397" t="s">
        <v>10314</v>
      </c>
      <c r="W397" s="2" t="s">
        <v>11196</v>
      </c>
    </row>
    <row r="398" spans="1:23" hidden="1" x14ac:dyDescent="0.45">
      <c r="A398" s="1" t="s">
        <v>417</v>
      </c>
      <c r="B398" t="s">
        <v>6052</v>
      </c>
      <c r="F398" t="s">
        <v>10292</v>
      </c>
      <c r="G398">
        <v>225</v>
      </c>
      <c r="H398" t="s">
        <v>10314</v>
      </c>
      <c r="N398">
        <v>50.131700000000002</v>
      </c>
      <c r="P398">
        <v>18.52045</v>
      </c>
      <c r="Q398" t="s">
        <v>10550</v>
      </c>
      <c r="R398" t="s">
        <v>11037</v>
      </c>
      <c r="S398" t="s">
        <v>10314</v>
      </c>
      <c r="W398" s="2" t="s">
        <v>11196</v>
      </c>
    </row>
    <row r="399" spans="1:23" hidden="1" x14ac:dyDescent="0.45">
      <c r="A399" s="1" t="s">
        <v>418</v>
      </c>
      <c r="B399" t="s">
        <v>6045</v>
      </c>
      <c r="F399" t="s">
        <v>10292</v>
      </c>
      <c r="G399">
        <v>153</v>
      </c>
      <c r="H399" t="s">
        <v>10314</v>
      </c>
      <c r="N399">
        <v>50.207610000000003</v>
      </c>
      <c r="P399">
        <v>19.461449999999999</v>
      </c>
      <c r="Q399" t="s">
        <v>10551</v>
      </c>
      <c r="R399" t="s">
        <v>11037</v>
      </c>
      <c r="S399" t="s">
        <v>10314</v>
      </c>
      <c r="W399" s="2" t="s">
        <v>11196</v>
      </c>
    </row>
    <row r="400" spans="1:23" hidden="1" x14ac:dyDescent="0.45">
      <c r="A400" s="1" t="s">
        <v>419</v>
      </c>
      <c r="B400" t="s">
        <v>6045</v>
      </c>
      <c r="F400" t="s">
        <v>10292</v>
      </c>
      <c r="G400">
        <v>153</v>
      </c>
      <c r="H400" t="s">
        <v>10314</v>
      </c>
      <c r="N400">
        <v>50.207610000000003</v>
      </c>
      <c r="P400">
        <v>19.461449999999999</v>
      </c>
      <c r="Q400" t="s">
        <v>10551</v>
      </c>
      <c r="R400" t="s">
        <v>11037</v>
      </c>
      <c r="S400" t="s">
        <v>10314</v>
      </c>
      <c r="W400" s="2" t="s">
        <v>11196</v>
      </c>
    </row>
    <row r="401" spans="1:23" hidden="1" x14ac:dyDescent="0.45">
      <c r="A401" s="1" t="s">
        <v>420</v>
      </c>
      <c r="B401" t="s">
        <v>6045</v>
      </c>
      <c r="F401" t="s">
        <v>10292</v>
      </c>
      <c r="G401">
        <v>123</v>
      </c>
      <c r="H401" t="s">
        <v>10314</v>
      </c>
      <c r="N401">
        <v>50.207610000000003</v>
      </c>
      <c r="P401">
        <v>19.461449999999999</v>
      </c>
      <c r="Q401" t="s">
        <v>10551</v>
      </c>
      <c r="R401" t="s">
        <v>11037</v>
      </c>
      <c r="S401" t="s">
        <v>10314</v>
      </c>
      <c r="W401" s="2" t="s">
        <v>11196</v>
      </c>
    </row>
    <row r="402" spans="1:23" hidden="1" x14ac:dyDescent="0.45">
      <c r="A402" s="1" t="s">
        <v>421</v>
      </c>
      <c r="B402" t="s">
        <v>6045</v>
      </c>
      <c r="F402" t="s">
        <v>10292</v>
      </c>
      <c r="G402">
        <v>128</v>
      </c>
      <c r="H402" t="s">
        <v>10314</v>
      </c>
      <c r="N402">
        <v>50.207610000000003</v>
      </c>
      <c r="P402">
        <v>19.461449999999999</v>
      </c>
      <c r="Q402" t="s">
        <v>10551</v>
      </c>
      <c r="R402" t="s">
        <v>11037</v>
      </c>
      <c r="S402" t="s">
        <v>10314</v>
      </c>
      <c r="W402" s="2" t="s">
        <v>11196</v>
      </c>
    </row>
    <row r="403" spans="1:23" hidden="1" x14ac:dyDescent="0.45">
      <c r="A403" s="1" t="s">
        <v>422</v>
      </c>
      <c r="B403" t="s">
        <v>6053</v>
      </c>
      <c r="F403" t="s">
        <v>10292</v>
      </c>
      <c r="G403">
        <v>68</v>
      </c>
      <c r="H403" t="s">
        <v>10310</v>
      </c>
      <c r="I403" t="s">
        <v>10324</v>
      </c>
      <c r="R403" t="s">
        <v>11038</v>
      </c>
      <c r="S403" t="s">
        <v>10310</v>
      </c>
      <c r="W403" s="2" t="s">
        <v>11196</v>
      </c>
    </row>
    <row r="404" spans="1:23" hidden="1" x14ac:dyDescent="0.45">
      <c r="A404" s="1" t="s">
        <v>423</v>
      </c>
      <c r="B404" t="s">
        <v>6053</v>
      </c>
      <c r="F404" t="s">
        <v>10292</v>
      </c>
      <c r="G404">
        <v>68</v>
      </c>
      <c r="H404" t="s">
        <v>10310</v>
      </c>
      <c r="I404" t="s">
        <v>10324</v>
      </c>
      <c r="R404" t="s">
        <v>11038</v>
      </c>
      <c r="S404" t="s">
        <v>10310</v>
      </c>
      <c r="W404" s="2" t="s">
        <v>11196</v>
      </c>
    </row>
    <row r="405" spans="1:23" hidden="1" x14ac:dyDescent="0.45">
      <c r="A405" s="1" t="s">
        <v>424</v>
      </c>
      <c r="B405" t="s">
        <v>6053</v>
      </c>
      <c r="F405" t="s">
        <v>10292</v>
      </c>
      <c r="G405">
        <v>31</v>
      </c>
      <c r="H405" t="s">
        <v>10310</v>
      </c>
      <c r="I405" t="s">
        <v>10324</v>
      </c>
      <c r="R405" t="s">
        <v>11038</v>
      </c>
      <c r="S405" t="s">
        <v>10310</v>
      </c>
      <c r="W405" s="2" t="s">
        <v>11196</v>
      </c>
    </row>
    <row r="406" spans="1:23" hidden="1" x14ac:dyDescent="0.45">
      <c r="A406" s="1" t="s">
        <v>425</v>
      </c>
      <c r="B406" t="s">
        <v>6053</v>
      </c>
      <c r="F406" t="s">
        <v>10292</v>
      </c>
      <c r="G406">
        <v>31</v>
      </c>
      <c r="H406" t="s">
        <v>10310</v>
      </c>
      <c r="I406" t="s">
        <v>10324</v>
      </c>
      <c r="R406" t="s">
        <v>11038</v>
      </c>
      <c r="S406" t="s">
        <v>10310</v>
      </c>
      <c r="W406" s="2" t="s">
        <v>11196</v>
      </c>
    </row>
    <row r="407" spans="1:23" hidden="1" x14ac:dyDescent="0.45">
      <c r="A407" s="1" t="s">
        <v>426</v>
      </c>
      <c r="B407" t="s">
        <v>6045</v>
      </c>
      <c r="F407" t="s">
        <v>10292</v>
      </c>
      <c r="G407">
        <v>125</v>
      </c>
      <c r="H407" t="s">
        <v>10314</v>
      </c>
      <c r="N407">
        <v>50.550710000000002</v>
      </c>
      <c r="P407">
        <v>22.07761</v>
      </c>
      <c r="Q407" t="s">
        <v>10552</v>
      </c>
      <c r="R407" t="s">
        <v>11037</v>
      </c>
      <c r="S407" t="s">
        <v>10314</v>
      </c>
      <c r="W407" s="2" t="s">
        <v>11196</v>
      </c>
    </row>
    <row r="408" spans="1:23" hidden="1" x14ac:dyDescent="0.45">
      <c r="A408" s="1" t="s">
        <v>427</v>
      </c>
      <c r="B408" t="s">
        <v>6045</v>
      </c>
      <c r="F408" t="s">
        <v>10292</v>
      </c>
      <c r="G408">
        <v>125</v>
      </c>
      <c r="H408" t="s">
        <v>10314</v>
      </c>
      <c r="N408">
        <v>50.550710000000002</v>
      </c>
      <c r="P408">
        <v>22.07761</v>
      </c>
      <c r="Q408" t="s">
        <v>10552</v>
      </c>
      <c r="R408" t="s">
        <v>11037</v>
      </c>
      <c r="S408" t="s">
        <v>10314</v>
      </c>
      <c r="W408" s="2" t="s">
        <v>11196</v>
      </c>
    </row>
    <row r="409" spans="1:23" hidden="1" x14ac:dyDescent="0.45">
      <c r="A409" s="1" t="s">
        <v>428</v>
      </c>
      <c r="B409" t="s">
        <v>6042</v>
      </c>
      <c r="F409" t="s">
        <v>10292</v>
      </c>
      <c r="G409">
        <v>235</v>
      </c>
      <c r="H409" t="s">
        <v>10316</v>
      </c>
      <c r="N409">
        <v>50.948180000000001</v>
      </c>
      <c r="P409">
        <v>14.91255</v>
      </c>
      <c r="Q409" t="s">
        <v>10553</v>
      </c>
      <c r="R409" t="s">
        <v>11037</v>
      </c>
      <c r="S409" t="s">
        <v>10316</v>
      </c>
      <c r="W409" s="2" t="s">
        <v>11196</v>
      </c>
    </row>
    <row r="410" spans="1:23" hidden="1" x14ac:dyDescent="0.45">
      <c r="A410" s="1" t="s">
        <v>429</v>
      </c>
      <c r="B410" t="s">
        <v>6042</v>
      </c>
      <c r="F410" t="s">
        <v>10292</v>
      </c>
      <c r="G410">
        <v>235</v>
      </c>
      <c r="H410" t="s">
        <v>10316</v>
      </c>
      <c r="N410">
        <v>50.948180000000001</v>
      </c>
      <c r="P410">
        <v>14.91255</v>
      </c>
      <c r="Q410" t="s">
        <v>10553</v>
      </c>
      <c r="R410" t="s">
        <v>11037</v>
      </c>
      <c r="S410" t="s">
        <v>10316</v>
      </c>
      <c r="W410" s="2" t="s">
        <v>11196</v>
      </c>
    </row>
    <row r="411" spans="1:23" hidden="1" x14ac:dyDescent="0.45">
      <c r="A411" s="1" t="s">
        <v>430</v>
      </c>
      <c r="B411" t="s">
        <v>6042</v>
      </c>
      <c r="F411" t="s">
        <v>10292</v>
      </c>
      <c r="G411">
        <v>235</v>
      </c>
      <c r="H411" t="s">
        <v>10316</v>
      </c>
      <c r="N411">
        <v>50.948180000000001</v>
      </c>
      <c r="P411">
        <v>14.91255</v>
      </c>
      <c r="Q411" t="s">
        <v>10553</v>
      </c>
      <c r="R411" t="s">
        <v>11037</v>
      </c>
      <c r="S411" t="s">
        <v>10316</v>
      </c>
      <c r="W411" s="2" t="s">
        <v>11196</v>
      </c>
    </row>
    <row r="412" spans="1:23" hidden="1" x14ac:dyDescent="0.45">
      <c r="A412" s="1" t="s">
        <v>431</v>
      </c>
      <c r="B412" t="s">
        <v>6042</v>
      </c>
      <c r="F412" t="s">
        <v>10292</v>
      </c>
      <c r="G412">
        <v>261</v>
      </c>
      <c r="H412" t="s">
        <v>10316</v>
      </c>
      <c r="N412">
        <v>50.948180000000001</v>
      </c>
      <c r="P412">
        <v>14.91255</v>
      </c>
      <c r="Q412" t="s">
        <v>10553</v>
      </c>
      <c r="R412" t="s">
        <v>11037</v>
      </c>
      <c r="S412" t="s">
        <v>10316</v>
      </c>
      <c r="W412" s="2" t="s">
        <v>11196</v>
      </c>
    </row>
    <row r="413" spans="1:23" hidden="1" x14ac:dyDescent="0.45">
      <c r="A413" s="1" t="s">
        <v>432</v>
      </c>
      <c r="B413" t="s">
        <v>6042</v>
      </c>
      <c r="F413" t="s">
        <v>10292</v>
      </c>
      <c r="G413">
        <v>261</v>
      </c>
      <c r="H413" t="s">
        <v>10316</v>
      </c>
      <c r="N413">
        <v>50.948180000000001</v>
      </c>
      <c r="P413">
        <v>14.91255</v>
      </c>
      <c r="Q413" t="s">
        <v>10553</v>
      </c>
      <c r="R413" t="s">
        <v>11037</v>
      </c>
      <c r="S413" t="s">
        <v>10316</v>
      </c>
      <c r="W413" s="2" t="s">
        <v>11196</v>
      </c>
    </row>
    <row r="414" spans="1:23" hidden="1" x14ac:dyDescent="0.45">
      <c r="A414" s="1" t="s">
        <v>433</v>
      </c>
      <c r="B414" t="s">
        <v>6042</v>
      </c>
      <c r="F414" t="s">
        <v>10292</v>
      </c>
      <c r="G414">
        <v>261</v>
      </c>
      <c r="H414" t="s">
        <v>10316</v>
      </c>
      <c r="N414">
        <v>50.948180000000001</v>
      </c>
      <c r="P414">
        <v>14.91255</v>
      </c>
      <c r="Q414" t="s">
        <v>10553</v>
      </c>
      <c r="R414" t="s">
        <v>11037</v>
      </c>
      <c r="S414" t="s">
        <v>10316</v>
      </c>
      <c r="W414" s="2" t="s">
        <v>11196</v>
      </c>
    </row>
    <row r="415" spans="1:23" hidden="1" x14ac:dyDescent="0.45">
      <c r="A415" s="1" t="s">
        <v>434</v>
      </c>
      <c r="B415" t="s">
        <v>6044</v>
      </c>
      <c r="F415" t="s">
        <v>10292</v>
      </c>
      <c r="G415">
        <v>179</v>
      </c>
      <c r="H415" t="s">
        <v>10310</v>
      </c>
      <c r="I415" t="s">
        <v>10324</v>
      </c>
      <c r="N415">
        <v>54.742010000000001</v>
      </c>
      <c r="P415">
        <v>18.08924</v>
      </c>
      <c r="Q415" t="s">
        <v>10554</v>
      </c>
      <c r="R415" t="s">
        <v>11038</v>
      </c>
      <c r="S415" t="s">
        <v>10310</v>
      </c>
      <c r="W415" s="2" t="s">
        <v>11196</v>
      </c>
    </row>
    <row r="416" spans="1:23" hidden="1" x14ac:dyDescent="0.45">
      <c r="A416" s="1" t="s">
        <v>435</v>
      </c>
      <c r="B416" t="s">
        <v>6044</v>
      </c>
      <c r="F416" t="s">
        <v>10292</v>
      </c>
      <c r="G416">
        <v>179</v>
      </c>
      <c r="H416" t="s">
        <v>10310</v>
      </c>
      <c r="I416" t="s">
        <v>10324</v>
      </c>
      <c r="N416">
        <v>54.742010000000001</v>
      </c>
      <c r="P416">
        <v>18.08924</v>
      </c>
      <c r="Q416" t="s">
        <v>10554</v>
      </c>
      <c r="R416" t="s">
        <v>11038</v>
      </c>
      <c r="S416" t="s">
        <v>10310</v>
      </c>
      <c r="W416" s="2" t="s">
        <v>11196</v>
      </c>
    </row>
    <row r="417" spans="1:23" hidden="1" x14ac:dyDescent="0.45">
      <c r="A417" s="1" t="s">
        <v>436</v>
      </c>
      <c r="B417" t="s">
        <v>6044</v>
      </c>
      <c r="F417" t="s">
        <v>10292</v>
      </c>
      <c r="G417">
        <v>179</v>
      </c>
      <c r="H417" t="s">
        <v>10310</v>
      </c>
      <c r="I417" t="s">
        <v>10324</v>
      </c>
      <c r="N417">
        <v>54.742010000000001</v>
      </c>
      <c r="P417">
        <v>18.08924</v>
      </c>
      <c r="Q417" t="s">
        <v>10554</v>
      </c>
      <c r="R417" t="s">
        <v>11038</v>
      </c>
      <c r="S417" t="s">
        <v>10310</v>
      </c>
      <c r="W417" s="2" t="s">
        <v>11196</v>
      </c>
    </row>
    <row r="418" spans="1:23" hidden="1" x14ac:dyDescent="0.45">
      <c r="A418" s="1" t="s">
        <v>437</v>
      </c>
      <c r="B418" t="s">
        <v>6044</v>
      </c>
      <c r="F418" t="s">
        <v>10292</v>
      </c>
      <c r="G418">
        <v>179</v>
      </c>
      <c r="H418" t="s">
        <v>10310</v>
      </c>
      <c r="I418" t="s">
        <v>10324</v>
      </c>
      <c r="N418">
        <v>54.742010000000001</v>
      </c>
      <c r="P418">
        <v>18.08924</v>
      </c>
      <c r="Q418" t="s">
        <v>10554</v>
      </c>
      <c r="R418" t="s">
        <v>11038</v>
      </c>
      <c r="S418" t="s">
        <v>10310</v>
      </c>
      <c r="W418" s="2" t="s">
        <v>11196</v>
      </c>
    </row>
    <row r="419" spans="1:23" hidden="1" x14ac:dyDescent="0.45">
      <c r="A419" s="1" t="s">
        <v>438</v>
      </c>
      <c r="B419" t="s">
        <v>6054</v>
      </c>
      <c r="F419" t="s">
        <v>10292</v>
      </c>
      <c r="G419">
        <v>55</v>
      </c>
      <c r="H419" t="s">
        <v>10310</v>
      </c>
      <c r="I419" t="s">
        <v>10324</v>
      </c>
      <c r="N419">
        <v>54.026009999999999</v>
      </c>
      <c r="P419">
        <v>16.71386</v>
      </c>
      <c r="Q419" t="s">
        <v>10555</v>
      </c>
      <c r="R419" t="s">
        <v>11038</v>
      </c>
      <c r="S419" t="s">
        <v>10310</v>
      </c>
      <c r="W419" s="2" t="s">
        <v>11196</v>
      </c>
    </row>
    <row r="420" spans="1:23" hidden="1" x14ac:dyDescent="0.45">
      <c r="A420" s="1" t="s">
        <v>439</v>
      </c>
      <c r="B420" t="s">
        <v>6054</v>
      </c>
      <c r="F420" t="s">
        <v>10292</v>
      </c>
      <c r="G420">
        <v>55</v>
      </c>
      <c r="H420" t="s">
        <v>10310</v>
      </c>
      <c r="I420" t="s">
        <v>10324</v>
      </c>
      <c r="N420">
        <v>54.026009999999999</v>
      </c>
      <c r="P420">
        <v>16.71386</v>
      </c>
      <c r="Q420" t="s">
        <v>10555</v>
      </c>
      <c r="R420" t="s">
        <v>11038</v>
      </c>
      <c r="S420" t="s">
        <v>10310</v>
      </c>
      <c r="W420" s="2" t="s">
        <v>11196</v>
      </c>
    </row>
    <row r="421" spans="1:23" hidden="1" x14ac:dyDescent="0.45">
      <c r="A421" s="1" t="s">
        <v>440</v>
      </c>
      <c r="B421" t="s">
        <v>6054</v>
      </c>
      <c r="F421" t="s">
        <v>10292</v>
      </c>
      <c r="G421">
        <v>57</v>
      </c>
      <c r="H421" t="s">
        <v>10310</v>
      </c>
      <c r="I421" t="s">
        <v>10324</v>
      </c>
      <c r="N421">
        <v>54.026009999999999</v>
      </c>
      <c r="P421">
        <v>16.71386</v>
      </c>
      <c r="Q421" t="s">
        <v>10555</v>
      </c>
      <c r="R421" t="s">
        <v>11038</v>
      </c>
      <c r="S421" t="s">
        <v>10310</v>
      </c>
      <c r="W421" s="2" t="s">
        <v>11196</v>
      </c>
    </row>
    <row r="422" spans="1:23" hidden="1" x14ac:dyDescent="0.45">
      <c r="A422" s="1" t="s">
        <v>441</v>
      </c>
      <c r="F422" t="s">
        <v>10293</v>
      </c>
      <c r="G422">
        <v>135</v>
      </c>
      <c r="H422" t="s">
        <v>10316</v>
      </c>
      <c r="I422" t="s">
        <v>10323</v>
      </c>
      <c r="R422" t="s">
        <v>11037</v>
      </c>
      <c r="S422" t="s">
        <v>10316</v>
      </c>
      <c r="W422" s="2" t="s">
        <v>11197</v>
      </c>
    </row>
    <row r="423" spans="1:23" hidden="1" x14ac:dyDescent="0.45">
      <c r="A423" s="1" t="s">
        <v>442</v>
      </c>
      <c r="F423" t="s">
        <v>10293</v>
      </c>
      <c r="G423">
        <v>135</v>
      </c>
      <c r="H423" t="s">
        <v>10316</v>
      </c>
      <c r="I423" t="s">
        <v>10323</v>
      </c>
      <c r="R423" t="s">
        <v>11037</v>
      </c>
      <c r="S423" t="s">
        <v>10316</v>
      </c>
      <c r="W423" s="2" t="s">
        <v>11197</v>
      </c>
    </row>
    <row r="424" spans="1:23" hidden="1" x14ac:dyDescent="0.45">
      <c r="A424" s="1" t="s">
        <v>443</v>
      </c>
      <c r="F424" t="s">
        <v>10293</v>
      </c>
      <c r="G424">
        <v>135</v>
      </c>
      <c r="H424" t="s">
        <v>10316</v>
      </c>
      <c r="I424" t="s">
        <v>10323</v>
      </c>
      <c r="R424" t="s">
        <v>11037</v>
      </c>
      <c r="S424" t="s">
        <v>10316</v>
      </c>
      <c r="W424" s="2" t="s">
        <v>11197</v>
      </c>
    </row>
    <row r="425" spans="1:23" hidden="1" x14ac:dyDescent="0.45">
      <c r="A425" s="1" t="s">
        <v>444</v>
      </c>
      <c r="F425" t="s">
        <v>10293</v>
      </c>
      <c r="G425">
        <v>66.2</v>
      </c>
      <c r="H425" t="s">
        <v>10316</v>
      </c>
      <c r="I425" t="s">
        <v>10323</v>
      </c>
      <c r="R425" t="s">
        <v>11037</v>
      </c>
      <c r="S425" t="s">
        <v>10316</v>
      </c>
      <c r="W425" s="2" t="s">
        <v>11197</v>
      </c>
    </row>
    <row r="426" spans="1:23" hidden="1" x14ac:dyDescent="0.45">
      <c r="A426" s="1" t="s">
        <v>445</v>
      </c>
      <c r="F426" t="s">
        <v>10293</v>
      </c>
      <c r="G426">
        <v>18</v>
      </c>
      <c r="H426" t="s">
        <v>10316</v>
      </c>
      <c r="I426" t="s">
        <v>10323</v>
      </c>
      <c r="R426" t="s">
        <v>11037</v>
      </c>
      <c r="S426" t="s">
        <v>10316</v>
      </c>
      <c r="W426" s="2" t="s">
        <v>11197</v>
      </c>
    </row>
    <row r="427" spans="1:23" hidden="1" x14ac:dyDescent="0.45">
      <c r="A427" s="1" t="s">
        <v>446</v>
      </c>
      <c r="F427" t="s">
        <v>10293</v>
      </c>
      <c r="G427">
        <v>18.3</v>
      </c>
      <c r="H427" t="s">
        <v>10316</v>
      </c>
      <c r="I427" t="s">
        <v>10323</v>
      </c>
      <c r="R427" t="s">
        <v>11037</v>
      </c>
      <c r="S427" t="s">
        <v>10316</v>
      </c>
      <c r="W427" s="2" t="s">
        <v>11197</v>
      </c>
    </row>
    <row r="428" spans="1:23" hidden="1" x14ac:dyDescent="0.45">
      <c r="A428" s="1" t="s">
        <v>447</v>
      </c>
      <c r="F428" t="s">
        <v>10293</v>
      </c>
      <c r="G428">
        <v>60</v>
      </c>
      <c r="H428" t="s">
        <v>10316</v>
      </c>
      <c r="I428" t="s">
        <v>10323</v>
      </c>
      <c r="R428" t="s">
        <v>11037</v>
      </c>
      <c r="S428" t="s">
        <v>10316</v>
      </c>
      <c r="W428" s="2" t="s">
        <v>11197</v>
      </c>
    </row>
    <row r="429" spans="1:23" hidden="1" x14ac:dyDescent="0.45">
      <c r="A429" s="1" t="s">
        <v>448</v>
      </c>
      <c r="F429" t="s">
        <v>10293</v>
      </c>
      <c r="G429">
        <v>60</v>
      </c>
      <c r="H429" t="s">
        <v>10316</v>
      </c>
      <c r="I429" t="s">
        <v>10323</v>
      </c>
      <c r="R429" t="s">
        <v>11037</v>
      </c>
      <c r="S429" t="s">
        <v>10316</v>
      </c>
      <c r="W429" s="2" t="s">
        <v>11197</v>
      </c>
    </row>
    <row r="430" spans="1:23" hidden="1" x14ac:dyDescent="0.45">
      <c r="A430" s="1" t="s">
        <v>449</v>
      </c>
      <c r="F430" t="s">
        <v>10293</v>
      </c>
      <c r="G430">
        <v>60</v>
      </c>
      <c r="H430" t="s">
        <v>10316</v>
      </c>
      <c r="I430" t="s">
        <v>10323</v>
      </c>
      <c r="R430" t="s">
        <v>11037</v>
      </c>
      <c r="S430" t="s">
        <v>10316</v>
      </c>
      <c r="W430" s="2" t="s">
        <v>11197</v>
      </c>
    </row>
    <row r="431" spans="1:23" hidden="1" x14ac:dyDescent="0.45">
      <c r="A431" s="1" t="s">
        <v>450</v>
      </c>
      <c r="F431" t="s">
        <v>10293</v>
      </c>
      <c r="G431">
        <v>60</v>
      </c>
      <c r="H431" t="s">
        <v>10316</v>
      </c>
      <c r="I431" t="s">
        <v>10323</v>
      </c>
      <c r="R431" t="s">
        <v>11037</v>
      </c>
      <c r="S431" t="s">
        <v>10316</v>
      </c>
      <c r="W431" s="2" t="s">
        <v>11197</v>
      </c>
    </row>
    <row r="432" spans="1:23" hidden="1" x14ac:dyDescent="0.45">
      <c r="A432" s="1" t="s">
        <v>451</v>
      </c>
      <c r="F432" t="s">
        <v>10293</v>
      </c>
      <c r="G432">
        <v>107</v>
      </c>
      <c r="H432" t="s">
        <v>10316</v>
      </c>
      <c r="I432" t="s">
        <v>10323</v>
      </c>
      <c r="R432" t="s">
        <v>11037</v>
      </c>
      <c r="S432" t="s">
        <v>10316</v>
      </c>
      <c r="W432" s="2" t="s">
        <v>11197</v>
      </c>
    </row>
    <row r="433" spans="1:23" hidden="1" x14ac:dyDescent="0.45">
      <c r="A433" s="1" t="s">
        <v>452</v>
      </c>
      <c r="F433" t="s">
        <v>10293</v>
      </c>
      <c r="G433">
        <v>275</v>
      </c>
      <c r="H433" t="s">
        <v>10316</v>
      </c>
      <c r="I433" t="s">
        <v>10323</v>
      </c>
      <c r="R433" t="s">
        <v>11037</v>
      </c>
      <c r="S433" t="s">
        <v>10316</v>
      </c>
      <c r="W433" s="2" t="s">
        <v>11197</v>
      </c>
    </row>
    <row r="434" spans="1:23" hidden="1" x14ac:dyDescent="0.45">
      <c r="A434" s="1" t="s">
        <v>453</v>
      </c>
      <c r="F434" t="s">
        <v>10293</v>
      </c>
      <c r="G434">
        <v>205</v>
      </c>
      <c r="H434" t="s">
        <v>10316</v>
      </c>
      <c r="I434" t="s">
        <v>10323</v>
      </c>
      <c r="R434" t="s">
        <v>11037</v>
      </c>
      <c r="S434" t="s">
        <v>10316</v>
      </c>
      <c r="W434" s="2" t="s">
        <v>11197</v>
      </c>
    </row>
    <row r="435" spans="1:23" hidden="1" x14ac:dyDescent="0.45">
      <c r="A435" s="1" t="s">
        <v>454</v>
      </c>
      <c r="F435" t="s">
        <v>10293</v>
      </c>
      <c r="G435">
        <v>205</v>
      </c>
      <c r="H435" t="s">
        <v>10316</v>
      </c>
      <c r="I435" t="s">
        <v>10323</v>
      </c>
      <c r="R435" t="s">
        <v>11037</v>
      </c>
      <c r="S435" t="s">
        <v>10316</v>
      </c>
      <c r="W435" s="2" t="s">
        <v>11197</v>
      </c>
    </row>
    <row r="436" spans="1:23" hidden="1" x14ac:dyDescent="0.45">
      <c r="A436" s="1" t="s">
        <v>455</v>
      </c>
      <c r="F436" t="s">
        <v>10293</v>
      </c>
      <c r="G436">
        <v>205</v>
      </c>
      <c r="H436" t="s">
        <v>10316</v>
      </c>
      <c r="I436" t="s">
        <v>10323</v>
      </c>
      <c r="R436" t="s">
        <v>11037</v>
      </c>
      <c r="S436" t="s">
        <v>10316</v>
      </c>
      <c r="W436" s="2" t="s">
        <v>11197</v>
      </c>
    </row>
    <row r="437" spans="1:23" hidden="1" x14ac:dyDescent="0.45">
      <c r="A437" s="1" t="s">
        <v>456</v>
      </c>
      <c r="F437" t="s">
        <v>10293</v>
      </c>
      <c r="G437">
        <v>205</v>
      </c>
      <c r="H437" t="s">
        <v>10316</v>
      </c>
      <c r="I437" t="s">
        <v>10323</v>
      </c>
      <c r="R437" t="s">
        <v>11037</v>
      </c>
      <c r="S437" t="s">
        <v>10316</v>
      </c>
      <c r="W437" s="2" t="s">
        <v>11197</v>
      </c>
    </row>
    <row r="438" spans="1:23" hidden="1" x14ac:dyDescent="0.45">
      <c r="A438" s="1" t="s">
        <v>457</v>
      </c>
      <c r="F438" t="s">
        <v>10293</v>
      </c>
      <c r="G438">
        <v>1.3</v>
      </c>
      <c r="H438" t="s">
        <v>10316</v>
      </c>
      <c r="I438" t="s">
        <v>10323</v>
      </c>
      <c r="R438" t="s">
        <v>11037</v>
      </c>
      <c r="S438" t="s">
        <v>10316</v>
      </c>
      <c r="W438" s="2" t="s">
        <v>11197</v>
      </c>
    </row>
    <row r="439" spans="1:23" hidden="1" x14ac:dyDescent="0.45">
      <c r="A439" s="1" t="s">
        <v>458</v>
      </c>
      <c r="F439" t="s">
        <v>10293</v>
      </c>
      <c r="G439">
        <v>15</v>
      </c>
      <c r="H439" t="s">
        <v>10316</v>
      </c>
      <c r="I439" t="s">
        <v>10323</v>
      </c>
      <c r="R439" t="s">
        <v>11037</v>
      </c>
      <c r="S439" t="s">
        <v>10316</v>
      </c>
      <c r="W439" s="2" t="s">
        <v>11197</v>
      </c>
    </row>
    <row r="440" spans="1:23" hidden="1" x14ac:dyDescent="0.45">
      <c r="A440" s="1" t="s">
        <v>459</v>
      </c>
      <c r="F440" t="s">
        <v>10293</v>
      </c>
      <c r="G440">
        <v>40</v>
      </c>
      <c r="H440" t="s">
        <v>10316</v>
      </c>
      <c r="I440" t="s">
        <v>10323</v>
      </c>
      <c r="R440" t="s">
        <v>11037</v>
      </c>
      <c r="S440" t="s">
        <v>10316</v>
      </c>
      <c r="W440" s="2" t="s">
        <v>11197</v>
      </c>
    </row>
    <row r="441" spans="1:23" hidden="1" x14ac:dyDescent="0.45">
      <c r="A441" s="1" t="s">
        <v>460</v>
      </c>
      <c r="F441" t="s">
        <v>10293</v>
      </c>
      <c r="G441">
        <v>27</v>
      </c>
      <c r="H441" t="s">
        <v>10316</v>
      </c>
      <c r="I441" t="s">
        <v>10323</v>
      </c>
      <c r="R441" t="s">
        <v>11037</v>
      </c>
      <c r="S441" t="s">
        <v>10316</v>
      </c>
      <c r="W441" s="2" t="s">
        <v>11197</v>
      </c>
    </row>
    <row r="442" spans="1:23" hidden="1" x14ac:dyDescent="0.45">
      <c r="A442" s="1" t="s">
        <v>461</v>
      </c>
      <c r="F442" t="s">
        <v>10293</v>
      </c>
      <c r="G442">
        <v>33</v>
      </c>
      <c r="H442" t="s">
        <v>10316</v>
      </c>
      <c r="I442" t="s">
        <v>10323</v>
      </c>
      <c r="R442" t="s">
        <v>11037</v>
      </c>
      <c r="S442" t="s">
        <v>10316</v>
      </c>
      <c r="W442" s="2" t="s">
        <v>11197</v>
      </c>
    </row>
    <row r="443" spans="1:23" hidden="1" x14ac:dyDescent="0.45">
      <c r="A443" s="1" t="s">
        <v>462</v>
      </c>
      <c r="F443" t="s">
        <v>10293</v>
      </c>
      <c r="G443">
        <v>4.5</v>
      </c>
      <c r="H443" t="s">
        <v>10316</v>
      </c>
      <c r="I443" t="s">
        <v>10323</v>
      </c>
      <c r="R443" t="s">
        <v>11037</v>
      </c>
      <c r="S443" t="s">
        <v>10316</v>
      </c>
      <c r="W443" s="2" t="s">
        <v>11197</v>
      </c>
    </row>
    <row r="444" spans="1:23" hidden="1" x14ac:dyDescent="0.45">
      <c r="A444" s="1" t="s">
        <v>463</v>
      </c>
      <c r="F444" t="s">
        <v>10293</v>
      </c>
      <c r="G444">
        <v>12</v>
      </c>
      <c r="H444" t="s">
        <v>10316</v>
      </c>
      <c r="I444" t="s">
        <v>10323</v>
      </c>
      <c r="R444" t="s">
        <v>11037</v>
      </c>
      <c r="S444" t="s">
        <v>10316</v>
      </c>
      <c r="W444" s="2" t="s">
        <v>11197</v>
      </c>
    </row>
    <row r="445" spans="1:23" hidden="1" x14ac:dyDescent="0.45">
      <c r="A445" s="1" t="s">
        <v>464</v>
      </c>
      <c r="F445" t="s">
        <v>10293</v>
      </c>
      <c r="G445">
        <v>35</v>
      </c>
      <c r="H445" t="s">
        <v>10316</v>
      </c>
      <c r="I445" t="s">
        <v>10323</v>
      </c>
      <c r="R445" t="s">
        <v>11037</v>
      </c>
      <c r="S445" t="s">
        <v>10316</v>
      </c>
      <c r="W445" s="2" t="s">
        <v>11197</v>
      </c>
    </row>
    <row r="446" spans="1:23" hidden="1" x14ac:dyDescent="0.45">
      <c r="A446" s="1" t="s">
        <v>465</v>
      </c>
      <c r="F446" t="s">
        <v>10293</v>
      </c>
      <c r="G446">
        <v>22</v>
      </c>
      <c r="H446" t="s">
        <v>10316</v>
      </c>
      <c r="I446" t="s">
        <v>10323</v>
      </c>
      <c r="R446" t="s">
        <v>11037</v>
      </c>
      <c r="S446" t="s">
        <v>10316</v>
      </c>
      <c r="W446" s="2" t="s">
        <v>11197</v>
      </c>
    </row>
    <row r="447" spans="1:23" hidden="1" x14ac:dyDescent="0.45">
      <c r="A447" s="1" t="s">
        <v>466</v>
      </c>
      <c r="F447" t="s">
        <v>10293</v>
      </c>
      <c r="G447">
        <v>34</v>
      </c>
      <c r="H447" t="s">
        <v>10316</v>
      </c>
      <c r="I447" t="s">
        <v>10323</v>
      </c>
      <c r="R447" t="s">
        <v>11037</v>
      </c>
      <c r="S447" t="s">
        <v>10316</v>
      </c>
      <c r="W447" s="2" t="s">
        <v>11197</v>
      </c>
    </row>
    <row r="448" spans="1:23" hidden="1" x14ac:dyDescent="0.45">
      <c r="A448" s="1" t="s">
        <v>467</v>
      </c>
      <c r="F448" t="s">
        <v>10293</v>
      </c>
      <c r="G448">
        <v>32</v>
      </c>
      <c r="H448" t="s">
        <v>10316</v>
      </c>
      <c r="I448" t="s">
        <v>10323</v>
      </c>
      <c r="R448" t="s">
        <v>11037</v>
      </c>
      <c r="S448" t="s">
        <v>10316</v>
      </c>
      <c r="W448" s="2" t="s">
        <v>11197</v>
      </c>
    </row>
    <row r="449" spans="1:23" hidden="1" x14ac:dyDescent="0.45">
      <c r="A449" s="1" t="s">
        <v>468</v>
      </c>
      <c r="F449" t="s">
        <v>10293</v>
      </c>
      <c r="G449">
        <v>32</v>
      </c>
      <c r="H449" t="s">
        <v>10316</v>
      </c>
      <c r="I449" t="s">
        <v>10323</v>
      </c>
      <c r="R449" t="s">
        <v>11037</v>
      </c>
      <c r="S449" t="s">
        <v>10316</v>
      </c>
      <c r="W449" s="2" t="s">
        <v>11197</v>
      </c>
    </row>
    <row r="450" spans="1:23" hidden="1" x14ac:dyDescent="0.45">
      <c r="A450" s="1" t="s">
        <v>469</v>
      </c>
      <c r="F450" t="s">
        <v>10293</v>
      </c>
      <c r="G450">
        <v>32</v>
      </c>
      <c r="H450" t="s">
        <v>10316</v>
      </c>
      <c r="I450" t="s">
        <v>10323</v>
      </c>
      <c r="R450" t="s">
        <v>11037</v>
      </c>
      <c r="S450" t="s">
        <v>10316</v>
      </c>
      <c r="W450" s="2" t="s">
        <v>11197</v>
      </c>
    </row>
    <row r="451" spans="1:23" hidden="1" x14ac:dyDescent="0.45">
      <c r="A451" s="1" t="s">
        <v>470</v>
      </c>
      <c r="F451" t="s">
        <v>10293</v>
      </c>
      <c r="G451">
        <v>32</v>
      </c>
      <c r="H451" t="s">
        <v>10316</v>
      </c>
      <c r="I451" t="s">
        <v>10323</v>
      </c>
      <c r="R451" t="s">
        <v>11037</v>
      </c>
      <c r="S451" t="s">
        <v>10316</v>
      </c>
      <c r="W451" s="2" t="s">
        <v>11197</v>
      </c>
    </row>
    <row r="452" spans="1:23" hidden="1" x14ac:dyDescent="0.45">
      <c r="A452" s="1" t="s">
        <v>471</v>
      </c>
      <c r="F452" t="s">
        <v>10293</v>
      </c>
      <c r="G452">
        <v>110</v>
      </c>
      <c r="H452" t="s">
        <v>10316</v>
      </c>
      <c r="I452" t="s">
        <v>10323</v>
      </c>
      <c r="R452" t="s">
        <v>11037</v>
      </c>
      <c r="S452" t="s">
        <v>10316</v>
      </c>
      <c r="W452" s="2" t="s">
        <v>11197</v>
      </c>
    </row>
    <row r="453" spans="1:23" hidden="1" x14ac:dyDescent="0.45">
      <c r="A453" s="1" t="s">
        <v>472</v>
      </c>
      <c r="F453" t="s">
        <v>10293</v>
      </c>
      <c r="G453">
        <v>110</v>
      </c>
      <c r="H453" t="s">
        <v>10316</v>
      </c>
      <c r="I453" t="s">
        <v>10323</v>
      </c>
      <c r="R453" t="s">
        <v>11037</v>
      </c>
      <c r="S453" t="s">
        <v>10316</v>
      </c>
      <c r="W453" s="2" t="s">
        <v>11197</v>
      </c>
    </row>
    <row r="454" spans="1:23" hidden="1" x14ac:dyDescent="0.45">
      <c r="A454" s="1" t="s">
        <v>473</v>
      </c>
      <c r="F454" t="s">
        <v>10293</v>
      </c>
      <c r="G454">
        <v>110</v>
      </c>
      <c r="H454" t="s">
        <v>10316</v>
      </c>
      <c r="I454" t="s">
        <v>10323</v>
      </c>
      <c r="R454" t="s">
        <v>11037</v>
      </c>
      <c r="S454" t="s">
        <v>10316</v>
      </c>
      <c r="W454" s="2" t="s">
        <v>11197</v>
      </c>
    </row>
    <row r="455" spans="1:23" hidden="1" x14ac:dyDescent="0.45">
      <c r="A455" s="1" t="s">
        <v>474</v>
      </c>
      <c r="F455" t="s">
        <v>10293</v>
      </c>
      <c r="G455">
        <v>660</v>
      </c>
      <c r="H455" t="s">
        <v>10316</v>
      </c>
      <c r="I455" t="s">
        <v>10323</v>
      </c>
      <c r="R455" t="s">
        <v>11037</v>
      </c>
      <c r="S455" t="s">
        <v>10316</v>
      </c>
      <c r="W455" s="2" t="s">
        <v>11197</v>
      </c>
    </row>
    <row r="456" spans="1:23" hidden="1" x14ac:dyDescent="0.45">
      <c r="A456" s="1" t="s">
        <v>475</v>
      </c>
      <c r="F456" t="s">
        <v>10293</v>
      </c>
      <c r="G456">
        <v>15</v>
      </c>
      <c r="H456" t="s">
        <v>10316</v>
      </c>
      <c r="I456" t="s">
        <v>10323</v>
      </c>
      <c r="R456" t="s">
        <v>11037</v>
      </c>
      <c r="S456" t="s">
        <v>10316</v>
      </c>
      <c r="W456" s="2" t="s">
        <v>11197</v>
      </c>
    </row>
    <row r="457" spans="1:23" hidden="1" x14ac:dyDescent="0.45">
      <c r="A457" s="1" t="s">
        <v>476</v>
      </c>
      <c r="F457" t="s">
        <v>10293</v>
      </c>
      <c r="G457">
        <v>110</v>
      </c>
      <c r="H457" t="s">
        <v>10316</v>
      </c>
      <c r="I457" t="s">
        <v>10323</v>
      </c>
      <c r="R457" t="s">
        <v>11037</v>
      </c>
      <c r="S457" t="s">
        <v>10316</v>
      </c>
      <c r="W457" s="2" t="s">
        <v>11197</v>
      </c>
    </row>
    <row r="458" spans="1:23" hidden="1" x14ac:dyDescent="0.45">
      <c r="A458" s="1" t="s">
        <v>477</v>
      </c>
      <c r="F458" t="s">
        <v>10293</v>
      </c>
      <c r="G458">
        <v>110</v>
      </c>
      <c r="H458" t="s">
        <v>10316</v>
      </c>
      <c r="I458" t="s">
        <v>10323</v>
      </c>
      <c r="R458" t="s">
        <v>11037</v>
      </c>
      <c r="S458" t="s">
        <v>10316</v>
      </c>
      <c r="W458" s="2" t="s">
        <v>11197</v>
      </c>
    </row>
    <row r="459" spans="1:23" hidden="1" x14ac:dyDescent="0.45">
      <c r="A459" s="1" t="s">
        <v>478</v>
      </c>
      <c r="F459" t="s">
        <v>10293</v>
      </c>
      <c r="G459">
        <v>500</v>
      </c>
      <c r="H459" t="s">
        <v>10316</v>
      </c>
      <c r="I459" t="s">
        <v>10323</v>
      </c>
      <c r="R459" t="s">
        <v>11037</v>
      </c>
      <c r="S459" t="s">
        <v>10316</v>
      </c>
      <c r="W459" s="2" t="s">
        <v>11197</v>
      </c>
    </row>
    <row r="460" spans="1:23" hidden="1" x14ac:dyDescent="0.45">
      <c r="A460" s="1" t="s">
        <v>479</v>
      </c>
      <c r="F460" t="s">
        <v>10293</v>
      </c>
      <c r="G460">
        <v>17</v>
      </c>
      <c r="H460" t="s">
        <v>10316</v>
      </c>
      <c r="I460" t="s">
        <v>10323</v>
      </c>
      <c r="R460" t="s">
        <v>11037</v>
      </c>
      <c r="S460" t="s">
        <v>10316</v>
      </c>
      <c r="W460" s="2" t="s">
        <v>11197</v>
      </c>
    </row>
    <row r="461" spans="1:23" hidden="1" x14ac:dyDescent="0.45">
      <c r="A461" s="1" t="s">
        <v>480</v>
      </c>
      <c r="F461" t="s">
        <v>10293</v>
      </c>
      <c r="G461">
        <v>41</v>
      </c>
      <c r="H461" t="s">
        <v>10316</v>
      </c>
      <c r="I461" t="s">
        <v>10323</v>
      </c>
      <c r="R461" t="s">
        <v>11037</v>
      </c>
      <c r="S461" t="s">
        <v>10316</v>
      </c>
      <c r="W461" s="2" t="s">
        <v>11197</v>
      </c>
    </row>
    <row r="462" spans="1:23" hidden="1" x14ac:dyDescent="0.45">
      <c r="A462" s="1" t="s">
        <v>481</v>
      </c>
      <c r="F462" t="s">
        <v>10293</v>
      </c>
      <c r="G462">
        <v>8</v>
      </c>
      <c r="H462" t="s">
        <v>10316</v>
      </c>
      <c r="I462" t="s">
        <v>10323</v>
      </c>
      <c r="R462" t="s">
        <v>11037</v>
      </c>
      <c r="S462" t="s">
        <v>10316</v>
      </c>
      <c r="W462" s="2" t="s">
        <v>11197</v>
      </c>
    </row>
    <row r="463" spans="1:23" hidden="1" x14ac:dyDescent="0.45">
      <c r="A463" s="1" t="s">
        <v>482</v>
      </c>
      <c r="F463" t="s">
        <v>10293</v>
      </c>
      <c r="G463">
        <v>60</v>
      </c>
      <c r="H463" t="s">
        <v>10316</v>
      </c>
      <c r="I463" t="s">
        <v>10323</v>
      </c>
      <c r="R463" t="s">
        <v>11037</v>
      </c>
      <c r="S463" t="s">
        <v>10316</v>
      </c>
      <c r="W463" s="2" t="s">
        <v>11197</v>
      </c>
    </row>
    <row r="464" spans="1:23" hidden="1" x14ac:dyDescent="0.45">
      <c r="A464" s="1" t="s">
        <v>483</v>
      </c>
      <c r="F464" t="s">
        <v>10293</v>
      </c>
      <c r="G464">
        <v>60</v>
      </c>
      <c r="H464" t="s">
        <v>10316</v>
      </c>
      <c r="I464" t="s">
        <v>10323</v>
      </c>
      <c r="R464" t="s">
        <v>11037</v>
      </c>
      <c r="S464" t="s">
        <v>10316</v>
      </c>
      <c r="W464" s="2" t="s">
        <v>11197</v>
      </c>
    </row>
    <row r="465" spans="1:23" hidden="1" x14ac:dyDescent="0.45">
      <c r="A465" s="1" t="s">
        <v>484</v>
      </c>
      <c r="F465" t="s">
        <v>10293</v>
      </c>
      <c r="G465">
        <v>63</v>
      </c>
      <c r="H465" t="s">
        <v>10316</v>
      </c>
      <c r="I465" t="s">
        <v>10323</v>
      </c>
      <c r="R465" t="s">
        <v>11037</v>
      </c>
      <c r="S465" t="s">
        <v>10316</v>
      </c>
      <c r="W465" s="2" t="s">
        <v>11197</v>
      </c>
    </row>
    <row r="466" spans="1:23" hidden="1" x14ac:dyDescent="0.45">
      <c r="A466" s="1" t="s">
        <v>485</v>
      </c>
      <c r="F466" t="s">
        <v>10293</v>
      </c>
      <c r="G466">
        <v>60</v>
      </c>
      <c r="H466" t="s">
        <v>10316</v>
      </c>
      <c r="I466" t="s">
        <v>10323</v>
      </c>
      <c r="R466" t="s">
        <v>11037</v>
      </c>
      <c r="S466" t="s">
        <v>10316</v>
      </c>
      <c r="W466" s="2" t="s">
        <v>11197</v>
      </c>
    </row>
    <row r="467" spans="1:23" hidden="1" x14ac:dyDescent="0.45">
      <c r="A467" s="1" t="s">
        <v>486</v>
      </c>
      <c r="F467" t="s">
        <v>10293</v>
      </c>
      <c r="G467">
        <v>60</v>
      </c>
      <c r="H467" t="s">
        <v>10316</v>
      </c>
      <c r="I467" t="s">
        <v>10323</v>
      </c>
      <c r="R467" t="s">
        <v>11037</v>
      </c>
      <c r="S467" t="s">
        <v>10316</v>
      </c>
      <c r="W467" s="2" t="s">
        <v>11197</v>
      </c>
    </row>
    <row r="468" spans="1:23" hidden="1" x14ac:dyDescent="0.45">
      <c r="A468" s="1" t="s">
        <v>487</v>
      </c>
      <c r="F468" t="s">
        <v>10293</v>
      </c>
      <c r="G468">
        <v>63</v>
      </c>
      <c r="H468" t="s">
        <v>10316</v>
      </c>
      <c r="I468" t="s">
        <v>10323</v>
      </c>
      <c r="R468" t="s">
        <v>11037</v>
      </c>
      <c r="S468" t="s">
        <v>10316</v>
      </c>
      <c r="W468" s="2" t="s">
        <v>11197</v>
      </c>
    </row>
    <row r="469" spans="1:23" hidden="1" x14ac:dyDescent="0.45">
      <c r="A469" s="1" t="s">
        <v>488</v>
      </c>
      <c r="F469" t="s">
        <v>10293</v>
      </c>
      <c r="G469">
        <v>13.5</v>
      </c>
      <c r="H469" t="s">
        <v>10316</v>
      </c>
      <c r="I469" t="s">
        <v>10323</v>
      </c>
      <c r="R469" t="s">
        <v>11037</v>
      </c>
      <c r="S469" t="s">
        <v>10316</v>
      </c>
      <c r="W469" s="2" t="s">
        <v>11197</v>
      </c>
    </row>
    <row r="470" spans="1:23" hidden="1" x14ac:dyDescent="0.45">
      <c r="A470" s="1" t="s">
        <v>489</v>
      </c>
      <c r="F470" t="s">
        <v>10293</v>
      </c>
      <c r="G470">
        <v>6</v>
      </c>
      <c r="H470" t="s">
        <v>10316</v>
      </c>
      <c r="I470" t="s">
        <v>10323</v>
      </c>
      <c r="R470" t="s">
        <v>11037</v>
      </c>
      <c r="S470" t="s">
        <v>10316</v>
      </c>
      <c r="W470" s="2" t="s">
        <v>11197</v>
      </c>
    </row>
    <row r="471" spans="1:23" hidden="1" x14ac:dyDescent="0.45">
      <c r="A471" s="1" t="s">
        <v>490</v>
      </c>
      <c r="F471" t="s">
        <v>10293</v>
      </c>
      <c r="G471">
        <v>25</v>
      </c>
      <c r="H471" t="s">
        <v>10316</v>
      </c>
      <c r="I471" t="s">
        <v>10323</v>
      </c>
      <c r="R471" t="s">
        <v>11037</v>
      </c>
      <c r="S471" t="s">
        <v>10316</v>
      </c>
      <c r="W471" s="2" t="s">
        <v>11197</v>
      </c>
    </row>
    <row r="472" spans="1:23" hidden="1" x14ac:dyDescent="0.45">
      <c r="A472" s="1" t="s">
        <v>491</v>
      </c>
      <c r="F472" t="s">
        <v>10293</v>
      </c>
      <c r="G472">
        <v>27.5</v>
      </c>
      <c r="H472" t="s">
        <v>10316</v>
      </c>
      <c r="I472" t="s">
        <v>10323</v>
      </c>
      <c r="R472" t="s">
        <v>11037</v>
      </c>
      <c r="S472" t="s">
        <v>10316</v>
      </c>
      <c r="W472" s="2" t="s">
        <v>11197</v>
      </c>
    </row>
    <row r="473" spans="1:23" hidden="1" x14ac:dyDescent="0.45">
      <c r="A473" s="1" t="s">
        <v>492</v>
      </c>
      <c r="F473" t="s">
        <v>10293</v>
      </c>
      <c r="G473">
        <v>26</v>
      </c>
      <c r="H473" t="s">
        <v>10316</v>
      </c>
      <c r="I473" t="s">
        <v>10323</v>
      </c>
      <c r="R473" t="s">
        <v>11037</v>
      </c>
      <c r="S473" t="s">
        <v>10316</v>
      </c>
      <c r="W473" s="2" t="s">
        <v>11197</v>
      </c>
    </row>
    <row r="474" spans="1:23" hidden="1" x14ac:dyDescent="0.45">
      <c r="A474" s="1" t="s">
        <v>493</v>
      </c>
      <c r="F474" t="s">
        <v>10293</v>
      </c>
      <c r="G474">
        <v>129</v>
      </c>
      <c r="H474" t="s">
        <v>10316</v>
      </c>
      <c r="I474" t="s">
        <v>10323</v>
      </c>
      <c r="R474" t="s">
        <v>11037</v>
      </c>
      <c r="S474" t="s">
        <v>10316</v>
      </c>
      <c r="W474" s="2" t="s">
        <v>11197</v>
      </c>
    </row>
    <row r="475" spans="1:23" hidden="1" x14ac:dyDescent="0.45">
      <c r="A475" s="1" t="s">
        <v>494</v>
      </c>
      <c r="F475" t="s">
        <v>10293</v>
      </c>
      <c r="G475">
        <v>173.7</v>
      </c>
      <c r="H475" t="s">
        <v>10316</v>
      </c>
      <c r="I475" t="s">
        <v>10323</v>
      </c>
      <c r="R475" t="s">
        <v>11037</v>
      </c>
      <c r="S475" t="s">
        <v>10316</v>
      </c>
      <c r="W475" s="2" t="s">
        <v>11197</v>
      </c>
    </row>
    <row r="476" spans="1:23" hidden="1" x14ac:dyDescent="0.45">
      <c r="A476" s="1" t="s">
        <v>495</v>
      </c>
      <c r="F476" t="s">
        <v>10293</v>
      </c>
      <c r="G476">
        <v>135</v>
      </c>
      <c r="H476" t="s">
        <v>10316</v>
      </c>
      <c r="I476" t="s">
        <v>10323</v>
      </c>
      <c r="R476" t="s">
        <v>11037</v>
      </c>
      <c r="S476" t="s">
        <v>10316</v>
      </c>
      <c r="W476" s="2" t="s">
        <v>11197</v>
      </c>
    </row>
    <row r="477" spans="1:23" hidden="1" x14ac:dyDescent="0.45">
      <c r="A477" s="1" t="s">
        <v>496</v>
      </c>
      <c r="F477" t="s">
        <v>10293</v>
      </c>
      <c r="G477">
        <v>26</v>
      </c>
      <c r="H477" t="s">
        <v>10316</v>
      </c>
      <c r="I477" t="s">
        <v>10323</v>
      </c>
      <c r="R477" t="s">
        <v>11037</v>
      </c>
      <c r="S477" t="s">
        <v>10316</v>
      </c>
      <c r="W477" s="2" t="s">
        <v>11197</v>
      </c>
    </row>
    <row r="478" spans="1:23" hidden="1" x14ac:dyDescent="0.45">
      <c r="A478" s="1" t="s">
        <v>497</v>
      </c>
      <c r="F478" t="s">
        <v>10293</v>
      </c>
      <c r="G478">
        <v>77.2</v>
      </c>
      <c r="H478" t="s">
        <v>10316</v>
      </c>
      <c r="I478" t="s">
        <v>10323</v>
      </c>
      <c r="R478" t="s">
        <v>11037</v>
      </c>
      <c r="S478" t="s">
        <v>10316</v>
      </c>
      <c r="W478" s="2" t="s">
        <v>11197</v>
      </c>
    </row>
    <row r="479" spans="1:23" hidden="1" x14ac:dyDescent="0.45">
      <c r="A479" s="1" t="s">
        <v>498</v>
      </c>
      <c r="F479" t="s">
        <v>10293</v>
      </c>
      <c r="G479">
        <v>71</v>
      </c>
      <c r="H479" t="s">
        <v>10316</v>
      </c>
      <c r="I479" t="s">
        <v>10323</v>
      </c>
      <c r="R479" t="s">
        <v>11037</v>
      </c>
      <c r="S479" t="s">
        <v>10316</v>
      </c>
      <c r="W479" s="2" t="s">
        <v>11197</v>
      </c>
    </row>
    <row r="480" spans="1:23" hidden="1" x14ac:dyDescent="0.45">
      <c r="A480" s="1" t="s">
        <v>499</v>
      </c>
      <c r="F480" t="s">
        <v>10293</v>
      </c>
      <c r="G480">
        <v>48.8</v>
      </c>
      <c r="H480" t="s">
        <v>10316</v>
      </c>
      <c r="I480" t="s">
        <v>10323</v>
      </c>
      <c r="R480" t="s">
        <v>11037</v>
      </c>
      <c r="S480" t="s">
        <v>10316</v>
      </c>
      <c r="W480" s="2" t="s">
        <v>11197</v>
      </c>
    </row>
    <row r="481" spans="1:23" hidden="1" x14ac:dyDescent="0.45">
      <c r="A481" s="1" t="s">
        <v>500</v>
      </c>
      <c r="F481" t="s">
        <v>10293</v>
      </c>
      <c r="G481">
        <v>11</v>
      </c>
      <c r="H481" t="s">
        <v>10316</v>
      </c>
      <c r="I481" t="s">
        <v>10323</v>
      </c>
      <c r="R481" t="s">
        <v>11037</v>
      </c>
      <c r="S481" t="s">
        <v>10316</v>
      </c>
      <c r="W481" s="2" t="s">
        <v>11197</v>
      </c>
    </row>
    <row r="482" spans="1:23" hidden="1" x14ac:dyDescent="0.45">
      <c r="A482" s="1" t="s">
        <v>501</v>
      </c>
      <c r="F482" t="s">
        <v>10293</v>
      </c>
      <c r="G482">
        <v>55</v>
      </c>
      <c r="H482" t="s">
        <v>10316</v>
      </c>
      <c r="I482" t="s">
        <v>10323</v>
      </c>
      <c r="R482" t="s">
        <v>11037</v>
      </c>
      <c r="S482" t="s">
        <v>10316</v>
      </c>
      <c r="W482" s="2" t="s">
        <v>11197</v>
      </c>
    </row>
    <row r="483" spans="1:23" hidden="1" x14ac:dyDescent="0.45">
      <c r="A483" s="1" t="s">
        <v>502</v>
      </c>
      <c r="F483" t="s">
        <v>10293</v>
      </c>
      <c r="G483">
        <v>55</v>
      </c>
      <c r="H483" t="s">
        <v>10316</v>
      </c>
      <c r="I483" t="s">
        <v>10323</v>
      </c>
      <c r="R483" t="s">
        <v>11037</v>
      </c>
      <c r="S483" t="s">
        <v>10316</v>
      </c>
      <c r="W483" s="2" t="s">
        <v>11197</v>
      </c>
    </row>
    <row r="484" spans="1:23" hidden="1" x14ac:dyDescent="0.45">
      <c r="A484" s="1" t="s">
        <v>503</v>
      </c>
      <c r="F484" t="s">
        <v>10293</v>
      </c>
      <c r="G484">
        <v>55</v>
      </c>
      <c r="H484" t="s">
        <v>10316</v>
      </c>
      <c r="I484" t="s">
        <v>10323</v>
      </c>
      <c r="R484" t="s">
        <v>11037</v>
      </c>
      <c r="S484" t="s">
        <v>10316</v>
      </c>
      <c r="W484" s="2" t="s">
        <v>11197</v>
      </c>
    </row>
    <row r="485" spans="1:23" hidden="1" x14ac:dyDescent="0.45">
      <c r="A485" s="1" t="s">
        <v>504</v>
      </c>
      <c r="F485" t="s">
        <v>10293</v>
      </c>
      <c r="G485">
        <v>55</v>
      </c>
      <c r="H485" t="s">
        <v>10316</v>
      </c>
      <c r="I485" t="s">
        <v>10323</v>
      </c>
      <c r="R485" t="s">
        <v>11037</v>
      </c>
      <c r="S485" t="s">
        <v>10316</v>
      </c>
      <c r="W485" s="2" t="s">
        <v>11197</v>
      </c>
    </row>
    <row r="486" spans="1:23" hidden="1" x14ac:dyDescent="0.45">
      <c r="A486" s="1" t="s">
        <v>505</v>
      </c>
      <c r="F486" t="s">
        <v>10293</v>
      </c>
      <c r="G486">
        <v>7.8</v>
      </c>
      <c r="H486" t="s">
        <v>10316</v>
      </c>
      <c r="I486" t="s">
        <v>10323</v>
      </c>
      <c r="R486" t="s">
        <v>11037</v>
      </c>
      <c r="S486" t="s">
        <v>10316</v>
      </c>
      <c r="W486" s="2" t="s">
        <v>11197</v>
      </c>
    </row>
    <row r="487" spans="1:23" hidden="1" x14ac:dyDescent="0.45">
      <c r="A487" s="1" t="s">
        <v>506</v>
      </c>
      <c r="F487" t="s">
        <v>10293</v>
      </c>
      <c r="G487">
        <v>20.7</v>
      </c>
      <c r="H487" t="s">
        <v>10316</v>
      </c>
      <c r="I487" t="s">
        <v>10323</v>
      </c>
      <c r="R487" t="s">
        <v>11037</v>
      </c>
      <c r="S487" t="s">
        <v>10316</v>
      </c>
      <c r="W487" s="2" t="s">
        <v>11197</v>
      </c>
    </row>
    <row r="488" spans="1:23" hidden="1" x14ac:dyDescent="0.45">
      <c r="A488" s="1" t="s">
        <v>507</v>
      </c>
      <c r="F488" t="s">
        <v>10293</v>
      </c>
      <c r="G488">
        <v>67</v>
      </c>
      <c r="H488" t="s">
        <v>10316</v>
      </c>
      <c r="I488" t="s">
        <v>10323</v>
      </c>
      <c r="R488" t="s">
        <v>11037</v>
      </c>
      <c r="S488" t="s">
        <v>10316</v>
      </c>
      <c r="W488" s="2" t="s">
        <v>11197</v>
      </c>
    </row>
    <row r="489" spans="1:23" hidden="1" x14ac:dyDescent="0.45">
      <c r="A489" s="1" t="s">
        <v>508</v>
      </c>
      <c r="F489" t="s">
        <v>10293</v>
      </c>
      <c r="G489">
        <v>67</v>
      </c>
      <c r="H489" t="s">
        <v>10316</v>
      </c>
      <c r="I489" t="s">
        <v>10323</v>
      </c>
      <c r="R489" t="s">
        <v>11037</v>
      </c>
      <c r="S489" t="s">
        <v>10316</v>
      </c>
      <c r="W489" s="2" t="s">
        <v>11197</v>
      </c>
    </row>
    <row r="490" spans="1:23" hidden="1" x14ac:dyDescent="0.45">
      <c r="A490" s="1" t="s">
        <v>509</v>
      </c>
      <c r="F490" t="s">
        <v>10293</v>
      </c>
      <c r="G490">
        <v>26</v>
      </c>
      <c r="H490" t="s">
        <v>10316</v>
      </c>
      <c r="I490" t="s">
        <v>10323</v>
      </c>
      <c r="R490" t="s">
        <v>11037</v>
      </c>
      <c r="S490" t="s">
        <v>10316</v>
      </c>
      <c r="W490" s="2" t="s">
        <v>11197</v>
      </c>
    </row>
    <row r="491" spans="1:23" hidden="1" x14ac:dyDescent="0.45">
      <c r="A491" s="1" t="s">
        <v>510</v>
      </c>
      <c r="F491" t="s">
        <v>10293</v>
      </c>
      <c r="G491">
        <v>31</v>
      </c>
      <c r="H491" t="s">
        <v>10316</v>
      </c>
      <c r="I491" t="s">
        <v>10323</v>
      </c>
      <c r="R491" t="s">
        <v>11037</v>
      </c>
      <c r="S491" t="s">
        <v>10316</v>
      </c>
      <c r="W491" s="2" t="s">
        <v>11197</v>
      </c>
    </row>
    <row r="492" spans="1:23" hidden="1" x14ac:dyDescent="0.45">
      <c r="A492" s="1" t="s">
        <v>511</v>
      </c>
      <c r="F492" t="s">
        <v>10293</v>
      </c>
      <c r="G492">
        <v>33</v>
      </c>
      <c r="H492" t="s">
        <v>10316</v>
      </c>
      <c r="I492" t="s">
        <v>10323</v>
      </c>
      <c r="R492" t="s">
        <v>11037</v>
      </c>
      <c r="S492" t="s">
        <v>10316</v>
      </c>
      <c r="W492" s="2" t="s">
        <v>11197</v>
      </c>
    </row>
    <row r="493" spans="1:23" hidden="1" x14ac:dyDescent="0.45">
      <c r="A493" s="1" t="s">
        <v>512</v>
      </c>
      <c r="F493" t="s">
        <v>10293</v>
      </c>
      <c r="G493">
        <v>200</v>
      </c>
      <c r="H493" t="s">
        <v>10316</v>
      </c>
      <c r="I493" t="s">
        <v>10323</v>
      </c>
      <c r="R493" t="s">
        <v>11037</v>
      </c>
      <c r="S493" t="s">
        <v>10316</v>
      </c>
      <c r="W493" s="2" t="s">
        <v>11197</v>
      </c>
    </row>
    <row r="494" spans="1:23" hidden="1" x14ac:dyDescent="0.45">
      <c r="A494" s="1" t="s">
        <v>513</v>
      </c>
      <c r="F494" t="s">
        <v>10293</v>
      </c>
      <c r="G494">
        <v>200</v>
      </c>
      <c r="H494" t="s">
        <v>10316</v>
      </c>
      <c r="I494" t="s">
        <v>10323</v>
      </c>
      <c r="R494" t="s">
        <v>11037</v>
      </c>
      <c r="S494" t="s">
        <v>10316</v>
      </c>
      <c r="W494" s="2" t="s">
        <v>11197</v>
      </c>
    </row>
    <row r="495" spans="1:23" hidden="1" x14ac:dyDescent="0.45">
      <c r="A495" s="1" t="s">
        <v>514</v>
      </c>
      <c r="F495" t="s">
        <v>10293</v>
      </c>
      <c r="G495">
        <v>200</v>
      </c>
      <c r="H495" t="s">
        <v>10316</v>
      </c>
      <c r="I495" t="s">
        <v>10323</v>
      </c>
      <c r="R495" t="s">
        <v>11037</v>
      </c>
      <c r="S495" t="s">
        <v>10316</v>
      </c>
      <c r="W495" s="2" t="s">
        <v>11197</v>
      </c>
    </row>
    <row r="496" spans="1:23" hidden="1" x14ac:dyDescent="0.45">
      <c r="A496" s="1" t="s">
        <v>515</v>
      </c>
      <c r="F496" t="s">
        <v>10293</v>
      </c>
      <c r="G496">
        <v>200</v>
      </c>
      <c r="H496" t="s">
        <v>10316</v>
      </c>
      <c r="I496" t="s">
        <v>10323</v>
      </c>
      <c r="R496" t="s">
        <v>11037</v>
      </c>
      <c r="S496" t="s">
        <v>10316</v>
      </c>
      <c r="W496" s="2" t="s">
        <v>11197</v>
      </c>
    </row>
    <row r="497" spans="1:23" hidden="1" x14ac:dyDescent="0.45">
      <c r="A497" s="1" t="s">
        <v>516</v>
      </c>
      <c r="F497" t="s">
        <v>10293</v>
      </c>
      <c r="G497">
        <v>200</v>
      </c>
      <c r="H497" t="s">
        <v>10316</v>
      </c>
      <c r="I497" t="s">
        <v>10323</v>
      </c>
      <c r="R497" t="s">
        <v>11037</v>
      </c>
      <c r="S497" t="s">
        <v>10316</v>
      </c>
      <c r="W497" s="2" t="s">
        <v>11197</v>
      </c>
    </row>
    <row r="498" spans="1:23" hidden="1" x14ac:dyDescent="0.45">
      <c r="A498" s="1" t="s">
        <v>517</v>
      </c>
      <c r="F498" t="s">
        <v>10293</v>
      </c>
      <c r="G498">
        <v>110</v>
      </c>
      <c r="H498" t="s">
        <v>10316</v>
      </c>
      <c r="I498" t="s">
        <v>10323</v>
      </c>
      <c r="R498" t="s">
        <v>11037</v>
      </c>
      <c r="S498" t="s">
        <v>10316</v>
      </c>
      <c r="W498" s="2" t="s">
        <v>11197</v>
      </c>
    </row>
    <row r="499" spans="1:23" hidden="1" x14ac:dyDescent="0.45">
      <c r="A499" s="1" t="s">
        <v>518</v>
      </c>
      <c r="F499" t="s">
        <v>10293</v>
      </c>
      <c r="G499">
        <v>110</v>
      </c>
      <c r="H499" t="s">
        <v>10316</v>
      </c>
      <c r="I499" t="s">
        <v>10323</v>
      </c>
      <c r="R499" t="s">
        <v>11037</v>
      </c>
      <c r="S499" t="s">
        <v>10316</v>
      </c>
      <c r="W499" s="2" t="s">
        <v>11197</v>
      </c>
    </row>
    <row r="500" spans="1:23" hidden="1" x14ac:dyDescent="0.45">
      <c r="A500" s="1" t="s">
        <v>519</v>
      </c>
      <c r="F500" t="s">
        <v>10293</v>
      </c>
      <c r="G500">
        <v>110</v>
      </c>
      <c r="H500" t="s">
        <v>10316</v>
      </c>
      <c r="I500" t="s">
        <v>10323</v>
      </c>
      <c r="R500" t="s">
        <v>11037</v>
      </c>
      <c r="S500" t="s">
        <v>10316</v>
      </c>
      <c r="W500" s="2" t="s">
        <v>11197</v>
      </c>
    </row>
    <row r="501" spans="1:23" hidden="1" x14ac:dyDescent="0.45">
      <c r="A501" s="1" t="s">
        <v>520</v>
      </c>
      <c r="F501" t="s">
        <v>10293</v>
      </c>
      <c r="G501">
        <v>110</v>
      </c>
      <c r="H501" t="s">
        <v>10316</v>
      </c>
      <c r="I501" t="s">
        <v>10323</v>
      </c>
      <c r="R501" t="s">
        <v>11037</v>
      </c>
      <c r="S501" t="s">
        <v>10316</v>
      </c>
      <c r="W501" s="2" t="s">
        <v>11197</v>
      </c>
    </row>
    <row r="502" spans="1:23" hidden="1" x14ac:dyDescent="0.45">
      <c r="A502" s="1" t="s">
        <v>521</v>
      </c>
      <c r="F502" t="s">
        <v>10293</v>
      </c>
      <c r="G502">
        <v>250</v>
      </c>
      <c r="H502" t="s">
        <v>10316</v>
      </c>
      <c r="I502" t="s">
        <v>10323</v>
      </c>
      <c r="R502" t="s">
        <v>11037</v>
      </c>
      <c r="S502" t="s">
        <v>10316</v>
      </c>
      <c r="W502" s="2" t="s">
        <v>11197</v>
      </c>
    </row>
    <row r="503" spans="1:23" hidden="1" x14ac:dyDescent="0.45">
      <c r="A503" s="1" t="s">
        <v>522</v>
      </c>
      <c r="F503" t="s">
        <v>10293</v>
      </c>
      <c r="G503">
        <v>250</v>
      </c>
      <c r="H503" t="s">
        <v>10316</v>
      </c>
      <c r="I503" t="s">
        <v>10323</v>
      </c>
      <c r="R503" t="s">
        <v>11037</v>
      </c>
      <c r="S503" t="s">
        <v>10316</v>
      </c>
      <c r="W503" s="2" t="s">
        <v>11197</v>
      </c>
    </row>
    <row r="504" spans="1:23" hidden="1" x14ac:dyDescent="0.45">
      <c r="A504" s="1" t="s">
        <v>523</v>
      </c>
      <c r="F504" t="s">
        <v>10293</v>
      </c>
      <c r="G504">
        <v>250</v>
      </c>
      <c r="H504" t="s">
        <v>10316</v>
      </c>
      <c r="I504" t="s">
        <v>10323</v>
      </c>
      <c r="R504" t="s">
        <v>11037</v>
      </c>
      <c r="S504" t="s">
        <v>10316</v>
      </c>
      <c r="W504" s="2" t="s">
        <v>11197</v>
      </c>
    </row>
    <row r="505" spans="1:23" hidden="1" x14ac:dyDescent="0.45">
      <c r="A505" s="1" t="s">
        <v>524</v>
      </c>
      <c r="F505" t="s">
        <v>10293</v>
      </c>
      <c r="G505">
        <v>42.5</v>
      </c>
      <c r="H505" t="s">
        <v>10316</v>
      </c>
      <c r="I505" t="s">
        <v>10323</v>
      </c>
      <c r="R505" t="s">
        <v>11037</v>
      </c>
      <c r="S505" t="s">
        <v>10316</v>
      </c>
      <c r="W505" s="2" t="s">
        <v>11197</v>
      </c>
    </row>
    <row r="506" spans="1:23" hidden="1" x14ac:dyDescent="0.45">
      <c r="A506" s="1" t="s">
        <v>525</v>
      </c>
      <c r="F506" t="s">
        <v>10293</v>
      </c>
      <c r="G506">
        <v>8</v>
      </c>
      <c r="H506" t="s">
        <v>10316</v>
      </c>
      <c r="I506" t="s">
        <v>10323</v>
      </c>
      <c r="R506" t="s">
        <v>11037</v>
      </c>
      <c r="S506" t="s">
        <v>10316</v>
      </c>
      <c r="W506" s="2" t="s">
        <v>11197</v>
      </c>
    </row>
    <row r="507" spans="1:23" hidden="1" x14ac:dyDescent="0.45">
      <c r="A507" s="1" t="s">
        <v>526</v>
      </c>
      <c r="F507" t="s">
        <v>10293</v>
      </c>
      <c r="G507">
        <v>44.4</v>
      </c>
      <c r="H507" t="s">
        <v>10316</v>
      </c>
      <c r="I507" t="s">
        <v>10323</v>
      </c>
      <c r="R507" t="s">
        <v>11037</v>
      </c>
      <c r="S507" t="s">
        <v>10316</v>
      </c>
      <c r="W507" s="2" t="s">
        <v>11197</v>
      </c>
    </row>
    <row r="508" spans="1:23" hidden="1" x14ac:dyDescent="0.45">
      <c r="A508" s="1" t="s">
        <v>527</v>
      </c>
      <c r="F508" t="s">
        <v>10293</v>
      </c>
      <c r="G508">
        <v>30</v>
      </c>
      <c r="H508" t="s">
        <v>10316</v>
      </c>
      <c r="I508" t="s">
        <v>10323</v>
      </c>
      <c r="R508" t="s">
        <v>11037</v>
      </c>
      <c r="S508" t="s">
        <v>10316</v>
      </c>
      <c r="W508" s="2" t="s">
        <v>11197</v>
      </c>
    </row>
    <row r="509" spans="1:23" hidden="1" x14ac:dyDescent="0.45">
      <c r="A509" s="1" t="s">
        <v>528</v>
      </c>
      <c r="F509" t="s">
        <v>10293</v>
      </c>
      <c r="G509">
        <v>87.2</v>
      </c>
      <c r="H509" t="s">
        <v>10316</v>
      </c>
      <c r="I509" t="s">
        <v>10323</v>
      </c>
      <c r="R509" t="s">
        <v>11037</v>
      </c>
      <c r="S509" t="s">
        <v>10316</v>
      </c>
      <c r="W509" s="2" t="s">
        <v>11197</v>
      </c>
    </row>
    <row r="510" spans="1:23" hidden="1" x14ac:dyDescent="0.45">
      <c r="A510" s="1" t="s">
        <v>529</v>
      </c>
      <c r="F510" t="s">
        <v>10293</v>
      </c>
      <c r="G510">
        <v>80.599999999999994</v>
      </c>
      <c r="H510" t="s">
        <v>10316</v>
      </c>
      <c r="I510" t="s">
        <v>10323</v>
      </c>
      <c r="R510" t="s">
        <v>11037</v>
      </c>
      <c r="S510" t="s">
        <v>10316</v>
      </c>
      <c r="W510" s="2" t="s">
        <v>11197</v>
      </c>
    </row>
    <row r="511" spans="1:23" hidden="1" x14ac:dyDescent="0.45">
      <c r="A511" s="1" t="s">
        <v>530</v>
      </c>
      <c r="F511" t="s">
        <v>10293</v>
      </c>
      <c r="G511">
        <v>22.5</v>
      </c>
      <c r="H511" t="s">
        <v>10316</v>
      </c>
      <c r="I511" t="s">
        <v>10323</v>
      </c>
      <c r="R511" t="s">
        <v>11037</v>
      </c>
      <c r="S511" t="s">
        <v>10316</v>
      </c>
      <c r="W511" s="2" t="s">
        <v>11197</v>
      </c>
    </row>
    <row r="512" spans="1:23" hidden="1" x14ac:dyDescent="0.45">
      <c r="A512" s="1" t="s">
        <v>531</v>
      </c>
      <c r="F512" t="s">
        <v>10293</v>
      </c>
      <c r="G512">
        <v>5.0999999999999996</v>
      </c>
      <c r="H512" t="s">
        <v>10316</v>
      </c>
      <c r="I512" t="s">
        <v>10323</v>
      </c>
      <c r="R512" t="s">
        <v>11037</v>
      </c>
      <c r="S512" t="s">
        <v>10316</v>
      </c>
      <c r="W512" s="2" t="s">
        <v>11197</v>
      </c>
    </row>
    <row r="513" spans="1:23" hidden="1" x14ac:dyDescent="0.45">
      <c r="A513" s="1" t="s">
        <v>532</v>
      </c>
      <c r="F513" t="s">
        <v>10293</v>
      </c>
      <c r="G513">
        <v>112</v>
      </c>
      <c r="H513" t="s">
        <v>10316</v>
      </c>
      <c r="I513" t="s">
        <v>10323</v>
      </c>
      <c r="R513" t="s">
        <v>11037</v>
      </c>
      <c r="S513" t="s">
        <v>10316</v>
      </c>
      <c r="W513" s="2" t="s">
        <v>11197</v>
      </c>
    </row>
    <row r="514" spans="1:23" hidden="1" x14ac:dyDescent="0.45">
      <c r="A514" s="1" t="s">
        <v>533</v>
      </c>
      <c r="F514" t="s">
        <v>10293</v>
      </c>
      <c r="G514">
        <v>20</v>
      </c>
      <c r="H514" t="s">
        <v>10316</v>
      </c>
      <c r="I514" t="s">
        <v>10323</v>
      </c>
      <c r="R514" t="s">
        <v>11037</v>
      </c>
      <c r="S514" t="s">
        <v>10316</v>
      </c>
      <c r="W514" s="2" t="s">
        <v>11197</v>
      </c>
    </row>
    <row r="515" spans="1:23" hidden="1" x14ac:dyDescent="0.45">
      <c r="A515" s="1" t="s">
        <v>534</v>
      </c>
      <c r="F515" t="s">
        <v>10293</v>
      </c>
      <c r="G515">
        <v>20</v>
      </c>
      <c r="H515" t="s">
        <v>10316</v>
      </c>
      <c r="I515" t="s">
        <v>10323</v>
      </c>
      <c r="R515" t="s">
        <v>11037</v>
      </c>
      <c r="S515" t="s">
        <v>10316</v>
      </c>
      <c r="W515" s="2" t="s">
        <v>11197</v>
      </c>
    </row>
    <row r="516" spans="1:23" hidden="1" x14ac:dyDescent="0.45">
      <c r="A516" s="1" t="s">
        <v>535</v>
      </c>
      <c r="F516" t="s">
        <v>10293</v>
      </c>
      <c r="G516">
        <v>16</v>
      </c>
      <c r="H516" t="s">
        <v>10316</v>
      </c>
      <c r="I516" t="s">
        <v>10323</v>
      </c>
      <c r="R516" t="s">
        <v>11037</v>
      </c>
      <c r="S516" t="s">
        <v>10316</v>
      </c>
      <c r="W516" s="2" t="s">
        <v>11197</v>
      </c>
    </row>
    <row r="517" spans="1:23" hidden="1" x14ac:dyDescent="0.45">
      <c r="A517" s="1" t="s">
        <v>536</v>
      </c>
      <c r="F517" t="s">
        <v>10293</v>
      </c>
      <c r="G517">
        <v>16</v>
      </c>
      <c r="H517" t="s">
        <v>10316</v>
      </c>
      <c r="I517" t="s">
        <v>10323</v>
      </c>
      <c r="R517" t="s">
        <v>11037</v>
      </c>
      <c r="S517" t="s">
        <v>10316</v>
      </c>
      <c r="W517" s="2" t="s">
        <v>11197</v>
      </c>
    </row>
    <row r="518" spans="1:23" hidden="1" x14ac:dyDescent="0.45">
      <c r="A518" s="1" t="s">
        <v>537</v>
      </c>
      <c r="F518" t="s">
        <v>10293</v>
      </c>
      <c r="G518">
        <v>16</v>
      </c>
      <c r="H518" t="s">
        <v>10316</v>
      </c>
      <c r="I518" t="s">
        <v>10323</v>
      </c>
      <c r="R518" t="s">
        <v>11037</v>
      </c>
      <c r="S518" t="s">
        <v>10316</v>
      </c>
      <c r="W518" s="2" t="s">
        <v>11197</v>
      </c>
    </row>
    <row r="519" spans="1:23" hidden="1" x14ac:dyDescent="0.45">
      <c r="A519" s="1" t="s">
        <v>538</v>
      </c>
      <c r="F519" t="s">
        <v>10293</v>
      </c>
      <c r="G519">
        <v>72</v>
      </c>
      <c r="H519" t="s">
        <v>10316</v>
      </c>
      <c r="I519" t="s">
        <v>10323</v>
      </c>
      <c r="R519" t="s">
        <v>11037</v>
      </c>
      <c r="S519" t="s">
        <v>10316</v>
      </c>
      <c r="W519" s="2" t="s">
        <v>11197</v>
      </c>
    </row>
    <row r="520" spans="1:23" hidden="1" x14ac:dyDescent="0.45">
      <c r="A520" s="1" t="s">
        <v>539</v>
      </c>
      <c r="F520" t="s">
        <v>10293</v>
      </c>
      <c r="G520">
        <v>72</v>
      </c>
      <c r="H520" t="s">
        <v>10316</v>
      </c>
      <c r="I520" t="s">
        <v>10323</v>
      </c>
      <c r="R520" t="s">
        <v>11037</v>
      </c>
      <c r="S520" t="s">
        <v>10316</v>
      </c>
      <c r="W520" s="2" t="s">
        <v>11197</v>
      </c>
    </row>
    <row r="521" spans="1:23" hidden="1" x14ac:dyDescent="0.45">
      <c r="A521" s="1" t="s">
        <v>540</v>
      </c>
      <c r="F521" t="s">
        <v>10293</v>
      </c>
      <c r="G521">
        <v>33</v>
      </c>
      <c r="H521" t="s">
        <v>10316</v>
      </c>
      <c r="I521" t="s">
        <v>10323</v>
      </c>
      <c r="R521" t="s">
        <v>11037</v>
      </c>
      <c r="S521" t="s">
        <v>10316</v>
      </c>
      <c r="W521" s="2" t="s">
        <v>11197</v>
      </c>
    </row>
    <row r="522" spans="1:23" hidden="1" x14ac:dyDescent="0.45">
      <c r="A522" s="1" t="s">
        <v>541</v>
      </c>
      <c r="F522" t="s">
        <v>10293</v>
      </c>
      <c r="G522">
        <v>200</v>
      </c>
      <c r="H522" t="s">
        <v>10316</v>
      </c>
      <c r="I522" t="s">
        <v>10323</v>
      </c>
      <c r="R522" t="s">
        <v>11037</v>
      </c>
      <c r="S522" t="s">
        <v>10316</v>
      </c>
      <c r="W522" s="2" t="s">
        <v>11197</v>
      </c>
    </row>
    <row r="523" spans="1:23" hidden="1" x14ac:dyDescent="0.45">
      <c r="A523" s="1" t="s">
        <v>542</v>
      </c>
      <c r="F523" t="s">
        <v>10293</v>
      </c>
      <c r="G523">
        <v>200</v>
      </c>
      <c r="H523" t="s">
        <v>10316</v>
      </c>
      <c r="I523" t="s">
        <v>10323</v>
      </c>
      <c r="R523" t="s">
        <v>11037</v>
      </c>
      <c r="S523" t="s">
        <v>10316</v>
      </c>
      <c r="W523" s="2" t="s">
        <v>11197</v>
      </c>
    </row>
    <row r="524" spans="1:23" hidden="1" x14ac:dyDescent="0.45">
      <c r="A524" s="1" t="s">
        <v>543</v>
      </c>
      <c r="F524" t="s">
        <v>10293</v>
      </c>
      <c r="G524">
        <v>200</v>
      </c>
      <c r="H524" t="s">
        <v>10316</v>
      </c>
      <c r="I524" t="s">
        <v>10323</v>
      </c>
      <c r="R524" t="s">
        <v>11037</v>
      </c>
      <c r="S524" t="s">
        <v>10316</v>
      </c>
      <c r="W524" s="2" t="s">
        <v>11197</v>
      </c>
    </row>
    <row r="525" spans="1:23" hidden="1" x14ac:dyDescent="0.45">
      <c r="A525" s="1" t="s">
        <v>544</v>
      </c>
      <c r="F525" t="s">
        <v>10293</v>
      </c>
      <c r="G525">
        <v>200</v>
      </c>
      <c r="H525" t="s">
        <v>10316</v>
      </c>
      <c r="I525" t="s">
        <v>10323</v>
      </c>
      <c r="R525" t="s">
        <v>11037</v>
      </c>
      <c r="S525" t="s">
        <v>10316</v>
      </c>
      <c r="W525" s="2" t="s">
        <v>11197</v>
      </c>
    </row>
    <row r="526" spans="1:23" hidden="1" x14ac:dyDescent="0.45">
      <c r="A526" s="1" t="s">
        <v>545</v>
      </c>
      <c r="F526" t="s">
        <v>10293</v>
      </c>
      <c r="G526">
        <v>200</v>
      </c>
      <c r="H526" t="s">
        <v>10314</v>
      </c>
      <c r="I526" t="s">
        <v>10323</v>
      </c>
      <c r="R526" t="s">
        <v>11037</v>
      </c>
      <c r="S526" t="s">
        <v>10314</v>
      </c>
      <c r="W526" s="2" t="s">
        <v>11197</v>
      </c>
    </row>
    <row r="527" spans="1:23" hidden="1" x14ac:dyDescent="0.45">
      <c r="A527" s="1" t="s">
        <v>546</v>
      </c>
      <c r="F527" t="s">
        <v>10293</v>
      </c>
      <c r="G527">
        <v>200</v>
      </c>
      <c r="H527" t="s">
        <v>10314</v>
      </c>
      <c r="I527" t="s">
        <v>10323</v>
      </c>
      <c r="R527" t="s">
        <v>11037</v>
      </c>
      <c r="S527" t="s">
        <v>10314</v>
      </c>
      <c r="W527" s="2" t="s">
        <v>11197</v>
      </c>
    </row>
    <row r="528" spans="1:23" hidden="1" x14ac:dyDescent="0.45">
      <c r="A528" s="1" t="s">
        <v>547</v>
      </c>
      <c r="F528" t="s">
        <v>10293</v>
      </c>
      <c r="G528">
        <v>200</v>
      </c>
      <c r="H528" t="s">
        <v>10314</v>
      </c>
      <c r="I528" t="s">
        <v>10323</v>
      </c>
      <c r="R528" t="s">
        <v>11037</v>
      </c>
      <c r="S528" t="s">
        <v>10314</v>
      </c>
      <c r="W528" s="2" t="s">
        <v>11197</v>
      </c>
    </row>
    <row r="529" spans="1:23" hidden="1" x14ac:dyDescent="0.45">
      <c r="A529" s="1" t="s">
        <v>548</v>
      </c>
      <c r="F529" t="s">
        <v>10293</v>
      </c>
      <c r="G529">
        <v>200</v>
      </c>
      <c r="H529" t="s">
        <v>10314</v>
      </c>
      <c r="I529" t="s">
        <v>10323</v>
      </c>
      <c r="R529" t="s">
        <v>11037</v>
      </c>
      <c r="S529" t="s">
        <v>10314</v>
      </c>
      <c r="W529" s="2" t="s">
        <v>11197</v>
      </c>
    </row>
    <row r="530" spans="1:23" hidden="1" x14ac:dyDescent="0.45">
      <c r="A530" s="1" t="s">
        <v>549</v>
      </c>
      <c r="F530" t="s">
        <v>10293</v>
      </c>
      <c r="G530">
        <v>79</v>
      </c>
      <c r="H530" t="s">
        <v>10314</v>
      </c>
      <c r="I530" t="s">
        <v>10323</v>
      </c>
      <c r="R530" t="s">
        <v>11037</v>
      </c>
      <c r="S530" t="s">
        <v>10314</v>
      </c>
      <c r="W530" s="2" t="s">
        <v>11197</v>
      </c>
    </row>
    <row r="531" spans="1:23" hidden="1" x14ac:dyDescent="0.45">
      <c r="A531" s="1" t="s">
        <v>550</v>
      </c>
      <c r="F531" t="s">
        <v>10293</v>
      </c>
      <c r="G531">
        <v>165</v>
      </c>
      <c r="H531" t="s">
        <v>10314</v>
      </c>
      <c r="I531" t="s">
        <v>10323</v>
      </c>
      <c r="R531" t="s">
        <v>11037</v>
      </c>
      <c r="S531" t="s">
        <v>10314</v>
      </c>
      <c r="W531" s="2" t="s">
        <v>11197</v>
      </c>
    </row>
    <row r="532" spans="1:23" hidden="1" x14ac:dyDescent="0.45">
      <c r="A532" s="1" t="s">
        <v>551</v>
      </c>
      <c r="F532" t="s">
        <v>10293</v>
      </c>
      <c r="G532">
        <v>24</v>
      </c>
      <c r="H532" t="s">
        <v>10314</v>
      </c>
      <c r="I532" t="s">
        <v>10323</v>
      </c>
      <c r="R532" t="s">
        <v>11037</v>
      </c>
      <c r="S532" t="s">
        <v>10314</v>
      </c>
      <c r="W532" s="2" t="s">
        <v>11197</v>
      </c>
    </row>
    <row r="533" spans="1:23" hidden="1" x14ac:dyDescent="0.45">
      <c r="A533" s="1" t="s">
        <v>552</v>
      </c>
      <c r="F533" t="s">
        <v>10293</v>
      </c>
      <c r="G533">
        <v>254</v>
      </c>
      <c r="H533" t="s">
        <v>10314</v>
      </c>
      <c r="I533" t="s">
        <v>10323</v>
      </c>
      <c r="R533" t="s">
        <v>11037</v>
      </c>
      <c r="S533" t="s">
        <v>10314</v>
      </c>
      <c r="W533" s="2" t="s">
        <v>11197</v>
      </c>
    </row>
    <row r="534" spans="1:23" hidden="1" x14ac:dyDescent="0.45">
      <c r="A534" s="1" t="s">
        <v>553</v>
      </c>
      <c r="F534" t="s">
        <v>10293</v>
      </c>
      <c r="G534">
        <v>96</v>
      </c>
      <c r="H534" t="s">
        <v>10314</v>
      </c>
      <c r="I534" t="s">
        <v>10323</v>
      </c>
      <c r="R534" t="s">
        <v>11037</v>
      </c>
      <c r="S534" t="s">
        <v>10314</v>
      </c>
      <c r="W534" s="2" t="s">
        <v>11197</v>
      </c>
    </row>
    <row r="535" spans="1:23" hidden="1" x14ac:dyDescent="0.45">
      <c r="A535" s="1" t="s">
        <v>554</v>
      </c>
      <c r="F535" t="s">
        <v>10293</v>
      </c>
      <c r="G535">
        <v>75.599999999999994</v>
      </c>
      <c r="H535" t="s">
        <v>10314</v>
      </c>
      <c r="I535" t="s">
        <v>10323</v>
      </c>
      <c r="R535" t="s">
        <v>11037</v>
      </c>
      <c r="S535" t="s">
        <v>10314</v>
      </c>
      <c r="W535" s="2" t="s">
        <v>11197</v>
      </c>
    </row>
    <row r="536" spans="1:23" hidden="1" x14ac:dyDescent="0.45">
      <c r="A536" s="1" t="s">
        <v>555</v>
      </c>
      <c r="F536" t="s">
        <v>10293</v>
      </c>
      <c r="G536">
        <v>4</v>
      </c>
      <c r="H536" t="s">
        <v>10314</v>
      </c>
      <c r="I536" t="s">
        <v>10323</v>
      </c>
      <c r="R536" t="s">
        <v>11037</v>
      </c>
      <c r="S536" t="s">
        <v>10314</v>
      </c>
      <c r="W536" s="2" t="s">
        <v>11197</v>
      </c>
    </row>
    <row r="537" spans="1:23" hidden="1" x14ac:dyDescent="0.45">
      <c r="A537" s="1" t="s">
        <v>556</v>
      </c>
      <c r="F537" t="s">
        <v>10293</v>
      </c>
      <c r="G537">
        <v>69</v>
      </c>
      <c r="H537" t="s">
        <v>10314</v>
      </c>
      <c r="I537" t="s">
        <v>10323</v>
      </c>
      <c r="R537" t="s">
        <v>11037</v>
      </c>
      <c r="S537" t="s">
        <v>10314</v>
      </c>
      <c r="W537" s="2" t="s">
        <v>11197</v>
      </c>
    </row>
    <row r="538" spans="1:23" hidden="1" x14ac:dyDescent="0.45">
      <c r="A538" s="1" t="s">
        <v>557</v>
      </c>
      <c r="F538" t="s">
        <v>10293</v>
      </c>
      <c r="G538">
        <v>122</v>
      </c>
      <c r="H538" t="s">
        <v>10314</v>
      </c>
      <c r="I538" t="s">
        <v>10323</v>
      </c>
      <c r="R538" t="s">
        <v>11037</v>
      </c>
      <c r="S538" t="s">
        <v>10314</v>
      </c>
      <c r="W538" s="2" t="s">
        <v>11197</v>
      </c>
    </row>
    <row r="539" spans="1:23" hidden="1" x14ac:dyDescent="0.45">
      <c r="A539" s="1" t="s">
        <v>558</v>
      </c>
      <c r="F539" t="s">
        <v>10293</v>
      </c>
      <c r="G539">
        <v>10.8</v>
      </c>
      <c r="H539" t="s">
        <v>10314</v>
      </c>
      <c r="I539" t="s">
        <v>10323</v>
      </c>
      <c r="R539" t="s">
        <v>11037</v>
      </c>
      <c r="S539" t="s">
        <v>10314</v>
      </c>
      <c r="W539" s="2" t="s">
        <v>11197</v>
      </c>
    </row>
    <row r="540" spans="1:23" hidden="1" x14ac:dyDescent="0.45">
      <c r="A540" s="1" t="s">
        <v>559</v>
      </c>
      <c r="F540" t="s">
        <v>10293</v>
      </c>
      <c r="G540">
        <v>11.5</v>
      </c>
      <c r="H540" t="s">
        <v>10317</v>
      </c>
      <c r="I540" t="s">
        <v>10323</v>
      </c>
      <c r="R540" t="s">
        <v>11038</v>
      </c>
      <c r="S540" t="s">
        <v>10317</v>
      </c>
      <c r="W540" s="2" t="s">
        <v>11197</v>
      </c>
    </row>
    <row r="541" spans="1:23" hidden="1" x14ac:dyDescent="0.45">
      <c r="A541" s="1" t="s">
        <v>560</v>
      </c>
      <c r="F541" t="s">
        <v>10293</v>
      </c>
      <c r="G541">
        <v>22.7</v>
      </c>
      <c r="H541" t="s">
        <v>10317</v>
      </c>
      <c r="I541" t="s">
        <v>10323</v>
      </c>
      <c r="R541" t="s">
        <v>11038</v>
      </c>
      <c r="S541" t="s">
        <v>10317</v>
      </c>
      <c r="W541" s="2" t="s">
        <v>11197</v>
      </c>
    </row>
    <row r="542" spans="1:23" hidden="1" x14ac:dyDescent="0.45">
      <c r="A542" s="1" t="s">
        <v>561</v>
      </c>
      <c r="F542" t="s">
        <v>10293</v>
      </c>
      <c r="G542">
        <v>17.399999999999999</v>
      </c>
      <c r="H542" t="s">
        <v>10317</v>
      </c>
      <c r="I542" t="s">
        <v>10323</v>
      </c>
      <c r="R542" t="s">
        <v>11038</v>
      </c>
      <c r="S542" t="s">
        <v>10317</v>
      </c>
      <c r="W542" s="2" t="s">
        <v>11197</v>
      </c>
    </row>
    <row r="543" spans="1:23" hidden="1" x14ac:dyDescent="0.45">
      <c r="A543" s="1" t="s">
        <v>562</v>
      </c>
      <c r="F543" t="s">
        <v>10293</v>
      </c>
      <c r="G543">
        <v>845</v>
      </c>
      <c r="H543" t="s">
        <v>10307</v>
      </c>
      <c r="I543" t="s">
        <v>10321</v>
      </c>
      <c r="R543" t="s">
        <v>11037</v>
      </c>
      <c r="S543" t="s">
        <v>10307</v>
      </c>
      <c r="W543" s="2" t="s">
        <v>11197</v>
      </c>
    </row>
    <row r="544" spans="1:23" hidden="1" x14ac:dyDescent="0.45">
      <c r="A544" s="1" t="s">
        <v>563</v>
      </c>
      <c r="F544" t="s">
        <v>10293</v>
      </c>
      <c r="G544">
        <v>72</v>
      </c>
      <c r="H544" t="s">
        <v>10307</v>
      </c>
      <c r="I544" t="s">
        <v>10321</v>
      </c>
      <c r="R544" t="s">
        <v>11037</v>
      </c>
      <c r="S544" t="s">
        <v>10307</v>
      </c>
      <c r="W544" s="2" t="s">
        <v>11197</v>
      </c>
    </row>
    <row r="545" spans="1:23" hidden="1" x14ac:dyDescent="0.45">
      <c r="A545" s="1" t="s">
        <v>564</v>
      </c>
      <c r="F545" t="s">
        <v>10293</v>
      </c>
      <c r="G545">
        <v>24</v>
      </c>
      <c r="H545" t="s">
        <v>10307</v>
      </c>
      <c r="I545" t="s">
        <v>10321</v>
      </c>
      <c r="R545" t="s">
        <v>11037</v>
      </c>
      <c r="S545" t="s">
        <v>10307</v>
      </c>
      <c r="W545" s="2" t="s">
        <v>11197</v>
      </c>
    </row>
    <row r="546" spans="1:23" hidden="1" x14ac:dyDescent="0.45">
      <c r="A546" s="1" t="s">
        <v>565</v>
      </c>
      <c r="F546" t="s">
        <v>10293</v>
      </c>
      <c r="G546">
        <v>7.5</v>
      </c>
      <c r="H546" t="s">
        <v>10307</v>
      </c>
      <c r="I546" t="s">
        <v>10321</v>
      </c>
      <c r="R546" t="s">
        <v>11037</v>
      </c>
      <c r="S546" t="s">
        <v>10307</v>
      </c>
      <c r="W546" s="2" t="s">
        <v>11197</v>
      </c>
    </row>
    <row r="547" spans="1:23" hidden="1" x14ac:dyDescent="0.45">
      <c r="A547" s="1" t="s">
        <v>566</v>
      </c>
      <c r="F547" t="s">
        <v>10293</v>
      </c>
      <c r="G547">
        <v>7.5</v>
      </c>
      <c r="H547" t="s">
        <v>10307</v>
      </c>
      <c r="I547" t="s">
        <v>10321</v>
      </c>
      <c r="R547" t="s">
        <v>11037</v>
      </c>
      <c r="S547" t="s">
        <v>10307</v>
      </c>
      <c r="W547" s="2" t="s">
        <v>11197</v>
      </c>
    </row>
    <row r="548" spans="1:23" hidden="1" x14ac:dyDescent="0.45">
      <c r="A548" s="1" t="s">
        <v>567</v>
      </c>
      <c r="F548" t="s">
        <v>10293</v>
      </c>
      <c r="G548">
        <v>191</v>
      </c>
      <c r="H548" t="s">
        <v>10307</v>
      </c>
      <c r="I548" t="s">
        <v>10321</v>
      </c>
      <c r="R548" t="s">
        <v>11037</v>
      </c>
      <c r="S548" t="s">
        <v>10307</v>
      </c>
      <c r="W548" s="2" t="s">
        <v>11197</v>
      </c>
    </row>
    <row r="549" spans="1:23" hidden="1" x14ac:dyDescent="0.45">
      <c r="A549" s="1" t="s">
        <v>568</v>
      </c>
      <c r="F549" t="s">
        <v>10293</v>
      </c>
      <c r="G549">
        <v>190</v>
      </c>
      <c r="H549" t="s">
        <v>10307</v>
      </c>
      <c r="I549" t="s">
        <v>10321</v>
      </c>
      <c r="R549" t="s">
        <v>11037</v>
      </c>
      <c r="S549" t="s">
        <v>10307</v>
      </c>
      <c r="W549" s="2" t="s">
        <v>11197</v>
      </c>
    </row>
    <row r="550" spans="1:23" hidden="1" x14ac:dyDescent="0.45">
      <c r="A550" s="1" t="s">
        <v>569</v>
      </c>
      <c r="F550" t="s">
        <v>10293</v>
      </c>
      <c r="G550">
        <v>66.900000000000006</v>
      </c>
      <c r="H550" t="s">
        <v>10307</v>
      </c>
      <c r="I550" t="s">
        <v>10321</v>
      </c>
      <c r="R550" t="s">
        <v>11037</v>
      </c>
      <c r="S550" t="s">
        <v>10307</v>
      </c>
      <c r="W550" s="2" t="s">
        <v>11197</v>
      </c>
    </row>
    <row r="551" spans="1:23" hidden="1" x14ac:dyDescent="0.45">
      <c r="A551" s="1" t="s">
        <v>570</v>
      </c>
      <c r="F551" t="s">
        <v>10293</v>
      </c>
      <c r="G551">
        <v>45</v>
      </c>
      <c r="H551" t="s">
        <v>10307</v>
      </c>
      <c r="I551" t="s">
        <v>10321</v>
      </c>
      <c r="R551" t="s">
        <v>11037</v>
      </c>
      <c r="S551" t="s">
        <v>10307</v>
      </c>
      <c r="W551" s="2" t="s">
        <v>11197</v>
      </c>
    </row>
    <row r="552" spans="1:23" hidden="1" x14ac:dyDescent="0.45">
      <c r="A552" s="1" t="s">
        <v>571</v>
      </c>
      <c r="F552" t="s">
        <v>10293</v>
      </c>
      <c r="G552">
        <v>21</v>
      </c>
      <c r="H552" t="s">
        <v>10308</v>
      </c>
      <c r="I552" t="s">
        <v>10321</v>
      </c>
      <c r="R552" t="s">
        <v>11037</v>
      </c>
      <c r="S552" t="s">
        <v>10308</v>
      </c>
      <c r="W552" s="2" t="s">
        <v>11197</v>
      </c>
    </row>
    <row r="553" spans="1:23" hidden="1" x14ac:dyDescent="0.45">
      <c r="A553" s="1" t="s">
        <v>572</v>
      </c>
      <c r="F553" t="s">
        <v>10293</v>
      </c>
      <c r="G553">
        <v>58.9</v>
      </c>
      <c r="H553" t="s">
        <v>10307</v>
      </c>
      <c r="I553" t="s">
        <v>10321</v>
      </c>
      <c r="R553" t="s">
        <v>11037</v>
      </c>
      <c r="S553" t="s">
        <v>10307</v>
      </c>
      <c r="W553" s="2" t="s">
        <v>11197</v>
      </c>
    </row>
    <row r="554" spans="1:23" hidden="1" x14ac:dyDescent="0.45">
      <c r="A554" s="1" t="s">
        <v>573</v>
      </c>
      <c r="F554" t="s">
        <v>10293</v>
      </c>
      <c r="G554">
        <v>36</v>
      </c>
      <c r="H554" t="s">
        <v>10307</v>
      </c>
      <c r="I554" t="s">
        <v>10321</v>
      </c>
      <c r="R554" t="s">
        <v>11037</v>
      </c>
      <c r="S554" t="s">
        <v>10307</v>
      </c>
      <c r="W554" s="2" t="s">
        <v>11197</v>
      </c>
    </row>
    <row r="555" spans="1:23" hidden="1" x14ac:dyDescent="0.45">
      <c r="A555" s="1" t="s">
        <v>574</v>
      </c>
      <c r="F555" t="s">
        <v>10293</v>
      </c>
      <c r="G555">
        <v>32</v>
      </c>
      <c r="H555" t="s">
        <v>10307</v>
      </c>
      <c r="I555" t="s">
        <v>10321</v>
      </c>
      <c r="R555" t="s">
        <v>11037</v>
      </c>
      <c r="S555" t="s">
        <v>10307</v>
      </c>
      <c r="W555" s="2" t="s">
        <v>11197</v>
      </c>
    </row>
    <row r="556" spans="1:23" hidden="1" x14ac:dyDescent="0.45">
      <c r="A556" s="1" t="s">
        <v>575</v>
      </c>
      <c r="F556" t="s">
        <v>10293</v>
      </c>
      <c r="G556">
        <v>510</v>
      </c>
      <c r="H556" t="s">
        <v>10311</v>
      </c>
      <c r="I556" t="s">
        <v>10323</v>
      </c>
      <c r="R556" t="s">
        <v>10311</v>
      </c>
      <c r="W556" s="2" t="s">
        <v>11197</v>
      </c>
    </row>
    <row r="557" spans="1:23" hidden="1" x14ac:dyDescent="0.45">
      <c r="A557" s="1" t="s">
        <v>576</v>
      </c>
      <c r="F557" t="s">
        <v>10293</v>
      </c>
      <c r="G557">
        <v>510</v>
      </c>
      <c r="H557" t="s">
        <v>10311</v>
      </c>
      <c r="I557" t="s">
        <v>10323</v>
      </c>
      <c r="R557" t="s">
        <v>10311</v>
      </c>
      <c r="W557" s="2" t="s">
        <v>11197</v>
      </c>
    </row>
    <row r="558" spans="1:23" hidden="1" x14ac:dyDescent="0.45">
      <c r="A558" s="1" t="s">
        <v>577</v>
      </c>
      <c r="F558" t="s">
        <v>10293</v>
      </c>
      <c r="G558">
        <v>510</v>
      </c>
      <c r="H558" t="s">
        <v>10311</v>
      </c>
      <c r="I558" t="s">
        <v>10323</v>
      </c>
      <c r="R558" t="s">
        <v>10311</v>
      </c>
      <c r="W558" s="2" t="s">
        <v>11197</v>
      </c>
    </row>
    <row r="559" spans="1:23" hidden="1" x14ac:dyDescent="0.45">
      <c r="A559" s="1" t="s">
        <v>578</v>
      </c>
      <c r="F559" t="s">
        <v>10293</v>
      </c>
      <c r="G559">
        <v>510</v>
      </c>
      <c r="H559" t="s">
        <v>10311</v>
      </c>
      <c r="I559" t="s">
        <v>10323</v>
      </c>
      <c r="R559" t="s">
        <v>10311</v>
      </c>
      <c r="W559" s="2" t="s">
        <v>11197</v>
      </c>
    </row>
    <row r="560" spans="1:23" hidden="1" x14ac:dyDescent="0.45">
      <c r="A560" s="1" t="s">
        <v>579</v>
      </c>
      <c r="F560" t="s">
        <v>10293</v>
      </c>
      <c r="G560">
        <v>1125</v>
      </c>
      <c r="H560" t="s">
        <v>10311</v>
      </c>
      <c r="I560" t="s">
        <v>10323</v>
      </c>
      <c r="R560" t="s">
        <v>10311</v>
      </c>
      <c r="W560" s="2" t="s">
        <v>11197</v>
      </c>
    </row>
    <row r="561" spans="1:23" hidden="1" x14ac:dyDescent="0.45">
      <c r="A561" s="1" t="s">
        <v>580</v>
      </c>
      <c r="F561" t="s">
        <v>10293</v>
      </c>
      <c r="G561">
        <v>1125</v>
      </c>
      <c r="H561" t="s">
        <v>10311</v>
      </c>
      <c r="I561" t="s">
        <v>10323</v>
      </c>
      <c r="R561" t="s">
        <v>10311</v>
      </c>
      <c r="W561" s="2" t="s">
        <v>11197</v>
      </c>
    </row>
    <row r="562" spans="1:23" hidden="1" x14ac:dyDescent="0.45">
      <c r="A562" s="1" t="s">
        <v>581</v>
      </c>
      <c r="F562" t="s">
        <v>10293</v>
      </c>
      <c r="G562">
        <v>480</v>
      </c>
      <c r="H562" t="s">
        <v>10310</v>
      </c>
      <c r="I562" t="s">
        <v>10324</v>
      </c>
      <c r="R562" t="s">
        <v>11038</v>
      </c>
      <c r="S562" t="s">
        <v>10310</v>
      </c>
      <c r="W562" s="2" t="s">
        <v>11197</v>
      </c>
    </row>
    <row r="563" spans="1:23" hidden="1" x14ac:dyDescent="0.45">
      <c r="A563" s="1" t="s">
        <v>582</v>
      </c>
      <c r="F563" t="s">
        <v>10293</v>
      </c>
      <c r="G563">
        <v>650</v>
      </c>
      <c r="H563" t="s">
        <v>10310</v>
      </c>
      <c r="I563" t="s">
        <v>10324</v>
      </c>
      <c r="R563" t="s">
        <v>11038</v>
      </c>
      <c r="S563" t="s">
        <v>10310</v>
      </c>
      <c r="W563" s="2" t="s">
        <v>11197</v>
      </c>
    </row>
    <row r="564" spans="1:23" hidden="1" x14ac:dyDescent="0.45">
      <c r="A564" s="1" t="s">
        <v>583</v>
      </c>
      <c r="F564" t="s">
        <v>10293</v>
      </c>
      <c r="G564">
        <v>45</v>
      </c>
      <c r="H564" t="s">
        <v>10310</v>
      </c>
      <c r="I564" t="s">
        <v>10324</v>
      </c>
      <c r="R564" t="s">
        <v>11038</v>
      </c>
      <c r="S564" t="s">
        <v>10310</v>
      </c>
      <c r="W564" s="2" t="s">
        <v>11197</v>
      </c>
    </row>
    <row r="565" spans="1:23" hidden="1" x14ac:dyDescent="0.45">
      <c r="A565" s="1" t="s">
        <v>584</v>
      </c>
      <c r="F565" t="s">
        <v>10293</v>
      </c>
      <c r="G565">
        <v>262.8</v>
      </c>
      <c r="H565" t="s">
        <v>10310</v>
      </c>
      <c r="R565" t="s">
        <v>11038</v>
      </c>
      <c r="S565" t="s">
        <v>10310</v>
      </c>
      <c r="W565" s="2" t="s">
        <v>11197</v>
      </c>
    </row>
    <row r="566" spans="1:23" hidden="1" x14ac:dyDescent="0.45">
      <c r="A566" s="1" t="s">
        <v>585</v>
      </c>
      <c r="F566" t="s">
        <v>10293</v>
      </c>
      <c r="G566">
        <v>106.5</v>
      </c>
      <c r="H566" t="s">
        <v>10310</v>
      </c>
      <c r="R566" t="s">
        <v>11038</v>
      </c>
      <c r="S566" t="s">
        <v>10310</v>
      </c>
      <c r="W566" s="2" t="s">
        <v>11197</v>
      </c>
    </row>
    <row r="567" spans="1:23" hidden="1" x14ac:dyDescent="0.45">
      <c r="A567" s="1" t="s">
        <v>586</v>
      </c>
      <c r="F567" t="s">
        <v>10293</v>
      </c>
      <c r="G567">
        <v>0.2</v>
      </c>
      <c r="H567" t="s">
        <v>10310</v>
      </c>
      <c r="R567" t="s">
        <v>11038</v>
      </c>
      <c r="S567" t="s">
        <v>10310</v>
      </c>
      <c r="W567" s="2" t="s">
        <v>11197</v>
      </c>
    </row>
    <row r="568" spans="1:23" hidden="1" x14ac:dyDescent="0.45">
      <c r="A568" s="1" t="s">
        <v>587</v>
      </c>
      <c r="F568" t="s">
        <v>10293</v>
      </c>
      <c r="G568">
        <v>703.3</v>
      </c>
      <c r="H568" t="s">
        <v>10310</v>
      </c>
      <c r="R568" t="s">
        <v>11038</v>
      </c>
      <c r="S568" t="s">
        <v>10310</v>
      </c>
      <c r="W568" s="2" t="s">
        <v>11197</v>
      </c>
    </row>
    <row r="569" spans="1:23" hidden="1" x14ac:dyDescent="0.45">
      <c r="A569" s="1" t="s">
        <v>588</v>
      </c>
      <c r="F569" t="s">
        <v>10293</v>
      </c>
      <c r="G569">
        <v>0.9</v>
      </c>
      <c r="H569" t="s">
        <v>10310</v>
      </c>
      <c r="R569" t="s">
        <v>11038</v>
      </c>
      <c r="S569" t="s">
        <v>10310</v>
      </c>
      <c r="W569" s="2" t="s">
        <v>11197</v>
      </c>
    </row>
    <row r="570" spans="1:23" hidden="1" x14ac:dyDescent="0.45">
      <c r="A570" s="1" t="s">
        <v>589</v>
      </c>
      <c r="F570" t="s">
        <v>10293</v>
      </c>
      <c r="G570">
        <v>0.3</v>
      </c>
      <c r="H570" t="s">
        <v>10310</v>
      </c>
      <c r="R570" t="s">
        <v>11038</v>
      </c>
      <c r="S570" t="s">
        <v>10310</v>
      </c>
      <c r="W570" s="2" t="s">
        <v>11197</v>
      </c>
    </row>
    <row r="571" spans="1:23" hidden="1" x14ac:dyDescent="0.45">
      <c r="A571" s="1" t="s">
        <v>590</v>
      </c>
      <c r="F571" t="s">
        <v>10293</v>
      </c>
      <c r="G571">
        <v>0.3</v>
      </c>
      <c r="H571" t="s">
        <v>10310</v>
      </c>
      <c r="R571" t="s">
        <v>11038</v>
      </c>
      <c r="S571" t="s">
        <v>10310</v>
      </c>
      <c r="W571" s="2" t="s">
        <v>11197</v>
      </c>
    </row>
    <row r="572" spans="1:23" hidden="1" x14ac:dyDescent="0.45">
      <c r="A572" s="1" t="s">
        <v>591</v>
      </c>
      <c r="F572" t="s">
        <v>10293</v>
      </c>
      <c r="G572">
        <v>0</v>
      </c>
      <c r="H572" t="s">
        <v>10310</v>
      </c>
      <c r="R572" t="s">
        <v>11038</v>
      </c>
      <c r="S572" t="s">
        <v>10310</v>
      </c>
      <c r="W572" s="2" t="s">
        <v>11197</v>
      </c>
    </row>
    <row r="573" spans="1:23" hidden="1" x14ac:dyDescent="0.45">
      <c r="A573" s="1" t="s">
        <v>592</v>
      </c>
      <c r="F573" t="s">
        <v>10293</v>
      </c>
      <c r="G573">
        <v>0</v>
      </c>
      <c r="H573" t="s">
        <v>10310</v>
      </c>
      <c r="R573" t="s">
        <v>11038</v>
      </c>
      <c r="S573" t="s">
        <v>10310</v>
      </c>
      <c r="W573" s="2" t="s">
        <v>11197</v>
      </c>
    </row>
    <row r="574" spans="1:23" hidden="1" x14ac:dyDescent="0.45">
      <c r="A574" s="1" t="s">
        <v>593</v>
      </c>
      <c r="E574" t="s">
        <v>8635</v>
      </c>
      <c r="F574" t="s">
        <v>10294</v>
      </c>
      <c r="G574">
        <v>1.5</v>
      </c>
      <c r="H574" t="s">
        <v>10310</v>
      </c>
      <c r="I574" t="s">
        <v>10325</v>
      </c>
      <c r="L574">
        <v>1979</v>
      </c>
      <c r="N574">
        <v>46.6713364433</v>
      </c>
      <c r="P574">
        <v>8.7507294749500009</v>
      </c>
      <c r="R574" t="s">
        <v>11038</v>
      </c>
      <c r="S574" t="s">
        <v>10310</v>
      </c>
      <c r="W574" s="2" t="s">
        <v>11198</v>
      </c>
    </row>
    <row r="575" spans="1:23" hidden="1" x14ac:dyDescent="0.45">
      <c r="A575" s="1" t="s">
        <v>594</v>
      </c>
      <c r="E575" t="s">
        <v>8636</v>
      </c>
      <c r="F575" t="s">
        <v>10294</v>
      </c>
      <c r="G575">
        <v>2</v>
      </c>
      <c r="H575" t="s">
        <v>10310</v>
      </c>
      <c r="I575" t="s">
        <v>10325</v>
      </c>
      <c r="L575">
        <v>2009</v>
      </c>
      <c r="R575" t="s">
        <v>11038</v>
      </c>
      <c r="S575" t="s">
        <v>10310</v>
      </c>
      <c r="W575" s="2" t="s">
        <v>11198</v>
      </c>
    </row>
    <row r="576" spans="1:23" hidden="1" x14ac:dyDescent="0.45">
      <c r="A576" s="1" t="s">
        <v>595</v>
      </c>
      <c r="E576" t="s">
        <v>8636</v>
      </c>
      <c r="F576" t="s">
        <v>10294</v>
      </c>
      <c r="G576">
        <v>150</v>
      </c>
      <c r="H576" t="s">
        <v>10310</v>
      </c>
      <c r="I576" t="s">
        <v>10326</v>
      </c>
      <c r="L576">
        <v>2011</v>
      </c>
      <c r="N576">
        <v>46.670049651000006</v>
      </c>
      <c r="P576">
        <v>8.7686035374200006</v>
      </c>
      <c r="Q576" t="s">
        <v>10556</v>
      </c>
      <c r="R576" t="s">
        <v>11038</v>
      </c>
      <c r="S576" t="s">
        <v>10310</v>
      </c>
      <c r="V576" t="s">
        <v>11059</v>
      </c>
      <c r="W576" s="2" t="s">
        <v>11198</v>
      </c>
    </row>
    <row r="577" spans="1:23" hidden="1" x14ac:dyDescent="0.45">
      <c r="A577" s="1" t="s">
        <v>596</v>
      </c>
      <c r="E577" t="s">
        <v>8636</v>
      </c>
      <c r="F577" t="s">
        <v>10294</v>
      </c>
      <c r="G577">
        <v>0.75</v>
      </c>
      <c r="H577" t="s">
        <v>10310</v>
      </c>
      <c r="I577" t="s">
        <v>10325</v>
      </c>
      <c r="L577">
        <v>1968</v>
      </c>
      <c r="N577">
        <v>46.670049651000006</v>
      </c>
      <c r="P577">
        <v>8.7686035374200006</v>
      </c>
      <c r="Q577" t="s">
        <v>10556</v>
      </c>
      <c r="R577" t="s">
        <v>11038</v>
      </c>
      <c r="S577" t="s">
        <v>10310</v>
      </c>
      <c r="V577" t="s">
        <v>11059</v>
      </c>
      <c r="W577" s="2" t="s">
        <v>11198</v>
      </c>
    </row>
    <row r="578" spans="1:23" hidden="1" x14ac:dyDescent="0.45">
      <c r="A578" s="1" t="s">
        <v>597</v>
      </c>
      <c r="E578" t="s">
        <v>8637</v>
      </c>
      <c r="F578" t="s">
        <v>10294</v>
      </c>
      <c r="G578">
        <v>180</v>
      </c>
      <c r="H578" t="s">
        <v>10310</v>
      </c>
      <c r="I578" t="s">
        <v>10326</v>
      </c>
      <c r="L578">
        <v>1962</v>
      </c>
      <c r="N578">
        <v>46.751036820299987</v>
      </c>
      <c r="P578">
        <v>9.0469239280399982</v>
      </c>
      <c r="Q578" t="s">
        <v>10556</v>
      </c>
      <c r="R578" t="s">
        <v>11038</v>
      </c>
      <c r="S578" t="s">
        <v>10310</v>
      </c>
      <c r="W578" s="2" t="s">
        <v>11198</v>
      </c>
    </row>
    <row r="579" spans="1:23" hidden="1" x14ac:dyDescent="0.45">
      <c r="A579" s="1" t="s">
        <v>598</v>
      </c>
      <c r="E579" t="s">
        <v>8638</v>
      </c>
      <c r="F579" t="s">
        <v>10294</v>
      </c>
      <c r="G579">
        <v>24.87</v>
      </c>
      <c r="H579" t="s">
        <v>10310</v>
      </c>
      <c r="I579" t="s">
        <v>10325</v>
      </c>
      <c r="L579">
        <v>2015</v>
      </c>
      <c r="N579">
        <v>46.720281844699997</v>
      </c>
      <c r="P579">
        <v>8.8985683469100003</v>
      </c>
      <c r="R579" t="s">
        <v>11038</v>
      </c>
      <c r="S579" t="s">
        <v>10310</v>
      </c>
      <c r="W579" s="2" t="s">
        <v>11198</v>
      </c>
    </row>
    <row r="580" spans="1:23" hidden="1" x14ac:dyDescent="0.45">
      <c r="A580" s="1" t="s">
        <v>599</v>
      </c>
      <c r="E580" t="s">
        <v>600</v>
      </c>
      <c r="F580" t="s">
        <v>10294</v>
      </c>
      <c r="G580">
        <v>4.2300000000000004</v>
      </c>
      <c r="H580" t="s">
        <v>10310</v>
      </c>
      <c r="I580" t="s">
        <v>10325</v>
      </c>
      <c r="L580">
        <v>1999</v>
      </c>
      <c r="N580">
        <v>46.7435050176</v>
      </c>
      <c r="P580">
        <v>8.9864936319700011</v>
      </c>
      <c r="Q580" t="s">
        <v>10557</v>
      </c>
      <c r="R580" t="s">
        <v>11038</v>
      </c>
      <c r="S580" t="s">
        <v>10310</v>
      </c>
      <c r="W580" s="2" t="s">
        <v>11198</v>
      </c>
    </row>
    <row r="581" spans="1:23" hidden="1" x14ac:dyDescent="0.45">
      <c r="A581" s="1" t="s">
        <v>600</v>
      </c>
      <c r="E581" t="s">
        <v>600</v>
      </c>
      <c r="F581" t="s">
        <v>10294</v>
      </c>
      <c r="G581">
        <v>0.6</v>
      </c>
      <c r="H581" t="s">
        <v>10310</v>
      </c>
      <c r="I581" t="s">
        <v>10325</v>
      </c>
      <c r="L581">
        <v>2005</v>
      </c>
      <c r="N581">
        <v>46.7435050176</v>
      </c>
      <c r="P581">
        <v>8.9864936319700011</v>
      </c>
      <c r="R581" t="s">
        <v>11038</v>
      </c>
      <c r="S581" t="s">
        <v>10310</v>
      </c>
      <c r="V581" t="s">
        <v>11060</v>
      </c>
      <c r="W581" s="2" t="s">
        <v>11198</v>
      </c>
    </row>
    <row r="582" spans="1:23" hidden="1" x14ac:dyDescent="0.45">
      <c r="A582" s="1" t="s">
        <v>601</v>
      </c>
      <c r="E582" t="s">
        <v>8639</v>
      </c>
      <c r="F582" t="s">
        <v>10294</v>
      </c>
      <c r="G582">
        <v>0.4</v>
      </c>
      <c r="H582" t="s">
        <v>10310</v>
      </c>
      <c r="I582" t="s">
        <v>10325</v>
      </c>
      <c r="L582">
        <v>2008</v>
      </c>
      <c r="N582">
        <v>46.757381630799998</v>
      </c>
      <c r="P582">
        <v>9.0499933781600017</v>
      </c>
      <c r="R582" t="s">
        <v>11038</v>
      </c>
      <c r="S582" t="s">
        <v>10310</v>
      </c>
      <c r="V582" t="s">
        <v>11060</v>
      </c>
      <c r="W582" s="2" t="s">
        <v>11198</v>
      </c>
    </row>
    <row r="583" spans="1:23" hidden="1" x14ac:dyDescent="0.45">
      <c r="A583" s="1" t="s">
        <v>602</v>
      </c>
      <c r="E583" t="s">
        <v>8637</v>
      </c>
      <c r="F583" t="s">
        <v>10294</v>
      </c>
      <c r="G583">
        <v>10.14</v>
      </c>
      <c r="H583" t="s">
        <v>10310</v>
      </c>
      <c r="I583" t="s">
        <v>10325</v>
      </c>
      <c r="L583">
        <v>1946</v>
      </c>
      <c r="R583" t="s">
        <v>11038</v>
      </c>
      <c r="S583" t="s">
        <v>10310</v>
      </c>
      <c r="W583" s="2" t="s">
        <v>11198</v>
      </c>
    </row>
    <row r="584" spans="1:23" hidden="1" x14ac:dyDescent="0.45">
      <c r="A584" s="1" t="s">
        <v>603</v>
      </c>
      <c r="E584" t="s">
        <v>8640</v>
      </c>
      <c r="F584" t="s">
        <v>10294</v>
      </c>
      <c r="G584">
        <v>4.26</v>
      </c>
      <c r="H584" t="s">
        <v>10310</v>
      </c>
      <c r="I584" t="s">
        <v>10325</v>
      </c>
      <c r="L584">
        <v>2017</v>
      </c>
      <c r="R584" t="s">
        <v>11038</v>
      </c>
      <c r="S584" t="s">
        <v>10310</v>
      </c>
      <c r="W584" s="2" t="s">
        <v>11198</v>
      </c>
    </row>
    <row r="585" spans="1:23" hidden="1" x14ac:dyDescent="0.45">
      <c r="A585" s="1" t="s">
        <v>604</v>
      </c>
      <c r="E585" t="s">
        <v>8637</v>
      </c>
      <c r="F585" t="s">
        <v>10294</v>
      </c>
      <c r="G585">
        <v>12.5</v>
      </c>
      <c r="H585" t="s">
        <v>10310</v>
      </c>
      <c r="I585" t="s">
        <v>10325</v>
      </c>
      <c r="L585">
        <v>1960</v>
      </c>
      <c r="N585">
        <v>46.758062169699997</v>
      </c>
      <c r="P585">
        <v>9.0717462290499995</v>
      </c>
      <c r="R585" t="s">
        <v>11038</v>
      </c>
      <c r="S585" t="s">
        <v>10310</v>
      </c>
      <c r="V585" t="s">
        <v>11061</v>
      </c>
      <c r="W585" s="2" t="s">
        <v>11198</v>
      </c>
    </row>
    <row r="586" spans="1:23" hidden="1" x14ac:dyDescent="0.45">
      <c r="A586" s="1" t="s">
        <v>605</v>
      </c>
      <c r="E586" t="s">
        <v>8641</v>
      </c>
      <c r="F586" t="s">
        <v>10294</v>
      </c>
      <c r="G586">
        <v>5.0999999999999996</v>
      </c>
      <c r="H586" t="s">
        <v>10310</v>
      </c>
      <c r="I586" t="s">
        <v>10325</v>
      </c>
      <c r="L586">
        <v>1973</v>
      </c>
      <c r="N586">
        <v>46.771415733999987</v>
      </c>
      <c r="P586">
        <v>9.1187699140699987</v>
      </c>
      <c r="R586" t="s">
        <v>11038</v>
      </c>
      <c r="S586" t="s">
        <v>10310</v>
      </c>
      <c r="W586" s="2" t="s">
        <v>11198</v>
      </c>
    </row>
    <row r="587" spans="1:23" hidden="1" x14ac:dyDescent="0.45">
      <c r="A587" s="1" t="s">
        <v>606</v>
      </c>
      <c r="E587" t="s">
        <v>8642</v>
      </c>
      <c r="F587" t="s">
        <v>10294</v>
      </c>
      <c r="G587">
        <v>34.5</v>
      </c>
      <c r="H587" t="s">
        <v>10310</v>
      </c>
      <c r="I587" t="s">
        <v>10325</v>
      </c>
      <c r="L587">
        <v>1990</v>
      </c>
      <c r="N587">
        <v>46.774763759400003</v>
      </c>
      <c r="P587">
        <v>9.1952255792999988</v>
      </c>
      <c r="R587" t="s">
        <v>11038</v>
      </c>
      <c r="S587" t="s">
        <v>10310</v>
      </c>
      <c r="V587" t="s">
        <v>11062</v>
      </c>
      <c r="W587" s="2" t="s">
        <v>11198</v>
      </c>
    </row>
    <row r="588" spans="1:23" hidden="1" x14ac:dyDescent="0.45">
      <c r="A588" s="1" t="s">
        <v>607</v>
      </c>
      <c r="E588" t="s">
        <v>8642</v>
      </c>
      <c r="F588" t="s">
        <v>10294</v>
      </c>
      <c r="G588">
        <v>49.5</v>
      </c>
      <c r="H588" t="s">
        <v>10310</v>
      </c>
      <c r="I588" t="s">
        <v>10326</v>
      </c>
      <c r="L588">
        <v>1992</v>
      </c>
      <c r="N588">
        <v>46.774763759400003</v>
      </c>
      <c r="P588">
        <v>9.1952255792999988</v>
      </c>
      <c r="R588" t="s">
        <v>11038</v>
      </c>
      <c r="S588" t="s">
        <v>10310</v>
      </c>
      <c r="V588" t="s">
        <v>11062</v>
      </c>
      <c r="W588" s="2" t="s">
        <v>11198</v>
      </c>
    </row>
    <row r="589" spans="1:23" hidden="1" x14ac:dyDescent="0.45">
      <c r="A589" s="1" t="s">
        <v>608</v>
      </c>
      <c r="E589" t="s">
        <v>8643</v>
      </c>
      <c r="F589" t="s">
        <v>10294</v>
      </c>
      <c r="G589">
        <v>22</v>
      </c>
      <c r="H589" t="s">
        <v>10310</v>
      </c>
      <c r="I589" t="s">
        <v>10326</v>
      </c>
      <c r="L589">
        <v>1999</v>
      </c>
      <c r="N589">
        <v>46.578949591099999</v>
      </c>
      <c r="P589">
        <v>9.119315564299999</v>
      </c>
      <c r="Q589" t="s">
        <v>10558</v>
      </c>
      <c r="R589" t="s">
        <v>11038</v>
      </c>
      <c r="S589" t="s">
        <v>10310</v>
      </c>
      <c r="V589" t="s">
        <v>11063</v>
      </c>
      <c r="W589" s="2" t="s">
        <v>11198</v>
      </c>
    </row>
    <row r="590" spans="1:23" hidden="1" x14ac:dyDescent="0.45">
      <c r="A590" s="1" t="s">
        <v>609</v>
      </c>
      <c r="E590" t="s">
        <v>609</v>
      </c>
      <c r="F590" t="s">
        <v>10294</v>
      </c>
      <c r="G590">
        <v>90</v>
      </c>
      <c r="H590" t="s">
        <v>10310</v>
      </c>
      <c r="I590" t="s">
        <v>10326</v>
      </c>
      <c r="L590">
        <v>1997</v>
      </c>
      <c r="N590">
        <v>46.6778242878</v>
      </c>
      <c r="P590">
        <v>9.3158738327500004</v>
      </c>
      <c r="Q590" t="s">
        <v>10558</v>
      </c>
      <c r="R590" t="s">
        <v>11038</v>
      </c>
      <c r="S590" t="s">
        <v>10310</v>
      </c>
      <c r="W590" s="2" t="s">
        <v>11198</v>
      </c>
    </row>
    <row r="591" spans="1:23" hidden="1" x14ac:dyDescent="0.45">
      <c r="A591" s="1" t="s">
        <v>610</v>
      </c>
      <c r="E591" t="s">
        <v>610</v>
      </c>
      <c r="F591" t="s">
        <v>10294</v>
      </c>
      <c r="G591">
        <v>135</v>
      </c>
      <c r="H591" t="s">
        <v>10310</v>
      </c>
      <c r="I591" t="s">
        <v>10326</v>
      </c>
      <c r="L591">
        <v>2011</v>
      </c>
      <c r="N591">
        <v>46.765896025399996</v>
      </c>
      <c r="P591">
        <v>9.4182011496300007</v>
      </c>
      <c r="Q591" t="s">
        <v>10558</v>
      </c>
      <c r="R591" t="s">
        <v>11038</v>
      </c>
      <c r="S591" t="s">
        <v>10310</v>
      </c>
      <c r="W591" s="2" t="s">
        <v>11198</v>
      </c>
    </row>
    <row r="592" spans="1:23" hidden="1" x14ac:dyDescent="0.45">
      <c r="A592" s="1" t="s">
        <v>611</v>
      </c>
      <c r="E592" t="s">
        <v>610</v>
      </c>
      <c r="F592" t="s">
        <v>10294</v>
      </c>
      <c r="G592">
        <v>26</v>
      </c>
      <c r="H592" t="s">
        <v>10310</v>
      </c>
      <c r="I592" t="s">
        <v>10325</v>
      </c>
      <c r="L592">
        <v>2004</v>
      </c>
      <c r="N592">
        <v>46.764911382400001</v>
      </c>
      <c r="P592">
        <v>9.4179030849699998</v>
      </c>
      <c r="Q592" t="s">
        <v>10558</v>
      </c>
      <c r="R592" t="s">
        <v>11038</v>
      </c>
      <c r="S592" t="s">
        <v>10310</v>
      </c>
      <c r="W592" s="2" t="s">
        <v>11198</v>
      </c>
    </row>
    <row r="593" spans="1:23" hidden="1" x14ac:dyDescent="0.45">
      <c r="A593" s="1" t="s">
        <v>612</v>
      </c>
      <c r="E593" t="s">
        <v>8644</v>
      </c>
      <c r="F593" t="s">
        <v>10294</v>
      </c>
      <c r="G593">
        <v>0.94</v>
      </c>
      <c r="H593" t="s">
        <v>10310</v>
      </c>
      <c r="I593" t="s">
        <v>10325</v>
      </c>
      <c r="L593">
        <v>1996</v>
      </c>
      <c r="N593">
        <v>46.660150347299997</v>
      </c>
      <c r="P593">
        <v>9.1882303852199989</v>
      </c>
      <c r="R593" t="s">
        <v>11038</v>
      </c>
      <c r="S593" t="s">
        <v>10310</v>
      </c>
      <c r="W593" s="2" t="s">
        <v>11198</v>
      </c>
    </row>
    <row r="594" spans="1:23" hidden="1" x14ac:dyDescent="0.45">
      <c r="A594" s="1" t="s">
        <v>613</v>
      </c>
      <c r="E594" t="s">
        <v>8645</v>
      </c>
      <c r="F594" t="s">
        <v>10294</v>
      </c>
      <c r="G594">
        <v>2.82</v>
      </c>
      <c r="H594" t="s">
        <v>10310</v>
      </c>
      <c r="I594" t="s">
        <v>10325</v>
      </c>
      <c r="L594">
        <v>1963</v>
      </c>
      <c r="N594">
        <v>46.793145583300003</v>
      </c>
      <c r="P594">
        <v>9.2736451239100006</v>
      </c>
      <c r="R594" t="s">
        <v>11038</v>
      </c>
      <c r="S594" t="s">
        <v>10310</v>
      </c>
      <c r="W594" s="2" t="s">
        <v>11198</v>
      </c>
    </row>
    <row r="595" spans="1:23" hidden="1" x14ac:dyDescent="0.45">
      <c r="A595" s="1" t="s">
        <v>614</v>
      </c>
      <c r="E595" t="s">
        <v>8646</v>
      </c>
      <c r="F595" t="s">
        <v>10294</v>
      </c>
      <c r="G595">
        <v>2.62</v>
      </c>
      <c r="H595" t="s">
        <v>10310</v>
      </c>
      <c r="I595" t="s">
        <v>10325</v>
      </c>
      <c r="L595">
        <v>2012</v>
      </c>
      <c r="N595">
        <v>46.838451654899998</v>
      </c>
      <c r="P595">
        <v>9.2650933525900001</v>
      </c>
      <c r="R595" t="s">
        <v>11038</v>
      </c>
      <c r="S595" t="s">
        <v>10310</v>
      </c>
      <c r="V595" t="s">
        <v>11064</v>
      </c>
      <c r="W595" s="2" t="s">
        <v>11198</v>
      </c>
    </row>
    <row r="596" spans="1:23" hidden="1" x14ac:dyDescent="0.45">
      <c r="A596" s="1" t="s">
        <v>615</v>
      </c>
      <c r="E596" t="s">
        <v>8646</v>
      </c>
      <c r="F596" t="s">
        <v>10294</v>
      </c>
      <c r="G596">
        <v>0.64</v>
      </c>
      <c r="H596" t="s">
        <v>10310</v>
      </c>
      <c r="I596" t="s">
        <v>10325</v>
      </c>
      <c r="L596">
        <v>2012</v>
      </c>
      <c r="N596">
        <v>46.838451654899998</v>
      </c>
      <c r="P596">
        <v>9.2650933525900001</v>
      </c>
      <c r="R596" t="s">
        <v>11038</v>
      </c>
      <c r="S596" t="s">
        <v>10310</v>
      </c>
      <c r="V596" t="s">
        <v>11065</v>
      </c>
      <c r="W596" s="2" t="s">
        <v>11198</v>
      </c>
    </row>
    <row r="597" spans="1:23" hidden="1" x14ac:dyDescent="0.45">
      <c r="A597" s="1" t="s">
        <v>616</v>
      </c>
      <c r="E597" t="s">
        <v>8646</v>
      </c>
      <c r="F597" t="s">
        <v>10294</v>
      </c>
      <c r="G597">
        <v>0.3</v>
      </c>
      <c r="H597" t="s">
        <v>10310</v>
      </c>
      <c r="I597" t="s">
        <v>10325</v>
      </c>
      <c r="L597">
        <v>2013</v>
      </c>
      <c r="N597">
        <v>46.838451654899998</v>
      </c>
      <c r="P597">
        <v>9.2650933525900001</v>
      </c>
      <c r="R597" t="s">
        <v>11038</v>
      </c>
      <c r="S597" t="s">
        <v>10310</v>
      </c>
      <c r="V597" t="s">
        <v>11066</v>
      </c>
      <c r="W597" s="2" t="s">
        <v>11198</v>
      </c>
    </row>
    <row r="598" spans="1:23" hidden="1" x14ac:dyDescent="0.45">
      <c r="A598" s="1" t="s">
        <v>617</v>
      </c>
      <c r="E598" t="s">
        <v>8646</v>
      </c>
      <c r="F598" t="s">
        <v>10294</v>
      </c>
      <c r="G598">
        <v>1.73</v>
      </c>
      <c r="H598" t="s">
        <v>10310</v>
      </c>
      <c r="I598" t="s">
        <v>10325</v>
      </c>
      <c r="L598">
        <v>1999</v>
      </c>
      <c r="N598">
        <v>46.833756853500013</v>
      </c>
      <c r="P598">
        <v>9.2828962239199999</v>
      </c>
      <c r="R598" t="s">
        <v>11038</v>
      </c>
      <c r="S598" t="s">
        <v>10310</v>
      </c>
      <c r="W598" s="2" t="s">
        <v>11198</v>
      </c>
    </row>
    <row r="599" spans="1:23" hidden="1" x14ac:dyDescent="0.45">
      <c r="A599" s="1" t="s">
        <v>618</v>
      </c>
      <c r="E599" t="s">
        <v>8646</v>
      </c>
      <c r="F599" t="s">
        <v>10294</v>
      </c>
      <c r="G599">
        <v>0.88</v>
      </c>
      <c r="H599" t="s">
        <v>10310</v>
      </c>
      <c r="I599" t="s">
        <v>10325</v>
      </c>
      <c r="L599">
        <v>2011</v>
      </c>
      <c r="N599">
        <v>46.834090506800003</v>
      </c>
      <c r="P599">
        <v>9.3176524937899998</v>
      </c>
      <c r="R599" t="s">
        <v>11038</v>
      </c>
      <c r="S599" t="s">
        <v>10310</v>
      </c>
      <c r="V599" t="s">
        <v>11067</v>
      </c>
      <c r="W599" s="2" t="s">
        <v>11198</v>
      </c>
    </row>
    <row r="600" spans="1:23" hidden="1" x14ac:dyDescent="0.45">
      <c r="A600" s="1" t="s">
        <v>619</v>
      </c>
      <c r="E600" t="s">
        <v>8646</v>
      </c>
      <c r="F600" t="s">
        <v>10294</v>
      </c>
      <c r="G600">
        <v>0.28000000000000003</v>
      </c>
      <c r="H600" t="s">
        <v>10310</v>
      </c>
      <c r="I600" t="s">
        <v>10325</v>
      </c>
      <c r="L600">
        <v>2011</v>
      </c>
      <c r="N600">
        <v>46.834090506800003</v>
      </c>
      <c r="P600">
        <v>9.3176524937899998</v>
      </c>
      <c r="R600" t="s">
        <v>11038</v>
      </c>
      <c r="S600" t="s">
        <v>10310</v>
      </c>
      <c r="V600" t="s">
        <v>11068</v>
      </c>
      <c r="W600" s="2" t="s">
        <v>11198</v>
      </c>
    </row>
    <row r="601" spans="1:23" hidden="1" x14ac:dyDescent="0.45">
      <c r="A601" s="1" t="s">
        <v>620</v>
      </c>
      <c r="E601" t="s">
        <v>8647</v>
      </c>
      <c r="F601" t="s">
        <v>10294</v>
      </c>
      <c r="G601">
        <v>1.6</v>
      </c>
      <c r="H601" t="s">
        <v>10310</v>
      </c>
      <c r="I601" t="s">
        <v>10325</v>
      </c>
      <c r="L601">
        <v>2004</v>
      </c>
      <c r="N601">
        <v>46.833447950999997</v>
      </c>
      <c r="P601">
        <v>9.3401813579600006</v>
      </c>
      <c r="R601" t="s">
        <v>11038</v>
      </c>
      <c r="S601" t="s">
        <v>10310</v>
      </c>
      <c r="W601" s="2" t="s">
        <v>11198</v>
      </c>
    </row>
    <row r="602" spans="1:23" hidden="1" x14ac:dyDescent="0.45">
      <c r="A602" s="1" t="s">
        <v>621</v>
      </c>
      <c r="E602" t="s">
        <v>8648</v>
      </c>
      <c r="F602" t="s">
        <v>10294</v>
      </c>
      <c r="G602">
        <v>6.48</v>
      </c>
      <c r="H602" t="s">
        <v>10310</v>
      </c>
      <c r="I602" t="s">
        <v>10325</v>
      </c>
      <c r="L602">
        <v>1944</v>
      </c>
      <c r="N602">
        <v>46.814857763200003</v>
      </c>
      <c r="P602">
        <v>9.3488306444500004</v>
      </c>
      <c r="R602" t="s">
        <v>11038</v>
      </c>
      <c r="S602" t="s">
        <v>10310</v>
      </c>
      <c r="W602" s="2" t="s">
        <v>11198</v>
      </c>
    </row>
    <row r="603" spans="1:23" hidden="1" x14ac:dyDescent="0.45">
      <c r="A603" s="1" t="s">
        <v>622</v>
      </c>
      <c r="E603" t="s">
        <v>8649</v>
      </c>
      <c r="F603" t="s">
        <v>10294</v>
      </c>
      <c r="G603">
        <v>180</v>
      </c>
      <c r="H603" t="s">
        <v>10310</v>
      </c>
      <c r="I603" t="s">
        <v>10324</v>
      </c>
      <c r="L603">
        <v>2017</v>
      </c>
      <c r="N603">
        <v>46.532917764499999</v>
      </c>
      <c r="P603">
        <v>9.4341933851299995</v>
      </c>
      <c r="Q603" t="s">
        <v>10557</v>
      </c>
      <c r="R603" t="s">
        <v>11038</v>
      </c>
      <c r="S603" t="s">
        <v>10310</v>
      </c>
      <c r="V603" t="s">
        <v>11069</v>
      </c>
      <c r="W603" s="2" t="s">
        <v>11198</v>
      </c>
    </row>
    <row r="604" spans="1:23" hidden="1" x14ac:dyDescent="0.45">
      <c r="A604" s="1" t="s">
        <v>623</v>
      </c>
      <c r="E604" t="s">
        <v>8649</v>
      </c>
      <c r="F604" t="s">
        <v>10294</v>
      </c>
      <c r="G604">
        <v>4.4000000000000004</v>
      </c>
      <c r="H604" t="s">
        <v>10310</v>
      </c>
      <c r="I604" t="s">
        <v>10325</v>
      </c>
      <c r="L604">
        <v>2017</v>
      </c>
      <c r="N604">
        <v>46.532917764499999</v>
      </c>
      <c r="P604">
        <v>9.4341933851299995</v>
      </c>
      <c r="Q604" t="s">
        <v>10557</v>
      </c>
      <c r="R604" t="s">
        <v>11038</v>
      </c>
      <c r="S604" t="s">
        <v>10310</v>
      </c>
      <c r="V604" t="s">
        <v>11069</v>
      </c>
      <c r="W604" s="2" t="s">
        <v>11198</v>
      </c>
    </row>
    <row r="605" spans="1:23" hidden="1" x14ac:dyDescent="0.45">
      <c r="A605" s="1" t="s">
        <v>624</v>
      </c>
      <c r="E605" t="s">
        <v>624</v>
      </c>
      <c r="F605" t="s">
        <v>10294</v>
      </c>
      <c r="G605">
        <v>0.3</v>
      </c>
      <c r="H605" t="s">
        <v>10310</v>
      </c>
      <c r="I605" t="s">
        <v>10325</v>
      </c>
      <c r="L605">
        <v>2009</v>
      </c>
      <c r="N605">
        <v>46.543053792700007</v>
      </c>
      <c r="P605">
        <v>9.2479517705199985</v>
      </c>
      <c r="R605" t="s">
        <v>11038</v>
      </c>
      <c r="S605" t="s">
        <v>10310</v>
      </c>
      <c r="W605" s="2" t="s">
        <v>11198</v>
      </c>
    </row>
    <row r="606" spans="1:23" hidden="1" x14ac:dyDescent="0.45">
      <c r="A606" s="1" t="s">
        <v>625</v>
      </c>
      <c r="E606" t="s">
        <v>8650</v>
      </c>
      <c r="F606" t="s">
        <v>10294</v>
      </c>
      <c r="G606">
        <v>1.8</v>
      </c>
      <c r="H606" t="s">
        <v>10310</v>
      </c>
      <c r="I606" t="s">
        <v>10325</v>
      </c>
      <c r="L606">
        <v>2012</v>
      </c>
      <c r="N606">
        <v>46.545922817499999</v>
      </c>
      <c r="P606">
        <v>9.3097332641399984</v>
      </c>
      <c r="R606" t="s">
        <v>11038</v>
      </c>
      <c r="S606" t="s">
        <v>10310</v>
      </c>
      <c r="W606" s="2" t="s">
        <v>11198</v>
      </c>
    </row>
    <row r="607" spans="1:23" hidden="1" x14ac:dyDescent="0.45">
      <c r="A607" s="1" t="s">
        <v>626</v>
      </c>
      <c r="E607" t="s">
        <v>8651</v>
      </c>
      <c r="F607" t="s">
        <v>10294</v>
      </c>
      <c r="G607">
        <v>0.71</v>
      </c>
      <c r="H607" t="s">
        <v>10310</v>
      </c>
      <c r="I607" t="s">
        <v>10325</v>
      </c>
      <c r="L607">
        <v>2010</v>
      </c>
      <c r="R607" t="s">
        <v>11038</v>
      </c>
      <c r="S607" t="s">
        <v>10310</v>
      </c>
      <c r="V607" t="s">
        <v>11070</v>
      </c>
      <c r="W607" s="2" t="s">
        <v>11198</v>
      </c>
    </row>
    <row r="608" spans="1:23" hidden="1" x14ac:dyDescent="0.45">
      <c r="A608" s="1" t="s">
        <v>627</v>
      </c>
      <c r="E608" t="s">
        <v>8652</v>
      </c>
      <c r="F608" t="s">
        <v>10294</v>
      </c>
      <c r="G608">
        <v>220</v>
      </c>
      <c r="H608" t="s">
        <v>10310</v>
      </c>
      <c r="I608" t="s">
        <v>10326</v>
      </c>
      <c r="L608">
        <v>2017</v>
      </c>
      <c r="N608">
        <v>46.590191536499987</v>
      </c>
      <c r="P608">
        <v>9.4214272262100014</v>
      </c>
      <c r="Q608" t="s">
        <v>10557</v>
      </c>
      <c r="R608" t="s">
        <v>11038</v>
      </c>
      <c r="S608" t="s">
        <v>10310</v>
      </c>
      <c r="W608" s="2" t="s">
        <v>11198</v>
      </c>
    </row>
    <row r="609" spans="1:23" hidden="1" x14ac:dyDescent="0.45">
      <c r="A609" s="1" t="s">
        <v>628</v>
      </c>
      <c r="E609" t="s">
        <v>8652</v>
      </c>
      <c r="F609" t="s">
        <v>10294</v>
      </c>
      <c r="G609">
        <v>1.6</v>
      </c>
      <c r="H609" t="s">
        <v>10310</v>
      </c>
      <c r="I609" t="s">
        <v>10325</v>
      </c>
      <c r="L609">
        <v>2017</v>
      </c>
      <c r="N609">
        <v>46.590191536499987</v>
      </c>
      <c r="P609">
        <v>9.4214272262100014</v>
      </c>
      <c r="Q609" t="s">
        <v>10557</v>
      </c>
      <c r="R609" t="s">
        <v>11038</v>
      </c>
      <c r="S609" t="s">
        <v>10310</v>
      </c>
      <c r="W609" s="2" t="s">
        <v>11198</v>
      </c>
    </row>
    <row r="610" spans="1:23" hidden="1" x14ac:dyDescent="0.45">
      <c r="A610" s="1" t="s">
        <v>629</v>
      </c>
      <c r="E610" t="s">
        <v>8653</v>
      </c>
      <c r="F610" t="s">
        <v>10294</v>
      </c>
      <c r="G610">
        <v>247</v>
      </c>
      <c r="H610" t="s">
        <v>10310</v>
      </c>
      <c r="I610" t="s">
        <v>10326</v>
      </c>
      <c r="L610">
        <v>1961</v>
      </c>
      <c r="N610">
        <v>46.703136014099996</v>
      </c>
      <c r="P610">
        <v>9.4666490497600009</v>
      </c>
      <c r="Q610" t="s">
        <v>10557</v>
      </c>
      <c r="R610" t="s">
        <v>11038</v>
      </c>
      <c r="S610" t="s">
        <v>10310</v>
      </c>
      <c r="W610" s="2" t="s">
        <v>11198</v>
      </c>
    </row>
    <row r="611" spans="1:23" hidden="1" x14ac:dyDescent="0.45">
      <c r="A611" s="1" t="s">
        <v>630</v>
      </c>
      <c r="E611" t="s">
        <v>630</v>
      </c>
      <c r="F611" t="s">
        <v>10294</v>
      </c>
      <c r="G611">
        <v>4.5999999999999996</v>
      </c>
      <c r="H611" t="s">
        <v>10310</v>
      </c>
      <c r="I611" t="s">
        <v>10325</v>
      </c>
      <c r="L611">
        <v>2017</v>
      </c>
      <c r="N611">
        <v>46.690148621699997</v>
      </c>
      <c r="P611">
        <v>9.4428840844700002</v>
      </c>
      <c r="R611" t="s">
        <v>11038</v>
      </c>
      <c r="S611" t="s">
        <v>10310</v>
      </c>
      <c r="W611" s="2" t="s">
        <v>11198</v>
      </c>
    </row>
    <row r="612" spans="1:23" hidden="1" x14ac:dyDescent="0.45">
      <c r="A612" s="1" t="s">
        <v>631</v>
      </c>
      <c r="E612" t="s">
        <v>8654</v>
      </c>
      <c r="F612" t="s">
        <v>10294</v>
      </c>
      <c r="G612">
        <v>0.7</v>
      </c>
      <c r="H612" t="s">
        <v>10310</v>
      </c>
      <c r="I612" t="s">
        <v>10325</v>
      </c>
      <c r="L612">
        <v>1963</v>
      </c>
      <c r="N612">
        <v>46.768868622399999</v>
      </c>
      <c r="P612">
        <v>9.8055811228100005</v>
      </c>
      <c r="R612" t="s">
        <v>11038</v>
      </c>
      <c r="S612" t="s">
        <v>10310</v>
      </c>
      <c r="W612" s="2" t="s">
        <v>11198</v>
      </c>
    </row>
    <row r="613" spans="1:23" hidden="1" x14ac:dyDescent="0.45">
      <c r="A613" s="1" t="s">
        <v>632</v>
      </c>
      <c r="E613" t="s">
        <v>8655</v>
      </c>
      <c r="F613" t="s">
        <v>10294</v>
      </c>
      <c r="G613">
        <v>1.1299999999999999</v>
      </c>
      <c r="H613" t="s">
        <v>10310</v>
      </c>
      <c r="I613" t="s">
        <v>10325</v>
      </c>
      <c r="L613">
        <v>1964</v>
      </c>
      <c r="N613">
        <v>46.736093028299997</v>
      </c>
      <c r="P613">
        <v>9.7758686538300008</v>
      </c>
      <c r="R613" t="s">
        <v>11038</v>
      </c>
      <c r="S613" t="s">
        <v>10310</v>
      </c>
      <c r="W613" s="2" t="s">
        <v>11198</v>
      </c>
    </row>
    <row r="614" spans="1:23" hidden="1" x14ac:dyDescent="0.45">
      <c r="A614" s="1" t="s">
        <v>633</v>
      </c>
      <c r="E614" t="s">
        <v>633</v>
      </c>
      <c r="F614" t="s">
        <v>10294</v>
      </c>
      <c r="G614">
        <v>65</v>
      </c>
      <c r="H614" t="s">
        <v>10310</v>
      </c>
      <c r="I614" t="s">
        <v>10325</v>
      </c>
      <c r="L614">
        <v>2002</v>
      </c>
      <c r="N614">
        <v>46.669891969399998</v>
      </c>
      <c r="P614">
        <v>9.6892026355500001</v>
      </c>
      <c r="R614" t="s">
        <v>11038</v>
      </c>
      <c r="S614" t="s">
        <v>10310</v>
      </c>
      <c r="W614" s="2" t="s">
        <v>11198</v>
      </c>
    </row>
    <row r="615" spans="1:23" hidden="1" x14ac:dyDescent="0.45">
      <c r="A615" s="1" t="s">
        <v>634</v>
      </c>
      <c r="E615" t="s">
        <v>8656</v>
      </c>
      <c r="F615" t="s">
        <v>10294</v>
      </c>
      <c r="G615">
        <v>24</v>
      </c>
      <c r="H615" t="s">
        <v>10310</v>
      </c>
      <c r="I615" t="s">
        <v>10325</v>
      </c>
      <c r="L615">
        <v>1989</v>
      </c>
      <c r="N615">
        <v>46.660846601300001</v>
      </c>
      <c r="P615">
        <v>9.57955507518</v>
      </c>
      <c r="R615" t="s">
        <v>11038</v>
      </c>
      <c r="S615" t="s">
        <v>10310</v>
      </c>
      <c r="W615" s="2" t="s">
        <v>11198</v>
      </c>
    </row>
    <row r="616" spans="1:23" hidden="1" x14ac:dyDescent="0.45">
      <c r="A616" s="1" t="s">
        <v>635</v>
      </c>
      <c r="E616" t="s">
        <v>8657</v>
      </c>
      <c r="F616" t="s">
        <v>10294</v>
      </c>
      <c r="G616">
        <v>0.65</v>
      </c>
      <c r="H616" t="s">
        <v>10310</v>
      </c>
      <c r="I616" t="s">
        <v>10325</v>
      </c>
      <c r="L616">
        <v>1980</v>
      </c>
      <c r="N616">
        <v>46.4796105068</v>
      </c>
      <c r="P616">
        <v>9.6452128900999998</v>
      </c>
      <c r="Q616" t="s">
        <v>10559</v>
      </c>
      <c r="R616" t="s">
        <v>11038</v>
      </c>
      <c r="S616" t="s">
        <v>10310</v>
      </c>
      <c r="W616" s="2" t="s">
        <v>11198</v>
      </c>
    </row>
    <row r="617" spans="1:23" hidden="1" x14ac:dyDescent="0.45">
      <c r="A617" s="1" t="s">
        <v>636</v>
      </c>
      <c r="E617" t="s">
        <v>8658</v>
      </c>
      <c r="F617" t="s">
        <v>10294</v>
      </c>
      <c r="G617">
        <v>7</v>
      </c>
      <c r="H617" t="s">
        <v>10310</v>
      </c>
      <c r="I617" t="s">
        <v>10325</v>
      </c>
      <c r="L617">
        <v>2016</v>
      </c>
      <c r="R617" t="s">
        <v>11038</v>
      </c>
      <c r="S617" t="s">
        <v>10310</v>
      </c>
      <c r="W617" s="2" t="s">
        <v>11198</v>
      </c>
    </row>
    <row r="618" spans="1:23" hidden="1" x14ac:dyDescent="0.45">
      <c r="A618" s="1" t="s">
        <v>637</v>
      </c>
      <c r="E618" t="s">
        <v>637</v>
      </c>
      <c r="F618" t="s">
        <v>10294</v>
      </c>
      <c r="G618">
        <v>69.5</v>
      </c>
      <c r="H618" t="s">
        <v>10310</v>
      </c>
      <c r="I618" t="s">
        <v>10326</v>
      </c>
      <c r="L618">
        <v>1971</v>
      </c>
      <c r="N618">
        <v>46.582506485100012</v>
      </c>
      <c r="P618">
        <v>9.6106483576399988</v>
      </c>
      <c r="R618" t="s">
        <v>11038</v>
      </c>
      <c r="S618" t="s">
        <v>10310</v>
      </c>
      <c r="W618" s="2" t="s">
        <v>11198</v>
      </c>
    </row>
    <row r="619" spans="1:23" hidden="1" x14ac:dyDescent="0.45">
      <c r="A619" s="1" t="s">
        <v>638</v>
      </c>
      <c r="E619" t="s">
        <v>8659</v>
      </c>
      <c r="F619" t="s">
        <v>10294</v>
      </c>
      <c r="G619">
        <v>1.59</v>
      </c>
      <c r="H619" t="s">
        <v>10310</v>
      </c>
      <c r="I619" t="s">
        <v>10325</v>
      </c>
      <c r="L619">
        <v>2011</v>
      </c>
      <c r="N619">
        <v>46.568152097899997</v>
      </c>
      <c r="P619">
        <v>9.5702754212999999</v>
      </c>
      <c r="R619" t="s">
        <v>11038</v>
      </c>
      <c r="S619" t="s">
        <v>10310</v>
      </c>
      <c r="W619" s="2" t="s">
        <v>11198</v>
      </c>
    </row>
    <row r="620" spans="1:23" hidden="1" x14ac:dyDescent="0.45">
      <c r="A620" s="1" t="s">
        <v>639</v>
      </c>
      <c r="E620" t="s">
        <v>8656</v>
      </c>
      <c r="F620" t="s">
        <v>10294</v>
      </c>
      <c r="G620">
        <v>52</v>
      </c>
      <c r="H620" t="s">
        <v>10310</v>
      </c>
      <c r="I620" t="s">
        <v>10326</v>
      </c>
      <c r="L620">
        <v>1970</v>
      </c>
      <c r="N620">
        <v>46.664401657799999</v>
      </c>
      <c r="P620">
        <v>9.5627034743699983</v>
      </c>
      <c r="R620" t="s">
        <v>11038</v>
      </c>
      <c r="S620" t="s">
        <v>10310</v>
      </c>
      <c r="V620" t="s">
        <v>11071</v>
      </c>
      <c r="W620" s="2" t="s">
        <v>11198</v>
      </c>
    </row>
    <row r="621" spans="1:23" hidden="1" x14ac:dyDescent="0.45">
      <c r="A621" s="1" t="s">
        <v>640</v>
      </c>
      <c r="E621" t="s">
        <v>8656</v>
      </c>
      <c r="F621" t="s">
        <v>10294</v>
      </c>
      <c r="G621">
        <v>26</v>
      </c>
      <c r="H621" t="s">
        <v>10310</v>
      </c>
      <c r="I621" t="s">
        <v>10325</v>
      </c>
      <c r="L621">
        <v>1949</v>
      </c>
      <c r="N621">
        <v>46.664401657799999</v>
      </c>
      <c r="P621">
        <v>9.5627034743699983</v>
      </c>
      <c r="R621" t="s">
        <v>11038</v>
      </c>
      <c r="S621" t="s">
        <v>10310</v>
      </c>
      <c r="V621" t="s">
        <v>11071</v>
      </c>
      <c r="W621" s="2" t="s">
        <v>11198</v>
      </c>
    </row>
    <row r="622" spans="1:23" hidden="1" x14ac:dyDescent="0.45">
      <c r="A622" s="1" t="s">
        <v>641</v>
      </c>
      <c r="E622" t="s">
        <v>8660</v>
      </c>
      <c r="F622" t="s">
        <v>10294</v>
      </c>
      <c r="G622">
        <v>7.3</v>
      </c>
      <c r="H622" t="s">
        <v>10310</v>
      </c>
      <c r="I622" t="s">
        <v>10325</v>
      </c>
      <c r="L622">
        <v>1978</v>
      </c>
      <c r="N622">
        <v>46.681922093599987</v>
      </c>
      <c r="P622">
        <v>9.5252130001699999</v>
      </c>
      <c r="R622" t="s">
        <v>11038</v>
      </c>
      <c r="S622" t="s">
        <v>10310</v>
      </c>
      <c r="W622" s="2" t="s">
        <v>11198</v>
      </c>
    </row>
    <row r="623" spans="1:23" hidden="1" x14ac:dyDescent="0.45">
      <c r="A623" s="1" t="s">
        <v>642</v>
      </c>
      <c r="E623" t="s">
        <v>8661</v>
      </c>
      <c r="F623" t="s">
        <v>10294</v>
      </c>
      <c r="G623">
        <v>26</v>
      </c>
      <c r="H623" t="s">
        <v>10310</v>
      </c>
      <c r="I623" t="s">
        <v>10325</v>
      </c>
      <c r="L623">
        <v>1996</v>
      </c>
      <c r="N623">
        <v>46.704081739099998</v>
      </c>
      <c r="P623">
        <v>9.4640685274400003</v>
      </c>
      <c r="Q623" t="s">
        <v>10557</v>
      </c>
      <c r="R623" t="s">
        <v>11038</v>
      </c>
      <c r="S623" t="s">
        <v>10310</v>
      </c>
      <c r="V623" t="s">
        <v>11060</v>
      </c>
      <c r="W623" s="2" t="s">
        <v>11198</v>
      </c>
    </row>
    <row r="624" spans="1:23" hidden="1" x14ac:dyDescent="0.45">
      <c r="A624" s="1" t="s">
        <v>643</v>
      </c>
      <c r="E624" t="s">
        <v>610</v>
      </c>
      <c r="F624" t="s">
        <v>10294</v>
      </c>
      <c r="G624">
        <v>44</v>
      </c>
      <c r="H624" t="s">
        <v>10310</v>
      </c>
      <c r="I624" t="s">
        <v>10326</v>
      </c>
      <c r="L624">
        <v>1976</v>
      </c>
      <c r="N624">
        <v>46.773946170499997</v>
      </c>
      <c r="P624">
        <v>9.4209853369199994</v>
      </c>
      <c r="Q624" t="s">
        <v>10558</v>
      </c>
      <c r="R624" t="s">
        <v>11038</v>
      </c>
      <c r="S624" t="s">
        <v>10310</v>
      </c>
      <c r="W624" s="2" t="s">
        <v>11198</v>
      </c>
    </row>
    <row r="625" spans="1:23" hidden="1" x14ac:dyDescent="0.45">
      <c r="A625" s="1" t="s">
        <v>644</v>
      </c>
      <c r="E625" t="s">
        <v>8662</v>
      </c>
      <c r="F625" t="s">
        <v>10294</v>
      </c>
      <c r="G625">
        <v>19.059999999999999</v>
      </c>
      <c r="H625" t="s">
        <v>10310</v>
      </c>
      <c r="I625" t="s">
        <v>10325</v>
      </c>
      <c r="L625">
        <v>1962</v>
      </c>
      <c r="N625">
        <v>46.837733708599998</v>
      </c>
      <c r="P625">
        <v>9.4473310144700005</v>
      </c>
      <c r="R625" t="s">
        <v>11038</v>
      </c>
      <c r="S625" t="s">
        <v>10310</v>
      </c>
      <c r="W625" s="2" t="s">
        <v>11198</v>
      </c>
    </row>
    <row r="626" spans="1:23" hidden="1" x14ac:dyDescent="0.45">
      <c r="A626" s="1" t="s">
        <v>645</v>
      </c>
      <c r="E626" t="s">
        <v>8663</v>
      </c>
      <c r="F626" t="s">
        <v>10294</v>
      </c>
      <c r="G626">
        <v>5</v>
      </c>
      <c r="H626" t="s">
        <v>10310</v>
      </c>
      <c r="I626" t="s">
        <v>10325</v>
      </c>
      <c r="L626">
        <v>1969</v>
      </c>
      <c r="N626">
        <v>46.800049352899997</v>
      </c>
      <c r="P626">
        <v>9.7059119806600016</v>
      </c>
      <c r="R626" t="s">
        <v>11038</v>
      </c>
      <c r="S626" t="s">
        <v>10310</v>
      </c>
      <c r="W626" s="2" t="s">
        <v>11198</v>
      </c>
    </row>
    <row r="627" spans="1:23" hidden="1" x14ac:dyDescent="0.45">
      <c r="A627" s="1" t="s">
        <v>646</v>
      </c>
      <c r="E627" t="s">
        <v>8664</v>
      </c>
      <c r="F627" t="s">
        <v>10294</v>
      </c>
      <c r="G627">
        <v>3.55</v>
      </c>
      <c r="H627" t="s">
        <v>10310</v>
      </c>
      <c r="I627" t="s">
        <v>10325</v>
      </c>
      <c r="L627">
        <v>2013</v>
      </c>
      <c r="N627">
        <v>46.828442807399988</v>
      </c>
      <c r="P627">
        <v>9.6061499252600004</v>
      </c>
      <c r="R627" t="s">
        <v>11038</v>
      </c>
      <c r="S627" t="s">
        <v>10310</v>
      </c>
      <c r="V627" t="s">
        <v>11072</v>
      </c>
      <c r="W627" s="2" t="s">
        <v>11198</v>
      </c>
    </row>
    <row r="628" spans="1:23" hidden="1" x14ac:dyDescent="0.45">
      <c r="A628" s="1" t="s">
        <v>647</v>
      </c>
      <c r="E628" t="s">
        <v>8664</v>
      </c>
      <c r="F628" t="s">
        <v>10294</v>
      </c>
      <c r="G628">
        <v>7.2</v>
      </c>
      <c r="H628" t="s">
        <v>10310</v>
      </c>
      <c r="I628" t="s">
        <v>10325</v>
      </c>
      <c r="L628">
        <v>1990</v>
      </c>
      <c r="N628">
        <v>46.828442807399988</v>
      </c>
      <c r="P628">
        <v>9.6061499252600004</v>
      </c>
      <c r="R628" t="s">
        <v>11038</v>
      </c>
      <c r="S628" t="s">
        <v>10310</v>
      </c>
      <c r="V628" t="s">
        <v>11073</v>
      </c>
      <c r="W628" s="2" t="s">
        <v>11198</v>
      </c>
    </row>
    <row r="629" spans="1:23" hidden="1" x14ac:dyDescent="0.45">
      <c r="A629" s="1" t="s">
        <v>648</v>
      </c>
      <c r="E629" t="s">
        <v>8665</v>
      </c>
      <c r="F629" t="s">
        <v>10294</v>
      </c>
      <c r="G629">
        <v>9.4</v>
      </c>
      <c r="H629" t="s">
        <v>10310</v>
      </c>
      <c r="I629" t="s">
        <v>10325</v>
      </c>
      <c r="L629">
        <v>2011</v>
      </c>
      <c r="N629">
        <v>46.840430628100002</v>
      </c>
      <c r="P629">
        <v>9.5425054184300002</v>
      </c>
      <c r="R629" t="s">
        <v>11038</v>
      </c>
      <c r="S629" t="s">
        <v>10310</v>
      </c>
      <c r="V629" t="s">
        <v>11060</v>
      </c>
      <c r="W629" s="2" t="s">
        <v>11198</v>
      </c>
    </row>
    <row r="630" spans="1:23" hidden="1" x14ac:dyDescent="0.45">
      <c r="A630" s="1" t="s">
        <v>649</v>
      </c>
      <c r="E630" t="s">
        <v>8665</v>
      </c>
      <c r="F630" t="s">
        <v>10294</v>
      </c>
      <c r="G630">
        <v>0.71</v>
      </c>
      <c r="H630" t="s">
        <v>10310</v>
      </c>
      <c r="I630" t="s">
        <v>10325</v>
      </c>
      <c r="L630">
        <v>2012</v>
      </c>
      <c r="N630">
        <v>46.840430628100002</v>
      </c>
      <c r="P630">
        <v>9.5425054184300002</v>
      </c>
      <c r="R630" t="s">
        <v>11038</v>
      </c>
      <c r="S630" t="s">
        <v>10310</v>
      </c>
      <c r="V630" t="s">
        <v>11074</v>
      </c>
      <c r="W630" s="2" t="s">
        <v>11198</v>
      </c>
    </row>
    <row r="631" spans="1:23" hidden="1" x14ac:dyDescent="0.45">
      <c r="A631" s="1" t="s">
        <v>650</v>
      </c>
      <c r="E631" t="s">
        <v>650</v>
      </c>
      <c r="F631" t="s">
        <v>10294</v>
      </c>
      <c r="G631">
        <v>16.5</v>
      </c>
      <c r="H631" t="s">
        <v>10310</v>
      </c>
      <c r="I631" t="s">
        <v>10326</v>
      </c>
      <c r="L631">
        <v>1982</v>
      </c>
      <c r="N631">
        <v>46.861014511999997</v>
      </c>
      <c r="P631">
        <v>9.8955740464899993</v>
      </c>
      <c r="R631" t="s">
        <v>11038</v>
      </c>
      <c r="S631" t="s">
        <v>10310</v>
      </c>
      <c r="W631" s="2" t="s">
        <v>11198</v>
      </c>
    </row>
    <row r="632" spans="1:23" hidden="1" x14ac:dyDescent="0.45">
      <c r="A632" s="1" t="s">
        <v>651</v>
      </c>
      <c r="E632" t="s">
        <v>8666</v>
      </c>
      <c r="F632" t="s">
        <v>10294</v>
      </c>
      <c r="G632">
        <v>6.1</v>
      </c>
      <c r="H632" t="s">
        <v>10310</v>
      </c>
      <c r="I632" t="s">
        <v>10325</v>
      </c>
      <c r="L632">
        <v>2000</v>
      </c>
      <c r="N632">
        <v>46.885048005200012</v>
      </c>
      <c r="P632">
        <v>9.8785579011299998</v>
      </c>
      <c r="R632" t="s">
        <v>11038</v>
      </c>
      <c r="S632" t="s">
        <v>10310</v>
      </c>
      <c r="W632" s="2" t="s">
        <v>11198</v>
      </c>
    </row>
    <row r="633" spans="1:23" hidden="1" x14ac:dyDescent="0.45">
      <c r="A633" s="1" t="s">
        <v>652</v>
      </c>
      <c r="E633" t="s">
        <v>652</v>
      </c>
      <c r="F633" t="s">
        <v>10294</v>
      </c>
      <c r="G633">
        <v>45.6</v>
      </c>
      <c r="H633" t="s">
        <v>10310</v>
      </c>
      <c r="I633" t="s">
        <v>10325</v>
      </c>
      <c r="L633">
        <v>2006</v>
      </c>
      <c r="N633">
        <v>46.913974185000001</v>
      </c>
      <c r="P633">
        <v>9.7820292490899998</v>
      </c>
      <c r="R633" t="s">
        <v>11038</v>
      </c>
      <c r="S633" t="s">
        <v>10310</v>
      </c>
      <c r="W633" s="2" t="s">
        <v>11198</v>
      </c>
    </row>
    <row r="634" spans="1:23" hidden="1" x14ac:dyDescent="0.45">
      <c r="A634" s="1" t="s">
        <v>653</v>
      </c>
      <c r="E634" t="s">
        <v>8667</v>
      </c>
      <c r="F634" t="s">
        <v>10294</v>
      </c>
      <c r="G634">
        <v>11.33</v>
      </c>
      <c r="H634" t="s">
        <v>10310</v>
      </c>
      <c r="I634" t="s">
        <v>10325</v>
      </c>
      <c r="L634">
        <v>2011</v>
      </c>
      <c r="N634">
        <v>46.982841231400002</v>
      </c>
      <c r="P634">
        <v>9.6448633033100002</v>
      </c>
      <c r="R634" t="s">
        <v>11038</v>
      </c>
      <c r="S634" t="s">
        <v>10310</v>
      </c>
      <c r="W634" s="2" t="s">
        <v>11198</v>
      </c>
    </row>
    <row r="635" spans="1:23" hidden="1" x14ac:dyDescent="0.45">
      <c r="A635" s="1" t="s">
        <v>654</v>
      </c>
      <c r="E635" t="s">
        <v>8668</v>
      </c>
      <c r="F635" t="s">
        <v>10294</v>
      </c>
      <c r="G635">
        <v>0.5</v>
      </c>
      <c r="H635" t="s">
        <v>10310</v>
      </c>
      <c r="I635" t="s">
        <v>10325</v>
      </c>
      <c r="L635">
        <v>1978</v>
      </c>
      <c r="N635">
        <v>46.959327810200001</v>
      </c>
      <c r="P635">
        <v>9.5798898578399996</v>
      </c>
      <c r="R635" t="s">
        <v>11038</v>
      </c>
      <c r="S635" t="s">
        <v>10310</v>
      </c>
      <c r="W635" s="2" t="s">
        <v>11198</v>
      </c>
    </row>
    <row r="636" spans="1:23" hidden="1" x14ac:dyDescent="0.45">
      <c r="A636" s="1" t="s">
        <v>655</v>
      </c>
      <c r="E636" t="s">
        <v>8668</v>
      </c>
      <c r="F636" t="s">
        <v>10294</v>
      </c>
      <c r="G636">
        <v>0.71</v>
      </c>
      <c r="H636" t="s">
        <v>10310</v>
      </c>
      <c r="I636" t="s">
        <v>10325</v>
      </c>
      <c r="L636">
        <v>1988</v>
      </c>
      <c r="N636">
        <v>46.954801994799993</v>
      </c>
      <c r="P636">
        <v>9.5668303330999986</v>
      </c>
      <c r="R636" t="s">
        <v>11038</v>
      </c>
      <c r="S636" t="s">
        <v>10310</v>
      </c>
      <c r="W636" s="2" t="s">
        <v>11198</v>
      </c>
    </row>
    <row r="637" spans="1:23" hidden="1" x14ac:dyDescent="0.45">
      <c r="A637" s="1" t="s">
        <v>656</v>
      </c>
      <c r="E637" t="s">
        <v>8669</v>
      </c>
      <c r="F637" t="s">
        <v>10294</v>
      </c>
      <c r="G637">
        <v>279.89999999999998</v>
      </c>
      <c r="H637" t="s">
        <v>10310</v>
      </c>
      <c r="I637" t="s">
        <v>10324</v>
      </c>
      <c r="L637">
        <v>1977</v>
      </c>
      <c r="N637">
        <v>46.9484407976</v>
      </c>
      <c r="P637">
        <v>9.4812988795000006</v>
      </c>
      <c r="Q637" t="s">
        <v>10560</v>
      </c>
      <c r="R637" t="s">
        <v>11038</v>
      </c>
      <c r="S637" t="s">
        <v>10310</v>
      </c>
      <c r="V637" t="s">
        <v>11075</v>
      </c>
      <c r="W637" s="2" t="s">
        <v>11198</v>
      </c>
    </row>
    <row r="638" spans="1:23" hidden="1" x14ac:dyDescent="0.45">
      <c r="A638" s="1" t="s">
        <v>657</v>
      </c>
      <c r="E638" t="s">
        <v>8670</v>
      </c>
      <c r="F638" t="s">
        <v>10294</v>
      </c>
      <c r="G638">
        <v>90</v>
      </c>
      <c r="H638" t="s">
        <v>10310</v>
      </c>
      <c r="I638" t="s">
        <v>10326</v>
      </c>
      <c r="L638">
        <v>1978</v>
      </c>
      <c r="N638">
        <v>46.9770980292</v>
      </c>
      <c r="P638">
        <v>9.5386588548799995</v>
      </c>
      <c r="Q638" t="s">
        <v>10560</v>
      </c>
      <c r="R638" t="s">
        <v>11038</v>
      </c>
      <c r="S638" t="s">
        <v>10310</v>
      </c>
      <c r="V638" t="s">
        <v>11060</v>
      </c>
      <c r="W638" s="2" t="s">
        <v>11198</v>
      </c>
    </row>
    <row r="639" spans="1:23" hidden="1" x14ac:dyDescent="0.45">
      <c r="A639" s="1" t="s">
        <v>658</v>
      </c>
      <c r="E639" t="s">
        <v>658</v>
      </c>
      <c r="F639" t="s">
        <v>10294</v>
      </c>
      <c r="G639">
        <v>0.7</v>
      </c>
      <c r="H639" t="s">
        <v>10310</v>
      </c>
      <c r="I639" t="s">
        <v>10325</v>
      </c>
      <c r="L639">
        <v>1956</v>
      </c>
      <c r="N639">
        <v>47.000094829600002</v>
      </c>
      <c r="P639">
        <v>9.5011528882500009</v>
      </c>
      <c r="R639" t="s">
        <v>11038</v>
      </c>
      <c r="S639" t="s">
        <v>10310</v>
      </c>
      <c r="V639" t="s">
        <v>11076</v>
      </c>
      <c r="W639" s="2" t="s">
        <v>11198</v>
      </c>
    </row>
    <row r="640" spans="1:23" hidden="1" x14ac:dyDescent="0.45">
      <c r="A640" s="1" t="s">
        <v>659</v>
      </c>
      <c r="E640" t="s">
        <v>659</v>
      </c>
      <c r="F640" t="s">
        <v>10294</v>
      </c>
      <c r="G640">
        <v>0.46</v>
      </c>
      <c r="H640" t="s">
        <v>10310</v>
      </c>
      <c r="I640" t="s">
        <v>10325</v>
      </c>
      <c r="L640">
        <v>1997</v>
      </c>
      <c r="N640">
        <v>46.993178028199999</v>
      </c>
      <c r="P640">
        <v>9.5548065219500007</v>
      </c>
      <c r="R640" t="s">
        <v>11038</v>
      </c>
      <c r="S640" t="s">
        <v>10310</v>
      </c>
      <c r="W640" s="2" t="s">
        <v>11198</v>
      </c>
    </row>
    <row r="641" spans="1:23" hidden="1" x14ac:dyDescent="0.45">
      <c r="A641" s="1" t="s">
        <v>660</v>
      </c>
      <c r="E641" t="s">
        <v>8671</v>
      </c>
      <c r="F641" t="s">
        <v>10294</v>
      </c>
      <c r="G641">
        <v>1.2</v>
      </c>
      <c r="H641" t="s">
        <v>10310</v>
      </c>
      <c r="I641" t="s">
        <v>10325</v>
      </c>
      <c r="L641">
        <v>2004</v>
      </c>
      <c r="N641">
        <v>47.023262230699999</v>
      </c>
      <c r="P641">
        <v>9.4480950533500003</v>
      </c>
      <c r="R641" t="s">
        <v>11038</v>
      </c>
      <c r="S641" t="s">
        <v>10310</v>
      </c>
      <c r="W641" s="2" t="s">
        <v>11198</v>
      </c>
    </row>
    <row r="642" spans="1:23" hidden="1" x14ac:dyDescent="0.45">
      <c r="A642" s="1" t="s">
        <v>661</v>
      </c>
      <c r="E642" t="s">
        <v>8672</v>
      </c>
      <c r="F642" t="s">
        <v>10294</v>
      </c>
      <c r="G642">
        <v>0.7</v>
      </c>
      <c r="H642" t="s">
        <v>10310</v>
      </c>
      <c r="I642" t="s">
        <v>10325</v>
      </c>
      <c r="L642">
        <v>1993</v>
      </c>
      <c r="N642">
        <v>47.025805106699998</v>
      </c>
      <c r="P642">
        <v>9.4416109656100016</v>
      </c>
      <c r="R642" t="s">
        <v>11038</v>
      </c>
      <c r="S642" t="s">
        <v>10310</v>
      </c>
      <c r="V642" t="s">
        <v>11060</v>
      </c>
      <c r="W642" s="2" t="s">
        <v>11198</v>
      </c>
    </row>
    <row r="643" spans="1:23" hidden="1" x14ac:dyDescent="0.45">
      <c r="A643" s="1" t="s">
        <v>662</v>
      </c>
      <c r="E643" t="s">
        <v>662</v>
      </c>
      <c r="F643" t="s">
        <v>10294</v>
      </c>
      <c r="G643">
        <v>1.1399999999999999</v>
      </c>
      <c r="H643" t="s">
        <v>10310</v>
      </c>
      <c r="I643" t="s">
        <v>10325</v>
      </c>
      <c r="L643">
        <v>1989</v>
      </c>
      <c r="N643">
        <v>47.120903618299998</v>
      </c>
      <c r="P643">
        <v>9.4830018806100007</v>
      </c>
      <c r="R643" t="s">
        <v>11038</v>
      </c>
      <c r="S643" t="s">
        <v>10310</v>
      </c>
      <c r="W643" s="2" t="s">
        <v>11198</v>
      </c>
    </row>
    <row r="644" spans="1:23" hidden="1" x14ac:dyDescent="0.45">
      <c r="A644" s="1" t="s">
        <v>663</v>
      </c>
      <c r="E644" t="s">
        <v>8673</v>
      </c>
      <c r="F644" t="s">
        <v>10294</v>
      </c>
      <c r="G644">
        <v>0.98</v>
      </c>
      <c r="H644" t="s">
        <v>10310</v>
      </c>
      <c r="I644" t="s">
        <v>10325</v>
      </c>
      <c r="L644">
        <v>1987</v>
      </c>
      <c r="N644">
        <v>47.149002234900003</v>
      </c>
      <c r="P644">
        <v>9.4458270510200002</v>
      </c>
      <c r="R644" t="s">
        <v>11038</v>
      </c>
      <c r="S644" t="s">
        <v>10310</v>
      </c>
      <c r="V644" t="s">
        <v>11060</v>
      </c>
      <c r="W644" s="2" t="s">
        <v>11198</v>
      </c>
    </row>
    <row r="645" spans="1:23" hidden="1" x14ac:dyDescent="0.45">
      <c r="A645" s="1" t="s">
        <v>664</v>
      </c>
      <c r="E645" t="s">
        <v>8674</v>
      </c>
      <c r="F645" t="s">
        <v>10294</v>
      </c>
      <c r="G645">
        <v>0.69</v>
      </c>
      <c r="H645" t="s">
        <v>10310</v>
      </c>
      <c r="I645" t="s">
        <v>10325</v>
      </c>
      <c r="L645">
        <v>2013</v>
      </c>
      <c r="N645">
        <v>47.156231690200002</v>
      </c>
      <c r="P645">
        <v>9.46456548914</v>
      </c>
      <c r="R645" t="s">
        <v>11038</v>
      </c>
      <c r="S645" t="s">
        <v>10310</v>
      </c>
      <c r="V645" t="s">
        <v>11060</v>
      </c>
      <c r="W645" s="2" t="s">
        <v>11198</v>
      </c>
    </row>
    <row r="646" spans="1:23" hidden="1" x14ac:dyDescent="0.45">
      <c r="A646" s="1" t="s">
        <v>665</v>
      </c>
      <c r="E646" t="s">
        <v>8675</v>
      </c>
      <c r="F646" t="s">
        <v>10294</v>
      </c>
      <c r="G646">
        <v>3.56</v>
      </c>
      <c r="H646" t="s">
        <v>10310</v>
      </c>
      <c r="I646" t="s">
        <v>10325</v>
      </c>
      <c r="L646">
        <v>1987</v>
      </c>
      <c r="N646">
        <v>47.156996791600001</v>
      </c>
      <c r="P646">
        <v>9.4671007705299992</v>
      </c>
      <c r="R646" t="s">
        <v>11038</v>
      </c>
      <c r="S646" t="s">
        <v>10310</v>
      </c>
      <c r="W646" s="2" t="s">
        <v>11198</v>
      </c>
    </row>
    <row r="647" spans="1:23" hidden="1" x14ac:dyDescent="0.45">
      <c r="A647" s="1" t="s">
        <v>666</v>
      </c>
      <c r="E647" t="s">
        <v>8676</v>
      </c>
      <c r="F647" t="s">
        <v>10294</v>
      </c>
      <c r="G647">
        <v>0.44</v>
      </c>
      <c r="H647" t="s">
        <v>10310</v>
      </c>
      <c r="I647" t="s">
        <v>10325</v>
      </c>
      <c r="L647">
        <v>1994</v>
      </c>
      <c r="N647">
        <v>47.172627669999997</v>
      </c>
      <c r="P647">
        <v>9.4168934678500005</v>
      </c>
      <c r="R647" t="s">
        <v>11038</v>
      </c>
      <c r="S647" t="s">
        <v>10310</v>
      </c>
      <c r="W647" s="2" t="s">
        <v>11198</v>
      </c>
    </row>
    <row r="648" spans="1:23" hidden="1" x14ac:dyDescent="0.45">
      <c r="A648" s="1" t="s">
        <v>667</v>
      </c>
      <c r="E648" t="s">
        <v>8677</v>
      </c>
      <c r="F648" t="s">
        <v>10294</v>
      </c>
      <c r="G648">
        <v>1.43</v>
      </c>
      <c r="H648" t="s">
        <v>10310</v>
      </c>
      <c r="I648" t="s">
        <v>10325</v>
      </c>
      <c r="L648">
        <v>1996</v>
      </c>
      <c r="N648">
        <v>47.175727094400003</v>
      </c>
      <c r="P648">
        <v>9.430203648860001</v>
      </c>
      <c r="R648" t="s">
        <v>11038</v>
      </c>
      <c r="S648" t="s">
        <v>10310</v>
      </c>
      <c r="W648" s="2" t="s">
        <v>11198</v>
      </c>
    </row>
    <row r="649" spans="1:23" hidden="1" x14ac:dyDescent="0.45">
      <c r="A649" s="1" t="s">
        <v>668</v>
      </c>
      <c r="E649" t="s">
        <v>668</v>
      </c>
      <c r="F649" t="s">
        <v>10294</v>
      </c>
      <c r="G649">
        <v>1.22</v>
      </c>
      <c r="H649" t="s">
        <v>10310</v>
      </c>
      <c r="I649" t="s">
        <v>10325</v>
      </c>
      <c r="L649">
        <v>1990</v>
      </c>
      <c r="N649">
        <v>47.261576155699998</v>
      </c>
      <c r="P649">
        <v>9.4960540918899987</v>
      </c>
      <c r="R649" t="s">
        <v>11038</v>
      </c>
      <c r="S649" t="s">
        <v>10310</v>
      </c>
      <c r="W649" s="2" t="s">
        <v>11198</v>
      </c>
    </row>
    <row r="650" spans="1:23" hidden="1" x14ac:dyDescent="0.45">
      <c r="A650" s="1" t="s">
        <v>669</v>
      </c>
      <c r="E650" t="s">
        <v>669</v>
      </c>
      <c r="F650" t="s">
        <v>10294</v>
      </c>
      <c r="G650">
        <v>0.38</v>
      </c>
      <c r="H650" t="s">
        <v>10310</v>
      </c>
      <c r="I650" t="s">
        <v>10325</v>
      </c>
      <c r="L650">
        <v>1989</v>
      </c>
      <c r="N650">
        <v>47.2751747537</v>
      </c>
      <c r="P650">
        <v>9.525398933</v>
      </c>
      <c r="R650" t="s">
        <v>11038</v>
      </c>
      <c r="S650" t="s">
        <v>10310</v>
      </c>
      <c r="W650" s="2" t="s">
        <v>11198</v>
      </c>
    </row>
    <row r="651" spans="1:23" hidden="1" x14ac:dyDescent="0.45">
      <c r="A651" s="1" t="s">
        <v>670</v>
      </c>
      <c r="E651" t="s">
        <v>8678</v>
      </c>
      <c r="F651" t="s">
        <v>10294</v>
      </c>
      <c r="G651">
        <v>0.38</v>
      </c>
      <c r="H651" t="s">
        <v>10310</v>
      </c>
      <c r="I651" t="s">
        <v>10325</v>
      </c>
      <c r="L651">
        <v>1989</v>
      </c>
      <c r="N651">
        <v>47.307700421000007</v>
      </c>
      <c r="P651">
        <v>9.567283487180001</v>
      </c>
      <c r="R651" t="s">
        <v>11038</v>
      </c>
      <c r="S651" t="s">
        <v>10310</v>
      </c>
      <c r="W651" s="2" t="s">
        <v>11198</v>
      </c>
    </row>
    <row r="652" spans="1:23" hidden="1" x14ac:dyDescent="0.45">
      <c r="A652" s="1" t="s">
        <v>671</v>
      </c>
      <c r="E652" t="s">
        <v>671</v>
      </c>
      <c r="F652" t="s">
        <v>10294</v>
      </c>
      <c r="G652">
        <v>0.38</v>
      </c>
      <c r="H652" t="s">
        <v>10310</v>
      </c>
      <c r="I652" t="s">
        <v>10325</v>
      </c>
      <c r="L652">
        <v>1989</v>
      </c>
      <c r="N652">
        <v>47.339240594400003</v>
      </c>
      <c r="P652">
        <v>9.5792645695399994</v>
      </c>
      <c r="R652" t="s">
        <v>11038</v>
      </c>
      <c r="S652" t="s">
        <v>10310</v>
      </c>
      <c r="W652" s="2" t="s">
        <v>11198</v>
      </c>
    </row>
    <row r="653" spans="1:23" hidden="1" x14ac:dyDescent="0.45">
      <c r="A653" s="1" t="s">
        <v>672</v>
      </c>
      <c r="E653" t="s">
        <v>8679</v>
      </c>
      <c r="F653" t="s">
        <v>10294</v>
      </c>
      <c r="G653">
        <v>0.72</v>
      </c>
      <c r="H653" t="s">
        <v>10310</v>
      </c>
      <c r="I653" t="s">
        <v>10325</v>
      </c>
      <c r="L653">
        <v>1982</v>
      </c>
      <c r="R653" t="s">
        <v>11038</v>
      </c>
      <c r="S653" t="s">
        <v>10310</v>
      </c>
      <c r="W653" s="2" t="s">
        <v>11198</v>
      </c>
    </row>
    <row r="654" spans="1:23" hidden="1" x14ac:dyDescent="0.45">
      <c r="A654" s="1" t="s">
        <v>673</v>
      </c>
      <c r="E654" t="s">
        <v>8680</v>
      </c>
      <c r="F654" t="s">
        <v>10294</v>
      </c>
      <c r="G654">
        <v>0.63</v>
      </c>
      <c r="H654" t="s">
        <v>10310</v>
      </c>
      <c r="I654" t="s">
        <v>10325</v>
      </c>
      <c r="L654">
        <v>2003</v>
      </c>
      <c r="N654">
        <v>47.4603255412</v>
      </c>
      <c r="P654">
        <v>9.4397981187899997</v>
      </c>
      <c r="R654" t="s">
        <v>11038</v>
      </c>
      <c r="S654" t="s">
        <v>10310</v>
      </c>
      <c r="W654" s="2" t="s">
        <v>11198</v>
      </c>
    </row>
    <row r="655" spans="1:23" hidden="1" x14ac:dyDescent="0.45">
      <c r="A655" s="1" t="s">
        <v>674</v>
      </c>
      <c r="E655" t="s">
        <v>8681</v>
      </c>
      <c r="F655" t="s">
        <v>10294</v>
      </c>
      <c r="G655">
        <v>1.2</v>
      </c>
      <c r="H655" t="s">
        <v>10310</v>
      </c>
      <c r="I655" t="s">
        <v>10325</v>
      </c>
      <c r="L655">
        <v>2014</v>
      </c>
      <c r="N655">
        <v>47.500566619700002</v>
      </c>
      <c r="P655">
        <v>9.42790432392</v>
      </c>
      <c r="R655" t="s">
        <v>11038</v>
      </c>
      <c r="S655" t="s">
        <v>10310</v>
      </c>
      <c r="V655" t="s">
        <v>11060</v>
      </c>
      <c r="W655" s="2" t="s">
        <v>11198</v>
      </c>
    </row>
    <row r="656" spans="1:23" hidden="1" x14ac:dyDescent="0.45">
      <c r="A656" s="1" t="s">
        <v>675</v>
      </c>
      <c r="E656" t="s">
        <v>675</v>
      </c>
      <c r="F656" t="s">
        <v>10294</v>
      </c>
      <c r="G656">
        <v>28.9</v>
      </c>
      <c r="H656" t="s">
        <v>10310</v>
      </c>
      <c r="I656" t="s">
        <v>10325</v>
      </c>
      <c r="L656">
        <v>1964</v>
      </c>
      <c r="N656">
        <v>47.693124389799998</v>
      </c>
      <c r="P656">
        <v>8.63042746026</v>
      </c>
      <c r="R656" t="s">
        <v>11038</v>
      </c>
      <c r="S656" t="s">
        <v>10310</v>
      </c>
      <c r="W656" s="2" t="s">
        <v>11198</v>
      </c>
    </row>
    <row r="657" spans="1:23" hidden="1" x14ac:dyDescent="0.45">
      <c r="A657" s="1" t="s">
        <v>676</v>
      </c>
      <c r="E657" t="s">
        <v>675</v>
      </c>
      <c r="F657" t="s">
        <v>10294</v>
      </c>
      <c r="G657">
        <v>5</v>
      </c>
      <c r="H657" t="s">
        <v>10310</v>
      </c>
      <c r="I657" t="s">
        <v>10327</v>
      </c>
      <c r="L657">
        <v>1993</v>
      </c>
      <c r="N657">
        <v>47.693484077900003</v>
      </c>
      <c r="P657">
        <v>8.6304355530600017</v>
      </c>
      <c r="R657" t="s">
        <v>11038</v>
      </c>
      <c r="S657" t="s">
        <v>10310</v>
      </c>
      <c r="V657" t="s">
        <v>11060</v>
      </c>
      <c r="W657" s="2" t="s">
        <v>11198</v>
      </c>
    </row>
    <row r="658" spans="1:23" hidden="1" x14ac:dyDescent="0.45">
      <c r="A658" s="1" t="s">
        <v>677</v>
      </c>
      <c r="E658" t="s">
        <v>677</v>
      </c>
      <c r="F658" t="s">
        <v>10294</v>
      </c>
      <c r="G658">
        <v>5.6</v>
      </c>
      <c r="H658" t="s">
        <v>10310</v>
      </c>
      <c r="I658" t="s">
        <v>10325</v>
      </c>
      <c r="L658">
        <v>2011</v>
      </c>
      <c r="N658">
        <v>47.679880658499997</v>
      </c>
      <c r="P658">
        <v>8.6149465666099996</v>
      </c>
      <c r="R658" t="s">
        <v>11038</v>
      </c>
      <c r="S658" t="s">
        <v>10310</v>
      </c>
      <c r="W658" s="2" t="s">
        <v>11198</v>
      </c>
    </row>
    <row r="659" spans="1:23" hidden="1" x14ac:dyDescent="0.45">
      <c r="A659" s="1" t="s">
        <v>678</v>
      </c>
      <c r="E659" t="s">
        <v>678</v>
      </c>
      <c r="F659" t="s">
        <v>10294</v>
      </c>
      <c r="G659">
        <v>36.799999999999997</v>
      </c>
      <c r="H659" t="s">
        <v>10310</v>
      </c>
      <c r="I659" t="s">
        <v>10325</v>
      </c>
      <c r="L659">
        <v>2005</v>
      </c>
      <c r="N659">
        <v>47.638910237099999</v>
      </c>
      <c r="P659">
        <v>8.6016611781100014</v>
      </c>
      <c r="R659" t="s">
        <v>11038</v>
      </c>
      <c r="S659" t="s">
        <v>10310</v>
      </c>
      <c r="W659" s="2" t="s">
        <v>11198</v>
      </c>
    </row>
    <row r="660" spans="1:23" hidden="1" x14ac:dyDescent="0.45">
      <c r="A660" s="1" t="s">
        <v>679</v>
      </c>
      <c r="E660" t="s">
        <v>8682</v>
      </c>
      <c r="F660" t="s">
        <v>10294</v>
      </c>
      <c r="G660">
        <v>1.9</v>
      </c>
      <c r="H660" t="s">
        <v>10310</v>
      </c>
      <c r="I660" t="s">
        <v>10325</v>
      </c>
      <c r="L660">
        <v>2001</v>
      </c>
      <c r="N660">
        <v>47.217845219799997</v>
      </c>
      <c r="P660">
        <v>9.2093925918600004</v>
      </c>
      <c r="R660" t="s">
        <v>11038</v>
      </c>
      <c r="S660" t="s">
        <v>10310</v>
      </c>
      <c r="W660" s="2" t="s">
        <v>11198</v>
      </c>
    </row>
    <row r="661" spans="1:23" hidden="1" x14ac:dyDescent="0.45">
      <c r="A661" s="1" t="s">
        <v>680</v>
      </c>
      <c r="E661" t="s">
        <v>8683</v>
      </c>
      <c r="F661" t="s">
        <v>10294</v>
      </c>
      <c r="G661">
        <v>1.25</v>
      </c>
      <c r="H661" t="s">
        <v>10310</v>
      </c>
      <c r="I661" t="s">
        <v>10325</v>
      </c>
      <c r="L661">
        <v>2010</v>
      </c>
      <c r="N661">
        <v>47.221637314100001</v>
      </c>
      <c r="P661">
        <v>9.1849551607700004</v>
      </c>
      <c r="R661" t="s">
        <v>11038</v>
      </c>
      <c r="S661" t="s">
        <v>10310</v>
      </c>
      <c r="W661" s="2" t="s">
        <v>11198</v>
      </c>
    </row>
    <row r="662" spans="1:23" hidden="1" x14ac:dyDescent="0.45">
      <c r="A662" s="1" t="s">
        <v>681</v>
      </c>
      <c r="E662" t="s">
        <v>8684</v>
      </c>
      <c r="F662" t="s">
        <v>10294</v>
      </c>
      <c r="G662">
        <v>0.84</v>
      </c>
      <c r="H662" t="s">
        <v>10310</v>
      </c>
      <c r="I662" t="s">
        <v>10325</v>
      </c>
      <c r="L662">
        <v>1991</v>
      </c>
      <c r="N662">
        <v>47.244775718699998</v>
      </c>
      <c r="P662">
        <v>9.1779167868399991</v>
      </c>
      <c r="R662" t="s">
        <v>11038</v>
      </c>
      <c r="S662" t="s">
        <v>10310</v>
      </c>
      <c r="W662" s="2" t="s">
        <v>11198</v>
      </c>
    </row>
    <row r="663" spans="1:23" hidden="1" x14ac:dyDescent="0.45">
      <c r="A663" s="1" t="s">
        <v>682</v>
      </c>
      <c r="E663" t="s">
        <v>8685</v>
      </c>
      <c r="F663" t="s">
        <v>10294</v>
      </c>
      <c r="G663">
        <v>1.8</v>
      </c>
      <c r="H663" t="s">
        <v>10310</v>
      </c>
      <c r="I663" t="s">
        <v>10325</v>
      </c>
      <c r="L663">
        <v>2007</v>
      </c>
      <c r="N663">
        <v>47.249488364300007</v>
      </c>
      <c r="P663">
        <v>9.1636683545699995</v>
      </c>
      <c r="R663" t="s">
        <v>11038</v>
      </c>
      <c r="S663" t="s">
        <v>10310</v>
      </c>
      <c r="W663" s="2" t="s">
        <v>11198</v>
      </c>
    </row>
    <row r="664" spans="1:23" hidden="1" x14ac:dyDescent="0.45">
      <c r="A664" s="1" t="s">
        <v>683</v>
      </c>
      <c r="E664" t="s">
        <v>8686</v>
      </c>
      <c r="F664" t="s">
        <v>10294</v>
      </c>
      <c r="G664">
        <v>0.86</v>
      </c>
      <c r="H664" t="s">
        <v>10310</v>
      </c>
      <c r="I664" t="s">
        <v>10325</v>
      </c>
      <c r="L664">
        <v>2004</v>
      </c>
      <c r="N664">
        <v>47.258540279100004</v>
      </c>
      <c r="P664">
        <v>9.1296020141500005</v>
      </c>
      <c r="R664" t="s">
        <v>11038</v>
      </c>
      <c r="S664" t="s">
        <v>10310</v>
      </c>
      <c r="W664" s="2" t="s">
        <v>11198</v>
      </c>
    </row>
    <row r="665" spans="1:23" hidden="1" x14ac:dyDescent="0.45">
      <c r="A665" s="1" t="s">
        <v>684</v>
      </c>
      <c r="E665" t="s">
        <v>8687</v>
      </c>
      <c r="F665" t="s">
        <v>10294</v>
      </c>
      <c r="G665">
        <v>0.56999999999999995</v>
      </c>
      <c r="H665" t="s">
        <v>10310</v>
      </c>
      <c r="I665" t="s">
        <v>10325</v>
      </c>
      <c r="L665">
        <v>2013</v>
      </c>
      <c r="N665">
        <v>47.323241690899998</v>
      </c>
      <c r="P665">
        <v>9.0849485919199999</v>
      </c>
      <c r="R665" t="s">
        <v>11038</v>
      </c>
      <c r="S665" t="s">
        <v>10310</v>
      </c>
      <c r="W665" s="2" t="s">
        <v>11198</v>
      </c>
    </row>
    <row r="666" spans="1:23" hidden="1" x14ac:dyDescent="0.45">
      <c r="A666" s="1" t="s">
        <v>685</v>
      </c>
      <c r="E666" t="s">
        <v>8688</v>
      </c>
      <c r="F666" t="s">
        <v>10294</v>
      </c>
      <c r="G666">
        <v>0.98</v>
      </c>
      <c r="H666" t="s">
        <v>10310</v>
      </c>
      <c r="I666" t="s">
        <v>10325</v>
      </c>
      <c r="L666">
        <v>2002</v>
      </c>
      <c r="N666">
        <v>47.3444435336</v>
      </c>
      <c r="P666">
        <v>9.0807059755699999</v>
      </c>
      <c r="R666" t="s">
        <v>11038</v>
      </c>
      <c r="S666" t="s">
        <v>10310</v>
      </c>
      <c r="W666" s="2" t="s">
        <v>11198</v>
      </c>
    </row>
    <row r="667" spans="1:23" hidden="1" x14ac:dyDescent="0.45">
      <c r="A667" s="1" t="s">
        <v>686</v>
      </c>
      <c r="E667" t="s">
        <v>8688</v>
      </c>
      <c r="F667" t="s">
        <v>10294</v>
      </c>
      <c r="G667">
        <v>0.98</v>
      </c>
      <c r="H667" t="s">
        <v>10310</v>
      </c>
      <c r="I667" t="s">
        <v>10325</v>
      </c>
      <c r="L667">
        <v>2001</v>
      </c>
      <c r="N667">
        <v>47.3564409783</v>
      </c>
      <c r="P667">
        <v>9.0784277878099999</v>
      </c>
      <c r="R667" t="s">
        <v>11038</v>
      </c>
      <c r="S667" t="s">
        <v>10310</v>
      </c>
      <c r="W667" s="2" t="s">
        <v>11198</v>
      </c>
    </row>
    <row r="668" spans="1:23" hidden="1" x14ac:dyDescent="0.45">
      <c r="A668" s="1" t="s">
        <v>687</v>
      </c>
      <c r="E668" t="s">
        <v>8689</v>
      </c>
      <c r="F668" t="s">
        <v>10294</v>
      </c>
      <c r="G668">
        <v>1.37</v>
      </c>
      <c r="H668" t="s">
        <v>10310</v>
      </c>
      <c r="I668" t="s">
        <v>10325</v>
      </c>
      <c r="L668">
        <v>2010</v>
      </c>
      <c r="N668">
        <v>47.410872338999987</v>
      </c>
      <c r="P668">
        <v>9.0781161705300004</v>
      </c>
      <c r="R668" t="s">
        <v>11038</v>
      </c>
      <c r="S668" t="s">
        <v>10310</v>
      </c>
      <c r="V668" t="s">
        <v>11077</v>
      </c>
      <c r="W668" s="2" t="s">
        <v>11198</v>
      </c>
    </row>
    <row r="669" spans="1:23" hidden="1" x14ac:dyDescent="0.45">
      <c r="A669" s="1" t="s">
        <v>688</v>
      </c>
      <c r="E669" t="s">
        <v>8690</v>
      </c>
      <c r="F669" t="s">
        <v>10294</v>
      </c>
      <c r="G669">
        <v>0.35</v>
      </c>
      <c r="H669" t="s">
        <v>10310</v>
      </c>
      <c r="I669" t="s">
        <v>10325</v>
      </c>
      <c r="L669">
        <v>1967</v>
      </c>
      <c r="N669">
        <v>47.431400119599999</v>
      </c>
      <c r="P669">
        <v>9.1755301387100001</v>
      </c>
      <c r="R669" t="s">
        <v>11038</v>
      </c>
      <c r="S669" t="s">
        <v>10310</v>
      </c>
      <c r="W669" s="2" t="s">
        <v>11198</v>
      </c>
    </row>
    <row r="670" spans="1:23" hidden="1" x14ac:dyDescent="0.45">
      <c r="A670" s="1" t="s">
        <v>689</v>
      </c>
      <c r="E670" t="s">
        <v>689</v>
      </c>
      <c r="F670" t="s">
        <v>10294</v>
      </c>
      <c r="G670">
        <v>1.02</v>
      </c>
      <c r="H670" t="s">
        <v>10310</v>
      </c>
      <c r="I670" t="s">
        <v>10325</v>
      </c>
      <c r="L670">
        <v>1935</v>
      </c>
      <c r="N670">
        <v>47.493027940899999</v>
      </c>
      <c r="P670">
        <v>9.2342211952899991</v>
      </c>
      <c r="R670" t="s">
        <v>11038</v>
      </c>
      <c r="S670" t="s">
        <v>10310</v>
      </c>
      <c r="W670" s="2" t="s">
        <v>11198</v>
      </c>
    </row>
    <row r="671" spans="1:23" hidden="1" x14ac:dyDescent="0.45">
      <c r="A671" s="1" t="s">
        <v>690</v>
      </c>
      <c r="E671" t="s">
        <v>8691</v>
      </c>
      <c r="F671" t="s">
        <v>10294</v>
      </c>
      <c r="G671">
        <v>2.5</v>
      </c>
      <c r="H671" t="s">
        <v>10310</v>
      </c>
      <c r="I671" t="s">
        <v>10326</v>
      </c>
      <c r="L671">
        <v>2005</v>
      </c>
      <c r="N671">
        <v>47.280704038900012</v>
      </c>
      <c r="P671">
        <v>9.4211636895200002</v>
      </c>
      <c r="R671" t="s">
        <v>11038</v>
      </c>
      <c r="S671" t="s">
        <v>10310</v>
      </c>
      <c r="W671" s="2" t="s">
        <v>11198</v>
      </c>
    </row>
    <row r="672" spans="1:23" hidden="1" x14ac:dyDescent="0.45">
      <c r="A672" s="1" t="s">
        <v>691</v>
      </c>
      <c r="E672" t="s">
        <v>8692</v>
      </c>
      <c r="F672" t="s">
        <v>10294</v>
      </c>
      <c r="G672">
        <v>0.38</v>
      </c>
      <c r="H672" t="s">
        <v>10310</v>
      </c>
      <c r="I672" t="s">
        <v>10325</v>
      </c>
      <c r="L672">
        <v>1991</v>
      </c>
      <c r="N672">
        <v>47.2868596876</v>
      </c>
      <c r="P672">
        <v>9.2777937979300003</v>
      </c>
      <c r="R672" t="s">
        <v>11038</v>
      </c>
      <c r="S672" t="s">
        <v>10310</v>
      </c>
      <c r="W672" s="2" t="s">
        <v>11198</v>
      </c>
    </row>
    <row r="673" spans="1:23" hidden="1" x14ac:dyDescent="0.45">
      <c r="A673" s="1" t="s">
        <v>692</v>
      </c>
      <c r="E673" t="s">
        <v>8692</v>
      </c>
      <c r="F673" t="s">
        <v>10294</v>
      </c>
      <c r="G673">
        <v>0.36</v>
      </c>
      <c r="H673" t="s">
        <v>10310</v>
      </c>
      <c r="I673" t="s">
        <v>10325</v>
      </c>
      <c r="L673">
        <v>1987</v>
      </c>
      <c r="N673">
        <v>47.331800222399998</v>
      </c>
      <c r="P673">
        <v>9.2917833962399996</v>
      </c>
      <c r="R673" t="s">
        <v>11038</v>
      </c>
      <c r="S673" t="s">
        <v>10310</v>
      </c>
      <c r="V673" t="s">
        <v>11060</v>
      </c>
      <c r="W673" s="2" t="s">
        <v>11198</v>
      </c>
    </row>
    <row r="674" spans="1:23" hidden="1" x14ac:dyDescent="0.45">
      <c r="A674" s="1" t="s">
        <v>693</v>
      </c>
      <c r="E674" t="s">
        <v>8693</v>
      </c>
      <c r="F674" t="s">
        <v>10294</v>
      </c>
      <c r="G674">
        <v>15</v>
      </c>
      <c r="H674" t="s">
        <v>10310</v>
      </c>
      <c r="I674" t="s">
        <v>10325</v>
      </c>
      <c r="L674">
        <v>1976</v>
      </c>
      <c r="N674">
        <v>47.4019094764</v>
      </c>
      <c r="P674">
        <v>9.3236406382699997</v>
      </c>
      <c r="R674" t="s">
        <v>11038</v>
      </c>
      <c r="S674" t="s">
        <v>10310</v>
      </c>
      <c r="W674" s="2" t="s">
        <v>11198</v>
      </c>
    </row>
    <row r="675" spans="1:23" hidden="1" x14ac:dyDescent="0.45">
      <c r="A675" s="1" t="s">
        <v>694</v>
      </c>
      <c r="E675" t="s">
        <v>8694</v>
      </c>
      <c r="F675" t="s">
        <v>10294</v>
      </c>
      <c r="G675">
        <v>0.46</v>
      </c>
      <c r="H675" t="s">
        <v>10310</v>
      </c>
      <c r="I675" t="s">
        <v>10325</v>
      </c>
      <c r="L675">
        <v>2007</v>
      </c>
      <c r="N675">
        <v>47.410010523999993</v>
      </c>
      <c r="P675">
        <v>9.32339732284</v>
      </c>
      <c r="R675" t="s">
        <v>11038</v>
      </c>
      <c r="S675" t="s">
        <v>10310</v>
      </c>
      <c r="W675" s="2" t="s">
        <v>11198</v>
      </c>
    </row>
    <row r="676" spans="1:23" hidden="1" x14ac:dyDescent="0.45">
      <c r="A676" s="1" t="s">
        <v>695</v>
      </c>
      <c r="E676" t="s">
        <v>8695</v>
      </c>
      <c r="F676" t="s">
        <v>10294</v>
      </c>
      <c r="G676">
        <v>0.31</v>
      </c>
      <c r="H676" t="s">
        <v>10310</v>
      </c>
      <c r="I676" t="s">
        <v>10325</v>
      </c>
      <c r="L676">
        <v>2018</v>
      </c>
      <c r="R676" t="s">
        <v>11038</v>
      </c>
      <c r="S676" t="s">
        <v>10310</v>
      </c>
      <c r="W676" s="2" t="s">
        <v>11198</v>
      </c>
    </row>
    <row r="677" spans="1:23" hidden="1" x14ac:dyDescent="0.45">
      <c r="A677" s="1" t="s">
        <v>696</v>
      </c>
      <c r="E677" t="s">
        <v>8693</v>
      </c>
      <c r="F677" t="s">
        <v>10294</v>
      </c>
      <c r="G677">
        <v>0.3</v>
      </c>
      <c r="H677" t="s">
        <v>10310</v>
      </c>
      <c r="I677" t="s">
        <v>10325</v>
      </c>
      <c r="L677">
        <v>2008</v>
      </c>
      <c r="N677">
        <v>47.419162864599997</v>
      </c>
      <c r="P677">
        <v>9.3413511858600007</v>
      </c>
      <c r="R677" t="s">
        <v>11038</v>
      </c>
      <c r="S677" t="s">
        <v>10310</v>
      </c>
      <c r="W677" s="2" t="s">
        <v>11198</v>
      </c>
    </row>
    <row r="678" spans="1:23" hidden="1" x14ac:dyDescent="0.45">
      <c r="A678" s="1" t="s">
        <v>697</v>
      </c>
      <c r="E678" t="s">
        <v>8696</v>
      </c>
      <c r="F678" t="s">
        <v>10294</v>
      </c>
      <c r="G678">
        <v>0.48</v>
      </c>
      <c r="H678" t="s">
        <v>10310</v>
      </c>
      <c r="I678" t="s">
        <v>10325</v>
      </c>
      <c r="L678">
        <v>2003</v>
      </c>
      <c r="N678">
        <v>47.457226415699999</v>
      </c>
      <c r="P678">
        <v>9.3680490014399993</v>
      </c>
      <c r="R678" t="s">
        <v>11038</v>
      </c>
      <c r="S678" t="s">
        <v>10310</v>
      </c>
      <c r="W678" s="2" t="s">
        <v>11198</v>
      </c>
    </row>
    <row r="679" spans="1:23" hidden="1" x14ac:dyDescent="0.45">
      <c r="A679" s="1" t="s">
        <v>698</v>
      </c>
      <c r="E679" t="s">
        <v>8697</v>
      </c>
      <c r="F679" t="s">
        <v>10294</v>
      </c>
      <c r="G679">
        <v>1.7</v>
      </c>
      <c r="H679" t="s">
        <v>10310</v>
      </c>
      <c r="I679" t="s">
        <v>10325</v>
      </c>
      <c r="L679">
        <v>2011</v>
      </c>
      <c r="N679">
        <v>47.519264704699999</v>
      </c>
      <c r="P679">
        <v>9.20708697249</v>
      </c>
      <c r="R679" t="s">
        <v>11038</v>
      </c>
      <c r="S679" t="s">
        <v>10310</v>
      </c>
      <c r="W679" s="2" t="s">
        <v>11198</v>
      </c>
    </row>
    <row r="680" spans="1:23" hidden="1" x14ac:dyDescent="0.45">
      <c r="A680" s="1" t="s">
        <v>699</v>
      </c>
      <c r="E680" t="s">
        <v>8698</v>
      </c>
      <c r="F680" t="s">
        <v>10294</v>
      </c>
      <c r="G680">
        <v>2.2999999999999998</v>
      </c>
      <c r="H680" t="s">
        <v>10310</v>
      </c>
      <c r="I680" t="s">
        <v>10325</v>
      </c>
      <c r="L680">
        <v>2002</v>
      </c>
      <c r="N680">
        <v>47.523980980600001</v>
      </c>
      <c r="P680">
        <v>9.1867910253300007</v>
      </c>
      <c r="R680" t="s">
        <v>11038</v>
      </c>
      <c r="S680" t="s">
        <v>10310</v>
      </c>
      <c r="W680" s="2" t="s">
        <v>11198</v>
      </c>
    </row>
    <row r="681" spans="1:23" hidden="1" x14ac:dyDescent="0.45">
      <c r="A681" s="1" t="s">
        <v>700</v>
      </c>
      <c r="E681" t="s">
        <v>8699</v>
      </c>
      <c r="F681" t="s">
        <v>10294</v>
      </c>
      <c r="G681">
        <v>0.44</v>
      </c>
      <c r="H681" t="s">
        <v>10310</v>
      </c>
      <c r="I681" t="s">
        <v>10325</v>
      </c>
      <c r="L681">
        <v>2008</v>
      </c>
      <c r="N681">
        <v>47.547257475000002</v>
      </c>
      <c r="P681">
        <v>9.1522142484100009</v>
      </c>
      <c r="R681" t="s">
        <v>11038</v>
      </c>
      <c r="S681" t="s">
        <v>10310</v>
      </c>
      <c r="W681" s="2" t="s">
        <v>11198</v>
      </c>
    </row>
    <row r="682" spans="1:23" hidden="1" x14ac:dyDescent="0.45">
      <c r="A682" s="1" t="s">
        <v>701</v>
      </c>
      <c r="E682" t="s">
        <v>8699</v>
      </c>
      <c r="F682" t="s">
        <v>10294</v>
      </c>
      <c r="G682">
        <v>0.99</v>
      </c>
      <c r="H682" t="s">
        <v>10310</v>
      </c>
      <c r="I682" t="s">
        <v>10325</v>
      </c>
      <c r="L682">
        <v>2016</v>
      </c>
      <c r="R682" t="s">
        <v>11038</v>
      </c>
      <c r="S682" t="s">
        <v>10310</v>
      </c>
      <c r="W682" s="2" t="s">
        <v>11198</v>
      </c>
    </row>
    <row r="683" spans="1:23" hidden="1" x14ac:dyDescent="0.45">
      <c r="A683" s="1" t="s">
        <v>702</v>
      </c>
      <c r="E683" t="s">
        <v>8699</v>
      </c>
      <c r="F683" t="s">
        <v>10294</v>
      </c>
      <c r="G683">
        <v>0.7</v>
      </c>
      <c r="H683" t="s">
        <v>10310</v>
      </c>
      <c r="I683" t="s">
        <v>10325</v>
      </c>
      <c r="L683">
        <v>1976</v>
      </c>
      <c r="N683">
        <v>47.550275829399993</v>
      </c>
      <c r="P683">
        <v>9.1427446334999996</v>
      </c>
      <c r="R683" t="s">
        <v>11038</v>
      </c>
      <c r="S683" t="s">
        <v>10310</v>
      </c>
      <c r="V683" t="s">
        <v>11078</v>
      </c>
      <c r="W683" s="2" t="s">
        <v>11198</v>
      </c>
    </row>
    <row r="684" spans="1:23" hidden="1" x14ac:dyDescent="0.45">
      <c r="A684" s="1" t="s">
        <v>703</v>
      </c>
      <c r="E684" t="s">
        <v>8700</v>
      </c>
      <c r="F684" t="s">
        <v>10294</v>
      </c>
      <c r="G684">
        <v>0.4</v>
      </c>
      <c r="H684" t="s">
        <v>10310</v>
      </c>
      <c r="I684" t="s">
        <v>10325</v>
      </c>
      <c r="L684">
        <v>1948</v>
      </c>
      <c r="N684">
        <v>47.560851060099999</v>
      </c>
      <c r="P684">
        <v>9.1021506291000005</v>
      </c>
      <c r="R684" t="s">
        <v>11038</v>
      </c>
      <c r="S684" t="s">
        <v>10310</v>
      </c>
      <c r="W684" s="2" t="s">
        <v>11198</v>
      </c>
    </row>
    <row r="685" spans="1:23" hidden="1" x14ac:dyDescent="0.45">
      <c r="A685" s="1" t="s">
        <v>704</v>
      </c>
      <c r="E685" t="s">
        <v>8700</v>
      </c>
      <c r="F685" t="s">
        <v>10294</v>
      </c>
      <c r="G685">
        <v>0.4</v>
      </c>
      <c r="H685" t="s">
        <v>10310</v>
      </c>
      <c r="I685" t="s">
        <v>10325</v>
      </c>
      <c r="L685">
        <v>1948</v>
      </c>
      <c r="N685">
        <v>47.560718853599987</v>
      </c>
      <c r="P685">
        <v>9.0988239950200001</v>
      </c>
      <c r="R685" t="s">
        <v>11038</v>
      </c>
      <c r="S685" t="s">
        <v>10310</v>
      </c>
      <c r="W685" s="2" t="s">
        <v>11198</v>
      </c>
    </row>
    <row r="686" spans="1:23" hidden="1" x14ac:dyDescent="0.45">
      <c r="A686" s="1" t="s">
        <v>705</v>
      </c>
      <c r="E686" t="s">
        <v>8701</v>
      </c>
      <c r="F686" t="s">
        <v>10294</v>
      </c>
      <c r="G686">
        <v>0.83</v>
      </c>
      <c r="H686" t="s">
        <v>10310</v>
      </c>
      <c r="I686" t="s">
        <v>10325</v>
      </c>
      <c r="L686">
        <v>1989</v>
      </c>
      <c r="N686">
        <v>47.5647136507</v>
      </c>
      <c r="P686">
        <v>9.0772847158199994</v>
      </c>
      <c r="R686" t="s">
        <v>11038</v>
      </c>
      <c r="S686" t="s">
        <v>10310</v>
      </c>
      <c r="W686" s="2" t="s">
        <v>11198</v>
      </c>
    </row>
    <row r="687" spans="1:23" hidden="1" x14ac:dyDescent="0.45">
      <c r="A687" s="1" t="s">
        <v>706</v>
      </c>
      <c r="E687" t="s">
        <v>8702</v>
      </c>
      <c r="F687" t="s">
        <v>10294</v>
      </c>
      <c r="G687">
        <v>0.34</v>
      </c>
      <c r="H687" t="s">
        <v>10310</v>
      </c>
      <c r="I687" t="s">
        <v>10325</v>
      </c>
      <c r="L687">
        <v>2008</v>
      </c>
      <c r="N687">
        <v>47.537487746499998</v>
      </c>
      <c r="P687">
        <v>8.9143825191200001</v>
      </c>
      <c r="R687" t="s">
        <v>11038</v>
      </c>
      <c r="S687" t="s">
        <v>10310</v>
      </c>
      <c r="W687" s="2" t="s">
        <v>11198</v>
      </c>
    </row>
    <row r="688" spans="1:23" hidden="1" x14ac:dyDescent="0.45">
      <c r="A688" s="1" t="s">
        <v>707</v>
      </c>
      <c r="E688" t="s">
        <v>8703</v>
      </c>
      <c r="F688" t="s">
        <v>10294</v>
      </c>
      <c r="G688">
        <v>0.31</v>
      </c>
      <c r="H688" t="s">
        <v>10310</v>
      </c>
      <c r="I688" t="s">
        <v>10325</v>
      </c>
      <c r="L688">
        <v>2012</v>
      </c>
      <c r="N688">
        <v>47.553887291599999</v>
      </c>
      <c r="P688">
        <v>8.8979629942699994</v>
      </c>
      <c r="R688" t="s">
        <v>11038</v>
      </c>
      <c r="S688" t="s">
        <v>10310</v>
      </c>
      <c r="V688" t="s">
        <v>11060</v>
      </c>
      <c r="W688" s="2" t="s">
        <v>11198</v>
      </c>
    </row>
    <row r="689" spans="1:23" hidden="1" x14ac:dyDescent="0.45">
      <c r="A689" s="1" t="s">
        <v>708</v>
      </c>
      <c r="E689" t="s">
        <v>8704</v>
      </c>
      <c r="F689" t="s">
        <v>10294</v>
      </c>
      <c r="G689">
        <v>0.37</v>
      </c>
      <c r="H689" t="s">
        <v>10310</v>
      </c>
      <c r="I689" t="s">
        <v>10325</v>
      </c>
      <c r="L689">
        <v>2010</v>
      </c>
      <c r="N689">
        <v>47.459283301800014</v>
      </c>
      <c r="P689">
        <v>8.7688318553099993</v>
      </c>
      <c r="R689" t="s">
        <v>11038</v>
      </c>
      <c r="S689" t="s">
        <v>10310</v>
      </c>
      <c r="W689" s="2" t="s">
        <v>11198</v>
      </c>
    </row>
    <row r="690" spans="1:23" hidden="1" x14ac:dyDescent="0.45">
      <c r="A690" s="1" t="s">
        <v>709</v>
      </c>
      <c r="E690" t="s">
        <v>8705</v>
      </c>
      <c r="F690" t="s">
        <v>10294</v>
      </c>
      <c r="G690">
        <v>0.47</v>
      </c>
      <c r="H690" t="s">
        <v>10310</v>
      </c>
      <c r="I690" t="s">
        <v>10325</v>
      </c>
      <c r="L690">
        <v>2014</v>
      </c>
      <c r="N690">
        <v>47.466175037600003</v>
      </c>
      <c r="P690">
        <v>8.7561368785900004</v>
      </c>
      <c r="R690" t="s">
        <v>11038</v>
      </c>
      <c r="S690" t="s">
        <v>10310</v>
      </c>
      <c r="W690" s="2" t="s">
        <v>11198</v>
      </c>
    </row>
    <row r="691" spans="1:23" hidden="1" x14ac:dyDescent="0.45">
      <c r="A691" s="1" t="s">
        <v>710</v>
      </c>
      <c r="E691" t="s">
        <v>8706</v>
      </c>
      <c r="F691" t="s">
        <v>10294</v>
      </c>
      <c r="G691">
        <v>0.35</v>
      </c>
      <c r="H691" t="s">
        <v>10310</v>
      </c>
      <c r="I691" t="s">
        <v>10325</v>
      </c>
      <c r="L691">
        <v>1994</v>
      </c>
      <c r="N691">
        <v>47.521489401499998</v>
      </c>
      <c r="P691">
        <v>8.6409194859399996</v>
      </c>
      <c r="R691" t="s">
        <v>11038</v>
      </c>
      <c r="S691" t="s">
        <v>10310</v>
      </c>
      <c r="W691" s="2" t="s">
        <v>11198</v>
      </c>
    </row>
    <row r="692" spans="1:23" hidden="1" x14ac:dyDescent="0.45">
      <c r="A692" s="1" t="s">
        <v>711</v>
      </c>
      <c r="E692" t="s">
        <v>8707</v>
      </c>
      <c r="F692" t="s">
        <v>10294</v>
      </c>
      <c r="G692">
        <v>0.57999999999999996</v>
      </c>
      <c r="H692" t="s">
        <v>10310</v>
      </c>
      <c r="I692" t="s">
        <v>10325</v>
      </c>
      <c r="L692">
        <v>2015</v>
      </c>
      <c r="N692">
        <v>47.517905587700007</v>
      </c>
      <c r="P692">
        <v>8.6737675842099993</v>
      </c>
      <c r="R692" t="s">
        <v>11038</v>
      </c>
      <c r="S692" t="s">
        <v>10310</v>
      </c>
      <c r="W692" s="2" t="s">
        <v>11198</v>
      </c>
    </row>
    <row r="693" spans="1:23" hidden="1" x14ac:dyDescent="0.45">
      <c r="A693" s="1" t="s">
        <v>712</v>
      </c>
      <c r="E693" t="s">
        <v>712</v>
      </c>
      <c r="F693" t="s">
        <v>10294</v>
      </c>
      <c r="G693">
        <v>0.6</v>
      </c>
      <c r="H693" t="s">
        <v>10310</v>
      </c>
      <c r="I693" t="s">
        <v>10325</v>
      </c>
      <c r="L693">
        <v>2004</v>
      </c>
      <c r="N693">
        <v>47.528692360999997</v>
      </c>
      <c r="P693">
        <v>8.5870309171300008</v>
      </c>
      <c r="R693" t="s">
        <v>11038</v>
      </c>
      <c r="S693" t="s">
        <v>10310</v>
      </c>
      <c r="V693" t="s">
        <v>11079</v>
      </c>
      <c r="W693" s="2" t="s">
        <v>11198</v>
      </c>
    </row>
    <row r="694" spans="1:23" hidden="1" x14ac:dyDescent="0.45">
      <c r="A694" s="1" t="s">
        <v>713</v>
      </c>
      <c r="E694" t="s">
        <v>8708</v>
      </c>
      <c r="F694" t="s">
        <v>10294</v>
      </c>
      <c r="G694">
        <v>0.42</v>
      </c>
      <c r="H694" t="s">
        <v>10310</v>
      </c>
      <c r="I694" t="s">
        <v>10325</v>
      </c>
      <c r="L694">
        <v>2000</v>
      </c>
      <c r="N694">
        <v>47.345640256199999</v>
      </c>
      <c r="P694">
        <v>8.7399234084900002</v>
      </c>
      <c r="R694" t="s">
        <v>11038</v>
      </c>
      <c r="S694" t="s">
        <v>10310</v>
      </c>
      <c r="W694" s="2" t="s">
        <v>11198</v>
      </c>
    </row>
    <row r="695" spans="1:23" hidden="1" x14ac:dyDescent="0.45">
      <c r="A695" s="1" t="s">
        <v>714</v>
      </c>
      <c r="E695" t="s">
        <v>8709</v>
      </c>
      <c r="F695" t="s">
        <v>10294</v>
      </c>
      <c r="G695">
        <v>46.9</v>
      </c>
      <c r="H695" t="s">
        <v>10310</v>
      </c>
      <c r="I695" t="s">
        <v>10325</v>
      </c>
      <c r="L695">
        <v>2012</v>
      </c>
      <c r="N695">
        <v>47.574916140200003</v>
      </c>
      <c r="P695">
        <v>8.4733220866399996</v>
      </c>
      <c r="R695" t="s">
        <v>11038</v>
      </c>
      <c r="S695" t="s">
        <v>10310</v>
      </c>
      <c r="W695" s="2" t="s">
        <v>11198</v>
      </c>
    </row>
    <row r="696" spans="1:23" hidden="1" x14ac:dyDescent="0.45">
      <c r="A696" s="1" t="s">
        <v>715</v>
      </c>
      <c r="E696" t="s">
        <v>715</v>
      </c>
      <c r="F696" t="s">
        <v>10294</v>
      </c>
      <c r="G696">
        <v>39.5</v>
      </c>
      <c r="H696" t="s">
        <v>10310</v>
      </c>
      <c r="I696" t="s">
        <v>10325</v>
      </c>
      <c r="L696">
        <v>2004</v>
      </c>
      <c r="N696">
        <v>47.571007154899988</v>
      </c>
      <c r="P696">
        <v>8.3380806200999995</v>
      </c>
      <c r="R696" t="s">
        <v>11038</v>
      </c>
      <c r="S696" t="s">
        <v>10310</v>
      </c>
      <c r="W696" s="2" t="s">
        <v>11198</v>
      </c>
    </row>
    <row r="697" spans="1:23" hidden="1" x14ac:dyDescent="0.45">
      <c r="A697" s="1" t="s">
        <v>716</v>
      </c>
      <c r="E697" t="s">
        <v>8710</v>
      </c>
      <c r="F697" t="s">
        <v>10294</v>
      </c>
      <c r="G697">
        <v>0.42</v>
      </c>
      <c r="H697" t="s">
        <v>10310</v>
      </c>
      <c r="I697" t="s">
        <v>10325</v>
      </c>
      <c r="L697">
        <v>1968</v>
      </c>
      <c r="N697">
        <v>47.697805926699999</v>
      </c>
      <c r="P697">
        <v>8.4073779117999994</v>
      </c>
      <c r="R697" t="s">
        <v>11038</v>
      </c>
      <c r="S697" t="s">
        <v>10310</v>
      </c>
      <c r="W697" s="2" t="s">
        <v>11198</v>
      </c>
    </row>
    <row r="698" spans="1:23" hidden="1" x14ac:dyDescent="0.45">
      <c r="A698" s="1" t="s">
        <v>717</v>
      </c>
      <c r="E698" t="s">
        <v>1236</v>
      </c>
      <c r="F698" t="s">
        <v>10294</v>
      </c>
      <c r="G698">
        <v>28.4</v>
      </c>
      <c r="H698" t="s">
        <v>10310</v>
      </c>
      <c r="I698" t="s">
        <v>10325</v>
      </c>
      <c r="L698">
        <v>2009</v>
      </c>
      <c r="N698">
        <v>47.585817630000001</v>
      </c>
      <c r="P698">
        <v>8.1329394853599997</v>
      </c>
      <c r="R698" t="s">
        <v>11038</v>
      </c>
      <c r="S698" t="s">
        <v>10310</v>
      </c>
      <c r="W698" s="2" t="s">
        <v>11198</v>
      </c>
    </row>
    <row r="699" spans="1:23" hidden="1" x14ac:dyDescent="0.45">
      <c r="A699" s="1" t="s">
        <v>718</v>
      </c>
      <c r="E699" t="s">
        <v>718</v>
      </c>
      <c r="F699" t="s">
        <v>10294</v>
      </c>
      <c r="G699">
        <v>110</v>
      </c>
      <c r="H699" t="s">
        <v>10310</v>
      </c>
      <c r="I699" t="s">
        <v>10325</v>
      </c>
      <c r="L699">
        <v>1992</v>
      </c>
      <c r="N699">
        <v>47.555890769599998</v>
      </c>
      <c r="P699">
        <v>8.0488450733299999</v>
      </c>
      <c r="R699" t="s">
        <v>11038</v>
      </c>
      <c r="S699" t="s">
        <v>10310</v>
      </c>
      <c r="W699" s="2" t="s">
        <v>11198</v>
      </c>
    </row>
    <row r="700" spans="1:23" hidden="1" x14ac:dyDescent="0.45">
      <c r="A700" s="1" t="s">
        <v>719</v>
      </c>
      <c r="E700" t="s">
        <v>8711</v>
      </c>
      <c r="F700" t="s">
        <v>10294</v>
      </c>
      <c r="G700">
        <v>73.599999999999994</v>
      </c>
      <c r="H700" t="s">
        <v>10310</v>
      </c>
      <c r="I700" t="s">
        <v>10325</v>
      </c>
      <c r="L700">
        <v>1966</v>
      </c>
      <c r="N700">
        <v>47.557867416100002</v>
      </c>
      <c r="P700">
        <v>7.9567913601800004</v>
      </c>
      <c r="R700" t="s">
        <v>11038</v>
      </c>
      <c r="S700" t="s">
        <v>10310</v>
      </c>
      <c r="W700" s="2" t="s">
        <v>11198</v>
      </c>
    </row>
    <row r="701" spans="1:23" hidden="1" x14ac:dyDescent="0.45">
      <c r="A701" s="1" t="s">
        <v>720</v>
      </c>
      <c r="E701" t="s">
        <v>8712</v>
      </c>
      <c r="F701" t="s">
        <v>10294</v>
      </c>
      <c r="G701">
        <v>120</v>
      </c>
      <c r="H701" t="s">
        <v>10310</v>
      </c>
      <c r="I701" t="s">
        <v>10325</v>
      </c>
      <c r="L701">
        <v>1984</v>
      </c>
      <c r="N701">
        <v>47.5863232345</v>
      </c>
      <c r="P701">
        <v>7.8334378928899993</v>
      </c>
      <c r="R701" t="s">
        <v>11038</v>
      </c>
      <c r="S701" t="s">
        <v>10310</v>
      </c>
      <c r="W701" s="2" t="s">
        <v>11198</v>
      </c>
    </row>
    <row r="702" spans="1:23" hidden="1" x14ac:dyDescent="0.45">
      <c r="A702" s="1" t="s">
        <v>721</v>
      </c>
      <c r="E702" t="s">
        <v>8713</v>
      </c>
      <c r="F702" t="s">
        <v>10294</v>
      </c>
      <c r="G702">
        <v>0.35</v>
      </c>
      <c r="H702" t="s">
        <v>10310</v>
      </c>
      <c r="I702" t="s">
        <v>10325</v>
      </c>
      <c r="L702">
        <v>2014</v>
      </c>
      <c r="N702">
        <v>47.587400646600003</v>
      </c>
      <c r="P702">
        <v>7.8339776478300003</v>
      </c>
      <c r="R702" t="s">
        <v>11038</v>
      </c>
      <c r="S702" t="s">
        <v>10310</v>
      </c>
      <c r="W702" s="2" t="s">
        <v>11198</v>
      </c>
    </row>
    <row r="703" spans="1:23" hidden="1" x14ac:dyDescent="0.45">
      <c r="A703" s="1" t="s">
        <v>722</v>
      </c>
      <c r="E703" t="s">
        <v>722</v>
      </c>
      <c r="F703" t="s">
        <v>10294</v>
      </c>
      <c r="G703">
        <v>100</v>
      </c>
      <c r="H703" t="s">
        <v>10310</v>
      </c>
      <c r="I703" t="s">
        <v>10325</v>
      </c>
      <c r="L703">
        <v>2010</v>
      </c>
      <c r="N703">
        <v>47.568853159200003</v>
      </c>
      <c r="P703">
        <v>7.8129757269000004</v>
      </c>
      <c r="Q703" t="s">
        <v>10561</v>
      </c>
      <c r="R703" t="s">
        <v>11038</v>
      </c>
      <c r="S703" t="s">
        <v>10310</v>
      </c>
      <c r="V703" t="s">
        <v>11080</v>
      </c>
      <c r="W703" s="2" t="s">
        <v>11198</v>
      </c>
    </row>
    <row r="704" spans="1:23" hidden="1" x14ac:dyDescent="0.45">
      <c r="A704" s="1" t="s">
        <v>723</v>
      </c>
      <c r="E704" t="s">
        <v>722</v>
      </c>
      <c r="F704" t="s">
        <v>10294</v>
      </c>
      <c r="G704">
        <v>1.8</v>
      </c>
      <c r="H704" t="s">
        <v>10310</v>
      </c>
      <c r="I704" t="s">
        <v>10325</v>
      </c>
      <c r="L704">
        <v>2011</v>
      </c>
      <c r="N704">
        <v>47.568853159200003</v>
      </c>
      <c r="P704">
        <v>7.8129757269000004</v>
      </c>
      <c r="Q704" t="s">
        <v>10561</v>
      </c>
      <c r="R704" t="s">
        <v>11038</v>
      </c>
      <c r="S704" t="s">
        <v>10310</v>
      </c>
      <c r="W704" s="2" t="s">
        <v>11198</v>
      </c>
    </row>
    <row r="705" spans="1:23" hidden="1" x14ac:dyDescent="0.45">
      <c r="A705" s="1" t="s">
        <v>724</v>
      </c>
      <c r="E705" t="s">
        <v>724</v>
      </c>
      <c r="F705" t="s">
        <v>10294</v>
      </c>
      <c r="G705">
        <v>35</v>
      </c>
      <c r="H705" t="s">
        <v>10310</v>
      </c>
      <c r="I705" t="s">
        <v>10325</v>
      </c>
      <c r="L705">
        <v>1994</v>
      </c>
      <c r="N705">
        <v>47.536762412299993</v>
      </c>
      <c r="P705">
        <v>7.7096884807800006</v>
      </c>
      <c r="R705" t="s">
        <v>11038</v>
      </c>
      <c r="S705" t="s">
        <v>10310</v>
      </c>
      <c r="W705" s="2" t="s">
        <v>11198</v>
      </c>
    </row>
    <row r="706" spans="1:23" hidden="1" x14ac:dyDescent="0.45">
      <c r="A706" s="1" t="s">
        <v>725</v>
      </c>
      <c r="E706" t="s">
        <v>8714</v>
      </c>
      <c r="F706" t="s">
        <v>10294</v>
      </c>
      <c r="G706">
        <v>38.5</v>
      </c>
      <c r="H706" t="s">
        <v>10310</v>
      </c>
      <c r="I706" t="s">
        <v>10325</v>
      </c>
      <c r="L706">
        <v>1994</v>
      </c>
      <c r="N706">
        <v>47.538745662499998</v>
      </c>
      <c r="P706">
        <v>7.7077063323300008</v>
      </c>
      <c r="R706" t="s">
        <v>11038</v>
      </c>
      <c r="S706" t="s">
        <v>10310</v>
      </c>
      <c r="W706" s="2" t="s">
        <v>11198</v>
      </c>
    </row>
    <row r="707" spans="1:23" hidden="1" x14ac:dyDescent="0.45">
      <c r="A707" s="1" t="s">
        <v>726</v>
      </c>
      <c r="E707" t="s">
        <v>726</v>
      </c>
      <c r="F707" t="s">
        <v>10294</v>
      </c>
      <c r="G707">
        <v>100</v>
      </c>
      <c r="H707" t="s">
        <v>10310</v>
      </c>
      <c r="I707" t="s">
        <v>10325</v>
      </c>
      <c r="L707">
        <v>1999</v>
      </c>
      <c r="N707">
        <v>47.559860936699998</v>
      </c>
      <c r="P707">
        <v>7.626364605560001</v>
      </c>
      <c r="R707" t="s">
        <v>11038</v>
      </c>
      <c r="S707" t="s">
        <v>10310</v>
      </c>
      <c r="W707" s="2" t="s">
        <v>11198</v>
      </c>
    </row>
    <row r="708" spans="1:23" hidden="1" x14ac:dyDescent="0.45">
      <c r="A708" s="1" t="s">
        <v>727</v>
      </c>
      <c r="E708" t="s">
        <v>8715</v>
      </c>
      <c r="F708" t="s">
        <v>10294</v>
      </c>
      <c r="G708">
        <v>0.92</v>
      </c>
      <c r="H708" t="s">
        <v>10310</v>
      </c>
      <c r="I708" t="s">
        <v>10325</v>
      </c>
      <c r="L708">
        <v>1979</v>
      </c>
      <c r="N708">
        <v>47.265687554300001</v>
      </c>
      <c r="P708">
        <v>7.3490394207399987</v>
      </c>
      <c r="R708" t="s">
        <v>11038</v>
      </c>
      <c r="S708" t="s">
        <v>10310</v>
      </c>
      <c r="W708" s="2" t="s">
        <v>11198</v>
      </c>
    </row>
    <row r="709" spans="1:23" hidden="1" x14ac:dyDescent="0.45">
      <c r="A709" s="1" t="s">
        <v>728</v>
      </c>
      <c r="E709" t="s">
        <v>728</v>
      </c>
      <c r="F709" t="s">
        <v>10294</v>
      </c>
      <c r="G709">
        <v>0.57999999999999996</v>
      </c>
      <c r="H709" t="s">
        <v>10310</v>
      </c>
      <c r="I709" t="s">
        <v>10325</v>
      </c>
      <c r="L709">
        <v>2003</v>
      </c>
      <c r="N709">
        <v>47.322282154300012</v>
      </c>
      <c r="P709">
        <v>7.3784408138399993</v>
      </c>
      <c r="R709" t="s">
        <v>11038</v>
      </c>
      <c r="S709" t="s">
        <v>10310</v>
      </c>
      <c r="W709" s="2" t="s">
        <v>11198</v>
      </c>
    </row>
    <row r="710" spans="1:23" hidden="1" x14ac:dyDescent="0.45">
      <c r="A710" s="1" t="s">
        <v>729</v>
      </c>
      <c r="E710" t="s">
        <v>8716</v>
      </c>
      <c r="F710" t="s">
        <v>10294</v>
      </c>
      <c r="G710">
        <v>0.32</v>
      </c>
      <c r="H710" t="s">
        <v>10310</v>
      </c>
      <c r="I710" t="s">
        <v>10325</v>
      </c>
      <c r="L710">
        <v>2001</v>
      </c>
      <c r="N710">
        <v>47.294838449700002</v>
      </c>
      <c r="P710">
        <v>7.2212769893199988</v>
      </c>
      <c r="R710" t="s">
        <v>11038</v>
      </c>
      <c r="S710" t="s">
        <v>10310</v>
      </c>
      <c r="W710" s="2" t="s">
        <v>11198</v>
      </c>
    </row>
    <row r="711" spans="1:23" hidden="1" x14ac:dyDescent="0.45">
      <c r="A711" s="1" t="s">
        <v>730</v>
      </c>
      <c r="E711" t="s">
        <v>8717</v>
      </c>
      <c r="F711" t="s">
        <v>10294</v>
      </c>
      <c r="G711">
        <v>1.03</v>
      </c>
      <c r="H711" t="s">
        <v>10310</v>
      </c>
      <c r="I711" t="s">
        <v>10325</v>
      </c>
      <c r="L711">
        <v>2001</v>
      </c>
      <c r="N711">
        <v>47.331015929000003</v>
      </c>
      <c r="P711">
        <v>7.2319772487100007</v>
      </c>
      <c r="R711" t="s">
        <v>11038</v>
      </c>
      <c r="S711" t="s">
        <v>10310</v>
      </c>
      <c r="W711" s="2" t="s">
        <v>11198</v>
      </c>
    </row>
    <row r="712" spans="1:23" hidden="1" x14ac:dyDescent="0.45">
      <c r="A712" s="1" t="s">
        <v>731</v>
      </c>
      <c r="E712" t="s">
        <v>8718</v>
      </c>
      <c r="F712" t="s">
        <v>10294</v>
      </c>
      <c r="G712">
        <v>0.52</v>
      </c>
      <c r="H712" t="s">
        <v>10310</v>
      </c>
      <c r="I712" t="s">
        <v>10325</v>
      </c>
      <c r="L712">
        <v>2002</v>
      </c>
      <c r="N712">
        <v>47.382802122299992</v>
      </c>
      <c r="P712">
        <v>7.3591695175799998</v>
      </c>
      <c r="R712" t="s">
        <v>11038</v>
      </c>
      <c r="S712" t="s">
        <v>10310</v>
      </c>
      <c r="W712" s="2" t="s">
        <v>11198</v>
      </c>
    </row>
    <row r="713" spans="1:23" hidden="1" x14ac:dyDescent="0.45">
      <c r="A713" s="1" t="s">
        <v>732</v>
      </c>
      <c r="E713" t="s">
        <v>8719</v>
      </c>
      <c r="F713" t="s">
        <v>10294</v>
      </c>
      <c r="G713">
        <v>0.35</v>
      </c>
      <c r="H713" t="s">
        <v>10310</v>
      </c>
      <c r="I713" t="s">
        <v>10325</v>
      </c>
      <c r="L713">
        <v>1997</v>
      </c>
      <c r="N713">
        <v>47.410519135100003</v>
      </c>
      <c r="P713">
        <v>7.4946701520600012</v>
      </c>
      <c r="R713" t="s">
        <v>11038</v>
      </c>
      <c r="S713" t="s">
        <v>10310</v>
      </c>
      <c r="W713" s="2" t="s">
        <v>11198</v>
      </c>
    </row>
    <row r="714" spans="1:23" hidden="1" x14ac:dyDescent="0.45">
      <c r="A714" s="1" t="s">
        <v>733</v>
      </c>
      <c r="E714" t="s">
        <v>8719</v>
      </c>
      <c r="F714" t="s">
        <v>10294</v>
      </c>
      <c r="G714">
        <v>0.72</v>
      </c>
      <c r="H714" t="s">
        <v>10310</v>
      </c>
      <c r="I714" t="s">
        <v>10325</v>
      </c>
      <c r="L714">
        <v>1995</v>
      </c>
      <c r="N714">
        <v>47.419689883700002</v>
      </c>
      <c r="P714">
        <v>7.5011730260100009</v>
      </c>
      <c r="R714" t="s">
        <v>11038</v>
      </c>
      <c r="S714" t="s">
        <v>10310</v>
      </c>
      <c r="W714" s="2" t="s">
        <v>11198</v>
      </c>
    </row>
    <row r="715" spans="1:23" hidden="1" x14ac:dyDescent="0.45">
      <c r="A715" s="1" t="s">
        <v>734</v>
      </c>
      <c r="E715" t="s">
        <v>8720</v>
      </c>
      <c r="F715" t="s">
        <v>10294</v>
      </c>
      <c r="G715">
        <v>0.38</v>
      </c>
      <c r="H715" t="s">
        <v>10310</v>
      </c>
      <c r="I715" t="s">
        <v>10325</v>
      </c>
      <c r="L715">
        <v>2005</v>
      </c>
      <c r="N715">
        <v>47.4364944597</v>
      </c>
      <c r="P715">
        <v>7.5239927779199993</v>
      </c>
      <c r="R715" t="s">
        <v>11038</v>
      </c>
      <c r="S715" t="s">
        <v>10310</v>
      </c>
      <c r="V715" t="s">
        <v>11060</v>
      </c>
      <c r="W715" s="2" t="s">
        <v>11198</v>
      </c>
    </row>
    <row r="716" spans="1:23" hidden="1" x14ac:dyDescent="0.45">
      <c r="A716" s="1" t="s">
        <v>735</v>
      </c>
      <c r="E716" t="s">
        <v>735</v>
      </c>
      <c r="F716" t="s">
        <v>10294</v>
      </c>
      <c r="G716">
        <v>0.34</v>
      </c>
      <c r="H716" t="s">
        <v>10310</v>
      </c>
      <c r="I716" t="s">
        <v>10325</v>
      </c>
      <c r="L716">
        <v>1997</v>
      </c>
      <c r="N716">
        <v>47.443849702100003</v>
      </c>
      <c r="P716">
        <v>7.5478685338</v>
      </c>
      <c r="R716" t="s">
        <v>11038</v>
      </c>
      <c r="S716" t="s">
        <v>10310</v>
      </c>
      <c r="W716" s="2" t="s">
        <v>11198</v>
      </c>
    </row>
    <row r="717" spans="1:23" hidden="1" x14ac:dyDescent="0.45">
      <c r="A717" s="1" t="s">
        <v>736</v>
      </c>
      <c r="E717" t="s">
        <v>8721</v>
      </c>
      <c r="F717" t="s">
        <v>10294</v>
      </c>
      <c r="G717">
        <v>0.98</v>
      </c>
      <c r="H717" t="s">
        <v>10310</v>
      </c>
      <c r="I717" t="s">
        <v>10325</v>
      </c>
      <c r="L717">
        <v>1999</v>
      </c>
      <c r="N717">
        <v>47.4387770608</v>
      </c>
      <c r="P717">
        <v>7.5811321906500009</v>
      </c>
      <c r="R717" t="s">
        <v>11038</v>
      </c>
      <c r="S717" t="s">
        <v>10310</v>
      </c>
      <c r="W717" s="2" t="s">
        <v>11198</v>
      </c>
    </row>
    <row r="718" spans="1:23" hidden="1" x14ac:dyDescent="0.45">
      <c r="A718" s="1" t="s">
        <v>737</v>
      </c>
      <c r="E718" t="s">
        <v>8721</v>
      </c>
      <c r="F718" t="s">
        <v>10294</v>
      </c>
      <c r="G718">
        <v>0.5</v>
      </c>
      <c r="H718" t="s">
        <v>10310</v>
      </c>
      <c r="I718" t="s">
        <v>10325</v>
      </c>
      <c r="L718">
        <v>2000</v>
      </c>
      <c r="N718">
        <v>47.442808627300003</v>
      </c>
      <c r="P718">
        <v>7.5934724671800007</v>
      </c>
      <c r="R718" t="s">
        <v>11038</v>
      </c>
      <c r="S718" t="s">
        <v>10310</v>
      </c>
      <c r="V718" t="s">
        <v>11081</v>
      </c>
      <c r="W718" s="2" t="s">
        <v>11198</v>
      </c>
    </row>
    <row r="719" spans="1:23" hidden="1" x14ac:dyDescent="0.45">
      <c r="A719" s="1" t="s">
        <v>738</v>
      </c>
      <c r="E719" t="s">
        <v>8721</v>
      </c>
      <c r="F719" t="s">
        <v>10294</v>
      </c>
      <c r="G719">
        <v>0.55000000000000004</v>
      </c>
      <c r="H719" t="s">
        <v>10310</v>
      </c>
      <c r="I719" t="s">
        <v>10325</v>
      </c>
      <c r="L719">
        <v>1999</v>
      </c>
      <c r="N719">
        <v>47.442808627300003</v>
      </c>
      <c r="P719">
        <v>7.5934724671800007</v>
      </c>
      <c r="R719" t="s">
        <v>11038</v>
      </c>
      <c r="S719" t="s">
        <v>10310</v>
      </c>
      <c r="V719" t="s">
        <v>11082</v>
      </c>
      <c r="W719" s="2" t="s">
        <v>11198</v>
      </c>
    </row>
    <row r="720" spans="1:23" hidden="1" x14ac:dyDescent="0.45">
      <c r="A720" s="1" t="s">
        <v>739</v>
      </c>
      <c r="E720" t="s">
        <v>8722</v>
      </c>
      <c r="F720" t="s">
        <v>10294</v>
      </c>
      <c r="G720">
        <v>1.54</v>
      </c>
      <c r="H720" t="s">
        <v>10310</v>
      </c>
      <c r="I720" t="s">
        <v>10325</v>
      </c>
      <c r="L720">
        <v>1996</v>
      </c>
      <c r="N720">
        <v>47.489018495299987</v>
      </c>
      <c r="P720">
        <v>7.6074061543399987</v>
      </c>
      <c r="R720" t="s">
        <v>11038</v>
      </c>
      <c r="S720" t="s">
        <v>10310</v>
      </c>
      <c r="W720" s="2" t="s">
        <v>11198</v>
      </c>
    </row>
    <row r="721" spans="1:23" hidden="1" x14ac:dyDescent="0.45">
      <c r="A721" s="1" t="s">
        <v>740</v>
      </c>
      <c r="E721" t="s">
        <v>8723</v>
      </c>
      <c r="F721" t="s">
        <v>10294</v>
      </c>
      <c r="G721">
        <v>1.07</v>
      </c>
      <c r="H721" t="s">
        <v>10310</v>
      </c>
      <c r="I721" t="s">
        <v>10325</v>
      </c>
      <c r="L721">
        <v>1998</v>
      </c>
      <c r="N721">
        <v>47.525781867399999</v>
      </c>
      <c r="P721">
        <v>7.6217301168899994</v>
      </c>
      <c r="R721" t="s">
        <v>11038</v>
      </c>
      <c r="S721" t="s">
        <v>10310</v>
      </c>
      <c r="W721" s="2" t="s">
        <v>11198</v>
      </c>
    </row>
    <row r="722" spans="1:23" hidden="1" x14ac:dyDescent="0.45">
      <c r="A722" s="1" t="s">
        <v>741</v>
      </c>
      <c r="E722" t="s">
        <v>8724</v>
      </c>
      <c r="F722" t="s">
        <v>10294</v>
      </c>
      <c r="G722">
        <v>2.85</v>
      </c>
      <c r="H722" t="s">
        <v>10310</v>
      </c>
      <c r="I722" t="s">
        <v>10325</v>
      </c>
      <c r="L722">
        <v>1966</v>
      </c>
      <c r="N722">
        <v>47.619475543299998</v>
      </c>
      <c r="P722">
        <v>7.57030818507</v>
      </c>
      <c r="R722" t="s">
        <v>11038</v>
      </c>
      <c r="S722" t="s">
        <v>10310</v>
      </c>
      <c r="W722" s="2" t="s">
        <v>11198</v>
      </c>
    </row>
    <row r="723" spans="1:23" hidden="1" x14ac:dyDescent="0.45">
      <c r="A723" s="1" t="s">
        <v>742</v>
      </c>
      <c r="E723" t="s">
        <v>8724</v>
      </c>
      <c r="F723" t="s">
        <v>10294</v>
      </c>
      <c r="G723">
        <v>8.4</v>
      </c>
      <c r="H723" t="s">
        <v>10310</v>
      </c>
      <c r="I723" t="s">
        <v>10325</v>
      </c>
      <c r="L723">
        <v>2016</v>
      </c>
      <c r="R723" t="s">
        <v>11038</v>
      </c>
      <c r="S723" t="s">
        <v>10310</v>
      </c>
      <c r="W723" s="2" t="s">
        <v>11198</v>
      </c>
    </row>
    <row r="724" spans="1:23" hidden="1" x14ac:dyDescent="0.45">
      <c r="A724" s="1" t="s">
        <v>743</v>
      </c>
      <c r="E724" t="s">
        <v>8725</v>
      </c>
      <c r="F724" t="s">
        <v>10294</v>
      </c>
      <c r="G724">
        <v>155</v>
      </c>
      <c r="H724" t="s">
        <v>10310</v>
      </c>
      <c r="I724" t="s">
        <v>10325</v>
      </c>
      <c r="L724">
        <v>1983</v>
      </c>
      <c r="N724">
        <v>47.654955952900004</v>
      </c>
      <c r="P724">
        <v>7.5194159062299999</v>
      </c>
      <c r="R724" t="s">
        <v>11038</v>
      </c>
      <c r="S724" t="s">
        <v>10310</v>
      </c>
      <c r="W724" s="2" t="s">
        <v>11198</v>
      </c>
    </row>
    <row r="725" spans="1:23" hidden="1" x14ac:dyDescent="0.45">
      <c r="A725" s="1" t="s">
        <v>744</v>
      </c>
      <c r="E725" t="s">
        <v>8726</v>
      </c>
      <c r="F725" t="s">
        <v>10294</v>
      </c>
      <c r="G725">
        <v>388</v>
      </c>
      <c r="H725" t="s">
        <v>10310</v>
      </c>
      <c r="I725" t="s">
        <v>10327</v>
      </c>
      <c r="L725">
        <v>1981</v>
      </c>
      <c r="N725">
        <v>46.568072066699997</v>
      </c>
      <c r="P725">
        <v>8.3193265170400004</v>
      </c>
      <c r="Q725" t="s">
        <v>10562</v>
      </c>
      <c r="R725" t="s">
        <v>11038</v>
      </c>
      <c r="S725" t="s">
        <v>10310</v>
      </c>
      <c r="V725" t="s">
        <v>11083</v>
      </c>
      <c r="W725" s="2" t="s">
        <v>11198</v>
      </c>
    </row>
    <row r="726" spans="1:23" hidden="1" x14ac:dyDescent="0.45">
      <c r="A726" s="1" t="s">
        <v>745</v>
      </c>
      <c r="E726" t="s">
        <v>8727</v>
      </c>
      <c r="F726" t="s">
        <v>10294</v>
      </c>
      <c r="G726">
        <v>1.1000000000000001</v>
      </c>
      <c r="H726" t="s">
        <v>10310</v>
      </c>
      <c r="I726" t="s">
        <v>10325</v>
      </c>
      <c r="L726">
        <v>2017</v>
      </c>
      <c r="R726" t="s">
        <v>11038</v>
      </c>
      <c r="S726" t="s">
        <v>10310</v>
      </c>
      <c r="W726" s="2" t="s">
        <v>11198</v>
      </c>
    </row>
    <row r="727" spans="1:23" hidden="1" x14ac:dyDescent="0.45">
      <c r="A727" s="1" t="s">
        <v>746</v>
      </c>
      <c r="E727" t="s">
        <v>8728</v>
      </c>
      <c r="F727" t="s">
        <v>10294</v>
      </c>
      <c r="G727">
        <v>33.6</v>
      </c>
      <c r="H727" t="s">
        <v>10310</v>
      </c>
      <c r="I727" t="s">
        <v>10326</v>
      </c>
      <c r="L727">
        <v>2006</v>
      </c>
      <c r="N727">
        <v>46.575338076599998</v>
      </c>
      <c r="P727">
        <v>8.3335340735700001</v>
      </c>
      <c r="Q727" t="s">
        <v>10562</v>
      </c>
      <c r="R727" t="s">
        <v>11038</v>
      </c>
      <c r="S727" t="s">
        <v>10310</v>
      </c>
      <c r="V727" t="s">
        <v>11084</v>
      </c>
      <c r="W727" s="2" t="s">
        <v>11198</v>
      </c>
    </row>
    <row r="728" spans="1:23" hidden="1" x14ac:dyDescent="0.45">
      <c r="A728" s="1" t="s">
        <v>747</v>
      </c>
      <c r="E728" t="s">
        <v>8729</v>
      </c>
      <c r="F728" t="s">
        <v>10294</v>
      </c>
      <c r="G728">
        <v>32.200000000000003</v>
      </c>
      <c r="H728" t="s">
        <v>10310</v>
      </c>
      <c r="I728" t="s">
        <v>10326</v>
      </c>
      <c r="L728">
        <v>2007</v>
      </c>
      <c r="N728">
        <v>46.575338076599998</v>
      </c>
      <c r="P728">
        <v>8.3335340735700001</v>
      </c>
      <c r="Q728" t="s">
        <v>10562</v>
      </c>
      <c r="R728" t="s">
        <v>11038</v>
      </c>
      <c r="S728" t="s">
        <v>10310</v>
      </c>
      <c r="V728" t="s">
        <v>11085</v>
      </c>
      <c r="W728" s="2" t="s">
        <v>11198</v>
      </c>
    </row>
    <row r="729" spans="1:23" hidden="1" x14ac:dyDescent="0.45">
      <c r="A729" s="1" t="s">
        <v>748</v>
      </c>
      <c r="E729" t="s">
        <v>8730</v>
      </c>
      <c r="F729" t="s">
        <v>10294</v>
      </c>
      <c r="G729">
        <v>44.8</v>
      </c>
      <c r="H729" t="s">
        <v>10310</v>
      </c>
      <c r="I729" t="s">
        <v>10326</v>
      </c>
      <c r="L729">
        <v>1932</v>
      </c>
      <c r="N729">
        <v>46.616831303199987</v>
      </c>
      <c r="P729">
        <v>8.3075871283100007</v>
      </c>
      <c r="Q729" t="s">
        <v>10562</v>
      </c>
      <c r="R729" t="s">
        <v>11038</v>
      </c>
      <c r="S729" t="s">
        <v>10310</v>
      </c>
      <c r="W729" s="2" t="s">
        <v>11198</v>
      </c>
    </row>
    <row r="730" spans="1:23" hidden="1" x14ac:dyDescent="0.45">
      <c r="A730" s="1" t="s">
        <v>749</v>
      </c>
      <c r="E730" t="s">
        <v>8730</v>
      </c>
      <c r="F730" t="s">
        <v>10294</v>
      </c>
      <c r="G730">
        <v>215.6</v>
      </c>
      <c r="H730" t="s">
        <v>10310</v>
      </c>
      <c r="I730" t="s">
        <v>10326</v>
      </c>
      <c r="L730">
        <v>1958</v>
      </c>
      <c r="R730" t="s">
        <v>11038</v>
      </c>
      <c r="S730" t="s">
        <v>10310</v>
      </c>
      <c r="W730" s="2" t="s">
        <v>11198</v>
      </c>
    </row>
    <row r="731" spans="1:23" hidden="1" x14ac:dyDescent="0.45">
      <c r="A731" s="1" t="s">
        <v>750</v>
      </c>
      <c r="E731" t="s">
        <v>8730</v>
      </c>
      <c r="F731" t="s">
        <v>10294</v>
      </c>
      <c r="G731">
        <v>55.1</v>
      </c>
      <c r="H731" t="s">
        <v>10310</v>
      </c>
      <c r="I731" t="s">
        <v>10324</v>
      </c>
      <c r="L731">
        <v>1976</v>
      </c>
      <c r="N731">
        <v>46.615695726299997</v>
      </c>
      <c r="P731">
        <v>8.3031300561600005</v>
      </c>
      <c r="Q731" t="s">
        <v>10562</v>
      </c>
      <c r="R731" t="s">
        <v>11038</v>
      </c>
      <c r="S731" t="s">
        <v>10310</v>
      </c>
      <c r="V731" t="s">
        <v>11086</v>
      </c>
      <c r="W731" s="2" t="s">
        <v>11198</v>
      </c>
    </row>
    <row r="732" spans="1:23" hidden="1" x14ac:dyDescent="0.45">
      <c r="A732" s="1" t="s">
        <v>751</v>
      </c>
      <c r="E732" t="s">
        <v>8731</v>
      </c>
      <c r="F732" t="s">
        <v>10294</v>
      </c>
      <c r="G732">
        <v>1.29</v>
      </c>
      <c r="H732" t="s">
        <v>10310</v>
      </c>
      <c r="I732" t="s">
        <v>10325</v>
      </c>
      <c r="L732">
        <v>2016</v>
      </c>
      <c r="R732" t="s">
        <v>11038</v>
      </c>
      <c r="S732" t="s">
        <v>10310</v>
      </c>
      <c r="W732" s="2" t="s">
        <v>11198</v>
      </c>
    </row>
    <row r="733" spans="1:23" hidden="1" x14ac:dyDescent="0.45">
      <c r="A733" s="1" t="s">
        <v>752</v>
      </c>
      <c r="E733" t="s">
        <v>8732</v>
      </c>
      <c r="F733" t="s">
        <v>10294</v>
      </c>
      <c r="G733">
        <v>2.95</v>
      </c>
      <c r="H733" t="s">
        <v>10310</v>
      </c>
      <c r="I733" t="s">
        <v>10325</v>
      </c>
      <c r="L733">
        <v>2016</v>
      </c>
      <c r="R733" t="s">
        <v>11038</v>
      </c>
      <c r="S733" t="s">
        <v>10310</v>
      </c>
      <c r="W733" s="2" t="s">
        <v>11198</v>
      </c>
    </row>
    <row r="734" spans="1:23" hidden="1" x14ac:dyDescent="0.45">
      <c r="A734" s="1" t="s">
        <v>753</v>
      </c>
      <c r="E734" t="s">
        <v>8733</v>
      </c>
      <c r="F734" t="s">
        <v>10294</v>
      </c>
      <c r="G734">
        <v>393.5</v>
      </c>
      <c r="H734" t="s">
        <v>10310</v>
      </c>
      <c r="I734" t="s">
        <v>10326</v>
      </c>
      <c r="L734">
        <v>2007</v>
      </c>
      <c r="R734" t="s">
        <v>11038</v>
      </c>
      <c r="S734" t="s">
        <v>10310</v>
      </c>
      <c r="W734" s="2" t="s">
        <v>11198</v>
      </c>
    </row>
    <row r="735" spans="1:23" hidden="1" x14ac:dyDescent="0.45">
      <c r="A735" s="1" t="s">
        <v>754</v>
      </c>
      <c r="E735" t="s">
        <v>8734</v>
      </c>
      <c r="F735" t="s">
        <v>10294</v>
      </c>
      <c r="G735">
        <v>9.6</v>
      </c>
      <c r="H735" t="s">
        <v>10310</v>
      </c>
      <c r="I735" t="s">
        <v>10326</v>
      </c>
      <c r="L735">
        <v>1961</v>
      </c>
      <c r="N735">
        <v>46.727191088400012</v>
      </c>
      <c r="P735">
        <v>8.3336972491699992</v>
      </c>
      <c r="Q735" t="s">
        <v>10562</v>
      </c>
      <c r="R735" t="s">
        <v>11038</v>
      </c>
      <c r="S735" t="s">
        <v>10310</v>
      </c>
      <c r="V735" t="s">
        <v>11060</v>
      </c>
      <c r="W735" s="2" t="s">
        <v>11198</v>
      </c>
    </row>
    <row r="736" spans="1:23" hidden="1" x14ac:dyDescent="0.45">
      <c r="A736" s="1" t="s">
        <v>754</v>
      </c>
      <c r="E736" t="s">
        <v>8734</v>
      </c>
      <c r="F736" t="s">
        <v>10294</v>
      </c>
      <c r="G736">
        <v>0</v>
      </c>
      <c r="H736" t="s">
        <v>10310</v>
      </c>
      <c r="I736" t="s">
        <v>10326</v>
      </c>
      <c r="L736">
        <v>1961</v>
      </c>
      <c r="N736">
        <v>46.727191088400012</v>
      </c>
      <c r="P736">
        <v>8.3336972491699992</v>
      </c>
      <c r="Q736" t="s">
        <v>10562</v>
      </c>
      <c r="R736" t="s">
        <v>11038</v>
      </c>
      <c r="S736" t="s">
        <v>10310</v>
      </c>
      <c r="V736" t="s">
        <v>11087</v>
      </c>
      <c r="W736" s="2" t="s">
        <v>11198</v>
      </c>
    </row>
    <row r="737" spans="1:23" hidden="1" x14ac:dyDescent="0.45">
      <c r="A737" s="1" t="s">
        <v>755</v>
      </c>
      <c r="E737" t="s">
        <v>8735</v>
      </c>
      <c r="F737" t="s">
        <v>10294</v>
      </c>
      <c r="G737">
        <v>81.599999999999994</v>
      </c>
      <c r="H737" t="s">
        <v>10310</v>
      </c>
      <c r="I737" t="s">
        <v>10326</v>
      </c>
      <c r="L737">
        <v>1974</v>
      </c>
      <c r="N737">
        <v>46.715113413999987</v>
      </c>
      <c r="P737">
        <v>8.277516982189999</v>
      </c>
      <c r="Q737" t="s">
        <v>10562</v>
      </c>
      <c r="R737" t="s">
        <v>11038</v>
      </c>
      <c r="S737" t="s">
        <v>10310</v>
      </c>
      <c r="V737" t="s">
        <v>11088</v>
      </c>
      <c r="W737" s="2" t="s">
        <v>11198</v>
      </c>
    </row>
    <row r="738" spans="1:23" hidden="1" x14ac:dyDescent="0.45">
      <c r="A738" s="1" t="s">
        <v>756</v>
      </c>
      <c r="E738" t="s">
        <v>8735</v>
      </c>
      <c r="F738" t="s">
        <v>10294</v>
      </c>
      <c r="G738">
        <v>5.4</v>
      </c>
      <c r="H738" t="s">
        <v>10310</v>
      </c>
      <c r="I738" t="s">
        <v>10325</v>
      </c>
      <c r="L738">
        <v>1967</v>
      </c>
      <c r="N738">
        <v>46.715113413999987</v>
      </c>
      <c r="P738">
        <v>8.277516982189999</v>
      </c>
      <c r="Q738" t="s">
        <v>10562</v>
      </c>
      <c r="R738" t="s">
        <v>11038</v>
      </c>
      <c r="S738" t="s">
        <v>10310</v>
      </c>
      <c r="V738" t="s">
        <v>11089</v>
      </c>
      <c r="W738" s="2" t="s">
        <v>11198</v>
      </c>
    </row>
    <row r="739" spans="1:23" hidden="1" x14ac:dyDescent="0.45">
      <c r="A739" s="1" t="s">
        <v>757</v>
      </c>
      <c r="E739" t="s">
        <v>8733</v>
      </c>
      <c r="F739" t="s">
        <v>10294</v>
      </c>
      <c r="G739">
        <v>54.8</v>
      </c>
      <c r="H739" t="s">
        <v>10310</v>
      </c>
      <c r="I739" t="s">
        <v>10326</v>
      </c>
      <c r="L739">
        <v>1974</v>
      </c>
      <c r="N739">
        <v>46.708553481599999</v>
      </c>
      <c r="P739">
        <v>8.2260194886499995</v>
      </c>
      <c r="Q739" t="s">
        <v>10562</v>
      </c>
      <c r="R739" t="s">
        <v>11038</v>
      </c>
      <c r="S739" t="s">
        <v>10310</v>
      </c>
      <c r="V739" t="s">
        <v>11090</v>
      </c>
      <c r="W739" s="2" t="s">
        <v>11198</v>
      </c>
    </row>
    <row r="740" spans="1:23" hidden="1" x14ac:dyDescent="0.45">
      <c r="A740" s="1" t="s">
        <v>758</v>
      </c>
      <c r="E740" t="s">
        <v>8736</v>
      </c>
      <c r="F740" t="s">
        <v>10294</v>
      </c>
      <c r="G740">
        <v>1.65</v>
      </c>
      <c r="H740" t="s">
        <v>10310</v>
      </c>
      <c r="I740" t="s">
        <v>10325</v>
      </c>
      <c r="L740">
        <v>1950</v>
      </c>
      <c r="N740">
        <v>46.7317817542</v>
      </c>
      <c r="P740">
        <v>8.1966592254500004</v>
      </c>
      <c r="R740" t="s">
        <v>11038</v>
      </c>
      <c r="S740" t="s">
        <v>10310</v>
      </c>
      <c r="V740" t="s">
        <v>11060</v>
      </c>
      <c r="W740" s="2" t="s">
        <v>11198</v>
      </c>
    </row>
    <row r="741" spans="1:23" hidden="1" x14ac:dyDescent="0.45">
      <c r="A741" s="1" t="s">
        <v>759</v>
      </c>
      <c r="E741" t="s">
        <v>8737</v>
      </c>
      <c r="F741" t="s">
        <v>10294</v>
      </c>
      <c r="G741">
        <v>1</v>
      </c>
      <c r="H741" t="s">
        <v>10310</v>
      </c>
      <c r="I741" t="s">
        <v>10325</v>
      </c>
      <c r="L741">
        <v>1946</v>
      </c>
      <c r="N741">
        <v>46.728753749600003</v>
      </c>
      <c r="P741">
        <v>8.1920378074300011</v>
      </c>
      <c r="R741" t="s">
        <v>11038</v>
      </c>
      <c r="S741" t="s">
        <v>10310</v>
      </c>
      <c r="V741" t="s">
        <v>11060</v>
      </c>
      <c r="W741" s="2" t="s">
        <v>11198</v>
      </c>
    </row>
    <row r="742" spans="1:23" hidden="1" x14ac:dyDescent="0.45">
      <c r="A742" s="1" t="s">
        <v>760</v>
      </c>
      <c r="E742" t="s">
        <v>8738</v>
      </c>
      <c r="F742" t="s">
        <v>10294</v>
      </c>
      <c r="G742">
        <v>2.2999999999999998</v>
      </c>
      <c r="H742" t="s">
        <v>10310</v>
      </c>
      <c r="I742" t="s">
        <v>10325</v>
      </c>
      <c r="L742">
        <v>2017</v>
      </c>
      <c r="R742" t="s">
        <v>11038</v>
      </c>
      <c r="S742" t="s">
        <v>10310</v>
      </c>
      <c r="V742" t="s">
        <v>11091</v>
      </c>
      <c r="W742" s="2" t="s">
        <v>11198</v>
      </c>
    </row>
    <row r="743" spans="1:23" hidden="1" x14ac:dyDescent="0.45">
      <c r="A743" s="1" t="s">
        <v>761</v>
      </c>
      <c r="E743" t="s">
        <v>8738</v>
      </c>
      <c r="F743" t="s">
        <v>10294</v>
      </c>
      <c r="G743">
        <v>9.6999999999999993</v>
      </c>
      <c r="H743" t="s">
        <v>10310</v>
      </c>
      <c r="I743" t="s">
        <v>10325</v>
      </c>
      <c r="L743">
        <v>2010</v>
      </c>
      <c r="N743">
        <v>46.719447002200013</v>
      </c>
      <c r="P743">
        <v>8.1845829683600009</v>
      </c>
      <c r="R743" t="s">
        <v>11038</v>
      </c>
      <c r="S743" t="s">
        <v>10310</v>
      </c>
      <c r="W743" s="2" t="s">
        <v>11198</v>
      </c>
    </row>
    <row r="744" spans="1:23" hidden="1" x14ac:dyDescent="0.45">
      <c r="A744" s="1" t="s">
        <v>762</v>
      </c>
      <c r="E744" t="s">
        <v>8739</v>
      </c>
      <c r="F744" t="s">
        <v>10294</v>
      </c>
      <c r="G744">
        <v>0.9</v>
      </c>
      <c r="H744" t="s">
        <v>10310</v>
      </c>
      <c r="I744" t="s">
        <v>10325</v>
      </c>
      <c r="L744">
        <v>2005</v>
      </c>
      <c r="N744">
        <v>46.7344427309</v>
      </c>
      <c r="P744">
        <v>8.0188876438799994</v>
      </c>
      <c r="R744" t="s">
        <v>11038</v>
      </c>
      <c r="S744" t="s">
        <v>10310</v>
      </c>
      <c r="W744" s="2" t="s">
        <v>11198</v>
      </c>
    </row>
    <row r="745" spans="1:23" hidden="1" x14ac:dyDescent="0.45">
      <c r="A745" s="1" t="s">
        <v>763</v>
      </c>
      <c r="E745" t="s">
        <v>763</v>
      </c>
      <c r="F745" t="s">
        <v>10294</v>
      </c>
      <c r="G745">
        <v>1.4</v>
      </c>
      <c r="H745" t="s">
        <v>10310</v>
      </c>
      <c r="I745" t="s">
        <v>10326</v>
      </c>
      <c r="L745">
        <v>1960</v>
      </c>
      <c r="N745">
        <v>46.6264198282</v>
      </c>
      <c r="P745">
        <v>8.0502423361499993</v>
      </c>
      <c r="R745" t="s">
        <v>11038</v>
      </c>
      <c r="S745" t="s">
        <v>10310</v>
      </c>
      <c r="W745" s="2" t="s">
        <v>11198</v>
      </c>
    </row>
    <row r="746" spans="1:23" hidden="1" x14ac:dyDescent="0.45">
      <c r="A746" s="1" t="s">
        <v>764</v>
      </c>
      <c r="E746" t="s">
        <v>8740</v>
      </c>
      <c r="F746" t="s">
        <v>10294</v>
      </c>
      <c r="G746">
        <v>11.9</v>
      </c>
      <c r="H746" t="s">
        <v>10310</v>
      </c>
      <c r="I746" t="s">
        <v>10325</v>
      </c>
      <c r="L746">
        <v>2011</v>
      </c>
      <c r="N746">
        <v>46.637328344300002</v>
      </c>
      <c r="P746">
        <v>7.9545042680600009</v>
      </c>
      <c r="R746" t="s">
        <v>11038</v>
      </c>
      <c r="S746" t="s">
        <v>10310</v>
      </c>
      <c r="W746" s="2" t="s">
        <v>11198</v>
      </c>
    </row>
    <row r="747" spans="1:23" hidden="1" x14ac:dyDescent="0.45">
      <c r="A747" s="1" t="s">
        <v>765</v>
      </c>
      <c r="E747" t="s">
        <v>8741</v>
      </c>
      <c r="F747" t="s">
        <v>10294</v>
      </c>
      <c r="G747">
        <v>4.3</v>
      </c>
      <c r="H747" t="s">
        <v>10310</v>
      </c>
      <c r="I747" t="s">
        <v>10325</v>
      </c>
      <c r="L747">
        <v>1979</v>
      </c>
      <c r="N747">
        <v>46.544726437999998</v>
      </c>
      <c r="P747">
        <v>7.8999074789600003</v>
      </c>
      <c r="R747" t="s">
        <v>11038</v>
      </c>
      <c r="S747" t="s">
        <v>10310</v>
      </c>
      <c r="W747" s="2" t="s">
        <v>11198</v>
      </c>
    </row>
    <row r="748" spans="1:23" hidden="1" x14ac:dyDescent="0.45">
      <c r="A748" s="1" t="s">
        <v>766</v>
      </c>
      <c r="E748" t="s">
        <v>8742</v>
      </c>
      <c r="F748" t="s">
        <v>10294</v>
      </c>
      <c r="G748">
        <v>0.48</v>
      </c>
      <c r="H748" t="s">
        <v>10310</v>
      </c>
      <c r="I748" t="s">
        <v>10325</v>
      </c>
      <c r="L748">
        <v>1999</v>
      </c>
      <c r="N748">
        <v>46.628378140400002</v>
      </c>
      <c r="P748">
        <v>7.8299775709500006</v>
      </c>
      <c r="R748" t="s">
        <v>11038</v>
      </c>
      <c r="S748" t="s">
        <v>10310</v>
      </c>
      <c r="V748" t="s">
        <v>11060</v>
      </c>
      <c r="W748" s="2" t="s">
        <v>11198</v>
      </c>
    </row>
    <row r="749" spans="1:23" hidden="1" x14ac:dyDescent="0.45">
      <c r="A749" s="1" t="s">
        <v>767</v>
      </c>
      <c r="E749" t="s">
        <v>8743</v>
      </c>
      <c r="F749" t="s">
        <v>10294</v>
      </c>
      <c r="G749">
        <v>0.8</v>
      </c>
      <c r="H749" t="s">
        <v>10310</v>
      </c>
      <c r="I749" t="s">
        <v>10325</v>
      </c>
      <c r="L749">
        <v>1998</v>
      </c>
      <c r="N749">
        <v>46.657621050000003</v>
      </c>
      <c r="P749">
        <v>7.8534445460000004</v>
      </c>
      <c r="R749" t="s">
        <v>11038</v>
      </c>
      <c r="S749" t="s">
        <v>10310</v>
      </c>
      <c r="V749" t="s">
        <v>11060</v>
      </c>
      <c r="W749" s="2" t="s">
        <v>11198</v>
      </c>
    </row>
    <row r="750" spans="1:23" hidden="1" x14ac:dyDescent="0.45">
      <c r="A750" s="1" t="s">
        <v>768</v>
      </c>
      <c r="E750" t="s">
        <v>8744</v>
      </c>
      <c r="F750" t="s">
        <v>10294</v>
      </c>
      <c r="G750">
        <v>0.82</v>
      </c>
      <c r="H750" t="s">
        <v>10310</v>
      </c>
      <c r="I750" t="s">
        <v>10325</v>
      </c>
      <c r="L750">
        <v>1932</v>
      </c>
      <c r="N750">
        <v>46.682640984099997</v>
      </c>
      <c r="P750">
        <v>7.8501072994199994</v>
      </c>
      <c r="R750" t="s">
        <v>11038</v>
      </c>
      <c r="S750" t="s">
        <v>10310</v>
      </c>
      <c r="W750" s="2" t="s">
        <v>11198</v>
      </c>
    </row>
    <row r="751" spans="1:23" hidden="1" x14ac:dyDescent="0.45">
      <c r="A751" s="1" t="s">
        <v>768</v>
      </c>
      <c r="E751" t="s">
        <v>8745</v>
      </c>
      <c r="F751" t="s">
        <v>10294</v>
      </c>
      <c r="G751">
        <v>0.3</v>
      </c>
      <c r="H751" t="s">
        <v>10310</v>
      </c>
      <c r="I751" t="s">
        <v>10325</v>
      </c>
      <c r="L751">
        <v>1996</v>
      </c>
      <c r="N751">
        <v>46.682640984099997</v>
      </c>
      <c r="P751">
        <v>7.8501072994199994</v>
      </c>
      <c r="R751" t="s">
        <v>11038</v>
      </c>
      <c r="S751" t="s">
        <v>10310</v>
      </c>
      <c r="W751" s="2" t="s">
        <v>11198</v>
      </c>
    </row>
    <row r="752" spans="1:23" hidden="1" x14ac:dyDescent="0.45">
      <c r="A752" s="1" t="s">
        <v>769</v>
      </c>
      <c r="E752" t="s">
        <v>8746</v>
      </c>
      <c r="F752" t="s">
        <v>10294</v>
      </c>
      <c r="G752">
        <v>2.1</v>
      </c>
      <c r="H752" t="s">
        <v>10310</v>
      </c>
      <c r="I752" t="s">
        <v>10325</v>
      </c>
      <c r="L752">
        <v>2009</v>
      </c>
      <c r="N752">
        <v>46.4750989753</v>
      </c>
      <c r="P752">
        <v>7.6601233952899994</v>
      </c>
      <c r="R752" t="s">
        <v>11038</v>
      </c>
      <c r="S752" t="s">
        <v>10310</v>
      </c>
      <c r="W752" s="2" t="s">
        <v>11198</v>
      </c>
    </row>
    <row r="753" spans="1:23" hidden="1" x14ac:dyDescent="0.45">
      <c r="A753" s="1" t="s">
        <v>770</v>
      </c>
      <c r="E753" t="s">
        <v>8747</v>
      </c>
      <c r="F753" t="s">
        <v>10294</v>
      </c>
      <c r="G753">
        <v>1.0900000000000001</v>
      </c>
      <c r="H753" t="s">
        <v>10310</v>
      </c>
      <c r="I753" t="s">
        <v>10325</v>
      </c>
      <c r="L753">
        <v>1958</v>
      </c>
      <c r="N753">
        <v>46.495633490400003</v>
      </c>
      <c r="P753">
        <v>7.6915989335399999</v>
      </c>
      <c r="R753" t="s">
        <v>11038</v>
      </c>
      <c r="S753" t="s">
        <v>10310</v>
      </c>
      <c r="V753" t="s">
        <v>11060</v>
      </c>
      <c r="W753" s="2" t="s">
        <v>11198</v>
      </c>
    </row>
    <row r="754" spans="1:23" hidden="1" x14ac:dyDescent="0.45">
      <c r="A754" s="1" t="s">
        <v>771</v>
      </c>
      <c r="E754" t="s">
        <v>8748</v>
      </c>
      <c r="F754" t="s">
        <v>10294</v>
      </c>
      <c r="G754">
        <v>1.03</v>
      </c>
      <c r="H754" t="s">
        <v>10310</v>
      </c>
      <c r="I754" t="s">
        <v>10325</v>
      </c>
      <c r="L754">
        <v>2012</v>
      </c>
      <c r="N754">
        <v>46.495938606300001</v>
      </c>
      <c r="P754">
        <v>7.6751878971399998</v>
      </c>
      <c r="R754" t="s">
        <v>11038</v>
      </c>
      <c r="S754" t="s">
        <v>10310</v>
      </c>
      <c r="W754" s="2" t="s">
        <v>11198</v>
      </c>
    </row>
    <row r="755" spans="1:23" hidden="1" x14ac:dyDescent="0.45">
      <c r="A755" s="1" t="s">
        <v>772</v>
      </c>
      <c r="E755" t="s">
        <v>8749</v>
      </c>
      <c r="F755" t="s">
        <v>10294</v>
      </c>
      <c r="G755">
        <v>19</v>
      </c>
      <c r="H755" t="s">
        <v>10310</v>
      </c>
      <c r="I755" t="s">
        <v>10325</v>
      </c>
      <c r="L755">
        <v>1991</v>
      </c>
      <c r="N755">
        <v>46.542747398400003</v>
      </c>
      <c r="P755">
        <v>7.659486599510001</v>
      </c>
      <c r="Q755" t="s">
        <v>10562</v>
      </c>
      <c r="R755" t="s">
        <v>11038</v>
      </c>
      <c r="S755" t="s">
        <v>10310</v>
      </c>
      <c r="W755" s="2" t="s">
        <v>11198</v>
      </c>
    </row>
    <row r="756" spans="1:23" hidden="1" x14ac:dyDescent="0.45">
      <c r="A756" s="1" t="s">
        <v>773</v>
      </c>
      <c r="E756" t="s">
        <v>8750</v>
      </c>
      <c r="F756" t="s">
        <v>10294</v>
      </c>
      <c r="G756">
        <v>0.6</v>
      </c>
      <c r="H756" t="s">
        <v>10310</v>
      </c>
      <c r="I756" t="s">
        <v>10325</v>
      </c>
      <c r="L756">
        <v>2011</v>
      </c>
      <c r="N756">
        <v>46.449160198199998</v>
      </c>
      <c r="P756">
        <v>7.5617584755399987</v>
      </c>
      <c r="R756" t="s">
        <v>11038</v>
      </c>
      <c r="S756" t="s">
        <v>10310</v>
      </c>
      <c r="W756" s="2" t="s">
        <v>11198</v>
      </c>
    </row>
    <row r="757" spans="1:23" hidden="1" x14ac:dyDescent="0.45">
      <c r="A757" s="1" t="s">
        <v>774</v>
      </c>
      <c r="E757" t="s">
        <v>8751</v>
      </c>
      <c r="F757" t="s">
        <v>10294</v>
      </c>
      <c r="G757">
        <v>2.75</v>
      </c>
      <c r="H757" t="s">
        <v>10310</v>
      </c>
      <c r="I757" t="s">
        <v>10325</v>
      </c>
      <c r="L757">
        <v>2017</v>
      </c>
      <c r="R757" t="s">
        <v>11038</v>
      </c>
      <c r="S757" t="s">
        <v>10310</v>
      </c>
      <c r="W757" s="2" t="s">
        <v>11198</v>
      </c>
    </row>
    <row r="758" spans="1:23" hidden="1" x14ac:dyDescent="0.45">
      <c r="A758" s="1" t="s">
        <v>775</v>
      </c>
      <c r="E758" t="s">
        <v>8752</v>
      </c>
      <c r="F758" t="s">
        <v>10294</v>
      </c>
      <c r="G758">
        <v>0.35</v>
      </c>
      <c r="H758" t="s">
        <v>10310</v>
      </c>
      <c r="I758" t="s">
        <v>10325</v>
      </c>
      <c r="L758">
        <v>2014</v>
      </c>
      <c r="N758">
        <v>46.496100115499999</v>
      </c>
      <c r="P758">
        <v>7.5768440178600001</v>
      </c>
      <c r="R758" t="s">
        <v>11038</v>
      </c>
      <c r="S758" t="s">
        <v>10310</v>
      </c>
      <c r="W758" s="2" t="s">
        <v>11198</v>
      </c>
    </row>
    <row r="759" spans="1:23" hidden="1" x14ac:dyDescent="0.45">
      <c r="A759" s="1" t="s">
        <v>776</v>
      </c>
      <c r="E759" t="s">
        <v>8753</v>
      </c>
      <c r="F759" t="s">
        <v>10294</v>
      </c>
      <c r="G759">
        <v>0.9</v>
      </c>
      <c r="H759" t="s">
        <v>10310</v>
      </c>
      <c r="I759" t="s">
        <v>10325</v>
      </c>
      <c r="L759">
        <v>1996</v>
      </c>
      <c r="N759">
        <v>46.506887583599998</v>
      </c>
      <c r="P759">
        <v>7.5827341303600004</v>
      </c>
      <c r="R759" t="s">
        <v>11038</v>
      </c>
      <c r="S759" t="s">
        <v>10310</v>
      </c>
      <c r="W759" s="2" t="s">
        <v>11198</v>
      </c>
    </row>
    <row r="760" spans="1:23" hidden="1" x14ac:dyDescent="0.45">
      <c r="A760" s="1" t="s">
        <v>777</v>
      </c>
      <c r="E760" t="s">
        <v>8754</v>
      </c>
      <c r="F760" t="s">
        <v>10294</v>
      </c>
      <c r="G760">
        <v>18.66</v>
      </c>
      <c r="H760" t="s">
        <v>10310</v>
      </c>
      <c r="I760" t="s">
        <v>10325</v>
      </c>
      <c r="L760">
        <v>1986</v>
      </c>
      <c r="N760">
        <v>46.696651040299997</v>
      </c>
      <c r="P760">
        <v>7.6649514724000003</v>
      </c>
      <c r="R760" t="s">
        <v>11038</v>
      </c>
      <c r="S760" t="s">
        <v>10310</v>
      </c>
      <c r="V760" t="s">
        <v>11092</v>
      </c>
      <c r="W760" s="2" t="s">
        <v>11198</v>
      </c>
    </row>
    <row r="761" spans="1:23" hidden="1" x14ac:dyDescent="0.45">
      <c r="A761" s="1" t="s">
        <v>778</v>
      </c>
      <c r="E761" t="s">
        <v>8755</v>
      </c>
      <c r="F761" t="s">
        <v>10294</v>
      </c>
      <c r="G761">
        <v>2.09</v>
      </c>
      <c r="H761" t="s">
        <v>10310</v>
      </c>
      <c r="I761" t="s">
        <v>10325</v>
      </c>
      <c r="L761">
        <v>2016</v>
      </c>
      <c r="R761" t="s">
        <v>11038</v>
      </c>
      <c r="S761" t="s">
        <v>10310</v>
      </c>
      <c r="W761" s="2" t="s">
        <v>11198</v>
      </c>
    </row>
    <row r="762" spans="1:23" hidden="1" x14ac:dyDescent="0.45">
      <c r="A762" s="1" t="s">
        <v>779</v>
      </c>
      <c r="E762" t="s">
        <v>8756</v>
      </c>
      <c r="F762" t="s">
        <v>10294</v>
      </c>
      <c r="G762">
        <v>0.35</v>
      </c>
      <c r="H762" t="s">
        <v>10310</v>
      </c>
      <c r="I762" t="s">
        <v>10325</v>
      </c>
      <c r="L762">
        <v>2016</v>
      </c>
      <c r="R762" t="s">
        <v>11038</v>
      </c>
      <c r="S762" t="s">
        <v>10310</v>
      </c>
      <c r="W762" s="2" t="s">
        <v>11198</v>
      </c>
    </row>
    <row r="763" spans="1:23" hidden="1" x14ac:dyDescent="0.45">
      <c r="A763" s="1" t="s">
        <v>780</v>
      </c>
      <c r="E763" t="s">
        <v>8757</v>
      </c>
      <c r="F763" t="s">
        <v>10294</v>
      </c>
      <c r="G763">
        <v>2.6</v>
      </c>
      <c r="H763" t="s">
        <v>10310</v>
      </c>
      <c r="I763" t="s">
        <v>10325</v>
      </c>
      <c r="L763">
        <v>2016</v>
      </c>
      <c r="R763" t="s">
        <v>11038</v>
      </c>
      <c r="S763" t="s">
        <v>10310</v>
      </c>
      <c r="W763" s="2" t="s">
        <v>11198</v>
      </c>
    </row>
    <row r="764" spans="1:23" hidden="1" x14ac:dyDescent="0.45">
      <c r="A764" s="1" t="s">
        <v>781</v>
      </c>
      <c r="E764" t="s">
        <v>8758</v>
      </c>
      <c r="F764" t="s">
        <v>10294</v>
      </c>
      <c r="G764">
        <v>0.37</v>
      </c>
      <c r="H764" t="s">
        <v>10310</v>
      </c>
      <c r="I764" t="s">
        <v>10325</v>
      </c>
      <c r="L764">
        <v>1999</v>
      </c>
      <c r="N764">
        <v>46.666916263700003</v>
      </c>
      <c r="P764">
        <v>7.4641185117099997</v>
      </c>
      <c r="R764" t="s">
        <v>11038</v>
      </c>
      <c r="S764" t="s">
        <v>10310</v>
      </c>
      <c r="W764" s="2" t="s">
        <v>11198</v>
      </c>
    </row>
    <row r="765" spans="1:23" hidden="1" x14ac:dyDescent="0.45">
      <c r="A765" s="1" t="s">
        <v>782</v>
      </c>
      <c r="E765" t="s">
        <v>783</v>
      </c>
      <c r="F765" t="s">
        <v>10294</v>
      </c>
      <c r="G765">
        <v>1.3</v>
      </c>
      <c r="H765" t="s">
        <v>10310</v>
      </c>
      <c r="I765" t="s">
        <v>10326</v>
      </c>
      <c r="L765">
        <v>1996</v>
      </c>
      <c r="N765">
        <v>46.663898526200001</v>
      </c>
      <c r="P765">
        <v>7.5482636837899992</v>
      </c>
      <c r="R765" t="s">
        <v>11038</v>
      </c>
      <c r="S765" t="s">
        <v>10310</v>
      </c>
      <c r="V765" t="s">
        <v>11093</v>
      </c>
      <c r="W765" s="2" t="s">
        <v>11198</v>
      </c>
    </row>
    <row r="766" spans="1:23" hidden="1" x14ac:dyDescent="0.45">
      <c r="A766" s="1" t="s">
        <v>783</v>
      </c>
      <c r="E766" t="s">
        <v>783</v>
      </c>
      <c r="F766" t="s">
        <v>10294</v>
      </c>
      <c r="G766">
        <v>18</v>
      </c>
      <c r="H766" t="s">
        <v>10310</v>
      </c>
      <c r="I766" t="s">
        <v>10325</v>
      </c>
      <c r="L766">
        <v>2005</v>
      </c>
      <c r="N766">
        <v>46.656882156400002</v>
      </c>
      <c r="P766">
        <v>7.5481189122199996</v>
      </c>
      <c r="R766" t="s">
        <v>11038</v>
      </c>
      <c r="S766" t="s">
        <v>10310</v>
      </c>
      <c r="W766" s="2" t="s">
        <v>11198</v>
      </c>
    </row>
    <row r="767" spans="1:23" hidden="1" x14ac:dyDescent="0.45">
      <c r="A767" s="1" t="s">
        <v>784</v>
      </c>
      <c r="E767" t="s">
        <v>8759</v>
      </c>
      <c r="F767" t="s">
        <v>10294</v>
      </c>
      <c r="G767">
        <v>9</v>
      </c>
      <c r="H767" t="s">
        <v>10310</v>
      </c>
      <c r="I767" t="s">
        <v>10325</v>
      </c>
      <c r="L767">
        <v>2000</v>
      </c>
      <c r="N767">
        <v>46.672798786800001</v>
      </c>
      <c r="P767">
        <v>7.622640840589999</v>
      </c>
      <c r="R767" t="s">
        <v>11038</v>
      </c>
      <c r="S767" t="s">
        <v>10310</v>
      </c>
      <c r="W767" s="2" t="s">
        <v>11198</v>
      </c>
    </row>
    <row r="768" spans="1:23" hidden="1" x14ac:dyDescent="0.45">
      <c r="A768" s="1" t="s">
        <v>785</v>
      </c>
      <c r="E768" t="s">
        <v>8760</v>
      </c>
      <c r="F768" t="s">
        <v>10294</v>
      </c>
      <c r="G768">
        <v>6.32</v>
      </c>
      <c r="H768" t="s">
        <v>10310</v>
      </c>
      <c r="I768" t="s">
        <v>10325</v>
      </c>
      <c r="L768">
        <v>1962</v>
      </c>
      <c r="N768">
        <v>46.761688692700012</v>
      </c>
      <c r="P768">
        <v>7.613387176389999</v>
      </c>
      <c r="R768" t="s">
        <v>11038</v>
      </c>
      <c r="S768" t="s">
        <v>10310</v>
      </c>
      <c r="W768" s="2" t="s">
        <v>11198</v>
      </c>
    </row>
    <row r="769" spans="1:23" hidden="1" x14ac:dyDescent="0.45">
      <c r="A769" s="1" t="s">
        <v>786</v>
      </c>
      <c r="E769" t="s">
        <v>8760</v>
      </c>
      <c r="F769" t="s">
        <v>10294</v>
      </c>
      <c r="G769">
        <v>2.83</v>
      </c>
      <c r="H769" t="s">
        <v>10310</v>
      </c>
      <c r="I769" t="s">
        <v>10325</v>
      </c>
      <c r="L769">
        <v>1994</v>
      </c>
      <c r="N769">
        <v>46.761677912700002</v>
      </c>
      <c r="P769">
        <v>7.6203248282600011</v>
      </c>
      <c r="R769" t="s">
        <v>11038</v>
      </c>
      <c r="S769" t="s">
        <v>10310</v>
      </c>
      <c r="V769" t="s">
        <v>11094</v>
      </c>
      <c r="W769" s="2" t="s">
        <v>11198</v>
      </c>
    </row>
    <row r="770" spans="1:23" hidden="1" x14ac:dyDescent="0.45">
      <c r="A770" s="1" t="s">
        <v>787</v>
      </c>
      <c r="E770" t="s">
        <v>8761</v>
      </c>
      <c r="F770" t="s">
        <v>10294</v>
      </c>
      <c r="G770">
        <v>0.44</v>
      </c>
      <c r="H770" t="s">
        <v>10310</v>
      </c>
      <c r="I770" t="s">
        <v>10325</v>
      </c>
      <c r="L770">
        <v>1937</v>
      </c>
      <c r="N770">
        <v>46.761596736999998</v>
      </c>
      <c r="P770">
        <v>7.6146958751499998</v>
      </c>
      <c r="R770" t="s">
        <v>11038</v>
      </c>
      <c r="S770" t="s">
        <v>10310</v>
      </c>
      <c r="W770" s="2" t="s">
        <v>11198</v>
      </c>
    </row>
    <row r="771" spans="1:23" hidden="1" x14ac:dyDescent="0.45">
      <c r="A771" s="1" t="s">
        <v>788</v>
      </c>
      <c r="E771" t="s">
        <v>788</v>
      </c>
      <c r="F771" t="s">
        <v>10294</v>
      </c>
      <c r="G771">
        <v>0.64</v>
      </c>
      <c r="H771" t="s">
        <v>10310</v>
      </c>
      <c r="I771" t="s">
        <v>10325</v>
      </c>
      <c r="L771">
        <v>1990</v>
      </c>
      <c r="N771">
        <v>46.727704518000003</v>
      </c>
      <c r="P771">
        <v>7.5133333537899993</v>
      </c>
      <c r="R771" t="s">
        <v>11038</v>
      </c>
      <c r="S771" t="s">
        <v>10310</v>
      </c>
      <c r="V771" t="s">
        <v>11060</v>
      </c>
      <c r="W771" s="2" t="s">
        <v>11198</v>
      </c>
    </row>
    <row r="772" spans="1:23" hidden="1" x14ac:dyDescent="0.45">
      <c r="A772" s="1" t="s">
        <v>789</v>
      </c>
      <c r="E772" t="s">
        <v>8762</v>
      </c>
      <c r="F772" t="s">
        <v>10294</v>
      </c>
      <c r="G772">
        <v>1.1599999999999999</v>
      </c>
      <c r="H772" t="s">
        <v>10310</v>
      </c>
      <c r="I772" t="s">
        <v>10325</v>
      </c>
      <c r="L772">
        <v>1986</v>
      </c>
      <c r="N772">
        <v>46.946493458699997</v>
      </c>
      <c r="P772">
        <v>7.4567593278300004</v>
      </c>
      <c r="R772" t="s">
        <v>11038</v>
      </c>
      <c r="S772" t="s">
        <v>10310</v>
      </c>
      <c r="W772" s="2" t="s">
        <v>11198</v>
      </c>
    </row>
    <row r="773" spans="1:23" hidden="1" x14ac:dyDescent="0.45">
      <c r="A773" s="1" t="s">
        <v>790</v>
      </c>
      <c r="E773" t="s">
        <v>8763</v>
      </c>
      <c r="F773" t="s">
        <v>10294</v>
      </c>
      <c r="G773">
        <v>0.44</v>
      </c>
      <c r="H773" t="s">
        <v>10310</v>
      </c>
      <c r="I773" t="s">
        <v>10325</v>
      </c>
      <c r="L773">
        <v>1998</v>
      </c>
      <c r="N773">
        <v>46.968442940800003</v>
      </c>
      <c r="P773">
        <v>7.4394210644800012</v>
      </c>
      <c r="R773" t="s">
        <v>11038</v>
      </c>
      <c r="S773" t="s">
        <v>10310</v>
      </c>
      <c r="W773" s="2" t="s">
        <v>11198</v>
      </c>
    </row>
    <row r="774" spans="1:23" hidden="1" x14ac:dyDescent="0.45">
      <c r="A774" s="1" t="s">
        <v>790</v>
      </c>
      <c r="E774" t="s">
        <v>790</v>
      </c>
      <c r="F774" t="s">
        <v>10294</v>
      </c>
      <c r="G774">
        <v>11.5</v>
      </c>
      <c r="H774" t="s">
        <v>10310</v>
      </c>
      <c r="I774" t="s">
        <v>10325</v>
      </c>
      <c r="L774">
        <v>1989</v>
      </c>
      <c r="N774">
        <v>46.968442940800003</v>
      </c>
      <c r="P774">
        <v>7.4394210644800012</v>
      </c>
      <c r="R774" t="s">
        <v>11038</v>
      </c>
      <c r="S774" t="s">
        <v>10310</v>
      </c>
      <c r="W774" s="2" t="s">
        <v>11198</v>
      </c>
    </row>
    <row r="775" spans="1:23" hidden="1" x14ac:dyDescent="0.45">
      <c r="A775" s="1" t="s">
        <v>791</v>
      </c>
      <c r="E775" t="s">
        <v>8764</v>
      </c>
      <c r="F775" t="s">
        <v>10294</v>
      </c>
      <c r="G775">
        <v>44.59</v>
      </c>
      <c r="H775" t="s">
        <v>10310</v>
      </c>
      <c r="I775" t="s">
        <v>10325</v>
      </c>
      <c r="L775">
        <v>1965</v>
      </c>
      <c r="N775">
        <v>46.9691475017</v>
      </c>
      <c r="P775">
        <v>7.2844939737399992</v>
      </c>
      <c r="R775" t="s">
        <v>11038</v>
      </c>
      <c r="S775" t="s">
        <v>10310</v>
      </c>
      <c r="W775" s="2" t="s">
        <v>11198</v>
      </c>
    </row>
    <row r="776" spans="1:23" hidden="1" x14ac:dyDescent="0.45">
      <c r="A776" s="1" t="s">
        <v>792</v>
      </c>
      <c r="E776" t="s">
        <v>8765</v>
      </c>
      <c r="F776" t="s">
        <v>10294</v>
      </c>
      <c r="G776">
        <v>18</v>
      </c>
      <c r="H776" t="s">
        <v>10310</v>
      </c>
      <c r="I776" t="s">
        <v>10326</v>
      </c>
      <c r="L776">
        <v>1966</v>
      </c>
      <c r="N776">
        <v>46.376426131899997</v>
      </c>
      <c r="P776">
        <v>7.2779998534899999</v>
      </c>
      <c r="R776" t="s">
        <v>11038</v>
      </c>
      <c r="S776" t="s">
        <v>10310</v>
      </c>
      <c r="W776" s="2" t="s">
        <v>11198</v>
      </c>
    </row>
    <row r="777" spans="1:23" hidden="1" x14ac:dyDescent="0.45">
      <c r="A777" s="1" t="s">
        <v>793</v>
      </c>
      <c r="E777" t="s">
        <v>8766</v>
      </c>
      <c r="F777" t="s">
        <v>10294</v>
      </c>
      <c r="G777">
        <v>0.9</v>
      </c>
      <c r="H777" t="s">
        <v>10310</v>
      </c>
      <c r="I777" t="s">
        <v>10325</v>
      </c>
      <c r="L777">
        <v>2014</v>
      </c>
      <c r="N777">
        <v>46.424153331800007</v>
      </c>
      <c r="P777">
        <v>7.3183139531300014</v>
      </c>
      <c r="R777" t="s">
        <v>11038</v>
      </c>
      <c r="S777" t="s">
        <v>10310</v>
      </c>
      <c r="W777" s="2" t="s">
        <v>11198</v>
      </c>
    </row>
    <row r="778" spans="1:23" hidden="1" x14ac:dyDescent="0.45">
      <c r="A778" s="1" t="s">
        <v>794</v>
      </c>
      <c r="E778" t="s">
        <v>8767</v>
      </c>
      <c r="F778" t="s">
        <v>10294</v>
      </c>
      <c r="G778">
        <v>0.72</v>
      </c>
      <c r="H778" t="s">
        <v>10310</v>
      </c>
      <c r="I778" t="s">
        <v>10325</v>
      </c>
      <c r="L778">
        <v>2015</v>
      </c>
      <c r="N778">
        <v>46.385228089500004</v>
      </c>
      <c r="P778">
        <v>7.2686142560500002</v>
      </c>
      <c r="R778" t="s">
        <v>11038</v>
      </c>
      <c r="S778" t="s">
        <v>10310</v>
      </c>
      <c r="W778" s="2" t="s">
        <v>11198</v>
      </c>
    </row>
    <row r="779" spans="1:23" hidden="1" x14ac:dyDescent="0.45">
      <c r="A779" s="1" t="s">
        <v>795</v>
      </c>
      <c r="E779" t="s">
        <v>8768</v>
      </c>
      <c r="F779" t="s">
        <v>10294</v>
      </c>
      <c r="G779">
        <v>0.45</v>
      </c>
      <c r="H779" t="s">
        <v>10310</v>
      </c>
      <c r="I779" t="s">
        <v>10325</v>
      </c>
      <c r="L779">
        <v>1996</v>
      </c>
      <c r="N779">
        <v>46.473272454099998</v>
      </c>
      <c r="P779">
        <v>7.1652156040000001</v>
      </c>
      <c r="R779" t="s">
        <v>11038</v>
      </c>
      <c r="S779" t="s">
        <v>10310</v>
      </c>
      <c r="W779" s="2" t="s">
        <v>11198</v>
      </c>
    </row>
    <row r="780" spans="1:23" hidden="1" x14ac:dyDescent="0.45">
      <c r="A780" s="1" t="s">
        <v>796</v>
      </c>
      <c r="E780" t="s">
        <v>796</v>
      </c>
      <c r="F780" t="s">
        <v>10294</v>
      </c>
      <c r="G780">
        <v>31</v>
      </c>
      <c r="H780" t="s">
        <v>10310</v>
      </c>
      <c r="I780" t="s">
        <v>10325</v>
      </c>
      <c r="L780">
        <v>1972</v>
      </c>
      <c r="N780">
        <v>46.487952461800013</v>
      </c>
      <c r="P780">
        <v>7.0483169049500001</v>
      </c>
      <c r="R780" t="s">
        <v>11038</v>
      </c>
      <c r="S780" t="s">
        <v>10310</v>
      </c>
      <c r="W780" s="2" t="s">
        <v>11198</v>
      </c>
    </row>
    <row r="781" spans="1:23" hidden="1" x14ac:dyDescent="0.45">
      <c r="A781" s="1" t="s">
        <v>797</v>
      </c>
      <c r="E781" t="s">
        <v>797</v>
      </c>
      <c r="F781" t="s">
        <v>10294</v>
      </c>
      <c r="G781">
        <v>8.56</v>
      </c>
      <c r="H781" t="s">
        <v>10310</v>
      </c>
      <c r="I781" t="s">
        <v>10325</v>
      </c>
      <c r="L781">
        <v>1973</v>
      </c>
      <c r="N781">
        <v>46.506050804300003</v>
      </c>
      <c r="P781">
        <v>7.0532671282199999</v>
      </c>
      <c r="R781" t="s">
        <v>11038</v>
      </c>
      <c r="S781" t="s">
        <v>10310</v>
      </c>
      <c r="W781" s="2" t="s">
        <v>11198</v>
      </c>
    </row>
    <row r="782" spans="1:23" hidden="1" x14ac:dyDescent="0.45">
      <c r="A782" s="1" t="s">
        <v>798</v>
      </c>
      <c r="E782" t="s">
        <v>8769</v>
      </c>
      <c r="F782" t="s">
        <v>10294</v>
      </c>
      <c r="G782">
        <v>2.9</v>
      </c>
      <c r="H782" t="s">
        <v>10310</v>
      </c>
      <c r="I782" t="s">
        <v>10325</v>
      </c>
      <c r="L782">
        <v>1999</v>
      </c>
      <c r="N782">
        <v>46.5351297566</v>
      </c>
      <c r="P782">
        <v>7.087994040189999</v>
      </c>
      <c r="R782" t="s">
        <v>11038</v>
      </c>
      <c r="S782" t="s">
        <v>10310</v>
      </c>
      <c r="W782" s="2" t="s">
        <v>11198</v>
      </c>
    </row>
    <row r="783" spans="1:23" hidden="1" x14ac:dyDescent="0.45">
      <c r="A783" s="1" t="s">
        <v>799</v>
      </c>
      <c r="E783" t="s">
        <v>799</v>
      </c>
      <c r="F783" t="s">
        <v>10294</v>
      </c>
      <c r="G783">
        <v>0.38</v>
      </c>
      <c r="H783" t="s">
        <v>10310</v>
      </c>
      <c r="I783" t="s">
        <v>10325</v>
      </c>
      <c r="L783">
        <v>1982</v>
      </c>
      <c r="N783">
        <v>46.608500499599998</v>
      </c>
      <c r="P783">
        <v>7.2693436033100012</v>
      </c>
      <c r="R783" t="s">
        <v>11038</v>
      </c>
      <c r="S783" t="s">
        <v>10310</v>
      </c>
      <c r="W783" s="2" t="s">
        <v>11198</v>
      </c>
    </row>
    <row r="784" spans="1:23" hidden="1" x14ac:dyDescent="0.45">
      <c r="A784" s="1" t="s">
        <v>800</v>
      </c>
      <c r="E784" t="s">
        <v>8770</v>
      </c>
      <c r="F784" t="s">
        <v>10294</v>
      </c>
      <c r="G784">
        <v>0.86</v>
      </c>
      <c r="H784" t="s">
        <v>10310</v>
      </c>
      <c r="I784" t="s">
        <v>10325</v>
      </c>
      <c r="L784">
        <v>2012</v>
      </c>
      <c r="N784">
        <v>46.611832921199998</v>
      </c>
      <c r="P784">
        <v>7.1769130002699999</v>
      </c>
      <c r="R784" t="s">
        <v>11038</v>
      </c>
      <c r="S784" t="s">
        <v>10310</v>
      </c>
      <c r="W784" s="2" t="s">
        <v>11198</v>
      </c>
    </row>
    <row r="785" spans="1:23" hidden="1" x14ac:dyDescent="0.45">
      <c r="A785" s="1" t="s">
        <v>801</v>
      </c>
      <c r="E785" t="s">
        <v>8771</v>
      </c>
      <c r="F785" t="s">
        <v>10294</v>
      </c>
      <c r="G785">
        <v>5.27</v>
      </c>
      <c r="H785" t="s">
        <v>10310</v>
      </c>
      <c r="I785" t="s">
        <v>10325</v>
      </c>
      <c r="L785">
        <v>1982</v>
      </c>
      <c r="N785">
        <v>46.614585556599998</v>
      </c>
      <c r="P785">
        <v>7.1617565375100014</v>
      </c>
      <c r="R785" t="s">
        <v>11038</v>
      </c>
      <c r="S785" t="s">
        <v>10310</v>
      </c>
      <c r="W785" s="2" t="s">
        <v>11198</v>
      </c>
    </row>
    <row r="786" spans="1:23" hidden="1" x14ac:dyDescent="0.45">
      <c r="A786" s="1" t="s">
        <v>802</v>
      </c>
      <c r="E786" t="s">
        <v>802</v>
      </c>
      <c r="F786" t="s">
        <v>10294</v>
      </c>
      <c r="G786">
        <v>25</v>
      </c>
      <c r="H786" t="s">
        <v>10310</v>
      </c>
      <c r="I786" t="s">
        <v>10325</v>
      </c>
      <c r="L786">
        <v>1988</v>
      </c>
      <c r="N786">
        <v>46.6098576224</v>
      </c>
      <c r="P786">
        <v>7.1093067527199993</v>
      </c>
      <c r="R786" t="s">
        <v>11038</v>
      </c>
      <c r="S786" t="s">
        <v>10310</v>
      </c>
      <c r="W786" s="2" t="s">
        <v>11198</v>
      </c>
    </row>
    <row r="787" spans="1:23" hidden="1" x14ac:dyDescent="0.45">
      <c r="A787" s="1" t="s">
        <v>803</v>
      </c>
      <c r="E787" t="s">
        <v>8772</v>
      </c>
      <c r="F787" t="s">
        <v>10294</v>
      </c>
      <c r="G787">
        <v>0.7</v>
      </c>
      <c r="H787" t="s">
        <v>10310</v>
      </c>
      <c r="I787" t="s">
        <v>10325</v>
      </c>
      <c r="L787">
        <v>1976</v>
      </c>
      <c r="N787">
        <v>46.717903685299987</v>
      </c>
      <c r="P787">
        <v>7.1124380045000004</v>
      </c>
      <c r="R787" t="s">
        <v>11038</v>
      </c>
      <c r="S787" t="s">
        <v>10310</v>
      </c>
      <c r="V787" t="s">
        <v>11095</v>
      </c>
      <c r="W787" s="2" t="s">
        <v>11198</v>
      </c>
    </row>
    <row r="788" spans="1:23" hidden="1" x14ac:dyDescent="0.45">
      <c r="A788" s="1" t="s">
        <v>804</v>
      </c>
      <c r="E788" t="s">
        <v>8772</v>
      </c>
      <c r="F788" t="s">
        <v>10294</v>
      </c>
      <c r="G788">
        <v>1.7</v>
      </c>
      <c r="H788" t="s">
        <v>10310</v>
      </c>
      <c r="I788" t="s">
        <v>10325</v>
      </c>
      <c r="L788">
        <v>2005</v>
      </c>
      <c r="N788">
        <v>46.717903685299987</v>
      </c>
      <c r="P788">
        <v>7.1124380045000004</v>
      </c>
      <c r="R788" t="s">
        <v>11038</v>
      </c>
      <c r="S788" t="s">
        <v>10310</v>
      </c>
      <c r="W788" s="2" t="s">
        <v>11198</v>
      </c>
    </row>
    <row r="789" spans="1:23" hidden="1" x14ac:dyDescent="0.45">
      <c r="A789" s="1" t="s">
        <v>805</v>
      </c>
      <c r="E789" t="s">
        <v>805</v>
      </c>
      <c r="F789" t="s">
        <v>10294</v>
      </c>
      <c r="G789">
        <v>60</v>
      </c>
      <c r="H789" t="s">
        <v>10310</v>
      </c>
      <c r="I789" t="s">
        <v>10326</v>
      </c>
      <c r="L789">
        <v>1948</v>
      </c>
      <c r="N789">
        <v>46.768950668700001</v>
      </c>
      <c r="P789">
        <v>7.1275763544000004</v>
      </c>
      <c r="R789" t="s">
        <v>11038</v>
      </c>
      <c r="S789" t="s">
        <v>10310</v>
      </c>
      <c r="W789" s="2" t="s">
        <v>11198</v>
      </c>
    </row>
    <row r="790" spans="1:23" hidden="1" x14ac:dyDescent="0.45">
      <c r="A790" s="1" t="s">
        <v>806</v>
      </c>
      <c r="E790" t="s">
        <v>8773</v>
      </c>
      <c r="F790" t="s">
        <v>10294</v>
      </c>
      <c r="G790">
        <v>0.57999999999999996</v>
      </c>
      <c r="H790" t="s">
        <v>10310</v>
      </c>
      <c r="I790" t="s">
        <v>10325</v>
      </c>
      <c r="L790">
        <v>1952</v>
      </c>
      <c r="N790">
        <v>46.7987340488</v>
      </c>
      <c r="P790">
        <v>7.1659149432699998</v>
      </c>
      <c r="R790" t="s">
        <v>11038</v>
      </c>
      <c r="S790" t="s">
        <v>10310</v>
      </c>
      <c r="W790" s="2" t="s">
        <v>11198</v>
      </c>
    </row>
    <row r="791" spans="1:23" hidden="1" x14ac:dyDescent="0.45">
      <c r="A791" s="1" t="s">
        <v>807</v>
      </c>
      <c r="E791" t="s">
        <v>8774</v>
      </c>
      <c r="F791" t="s">
        <v>10294</v>
      </c>
      <c r="G791">
        <v>18.3</v>
      </c>
      <c r="H791" t="s">
        <v>10310</v>
      </c>
      <c r="I791" t="s">
        <v>10326</v>
      </c>
      <c r="L791">
        <v>1980</v>
      </c>
      <c r="N791">
        <v>46.801705950399999</v>
      </c>
      <c r="P791">
        <v>7.1673408094000006</v>
      </c>
      <c r="R791" t="s">
        <v>11038</v>
      </c>
      <c r="S791" t="s">
        <v>10310</v>
      </c>
      <c r="W791" s="2" t="s">
        <v>11198</v>
      </c>
    </row>
    <row r="792" spans="1:23" hidden="1" x14ac:dyDescent="0.45">
      <c r="A792" s="1" t="s">
        <v>808</v>
      </c>
      <c r="E792" t="s">
        <v>808</v>
      </c>
      <c r="F792" t="s">
        <v>10294</v>
      </c>
      <c r="G792">
        <v>71</v>
      </c>
      <c r="H792" t="s">
        <v>10310</v>
      </c>
      <c r="I792" t="s">
        <v>10326</v>
      </c>
      <c r="L792">
        <v>1964</v>
      </c>
      <c r="N792">
        <v>46.882725204700002</v>
      </c>
      <c r="P792">
        <v>7.1942190362199998</v>
      </c>
      <c r="R792" t="s">
        <v>11038</v>
      </c>
      <c r="S792" t="s">
        <v>10310</v>
      </c>
      <c r="W792" s="2" t="s">
        <v>11198</v>
      </c>
    </row>
    <row r="793" spans="1:23" hidden="1" x14ac:dyDescent="0.45">
      <c r="A793" s="1" t="s">
        <v>809</v>
      </c>
      <c r="E793" t="s">
        <v>8775</v>
      </c>
      <c r="F793" t="s">
        <v>10294</v>
      </c>
      <c r="G793">
        <v>15</v>
      </c>
      <c r="H793" t="s">
        <v>10310</v>
      </c>
      <c r="I793" t="s">
        <v>10325</v>
      </c>
      <c r="L793">
        <v>1992</v>
      </c>
      <c r="N793">
        <v>47.003172176499987</v>
      </c>
      <c r="P793">
        <v>7.2411356711800003</v>
      </c>
      <c r="R793" t="s">
        <v>11038</v>
      </c>
      <c r="S793" t="s">
        <v>10310</v>
      </c>
      <c r="V793" t="s">
        <v>11096</v>
      </c>
      <c r="W793" s="2" t="s">
        <v>11198</v>
      </c>
    </row>
    <row r="794" spans="1:23" hidden="1" x14ac:dyDescent="0.45">
      <c r="A794" s="1" t="s">
        <v>810</v>
      </c>
      <c r="E794" t="s">
        <v>810</v>
      </c>
      <c r="F794" t="s">
        <v>10294</v>
      </c>
      <c r="G794">
        <v>15.2</v>
      </c>
      <c r="H794" t="s">
        <v>10310</v>
      </c>
      <c r="I794" t="s">
        <v>10325</v>
      </c>
      <c r="L794">
        <v>1994</v>
      </c>
      <c r="N794">
        <v>47.0378523989</v>
      </c>
      <c r="P794">
        <v>7.2719272107100013</v>
      </c>
      <c r="R794" t="s">
        <v>11038</v>
      </c>
      <c r="S794" t="s">
        <v>10310</v>
      </c>
      <c r="V794" t="s">
        <v>11097</v>
      </c>
      <c r="W794" s="2" t="s">
        <v>11198</v>
      </c>
    </row>
    <row r="795" spans="1:23" hidden="1" x14ac:dyDescent="0.45">
      <c r="A795" s="1" t="s">
        <v>811</v>
      </c>
      <c r="E795" t="s">
        <v>811</v>
      </c>
      <c r="F795" t="s">
        <v>10294</v>
      </c>
      <c r="G795">
        <v>8.3000000000000007</v>
      </c>
      <c r="H795" t="s">
        <v>10310</v>
      </c>
      <c r="I795" t="s">
        <v>10325</v>
      </c>
      <c r="L795">
        <v>1980</v>
      </c>
      <c r="N795">
        <v>47.021499015200007</v>
      </c>
      <c r="P795">
        <v>7.2281774902300002</v>
      </c>
      <c r="R795" t="s">
        <v>11038</v>
      </c>
      <c r="S795" t="s">
        <v>10310</v>
      </c>
      <c r="V795" t="s">
        <v>11098</v>
      </c>
      <c r="W795" s="2" t="s">
        <v>11198</v>
      </c>
    </row>
    <row r="796" spans="1:23" hidden="1" x14ac:dyDescent="0.45">
      <c r="A796" s="1" t="s">
        <v>812</v>
      </c>
      <c r="E796" t="s">
        <v>8776</v>
      </c>
      <c r="F796" t="s">
        <v>10294</v>
      </c>
      <c r="G796">
        <v>2.91</v>
      </c>
      <c r="H796" t="s">
        <v>10310</v>
      </c>
      <c r="I796" t="s">
        <v>10325</v>
      </c>
      <c r="L796">
        <v>2016</v>
      </c>
      <c r="R796" t="s">
        <v>11038</v>
      </c>
      <c r="S796" t="s">
        <v>10310</v>
      </c>
      <c r="V796" t="s">
        <v>11099</v>
      </c>
      <c r="W796" s="2" t="s">
        <v>11198</v>
      </c>
    </row>
    <row r="797" spans="1:23" hidden="1" x14ac:dyDescent="0.45">
      <c r="A797" s="1" t="s">
        <v>813</v>
      </c>
      <c r="E797" t="s">
        <v>8776</v>
      </c>
      <c r="F797" t="s">
        <v>10294</v>
      </c>
      <c r="G797">
        <v>20.96</v>
      </c>
      <c r="H797" t="s">
        <v>10310</v>
      </c>
      <c r="I797" t="s">
        <v>10325</v>
      </c>
      <c r="L797">
        <v>2015</v>
      </c>
      <c r="N797">
        <v>47.059624572600001</v>
      </c>
      <c r="P797">
        <v>7.1780084464299998</v>
      </c>
      <c r="R797" t="s">
        <v>11038</v>
      </c>
      <c r="S797" t="s">
        <v>10310</v>
      </c>
      <c r="V797" t="s">
        <v>11100</v>
      </c>
      <c r="W797" s="2" t="s">
        <v>11198</v>
      </c>
    </row>
    <row r="798" spans="1:23" hidden="1" x14ac:dyDescent="0.45">
      <c r="A798" s="1" t="s">
        <v>814</v>
      </c>
      <c r="E798" t="s">
        <v>814</v>
      </c>
      <c r="F798" t="s">
        <v>10294</v>
      </c>
      <c r="G798">
        <v>28</v>
      </c>
      <c r="H798" t="s">
        <v>10310</v>
      </c>
      <c r="I798" t="s">
        <v>10326</v>
      </c>
      <c r="L798">
        <v>1988</v>
      </c>
      <c r="N798">
        <v>46.702099558900002</v>
      </c>
      <c r="P798">
        <v>6.3499375447700004</v>
      </c>
      <c r="R798" t="s">
        <v>11038</v>
      </c>
      <c r="S798" t="s">
        <v>10310</v>
      </c>
      <c r="W798" s="2" t="s">
        <v>11198</v>
      </c>
    </row>
    <row r="799" spans="1:23" hidden="1" x14ac:dyDescent="0.45">
      <c r="A799" s="1" t="s">
        <v>815</v>
      </c>
      <c r="E799" t="s">
        <v>8777</v>
      </c>
      <c r="F799" t="s">
        <v>10294</v>
      </c>
      <c r="G799">
        <v>2.35</v>
      </c>
      <c r="H799" t="s">
        <v>10310</v>
      </c>
      <c r="I799" t="s">
        <v>10325</v>
      </c>
      <c r="L799">
        <v>1970</v>
      </c>
      <c r="N799">
        <v>46.723227639799987</v>
      </c>
      <c r="P799">
        <v>6.3966050860099992</v>
      </c>
      <c r="R799" t="s">
        <v>11038</v>
      </c>
      <c r="S799" t="s">
        <v>10310</v>
      </c>
      <c r="W799" s="2" t="s">
        <v>11198</v>
      </c>
    </row>
    <row r="800" spans="1:23" hidden="1" x14ac:dyDescent="0.45">
      <c r="A800" s="1" t="s">
        <v>816</v>
      </c>
      <c r="E800" t="s">
        <v>816</v>
      </c>
      <c r="F800" t="s">
        <v>10294</v>
      </c>
      <c r="G800">
        <v>30</v>
      </c>
      <c r="H800" t="s">
        <v>10310</v>
      </c>
      <c r="I800" t="s">
        <v>10325</v>
      </c>
      <c r="L800">
        <v>1955</v>
      </c>
      <c r="N800">
        <v>46.731126876899992</v>
      </c>
      <c r="P800">
        <v>6.4449925209199996</v>
      </c>
      <c r="R800" t="s">
        <v>11038</v>
      </c>
      <c r="S800" t="s">
        <v>10310</v>
      </c>
      <c r="W800" s="2" t="s">
        <v>11198</v>
      </c>
    </row>
    <row r="801" spans="1:23" hidden="1" x14ac:dyDescent="0.45">
      <c r="A801" s="1" t="s">
        <v>817</v>
      </c>
      <c r="E801" t="s">
        <v>817</v>
      </c>
      <c r="F801" t="s">
        <v>10294</v>
      </c>
      <c r="G801">
        <v>15.5</v>
      </c>
      <c r="H801" t="s">
        <v>10310</v>
      </c>
      <c r="I801" t="s">
        <v>10325</v>
      </c>
      <c r="L801">
        <v>1950</v>
      </c>
      <c r="N801">
        <v>46.727205723300003</v>
      </c>
      <c r="P801">
        <v>6.5134866225199994</v>
      </c>
      <c r="R801" t="s">
        <v>11038</v>
      </c>
      <c r="S801" t="s">
        <v>10310</v>
      </c>
      <c r="W801" s="2" t="s">
        <v>11198</v>
      </c>
    </row>
    <row r="802" spans="1:23" hidden="1" x14ac:dyDescent="0.45">
      <c r="A802" s="1" t="s">
        <v>818</v>
      </c>
      <c r="E802" t="s">
        <v>8778</v>
      </c>
      <c r="F802" t="s">
        <v>10294</v>
      </c>
      <c r="G802">
        <v>2.6</v>
      </c>
      <c r="H802" t="s">
        <v>10310</v>
      </c>
      <c r="I802" t="s">
        <v>10325</v>
      </c>
      <c r="L802">
        <v>1988</v>
      </c>
      <c r="N802">
        <v>46.7277263163</v>
      </c>
      <c r="P802">
        <v>6.5222430238100007</v>
      </c>
      <c r="R802" t="s">
        <v>11038</v>
      </c>
      <c r="S802" t="s">
        <v>10310</v>
      </c>
      <c r="W802" s="2" t="s">
        <v>11198</v>
      </c>
    </row>
    <row r="803" spans="1:23" hidden="1" x14ac:dyDescent="0.45">
      <c r="A803" s="1" t="s">
        <v>819</v>
      </c>
      <c r="E803" t="s">
        <v>8778</v>
      </c>
      <c r="F803" t="s">
        <v>10294</v>
      </c>
      <c r="G803">
        <v>0.77</v>
      </c>
      <c r="H803" t="s">
        <v>10310</v>
      </c>
      <c r="I803" t="s">
        <v>10325</v>
      </c>
      <c r="L803">
        <v>2013</v>
      </c>
      <c r="N803">
        <v>46.720969778199994</v>
      </c>
      <c r="P803">
        <v>6.5322994958500002</v>
      </c>
      <c r="R803" t="s">
        <v>11038</v>
      </c>
      <c r="S803" t="s">
        <v>10310</v>
      </c>
      <c r="W803" s="2" t="s">
        <v>11198</v>
      </c>
    </row>
    <row r="804" spans="1:23" hidden="1" x14ac:dyDescent="0.45">
      <c r="A804" s="1" t="s">
        <v>820</v>
      </c>
      <c r="E804" t="s">
        <v>820</v>
      </c>
      <c r="F804" t="s">
        <v>10294</v>
      </c>
      <c r="G804">
        <v>3.9</v>
      </c>
      <c r="H804" t="s">
        <v>10310</v>
      </c>
      <c r="I804" t="s">
        <v>10325</v>
      </c>
      <c r="L804">
        <v>1988</v>
      </c>
      <c r="N804">
        <v>46.910621360199997</v>
      </c>
      <c r="P804">
        <v>6.5574514126600008</v>
      </c>
      <c r="R804" t="s">
        <v>11038</v>
      </c>
      <c r="S804" t="s">
        <v>10310</v>
      </c>
      <c r="V804" t="s">
        <v>11101</v>
      </c>
      <c r="W804" s="2" t="s">
        <v>11198</v>
      </c>
    </row>
    <row r="805" spans="1:23" hidden="1" x14ac:dyDescent="0.45">
      <c r="A805" s="1" t="s">
        <v>821</v>
      </c>
      <c r="E805" t="s">
        <v>8779</v>
      </c>
      <c r="F805" t="s">
        <v>10294</v>
      </c>
      <c r="G805">
        <v>0.68</v>
      </c>
      <c r="H805" t="s">
        <v>10310</v>
      </c>
      <c r="I805" t="s">
        <v>10325</v>
      </c>
      <c r="L805">
        <v>1956</v>
      </c>
      <c r="N805">
        <v>46.953662601399998</v>
      </c>
      <c r="P805">
        <v>6.7318660877400003</v>
      </c>
      <c r="R805" t="s">
        <v>11038</v>
      </c>
      <c r="S805" t="s">
        <v>10310</v>
      </c>
      <c r="W805" s="2" t="s">
        <v>11198</v>
      </c>
    </row>
    <row r="806" spans="1:23" hidden="1" x14ac:dyDescent="0.45">
      <c r="A806" s="1" t="s">
        <v>822</v>
      </c>
      <c r="E806" t="s">
        <v>8780</v>
      </c>
      <c r="F806" t="s">
        <v>10294</v>
      </c>
      <c r="G806">
        <v>1.6</v>
      </c>
      <c r="H806" t="s">
        <v>10310</v>
      </c>
      <c r="I806" t="s">
        <v>10325</v>
      </c>
      <c r="L806">
        <v>1940</v>
      </c>
      <c r="N806">
        <v>46.952913101099988</v>
      </c>
      <c r="P806">
        <v>6.7565736857500003</v>
      </c>
      <c r="R806" t="s">
        <v>11038</v>
      </c>
      <c r="S806" t="s">
        <v>10310</v>
      </c>
      <c r="W806" s="2" t="s">
        <v>11198</v>
      </c>
    </row>
    <row r="807" spans="1:23" hidden="1" x14ac:dyDescent="0.45">
      <c r="A807" s="1" t="s">
        <v>823</v>
      </c>
      <c r="E807" t="s">
        <v>8781</v>
      </c>
      <c r="F807" t="s">
        <v>10294</v>
      </c>
      <c r="G807">
        <v>4.8600000000000003</v>
      </c>
      <c r="H807" t="s">
        <v>10310</v>
      </c>
      <c r="I807" t="s">
        <v>10325</v>
      </c>
      <c r="L807">
        <v>1961</v>
      </c>
      <c r="N807">
        <v>46.962319106400003</v>
      </c>
      <c r="P807">
        <v>6.7963975875099996</v>
      </c>
      <c r="R807" t="s">
        <v>11038</v>
      </c>
      <c r="S807" t="s">
        <v>10310</v>
      </c>
      <c r="W807" s="2" t="s">
        <v>11198</v>
      </c>
    </row>
    <row r="808" spans="1:23" hidden="1" x14ac:dyDescent="0.45">
      <c r="A808" s="1" t="s">
        <v>824</v>
      </c>
      <c r="E808" t="s">
        <v>8782</v>
      </c>
      <c r="F808" t="s">
        <v>10294</v>
      </c>
      <c r="G808">
        <v>4.4000000000000004</v>
      </c>
      <c r="H808" t="s">
        <v>10310</v>
      </c>
      <c r="I808" t="s">
        <v>10325</v>
      </c>
      <c r="L808">
        <v>1972</v>
      </c>
      <c r="N808">
        <v>46.959258614899987</v>
      </c>
      <c r="P808">
        <v>6.82888645291</v>
      </c>
      <c r="R808" t="s">
        <v>11038</v>
      </c>
      <c r="S808" t="s">
        <v>10310</v>
      </c>
      <c r="W808" s="2" t="s">
        <v>11198</v>
      </c>
    </row>
    <row r="809" spans="1:23" hidden="1" x14ac:dyDescent="0.45">
      <c r="A809" s="1" t="s">
        <v>825</v>
      </c>
      <c r="E809" t="s">
        <v>8782</v>
      </c>
      <c r="F809" t="s">
        <v>10294</v>
      </c>
      <c r="G809">
        <v>0.5</v>
      </c>
      <c r="H809" t="s">
        <v>10310</v>
      </c>
      <c r="I809" t="s">
        <v>10325</v>
      </c>
      <c r="L809">
        <v>2014</v>
      </c>
      <c r="N809">
        <v>46.950876826200002</v>
      </c>
      <c r="P809">
        <v>6.8429064424199986</v>
      </c>
      <c r="R809" t="s">
        <v>11038</v>
      </c>
      <c r="S809" t="s">
        <v>10310</v>
      </c>
      <c r="W809" s="2" t="s">
        <v>11198</v>
      </c>
    </row>
    <row r="810" spans="1:23" hidden="1" x14ac:dyDescent="0.45">
      <c r="A810" s="1" t="s">
        <v>826</v>
      </c>
      <c r="E810" t="s">
        <v>8783</v>
      </c>
      <c r="F810" t="s">
        <v>10294</v>
      </c>
      <c r="G810">
        <v>1.3</v>
      </c>
      <c r="H810" t="s">
        <v>10310</v>
      </c>
      <c r="I810" t="s">
        <v>10325</v>
      </c>
      <c r="L810">
        <v>2016</v>
      </c>
      <c r="R810" t="s">
        <v>11038</v>
      </c>
      <c r="S810" t="s">
        <v>10310</v>
      </c>
      <c r="W810" s="2" t="s">
        <v>11198</v>
      </c>
    </row>
    <row r="811" spans="1:23" hidden="1" x14ac:dyDescent="0.45">
      <c r="A811" s="1" t="s">
        <v>827</v>
      </c>
      <c r="E811" t="s">
        <v>8784</v>
      </c>
      <c r="F811" t="s">
        <v>10294</v>
      </c>
      <c r="G811">
        <v>0.39</v>
      </c>
      <c r="H811" t="s">
        <v>10310</v>
      </c>
      <c r="I811" t="s">
        <v>10325</v>
      </c>
      <c r="L811">
        <v>2005</v>
      </c>
      <c r="N811">
        <v>47.189614352200003</v>
      </c>
      <c r="P811">
        <v>7.1839696638399992</v>
      </c>
      <c r="R811" t="s">
        <v>11038</v>
      </c>
      <c r="S811" t="s">
        <v>10310</v>
      </c>
      <c r="W811" s="2" t="s">
        <v>11198</v>
      </c>
    </row>
    <row r="812" spans="1:23" hidden="1" x14ac:dyDescent="0.45">
      <c r="A812" s="1" t="s">
        <v>828</v>
      </c>
      <c r="E812" t="s">
        <v>8785</v>
      </c>
      <c r="F812" t="s">
        <v>10294</v>
      </c>
      <c r="G812">
        <v>3</v>
      </c>
      <c r="H812" t="s">
        <v>10310</v>
      </c>
      <c r="I812" t="s">
        <v>10325</v>
      </c>
      <c r="L812">
        <v>2013</v>
      </c>
      <c r="N812">
        <v>47.171032622299997</v>
      </c>
      <c r="P812">
        <v>7.2497457635100009</v>
      </c>
      <c r="R812" t="s">
        <v>11038</v>
      </c>
      <c r="S812" t="s">
        <v>10310</v>
      </c>
      <c r="W812" s="2" t="s">
        <v>11198</v>
      </c>
    </row>
    <row r="813" spans="1:23" hidden="1" x14ac:dyDescent="0.45">
      <c r="A813" s="1" t="s">
        <v>829</v>
      </c>
      <c r="E813" t="s">
        <v>829</v>
      </c>
      <c r="F813" t="s">
        <v>10294</v>
      </c>
      <c r="G813">
        <v>0.35</v>
      </c>
      <c r="H813" t="s">
        <v>10310</v>
      </c>
      <c r="I813" t="s">
        <v>10325</v>
      </c>
      <c r="L813">
        <v>2005</v>
      </c>
      <c r="N813">
        <v>47.168340667099997</v>
      </c>
      <c r="P813">
        <v>7.2537121814300001</v>
      </c>
      <c r="R813" t="s">
        <v>11038</v>
      </c>
      <c r="S813" t="s">
        <v>10310</v>
      </c>
      <c r="W813" s="2" t="s">
        <v>11198</v>
      </c>
    </row>
    <row r="814" spans="1:23" hidden="1" x14ac:dyDescent="0.45">
      <c r="A814" s="1" t="s">
        <v>830</v>
      </c>
      <c r="E814" t="s">
        <v>8786</v>
      </c>
      <c r="F814" t="s">
        <v>10294</v>
      </c>
      <c r="G814">
        <v>0.32</v>
      </c>
      <c r="H814" t="s">
        <v>10310</v>
      </c>
      <c r="I814" t="s">
        <v>10325</v>
      </c>
      <c r="L814">
        <v>2006</v>
      </c>
      <c r="N814">
        <v>47.160707652100001</v>
      </c>
      <c r="P814">
        <v>7.2616513018300006</v>
      </c>
      <c r="R814" t="s">
        <v>11038</v>
      </c>
      <c r="S814" t="s">
        <v>10310</v>
      </c>
      <c r="W814" s="2" t="s">
        <v>11198</v>
      </c>
    </row>
    <row r="815" spans="1:23" hidden="1" x14ac:dyDescent="0.45">
      <c r="A815" s="1" t="s">
        <v>831</v>
      </c>
      <c r="E815" t="s">
        <v>831</v>
      </c>
      <c r="F815" t="s">
        <v>10294</v>
      </c>
      <c r="G815">
        <v>3.25</v>
      </c>
      <c r="H815" t="s">
        <v>10310</v>
      </c>
      <c r="I815" t="s">
        <v>10325</v>
      </c>
      <c r="L815">
        <v>2013</v>
      </c>
      <c r="N815">
        <v>47.154508713100007</v>
      </c>
      <c r="P815">
        <v>7.2665507892499992</v>
      </c>
      <c r="R815" t="s">
        <v>11038</v>
      </c>
      <c r="S815" t="s">
        <v>10310</v>
      </c>
      <c r="W815" s="2" t="s">
        <v>11198</v>
      </c>
    </row>
    <row r="816" spans="1:23" hidden="1" x14ac:dyDescent="0.45">
      <c r="A816" s="1" t="s">
        <v>832</v>
      </c>
      <c r="E816" t="s">
        <v>832</v>
      </c>
      <c r="F816" t="s">
        <v>10294</v>
      </c>
      <c r="G816">
        <v>5.2</v>
      </c>
      <c r="H816" t="s">
        <v>10310</v>
      </c>
      <c r="I816" t="s">
        <v>10325</v>
      </c>
      <c r="L816">
        <v>1995</v>
      </c>
      <c r="N816">
        <v>47.119145896600003</v>
      </c>
      <c r="P816">
        <v>7.2580998136000003</v>
      </c>
      <c r="R816" t="s">
        <v>11038</v>
      </c>
      <c r="S816" t="s">
        <v>10310</v>
      </c>
      <c r="W816" s="2" t="s">
        <v>11198</v>
      </c>
    </row>
    <row r="817" spans="1:23" hidden="1" x14ac:dyDescent="0.45">
      <c r="A817" s="1" t="s">
        <v>833</v>
      </c>
      <c r="E817" t="s">
        <v>8787</v>
      </c>
      <c r="F817" t="s">
        <v>10294</v>
      </c>
      <c r="G817">
        <v>0.42</v>
      </c>
      <c r="H817" t="s">
        <v>10310</v>
      </c>
      <c r="I817" t="s">
        <v>10325</v>
      </c>
      <c r="L817">
        <v>1999</v>
      </c>
      <c r="N817">
        <v>46.997329177399997</v>
      </c>
      <c r="P817">
        <v>7.7219601986999997</v>
      </c>
      <c r="R817" t="s">
        <v>11038</v>
      </c>
      <c r="S817" t="s">
        <v>10310</v>
      </c>
      <c r="W817" s="2" t="s">
        <v>11198</v>
      </c>
    </row>
    <row r="818" spans="1:23" hidden="1" x14ac:dyDescent="0.45">
      <c r="A818" s="1" t="s">
        <v>834</v>
      </c>
      <c r="E818" t="s">
        <v>8788</v>
      </c>
      <c r="F818" t="s">
        <v>10294</v>
      </c>
      <c r="G818">
        <v>0.42</v>
      </c>
      <c r="H818" t="s">
        <v>10310</v>
      </c>
      <c r="I818" t="s">
        <v>10325</v>
      </c>
      <c r="L818">
        <v>2016</v>
      </c>
      <c r="R818" t="s">
        <v>11038</v>
      </c>
      <c r="S818" t="s">
        <v>10310</v>
      </c>
      <c r="W818" s="2" t="s">
        <v>11198</v>
      </c>
    </row>
    <row r="819" spans="1:23" hidden="1" x14ac:dyDescent="0.45">
      <c r="A819" s="1" t="s">
        <v>835</v>
      </c>
      <c r="E819" t="s">
        <v>836</v>
      </c>
      <c r="F819" t="s">
        <v>10294</v>
      </c>
      <c r="G819">
        <v>0.5</v>
      </c>
      <c r="H819" t="s">
        <v>10310</v>
      </c>
      <c r="I819" t="s">
        <v>10325</v>
      </c>
      <c r="L819">
        <v>2002</v>
      </c>
      <c r="N819">
        <v>47.120958267699997</v>
      </c>
      <c r="P819">
        <v>7.5354869131600006</v>
      </c>
      <c r="R819" t="s">
        <v>11038</v>
      </c>
      <c r="S819" t="s">
        <v>10310</v>
      </c>
      <c r="W819" s="2" t="s">
        <v>11198</v>
      </c>
    </row>
    <row r="820" spans="1:23" hidden="1" x14ac:dyDescent="0.45">
      <c r="A820" s="1" t="s">
        <v>836</v>
      </c>
      <c r="E820" t="s">
        <v>836</v>
      </c>
      <c r="F820" t="s">
        <v>10294</v>
      </c>
      <c r="G820">
        <v>0.4</v>
      </c>
      <c r="H820" t="s">
        <v>10310</v>
      </c>
      <c r="I820" t="s">
        <v>10325</v>
      </c>
      <c r="L820">
        <v>2002</v>
      </c>
      <c r="N820">
        <v>47.133003888300003</v>
      </c>
      <c r="P820">
        <v>7.5440760209800004</v>
      </c>
      <c r="R820" t="s">
        <v>11038</v>
      </c>
      <c r="S820" t="s">
        <v>10310</v>
      </c>
      <c r="W820" s="2" t="s">
        <v>11198</v>
      </c>
    </row>
    <row r="821" spans="1:23" hidden="1" x14ac:dyDescent="0.45">
      <c r="A821" s="1" t="s">
        <v>837</v>
      </c>
      <c r="E821" t="s">
        <v>837</v>
      </c>
      <c r="F821" t="s">
        <v>10294</v>
      </c>
      <c r="G821">
        <v>0.38</v>
      </c>
      <c r="H821" t="s">
        <v>10310</v>
      </c>
      <c r="I821" t="s">
        <v>10325</v>
      </c>
      <c r="L821">
        <v>1949</v>
      </c>
      <c r="N821">
        <v>47.145864663399998</v>
      </c>
      <c r="P821">
        <v>7.5460787384100012</v>
      </c>
      <c r="R821" t="s">
        <v>11038</v>
      </c>
      <c r="S821" t="s">
        <v>10310</v>
      </c>
      <c r="W821" s="2" t="s">
        <v>11198</v>
      </c>
    </row>
    <row r="822" spans="1:23" hidden="1" x14ac:dyDescent="0.45">
      <c r="A822" s="1" t="s">
        <v>838</v>
      </c>
      <c r="E822" t="s">
        <v>8789</v>
      </c>
      <c r="F822" t="s">
        <v>10294</v>
      </c>
      <c r="G822">
        <v>0.5</v>
      </c>
      <c r="H822" t="s">
        <v>10310</v>
      </c>
      <c r="I822" t="s">
        <v>10325</v>
      </c>
      <c r="L822">
        <v>1995</v>
      </c>
      <c r="N822">
        <v>47.1558500995</v>
      </c>
      <c r="P822">
        <v>7.5447799790899994</v>
      </c>
      <c r="R822" t="s">
        <v>11038</v>
      </c>
      <c r="S822" t="s">
        <v>10310</v>
      </c>
      <c r="W822" s="2" t="s">
        <v>11198</v>
      </c>
    </row>
    <row r="823" spans="1:23" hidden="1" x14ac:dyDescent="0.45">
      <c r="A823" s="1" t="s">
        <v>839</v>
      </c>
      <c r="E823" t="s">
        <v>839</v>
      </c>
      <c r="F823" t="s">
        <v>10294</v>
      </c>
      <c r="G823">
        <v>0.5</v>
      </c>
      <c r="H823" t="s">
        <v>10310</v>
      </c>
      <c r="I823" t="s">
        <v>10325</v>
      </c>
      <c r="L823">
        <v>1985</v>
      </c>
      <c r="N823">
        <v>47.183529162500001</v>
      </c>
      <c r="P823">
        <v>7.5691100464699996</v>
      </c>
      <c r="R823" t="s">
        <v>11038</v>
      </c>
      <c r="S823" t="s">
        <v>10310</v>
      </c>
      <c r="W823" s="2" t="s">
        <v>11198</v>
      </c>
    </row>
    <row r="824" spans="1:23" hidden="1" x14ac:dyDescent="0.45">
      <c r="A824" s="1" t="s">
        <v>840</v>
      </c>
      <c r="E824" t="s">
        <v>8790</v>
      </c>
      <c r="F824" t="s">
        <v>10294</v>
      </c>
      <c r="G824">
        <v>0.33</v>
      </c>
      <c r="H824" t="s">
        <v>10310</v>
      </c>
      <c r="I824" t="s">
        <v>10325</v>
      </c>
      <c r="L824">
        <v>1986</v>
      </c>
      <c r="N824">
        <v>47.194846381800012</v>
      </c>
      <c r="P824">
        <v>7.5827294150000002</v>
      </c>
      <c r="R824" t="s">
        <v>11038</v>
      </c>
      <c r="S824" t="s">
        <v>10310</v>
      </c>
      <c r="W824" s="2" t="s">
        <v>11198</v>
      </c>
    </row>
    <row r="825" spans="1:23" hidden="1" x14ac:dyDescent="0.45">
      <c r="A825" s="1" t="s">
        <v>841</v>
      </c>
      <c r="E825" t="s">
        <v>842</v>
      </c>
      <c r="F825" t="s">
        <v>10294</v>
      </c>
      <c r="G825">
        <v>0.86</v>
      </c>
      <c r="H825" t="s">
        <v>10310</v>
      </c>
      <c r="I825" t="s">
        <v>10325</v>
      </c>
      <c r="L825">
        <v>2001</v>
      </c>
      <c r="N825">
        <v>47.204565016700002</v>
      </c>
      <c r="P825">
        <v>7.5791918674199996</v>
      </c>
      <c r="R825" t="s">
        <v>11038</v>
      </c>
      <c r="S825" t="s">
        <v>10310</v>
      </c>
      <c r="W825" s="2" t="s">
        <v>11198</v>
      </c>
    </row>
    <row r="826" spans="1:23" hidden="1" x14ac:dyDescent="0.45">
      <c r="A826" s="1" t="s">
        <v>842</v>
      </c>
      <c r="E826" t="s">
        <v>842</v>
      </c>
      <c r="F826" t="s">
        <v>10294</v>
      </c>
      <c r="G826">
        <v>0.32</v>
      </c>
      <c r="H826" t="s">
        <v>10310</v>
      </c>
      <c r="I826" t="s">
        <v>10325</v>
      </c>
      <c r="L826">
        <v>1988</v>
      </c>
      <c r="N826">
        <v>47.214194661500002</v>
      </c>
      <c r="P826">
        <v>7.5747287478100001</v>
      </c>
      <c r="R826" t="s">
        <v>11038</v>
      </c>
      <c r="S826" t="s">
        <v>10310</v>
      </c>
      <c r="W826" s="2" t="s">
        <v>11198</v>
      </c>
    </row>
    <row r="827" spans="1:23" hidden="1" x14ac:dyDescent="0.45">
      <c r="A827" s="1" t="s">
        <v>843</v>
      </c>
      <c r="E827" t="s">
        <v>8791</v>
      </c>
      <c r="F827" t="s">
        <v>10294</v>
      </c>
      <c r="G827">
        <v>23.4</v>
      </c>
      <c r="H827" t="s">
        <v>10310</v>
      </c>
      <c r="I827" t="s">
        <v>10325</v>
      </c>
      <c r="L827">
        <v>2009</v>
      </c>
      <c r="N827">
        <v>47.229106914900001</v>
      </c>
      <c r="P827">
        <v>7.58995168618</v>
      </c>
      <c r="R827" t="s">
        <v>11038</v>
      </c>
      <c r="S827" t="s">
        <v>10310</v>
      </c>
      <c r="W827" s="2" t="s">
        <v>11198</v>
      </c>
    </row>
    <row r="828" spans="1:23" hidden="1" x14ac:dyDescent="0.45">
      <c r="A828" s="1" t="s">
        <v>844</v>
      </c>
      <c r="E828" t="s">
        <v>844</v>
      </c>
      <c r="F828" t="s">
        <v>10294</v>
      </c>
      <c r="G828">
        <v>28.5</v>
      </c>
      <c r="H828" t="s">
        <v>10310</v>
      </c>
      <c r="I828" t="s">
        <v>10325</v>
      </c>
      <c r="L828">
        <v>2000</v>
      </c>
      <c r="N828">
        <v>47.2293726093</v>
      </c>
      <c r="P828">
        <v>7.7322982717200004</v>
      </c>
      <c r="R828" t="s">
        <v>11038</v>
      </c>
      <c r="S828" t="s">
        <v>10310</v>
      </c>
      <c r="W828" s="2" t="s">
        <v>11198</v>
      </c>
    </row>
    <row r="829" spans="1:23" hidden="1" x14ac:dyDescent="0.45">
      <c r="A829" s="1" t="s">
        <v>845</v>
      </c>
      <c r="E829" t="s">
        <v>8792</v>
      </c>
      <c r="F829" t="s">
        <v>10294</v>
      </c>
      <c r="G829">
        <v>12</v>
      </c>
      <c r="H829" t="s">
        <v>10310</v>
      </c>
      <c r="I829" t="s">
        <v>10325</v>
      </c>
      <c r="L829">
        <v>1996</v>
      </c>
      <c r="N829">
        <v>47.255665652899999</v>
      </c>
      <c r="P829">
        <v>7.7867404155899989</v>
      </c>
      <c r="R829" t="s">
        <v>11038</v>
      </c>
      <c r="S829" t="s">
        <v>10310</v>
      </c>
      <c r="V829" t="s">
        <v>11102</v>
      </c>
      <c r="W829" s="2" t="s">
        <v>11198</v>
      </c>
    </row>
    <row r="830" spans="1:23" hidden="1" x14ac:dyDescent="0.45">
      <c r="A830" s="1" t="s">
        <v>846</v>
      </c>
      <c r="E830" t="s">
        <v>8793</v>
      </c>
      <c r="F830" t="s">
        <v>10294</v>
      </c>
      <c r="G830">
        <v>8.1999999999999993</v>
      </c>
      <c r="H830" t="s">
        <v>10310</v>
      </c>
      <c r="I830" t="s">
        <v>10325</v>
      </c>
      <c r="L830">
        <v>1979</v>
      </c>
      <c r="N830">
        <v>47.256838909899997</v>
      </c>
      <c r="P830">
        <v>7.7854268969399989</v>
      </c>
      <c r="R830" t="s">
        <v>11038</v>
      </c>
      <c r="S830" t="s">
        <v>10310</v>
      </c>
      <c r="V830" t="s">
        <v>11103</v>
      </c>
      <c r="W830" s="2" t="s">
        <v>11198</v>
      </c>
    </row>
    <row r="831" spans="1:23" hidden="1" x14ac:dyDescent="0.45">
      <c r="A831" s="1" t="s">
        <v>847</v>
      </c>
      <c r="E831" t="s">
        <v>8794</v>
      </c>
      <c r="F831" t="s">
        <v>10294</v>
      </c>
      <c r="G831">
        <v>23</v>
      </c>
      <c r="H831" t="s">
        <v>10310</v>
      </c>
      <c r="I831" t="s">
        <v>10325</v>
      </c>
      <c r="L831">
        <v>2000</v>
      </c>
      <c r="N831">
        <v>47.3122915561</v>
      </c>
      <c r="P831">
        <v>7.8777021741700004</v>
      </c>
      <c r="R831" t="s">
        <v>11038</v>
      </c>
      <c r="S831" t="s">
        <v>10310</v>
      </c>
      <c r="V831" t="s">
        <v>11104</v>
      </c>
      <c r="W831" s="2" t="s">
        <v>11198</v>
      </c>
    </row>
    <row r="832" spans="1:23" hidden="1" x14ac:dyDescent="0.45">
      <c r="A832" s="1" t="s">
        <v>848</v>
      </c>
      <c r="E832" t="s">
        <v>848</v>
      </c>
      <c r="F832" t="s">
        <v>10294</v>
      </c>
      <c r="G832">
        <v>0.42</v>
      </c>
      <c r="H832" t="s">
        <v>10310</v>
      </c>
      <c r="I832" t="s">
        <v>10325</v>
      </c>
      <c r="L832">
        <v>2006</v>
      </c>
      <c r="N832">
        <v>47.319117837599997</v>
      </c>
      <c r="P832">
        <v>7.9031541371099996</v>
      </c>
      <c r="R832" t="s">
        <v>11038</v>
      </c>
      <c r="S832" t="s">
        <v>10310</v>
      </c>
      <c r="W832" s="2" t="s">
        <v>11198</v>
      </c>
    </row>
    <row r="833" spans="1:23" hidden="1" x14ac:dyDescent="0.45">
      <c r="A833" s="1" t="s">
        <v>849</v>
      </c>
      <c r="E833" t="s">
        <v>8795</v>
      </c>
      <c r="F833" t="s">
        <v>10294</v>
      </c>
      <c r="G833">
        <v>0.37</v>
      </c>
      <c r="H833" t="s">
        <v>10310</v>
      </c>
      <c r="I833" t="s">
        <v>10325</v>
      </c>
      <c r="L833">
        <v>2015</v>
      </c>
      <c r="N833">
        <v>47.348637907300002</v>
      </c>
      <c r="P833">
        <v>7.8986465925799996</v>
      </c>
      <c r="R833" t="s">
        <v>11038</v>
      </c>
      <c r="S833" t="s">
        <v>10310</v>
      </c>
      <c r="W833" s="2" t="s">
        <v>11198</v>
      </c>
    </row>
    <row r="834" spans="1:23" hidden="1" x14ac:dyDescent="0.45">
      <c r="A834" s="1" t="s">
        <v>850</v>
      </c>
      <c r="E834" t="s">
        <v>8796</v>
      </c>
      <c r="F834" t="s">
        <v>10294</v>
      </c>
      <c r="G834">
        <v>51.3</v>
      </c>
      <c r="H834" t="s">
        <v>10310</v>
      </c>
      <c r="I834" t="s">
        <v>10325</v>
      </c>
      <c r="L834">
        <v>2000</v>
      </c>
      <c r="N834">
        <v>47.369425142700003</v>
      </c>
      <c r="P834">
        <v>7.9794546549800014</v>
      </c>
      <c r="R834" t="s">
        <v>11038</v>
      </c>
      <c r="S834" t="s">
        <v>10310</v>
      </c>
      <c r="W834" s="2" t="s">
        <v>11198</v>
      </c>
    </row>
    <row r="835" spans="1:23" hidden="1" x14ac:dyDescent="0.45">
      <c r="A835" s="1" t="s">
        <v>851</v>
      </c>
      <c r="E835" t="s">
        <v>8797</v>
      </c>
      <c r="F835" t="s">
        <v>10294</v>
      </c>
      <c r="G835">
        <v>16.93</v>
      </c>
      <c r="H835" t="s">
        <v>10310</v>
      </c>
      <c r="I835" t="s">
        <v>10325</v>
      </c>
      <c r="L835">
        <v>1964</v>
      </c>
      <c r="N835">
        <v>47.394781733400002</v>
      </c>
      <c r="P835">
        <v>8.0358745833700009</v>
      </c>
      <c r="R835" t="s">
        <v>11038</v>
      </c>
      <c r="S835" t="s">
        <v>10310</v>
      </c>
      <c r="W835" s="2" t="s">
        <v>11198</v>
      </c>
    </row>
    <row r="836" spans="1:23" hidden="1" x14ac:dyDescent="0.45">
      <c r="A836" s="1" t="s">
        <v>852</v>
      </c>
      <c r="E836" t="s">
        <v>8797</v>
      </c>
      <c r="F836" t="s">
        <v>10294</v>
      </c>
      <c r="G836">
        <v>9.1999999999999993</v>
      </c>
      <c r="H836" t="s">
        <v>10310</v>
      </c>
      <c r="I836" t="s">
        <v>10325</v>
      </c>
      <c r="L836">
        <v>2014</v>
      </c>
      <c r="N836">
        <v>47.399745667799998</v>
      </c>
      <c r="P836">
        <v>8.0498397695000001</v>
      </c>
      <c r="R836" t="s">
        <v>11038</v>
      </c>
      <c r="S836" t="s">
        <v>10310</v>
      </c>
      <c r="W836" s="2" t="s">
        <v>11198</v>
      </c>
    </row>
    <row r="837" spans="1:23" hidden="1" x14ac:dyDescent="0.45">
      <c r="A837" s="1" t="s">
        <v>853</v>
      </c>
      <c r="E837" t="s">
        <v>8797</v>
      </c>
      <c r="F837" t="s">
        <v>10294</v>
      </c>
      <c r="G837">
        <v>1.2</v>
      </c>
      <c r="H837" t="s">
        <v>10310</v>
      </c>
      <c r="I837" t="s">
        <v>10325</v>
      </c>
      <c r="L837">
        <v>2014</v>
      </c>
      <c r="N837">
        <v>47.399103467800003</v>
      </c>
      <c r="P837">
        <v>8.0522168800399996</v>
      </c>
      <c r="R837" t="s">
        <v>11038</v>
      </c>
      <c r="S837" t="s">
        <v>10310</v>
      </c>
      <c r="W837" s="2" t="s">
        <v>11198</v>
      </c>
    </row>
    <row r="838" spans="1:23" hidden="1" x14ac:dyDescent="0.45">
      <c r="A838" s="1" t="s">
        <v>854</v>
      </c>
      <c r="E838" t="s">
        <v>8798</v>
      </c>
      <c r="F838" t="s">
        <v>10294</v>
      </c>
      <c r="G838">
        <v>40</v>
      </c>
      <c r="H838" t="s">
        <v>10310</v>
      </c>
      <c r="I838" t="s">
        <v>10325</v>
      </c>
      <c r="L838">
        <v>1993</v>
      </c>
      <c r="N838">
        <v>47.411796662999997</v>
      </c>
      <c r="P838">
        <v>8.1147717897000007</v>
      </c>
      <c r="R838" t="s">
        <v>11038</v>
      </c>
      <c r="S838" t="s">
        <v>10310</v>
      </c>
      <c r="V838" t="s">
        <v>11105</v>
      </c>
      <c r="W838" s="2" t="s">
        <v>11198</v>
      </c>
    </row>
    <row r="839" spans="1:23" hidden="1" x14ac:dyDescent="0.45">
      <c r="A839" s="1" t="s">
        <v>854</v>
      </c>
      <c r="E839" t="s">
        <v>8799</v>
      </c>
      <c r="F839" t="s">
        <v>10294</v>
      </c>
      <c r="G839">
        <v>1.74</v>
      </c>
      <c r="H839" t="s">
        <v>10310</v>
      </c>
      <c r="I839" t="s">
        <v>10325</v>
      </c>
      <c r="L839">
        <v>2010</v>
      </c>
      <c r="N839">
        <v>47.411796662999997</v>
      </c>
      <c r="P839">
        <v>8.1147717897000007</v>
      </c>
      <c r="R839" t="s">
        <v>11038</v>
      </c>
      <c r="S839" t="s">
        <v>10310</v>
      </c>
      <c r="V839" t="s">
        <v>11106</v>
      </c>
      <c r="W839" s="2" t="s">
        <v>11198</v>
      </c>
    </row>
    <row r="840" spans="1:23" hidden="1" x14ac:dyDescent="0.45">
      <c r="A840" s="1" t="s">
        <v>855</v>
      </c>
      <c r="E840" t="s">
        <v>855</v>
      </c>
      <c r="F840" t="s">
        <v>10294</v>
      </c>
      <c r="G840">
        <v>0.4</v>
      </c>
      <c r="H840" t="s">
        <v>10310</v>
      </c>
      <c r="I840" t="s">
        <v>10325</v>
      </c>
      <c r="L840">
        <v>1943</v>
      </c>
      <c r="N840">
        <v>47.399188528100012</v>
      </c>
      <c r="P840">
        <v>8.1762114675100008</v>
      </c>
      <c r="R840" t="s">
        <v>11038</v>
      </c>
      <c r="S840" t="s">
        <v>10310</v>
      </c>
      <c r="V840" t="s">
        <v>11107</v>
      </c>
      <c r="W840" s="2" t="s">
        <v>11198</v>
      </c>
    </row>
    <row r="841" spans="1:23" hidden="1" x14ac:dyDescent="0.45">
      <c r="A841" s="1" t="s">
        <v>856</v>
      </c>
      <c r="E841" t="s">
        <v>8800</v>
      </c>
      <c r="F841" t="s">
        <v>10294</v>
      </c>
      <c r="G841">
        <v>0.65</v>
      </c>
      <c r="H841" t="s">
        <v>10310</v>
      </c>
      <c r="I841" t="s">
        <v>10325</v>
      </c>
      <c r="L841">
        <v>1953</v>
      </c>
      <c r="N841">
        <v>47.468846017700002</v>
      </c>
      <c r="P841">
        <v>8.1698811311000004</v>
      </c>
      <c r="R841" t="s">
        <v>11038</v>
      </c>
      <c r="S841" t="s">
        <v>10310</v>
      </c>
      <c r="W841" s="2" t="s">
        <v>11198</v>
      </c>
    </row>
    <row r="842" spans="1:23" hidden="1" x14ac:dyDescent="0.45">
      <c r="A842" s="1" t="s">
        <v>856</v>
      </c>
      <c r="E842" t="s">
        <v>8801</v>
      </c>
      <c r="F842" t="s">
        <v>10294</v>
      </c>
      <c r="G842">
        <v>51.25</v>
      </c>
      <c r="H842" t="s">
        <v>10310</v>
      </c>
      <c r="I842" t="s">
        <v>10325</v>
      </c>
      <c r="L842">
        <v>1997</v>
      </c>
      <c r="N842">
        <v>47.468846017700002</v>
      </c>
      <c r="P842">
        <v>8.1698811311000004</v>
      </c>
      <c r="R842" t="s">
        <v>11038</v>
      </c>
      <c r="S842" t="s">
        <v>10310</v>
      </c>
      <c r="W842" s="2" t="s">
        <v>11198</v>
      </c>
    </row>
    <row r="843" spans="1:23" hidden="1" x14ac:dyDescent="0.45">
      <c r="A843" s="1" t="s">
        <v>857</v>
      </c>
      <c r="E843" t="s">
        <v>8802</v>
      </c>
      <c r="F843" t="s">
        <v>10294</v>
      </c>
      <c r="G843">
        <v>6.2</v>
      </c>
      <c r="H843" t="s">
        <v>10310</v>
      </c>
      <c r="I843" t="s">
        <v>10325</v>
      </c>
      <c r="L843">
        <v>2001</v>
      </c>
      <c r="N843">
        <v>47.557805126000012</v>
      </c>
      <c r="P843">
        <v>8.2371412304099998</v>
      </c>
      <c r="R843" t="s">
        <v>11038</v>
      </c>
      <c r="S843" t="s">
        <v>10310</v>
      </c>
      <c r="W843" s="2" t="s">
        <v>11198</v>
      </c>
    </row>
    <row r="844" spans="1:23" hidden="1" x14ac:dyDescent="0.45">
      <c r="A844" s="1" t="s">
        <v>857</v>
      </c>
      <c r="E844" t="s">
        <v>8802</v>
      </c>
      <c r="F844" t="s">
        <v>10294</v>
      </c>
      <c r="G844">
        <v>19.5</v>
      </c>
      <c r="H844" t="s">
        <v>10310</v>
      </c>
      <c r="I844" t="s">
        <v>10325</v>
      </c>
      <c r="L844">
        <v>1927</v>
      </c>
      <c r="N844">
        <v>47.557805126000012</v>
      </c>
      <c r="P844">
        <v>8.2371412304099998</v>
      </c>
      <c r="R844" t="s">
        <v>11038</v>
      </c>
      <c r="S844" t="s">
        <v>10310</v>
      </c>
      <c r="W844" s="2" t="s">
        <v>11198</v>
      </c>
    </row>
    <row r="845" spans="1:23" hidden="1" x14ac:dyDescent="0.45">
      <c r="A845" s="1" t="s">
        <v>858</v>
      </c>
      <c r="E845" t="s">
        <v>8803</v>
      </c>
      <c r="F845" t="s">
        <v>10294</v>
      </c>
      <c r="G845">
        <v>42.6</v>
      </c>
      <c r="H845" t="s">
        <v>10310</v>
      </c>
      <c r="I845" t="s">
        <v>10325</v>
      </c>
      <c r="L845">
        <v>1935</v>
      </c>
      <c r="N845">
        <v>47.594579100099999</v>
      </c>
      <c r="P845">
        <v>8.2257277334800012</v>
      </c>
      <c r="R845" t="s">
        <v>11038</v>
      </c>
      <c r="S845" t="s">
        <v>10310</v>
      </c>
      <c r="V845" t="s">
        <v>11060</v>
      </c>
      <c r="W845" s="2" t="s">
        <v>11198</v>
      </c>
    </row>
    <row r="846" spans="1:23" hidden="1" x14ac:dyDescent="0.45">
      <c r="A846" s="1" t="s">
        <v>859</v>
      </c>
      <c r="E846" t="s">
        <v>859</v>
      </c>
      <c r="F846" t="s">
        <v>10294</v>
      </c>
      <c r="G846">
        <v>2</v>
      </c>
      <c r="H846" t="s">
        <v>10310</v>
      </c>
      <c r="I846" t="s">
        <v>10325</v>
      </c>
      <c r="L846">
        <v>1977</v>
      </c>
      <c r="N846">
        <v>46.620563820900003</v>
      </c>
      <c r="P846">
        <v>8.5690446290800004</v>
      </c>
      <c r="R846" t="s">
        <v>11038</v>
      </c>
      <c r="S846" t="s">
        <v>10310</v>
      </c>
      <c r="W846" s="2" t="s">
        <v>11198</v>
      </c>
    </row>
    <row r="847" spans="1:23" hidden="1" x14ac:dyDescent="0.45">
      <c r="A847" s="1" t="s">
        <v>860</v>
      </c>
      <c r="E847" t="s">
        <v>860</v>
      </c>
      <c r="F847" t="s">
        <v>10294</v>
      </c>
      <c r="G847">
        <v>0.9</v>
      </c>
      <c r="H847" t="s">
        <v>10310</v>
      </c>
      <c r="I847" t="s">
        <v>10325</v>
      </c>
      <c r="L847">
        <v>2008</v>
      </c>
      <c r="N847">
        <v>46.599345587899997</v>
      </c>
      <c r="P847">
        <v>8.5022974675499992</v>
      </c>
      <c r="R847" t="s">
        <v>11038</v>
      </c>
      <c r="S847" t="s">
        <v>10310</v>
      </c>
      <c r="W847" s="2" t="s">
        <v>11198</v>
      </c>
    </row>
    <row r="848" spans="1:23" hidden="1" x14ac:dyDescent="0.45">
      <c r="A848" s="1" t="s">
        <v>861</v>
      </c>
      <c r="E848" t="s">
        <v>860</v>
      </c>
      <c r="F848" t="s">
        <v>10294</v>
      </c>
      <c r="G848">
        <v>2.81</v>
      </c>
      <c r="H848" t="s">
        <v>10310</v>
      </c>
      <c r="I848" t="s">
        <v>10325</v>
      </c>
      <c r="L848">
        <v>2017</v>
      </c>
      <c r="R848" t="s">
        <v>11038</v>
      </c>
      <c r="S848" t="s">
        <v>10310</v>
      </c>
      <c r="W848" s="2" t="s">
        <v>11198</v>
      </c>
    </row>
    <row r="849" spans="1:23" hidden="1" x14ac:dyDescent="0.45">
      <c r="A849" s="1" t="s">
        <v>862</v>
      </c>
      <c r="E849" t="s">
        <v>8804</v>
      </c>
      <c r="F849" t="s">
        <v>10294</v>
      </c>
      <c r="G849">
        <v>2.9</v>
      </c>
      <c r="H849" t="s">
        <v>10310</v>
      </c>
      <c r="I849" t="s">
        <v>10325</v>
      </c>
      <c r="L849">
        <v>2002</v>
      </c>
      <c r="N849">
        <v>46.632958009900001</v>
      </c>
      <c r="P849">
        <v>8.6067864821200004</v>
      </c>
      <c r="R849" t="s">
        <v>11038</v>
      </c>
      <c r="S849" t="s">
        <v>10310</v>
      </c>
      <c r="W849" s="2" t="s">
        <v>11198</v>
      </c>
    </row>
    <row r="850" spans="1:23" hidden="1" x14ac:dyDescent="0.45">
      <c r="A850" s="1" t="s">
        <v>863</v>
      </c>
      <c r="E850" t="s">
        <v>8805</v>
      </c>
      <c r="F850" t="s">
        <v>10294</v>
      </c>
      <c r="G850">
        <v>164.8</v>
      </c>
      <c r="H850" t="s">
        <v>10310</v>
      </c>
      <c r="I850" t="s">
        <v>10326</v>
      </c>
      <c r="L850">
        <v>1962</v>
      </c>
      <c r="N850">
        <v>46.667362855199997</v>
      </c>
      <c r="P850">
        <v>8.5853141018999999</v>
      </c>
      <c r="R850" t="s">
        <v>11038</v>
      </c>
      <c r="S850" t="s">
        <v>10310</v>
      </c>
      <c r="V850" t="s">
        <v>11108</v>
      </c>
      <c r="W850" s="2" t="s">
        <v>11198</v>
      </c>
    </row>
    <row r="851" spans="1:23" hidden="1" x14ac:dyDescent="0.45">
      <c r="A851" s="1" t="s">
        <v>864</v>
      </c>
      <c r="E851" t="s">
        <v>8805</v>
      </c>
      <c r="F851" t="s">
        <v>10294</v>
      </c>
      <c r="G851">
        <v>33.26</v>
      </c>
      <c r="H851" t="s">
        <v>10310</v>
      </c>
      <c r="I851" t="s">
        <v>10325</v>
      </c>
      <c r="L851">
        <v>1961</v>
      </c>
      <c r="N851">
        <v>46.667362855199997</v>
      </c>
      <c r="P851">
        <v>8.5853141018999999</v>
      </c>
      <c r="R851" t="s">
        <v>11038</v>
      </c>
      <c r="S851" t="s">
        <v>10310</v>
      </c>
      <c r="V851" t="s">
        <v>11109</v>
      </c>
      <c r="W851" s="2" t="s">
        <v>11198</v>
      </c>
    </row>
    <row r="852" spans="1:23" hidden="1" x14ac:dyDescent="0.45">
      <c r="A852" s="1" t="s">
        <v>865</v>
      </c>
      <c r="E852" t="s">
        <v>8805</v>
      </c>
      <c r="F852" t="s">
        <v>10294</v>
      </c>
      <c r="G852">
        <v>1.62</v>
      </c>
      <c r="H852" t="s">
        <v>10310</v>
      </c>
      <c r="I852" t="s">
        <v>10325</v>
      </c>
      <c r="L852">
        <v>1969</v>
      </c>
      <c r="N852">
        <v>46.667819153500012</v>
      </c>
      <c r="P852">
        <v>8.5846703596800005</v>
      </c>
      <c r="R852" t="s">
        <v>11038</v>
      </c>
      <c r="S852" t="s">
        <v>10310</v>
      </c>
      <c r="W852" s="2" t="s">
        <v>11198</v>
      </c>
    </row>
    <row r="853" spans="1:23" hidden="1" x14ac:dyDescent="0.45">
      <c r="A853" s="1" t="s">
        <v>866</v>
      </c>
      <c r="E853" t="s">
        <v>8806</v>
      </c>
      <c r="F853" t="s">
        <v>10294</v>
      </c>
      <c r="G853">
        <v>58</v>
      </c>
      <c r="H853" t="s">
        <v>10310</v>
      </c>
      <c r="I853" t="s">
        <v>10325</v>
      </c>
      <c r="L853">
        <v>1992</v>
      </c>
      <c r="N853">
        <v>46.7156913962</v>
      </c>
      <c r="P853">
        <v>8.6101469723899999</v>
      </c>
      <c r="R853" t="s">
        <v>11038</v>
      </c>
      <c r="S853" t="s">
        <v>10310</v>
      </c>
      <c r="W853" s="2" t="s">
        <v>11198</v>
      </c>
    </row>
    <row r="854" spans="1:23" hidden="1" x14ac:dyDescent="0.45">
      <c r="A854" s="1" t="s">
        <v>867</v>
      </c>
      <c r="E854" t="s">
        <v>8807</v>
      </c>
      <c r="F854" t="s">
        <v>10294</v>
      </c>
      <c r="G854">
        <v>0.72</v>
      </c>
      <c r="H854" t="s">
        <v>10310</v>
      </c>
      <c r="I854" t="s">
        <v>10325</v>
      </c>
      <c r="L854">
        <v>1998</v>
      </c>
      <c r="N854">
        <v>46.766759654300003</v>
      </c>
      <c r="P854">
        <v>8.6729233635899998</v>
      </c>
      <c r="R854" t="s">
        <v>11038</v>
      </c>
      <c r="S854" t="s">
        <v>10310</v>
      </c>
      <c r="W854" s="2" t="s">
        <v>11198</v>
      </c>
    </row>
    <row r="855" spans="1:23" hidden="1" x14ac:dyDescent="0.45">
      <c r="A855" s="1" t="s">
        <v>868</v>
      </c>
      <c r="E855" t="s">
        <v>8808</v>
      </c>
      <c r="F855" t="s">
        <v>10294</v>
      </c>
      <c r="G855">
        <v>10</v>
      </c>
      <c r="H855" t="s">
        <v>10310</v>
      </c>
      <c r="I855" t="s">
        <v>10325</v>
      </c>
      <c r="L855">
        <v>2017</v>
      </c>
      <c r="R855" t="s">
        <v>11038</v>
      </c>
      <c r="S855" t="s">
        <v>10310</v>
      </c>
      <c r="W855" s="2" t="s">
        <v>11198</v>
      </c>
    </row>
    <row r="856" spans="1:23" hidden="1" x14ac:dyDescent="0.45">
      <c r="A856" s="1" t="s">
        <v>869</v>
      </c>
      <c r="E856" t="s">
        <v>8808</v>
      </c>
      <c r="F856" t="s">
        <v>10294</v>
      </c>
      <c r="G856">
        <v>0.31</v>
      </c>
      <c r="H856" t="s">
        <v>10310</v>
      </c>
      <c r="I856" t="s">
        <v>10325</v>
      </c>
      <c r="L856">
        <v>2007</v>
      </c>
      <c r="N856">
        <v>46.728181123200002</v>
      </c>
      <c r="P856">
        <v>8.6203614662600003</v>
      </c>
      <c r="R856" t="s">
        <v>11038</v>
      </c>
      <c r="S856" t="s">
        <v>10310</v>
      </c>
      <c r="W856" s="2" t="s">
        <v>11198</v>
      </c>
    </row>
    <row r="857" spans="1:23" hidden="1" x14ac:dyDescent="0.45">
      <c r="A857" s="1" t="s">
        <v>870</v>
      </c>
      <c r="E857" t="s">
        <v>8808</v>
      </c>
      <c r="F857" t="s">
        <v>10294</v>
      </c>
      <c r="G857">
        <v>2.2999999999999998</v>
      </c>
      <c r="H857" t="s">
        <v>10310</v>
      </c>
      <c r="I857" t="s">
        <v>10325</v>
      </c>
      <c r="L857">
        <v>2018</v>
      </c>
      <c r="R857" t="s">
        <v>11038</v>
      </c>
      <c r="S857" t="s">
        <v>10310</v>
      </c>
      <c r="W857" s="2" t="s">
        <v>11198</v>
      </c>
    </row>
    <row r="858" spans="1:23" hidden="1" x14ac:dyDescent="0.45">
      <c r="A858" s="1" t="s">
        <v>871</v>
      </c>
      <c r="E858" t="s">
        <v>8809</v>
      </c>
      <c r="F858" t="s">
        <v>10294</v>
      </c>
      <c r="G858">
        <v>4.3</v>
      </c>
      <c r="H858" t="s">
        <v>10310</v>
      </c>
      <c r="I858" t="s">
        <v>10325</v>
      </c>
      <c r="L858">
        <v>2016</v>
      </c>
      <c r="R858" t="s">
        <v>11038</v>
      </c>
      <c r="S858" t="s">
        <v>10310</v>
      </c>
      <c r="W858" s="2" t="s">
        <v>11198</v>
      </c>
    </row>
    <row r="859" spans="1:23" hidden="1" x14ac:dyDescent="0.45">
      <c r="A859" s="1" t="s">
        <v>867</v>
      </c>
      <c r="E859" t="s">
        <v>867</v>
      </c>
      <c r="F859" t="s">
        <v>10294</v>
      </c>
      <c r="G859">
        <v>120</v>
      </c>
      <c r="H859" t="s">
        <v>10310</v>
      </c>
      <c r="I859" t="s">
        <v>10325</v>
      </c>
      <c r="L859">
        <v>1998</v>
      </c>
      <c r="N859">
        <v>46.766759654300003</v>
      </c>
      <c r="P859">
        <v>8.6729233635899998</v>
      </c>
      <c r="R859" t="s">
        <v>11038</v>
      </c>
      <c r="S859" t="s">
        <v>10310</v>
      </c>
      <c r="V859" t="s">
        <v>11110</v>
      </c>
      <c r="W859" s="2" t="s">
        <v>11198</v>
      </c>
    </row>
    <row r="860" spans="1:23" hidden="1" x14ac:dyDescent="0.45">
      <c r="A860" s="1" t="s">
        <v>867</v>
      </c>
      <c r="E860" t="s">
        <v>867</v>
      </c>
      <c r="F860" t="s">
        <v>10294</v>
      </c>
      <c r="G860">
        <v>1.73</v>
      </c>
      <c r="H860" t="s">
        <v>10310</v>
      </c>
      <c r="I860" t="s">
        <v>10325</v>
      </c>
      <c r="L860">
        <v>1998</v>
      </c>
      <c r="N860">
        <v>46.766759654300003</v>
      </c>
      <c r="P860">
        <v>8.6729233635899998</v>
      </c>
      <c r="R860" t="s">
        <v>11038</v>
      </c>
      <c r="S860" t="s">
        <v>10310</v>
      </c>
      <c r="W860" s="2" t="s">
        <v>11198</v>
      </c>
    </row>
    <row r="861" spans="1:23" hidden="1" x14ac:dyDescent="0.45">
      <c r="A861" s="1" t="s">
        <v>872</v>
      </c>
      <c r="E861" t="s">
        <v>867</v>
      </c>
      <c r="F861" t="s">
        <v>10294</v>
      </c>
      <c r="G861">
        <v>13</v>
      </c>
      <c r="H861" t="s">
        <v>10310</v>
      </c>
      <c r="I861" t="s">
        <v>10325</v>
      </c>
      <c r="L861">
        <v>1969</v>
      </c>
      <c r="N861">
        <v>46.768994479399993</v>
      </c>
      <c r="P861">
        <v>8.6659041292199994</v>
      </c>
      <c r="R861" t="s">
        <v>11038</v>
      </c>
      <c r="S861" t="s">
        <v>10310</v>
      </c>
      <c r="W861" s="2" t="s">
        <v>11198</v>
      </c>
    </row>
    <row r="862" spans="1:23" hidden="1" x14ac:dyDescent="0.45">
      <c r="A862" s="1" t="s">
        <v>873</v>
      </c>
      <c r="E862" t="s">
        <v>8810</v>
      </c>
      <c r="F862" t="s">
        <v>10294</v>
      </c>
      <c r="G862">
        <v>7</v>
      </c>
      <c r="H862" t="s">
        <v>10310</v>
      </c>
      <c r="I862" t="s">
        <v>10325</v>
      </c>
      <c r="L862">
        <v>1997</v>
      </c>
      <c r="N862">
        <v>46.840963789100002</v>
      </c>
      <c r="P862">
        <v>8.6321455604100006</v>
      </c>
      <c r="R862" t="s">
        <v>11038</v>
      </c>
      <c r="S862" t="s">
        <v>10310</v>
      </c>
      <c r="V862" t="s">
        <v>11111</v>
      </c>
      <c r="W862" s="2" t="s">
        <v>11198</v>
      </c>
    </row>
    <row r="863" spans="1:23" hidden="1" x14ac:dyDescent="0.45">
      <c r="A863" s="1" t="s">
        <v>874</v>
      </c>
      <c r="E863" t="s">
        <v>8810</v>
      </c>
      <c r="F863" t="s">
        <v>10294</v>
      </c>
      <c r="G863">
        <v>1.7</v>
      </c>
      <c r="H863" t="s">
        <v>10310</v>
      </c>
      <c r="I863" t="s">
        <v>10325</v>
      </c>
      <c r="L863">
        <v>1997</v>
      </c>
      <c r="N863">
        <v>46.840963789100002</v>
      </c>
      <c r="P863">
        <v>8.6321455604100006</v>
      </c>
      <c r="R863" t="s">
        <v>11038</v>
      </c>
      <c r="S863" t="s">
        <v>10310</v>
      </c>
      <c r="V863" t="s">
        <v>11111</v>
      </c>
      <c r="W863" s="2" t="s">
        <v>11198</v>
      </c>
    </row>
    <row r="864" spans="1:23" hidden="1" x14ac:dyDescent="0.45">
      <c r="A864" s="1" t="s">
        <v>875</v>
      </c>
      <c r="E864" t="s">
        <v>8811</v>
      </c>
      <c r="F864" t="s">
        <v>10294</v>
      </c>
      <c r="G864">
        <v>0.52</v>
      </c>
      <c r="H864" t="s">
        <v>10310</v>
      </c>
      <c r="I864" t="s">
        <v>10325</v>
      </c>
      <c r="L864">
        <v>1996</v>
      </c>
      <c r="N864">
        <v>46.865235800900003</v>
      </c>
      <c r="P864">
        <v>8.8102868320300001</v>
      </c>
      <c r="R864" t="s">
        <v>11038</v>
      </c>
      <c r="S864" t="s">
        <v>10310</v>
      </c>
      <c r="W864" s="2" t="s">
        <v>11198</v>
      </c>
    </row>
    <row r="865" spans="1:23" hidden="1" x14ac:dyDescent="0.45">
      <c r="A865" s="1" t="s">
        <v>876</v>
      </c>
      <c r="E865" t="s">
        <v>8811</v>
      </c>
      <c r="F865" t="s">
        <v>10294</v>
      </c>
      <c r="G865">
        <v>2.2000000000000002</v>
      </c>
      <c r="H865" t="s">
        <v>10310</v>
      </c>
      <c r="I865" t="s">
        <v>10325</v>
      </c>
      <c r="L865">
        <v>2005</v>
      </c>
      <c r="N865">
        <v>46.863267749499997</v>
      </c>
      <c r="P865">
        <v>8.7635415290899985</v>
      </c>
      <c r="R865" t="s">
        <v>11038</v>
      </c>
      <c r="S865" t="s">
        <v>10310</v>
      </c>
      <c r="W865" s="2" t="s">
        <v>11198</v>
      </c>
    </row>
    <row r="866" spans="1:23" hidden="1" x14ac:dyDescent="0.45">
      <c r="A866" s="1" t="s">
        <v>877</v>
      </c>
      <c r="E866" t="s">
        <v>8699</v>
      </c>
      <c r="F866" t="s">
        <v>10294</v>
      </c>
      <c r="G866">
        <v>20.8</v>
      </c>
      <c r="H866" t="s">
        <v>10310</v>
      </c>
      <c r="I866" t="s">
        <v>10325</v>
      </c>
      <c r="L866">
        <v>1967</v>
      </c>
      <c r="N866">
        <v>46.8765292426</v>
      </c>
      <c r="P866">
        <v>8.6633716677999999</v>
      </c>
      <c r="R866" t="s">
        <v>11038</v>
      </c>
      <c r="S866" t="s">
        <v>10310</v>
      </c>
      <c r="V866" t="s">
        <v>11071</v>
      </c>
      <c r="W866" s="2" t="s">
        <v>11198</v>
      </c>
    </row>
    <row r="867" spans="1:23" hidden="1" x14ac:dyDescent="0.45">
      <c r="A867" s="1" t="s">
        <v>878</v>
      </c>
      <c r="E867" t="s">
        <v>8699</v>
      </c>
      <c r="F867" t="s">
        <v>10294</v>
      </c>
      <c r="G867">
        <v>1.5</v>
      </c>
      <c r="H867" t="s">
        <v>10310</v>
      </c>
      <c r="I867" t="s">
        <v>10325</v>
      </c>
      <c r="L867">
        <v>1967</v>
      </c>
      <c r="N867">
        <v>46.8765292426</v>
      </c>
      <c r="P867">
        <v>8.6633716677999999</v>
      </c>
      <c r="R867" t="s">
        <v>11038</v>
      </c>
      <c r="S867" t="s">
        <v>10310</v>
      </c>
      <c r="V867" t="s">
        <v>11112</v>
      </c>
      <c r="W867" s="2" t="s">
        <v>11198</v>
      </c>
    </row>
    <row r="868" spans="1:23" hidden="1" x14ac:dyDescent="0.45">
      <c r="A868" s="1" t="s">
        <v>879</v>
      </c>
      <c r="E868" t="s">
        <v>8812</v>
      </c>
      <c r="F868" t="s">
        <v>10294</v>
      </c>
      <c r="G868">
        <v>0.3</v>
      </c>
      <c r="H868" t="s">
        <v>10310</v>
      </c>
      <c r="I868" t="s">
        <v>10325</v>
      </c>
      <c r="L868">
        <v>2002</v>
      </c>
      <c r="N868">
        <v>46.886828236099987</v>
      </c>
      <c r="P868">
        <v>8.6423485284500003</v>
      </c>
      <c r="R868" t="s">
        <v>11038</v>
      </c>
      <c r="S868" t="s">
        <v>10310</v>
      </c>
      <c r="V868" t="s">
        <v>11060</v>
      </c>
      <c r="W868" s="2" t="s">
        <v>11198</v>
      </c>
    </row>
    <row r="869" spans="1:23" hidden="1" x14ac:dyDescent="0.45">
      <c r="A869" s="1" t="s">
        <v>880</v>
      </c>
      <c r="E869" t="s">
        <v>8813</v>
      </c>
      <c r="F869" t="s">
        <v>10294</v>
      </c>
      <c r="G869">
        <v>1.18</v>
      </c>
      <c r="H869" t="s">
        <v>10310</v>
      </c>
      <c r="I869" t="s">
        <v>10325</v>
      </c>
      <c r="L869">
        <v>2009</v>
      </c>
      <c r="N869">
        <v>46.910042980900002</v>
      </c>
      <c r="P869">
        <v>8.5622651690799998</v>
      </c>
      <c r="R869" t="s">
        <v>11038</v>
      </c>
      <c r="S869" t="s">
        <v>10310</v>
      </c>
      <c r="W869" s="2" t="s">
        <v>11198</v>
      </c>
    </row>
    <row r="870" spans="1:23" hidden="1" x14ac:dyDescent="0.45">
      <c r="A870" s="1" t="s">
        <v>881</v>
      </c>
      <c r="E870" t="s">
        <v>8814</v>
      </c>
      <c r="F870" t="s">
        <v>10294</v>
      </c>
      <c r="G870">
        <v>0.38</v>
      </c>
      <c r="H870" t="s">
        <v>10310</v>
      </c>
      <c r="I870" t="s">
        <v>10325</v>
      </c>
      <c r="L870">
        <v>2012</v>
      </c>
      <c r="R870" t="s">
        <v>11038</v>
      </c>
      <c r="S870" t="s">
        <v>10310</v>
      </c>
      <c r="V870" t="s">
        <v>11060</v>
      </c>
      <c r="W870" s="2" t="s">
        <v>11198</v>
      </c>
    </row>
    <row r="871" spans="1:23" hidden="1" x14ac:dyDescent="0.45">
      <c r="A871" s="1" t="s">
        <v>882</v>
      </c>
      <c r="E871" t="s">
        <v>8814</v>
      </c>
      <c r="F871" t="s">
        <v>10294</v>
      </c>
      <c r="G871">
        <v>12</v>
      </c>
      <c r="H871" t="s">
        <v>10310</v>
      </c>
      <c r="I871" t="s">
        <v>10325</v>
      </c>
      <c r="L871">
        <v>2009</v>
      </c>
      <c r="N871">
        <v>46.899207557300002</v>
      </c>
      <c r="P871">
        <v>8.5934071317699985</v>
      </c>
      <c r="R871" t="s">
        <v>11038</v>
      </c>
      <c r="S871" t="s">
        <v>10310</v>
      </c>
      <c r="V871" t="s">
        <v>11113</v>
      </c>
      <c r="W871" s="2" t="s">
        <v>11198</v>
      </c>
    </row>
    <row r="872" spans="1:23" hidden="1" x14ac:dyDescent="0.45">
      <c r="A872" s="1" t="s">
        <v>883</v>
      </c>
      <c r="E872" t="s">
        <v>8815</v>
      </c>
      <c r="F872" t="s">
        <v>10294</v>
      </c>
      <c r="G872">
        <v>4.7</v>
      </c>
      <c r="H872" t="s">
        <v>10310</v>
      </c>
      <c r="I872" t="s">
        <v>10325</v>
      </c>
      <c r="L872">
        <v>1962</v>
      </c>
      <c r="N872">
        <v>46.917618812599997</v>
      </c>
      <c r="P872">
        <v>8.8454988636199996</v>
      </c>
      <c r="R872" t="s">
        <v>11038</v>
      </c>
      <c r="S872" t="s">
        <v>10310</v>
      </c>
      <c r="V872" t="s">
        <v>11060</v>
      </c>
      <c r="W872" s="2" t="s">
        <v>11198</v>
      </c>
    </row>
    <row r="873" spans="1:23" hidden="1" x14ac:dyDescent="0.45">
      <c r="A873" s="1" t="s">
        <v>884</v>
      </c>
      <c r="E873" t="s">
        <v>8815</v>
      </c>
      <c r="F873" t="s">
        <v>10294</v>
      </c>
      <c r="G873">
        <v>9.3000000000000007</v>
      </c>
      <c r="H873" t="s">
        <v>10310</v>
      </c>
      <c r="I873" t="s">
        <v>10325</v>
      </c>
      <c r="L873">
        <v>1970</v>
      </c>
      <c r="N873">
        <v>46.917618812599997</v>
      </c>
      <c r="P873">
        <v>8.8454988636199996</v>
      </c>
      <c r="R873" t="s">
        <v>11038</v>
      </c>
      <c r="S873" t="s">
        <v>10310</v>
      </c>
      <c r="V873" t="s">
        <v>11060</v>
      </c>
      <c r="W873" s="2" t="s">
        <v>11198</v>
      </c>
    </row>
    <row r="874" spans="1:23" hidden="1" x14ac:dyDescent="0.45">
      <c r="A874" s="1" t="s">
        <v>885</v>
      </c>
      <c r="E874" t="s">
        <v>885</v>
      </c>
      <c r="F874" t="s">
        <v>10294</v>
      </c>
      <c r="G874">
        <v>15.8</v>
      </c>
      <c r="H874" t="s">
        <v>10310</v>
      </c>
      <c r="I874" t="s">
        <v>10325</v>
      </c>
      <c r="L874">
        <v>1962</v>
      </c>
      <c r="N874">
        <v>46.946621684300013</v>
      </c>
      <c r="P874">
        <v>8.8279977461100003</v>
      </c>
      <c r="R874" t="s">
        <v>11038</v>
      </c>
      <c r="S874" t="s">
        <v>10310</v>
      </c>
      <c r="W874" s="2" t="s">
        <v>11198</v>
      </c>
    </row>
    <row r="875" spans="1:23" hidden="1" x14ac:dyDescent="0.45">
      <c r="A875" s="1" t="s">
        <v>886</v>
      </c>
      <c r="E875" t="s">
        <v>8816</v>
      </c>
      <c r="F875" t="s">
        <v>10294</v>
      </c>
      <c r="G875">
        <v>8.8000000000000007</v>
      </c>
      <c r="H875" t="s">
        <v>10310</v>
      </c>
      <c r="I875" t="s">
        <v>10325</v>
      </c>
      <c r="L875">
        <v>1960</v>
      </c>
      <c r="N875">
        <v>46.971005149600003</v>
      </c>
      <c r="P875">
        <v>8.7824966915199987</v>
      </c>
      <c r="R875" t="s">
        <v>11038</v>
      </c>
      <c r="S875" t="s">
        <v>10310</v>
      </c>
      <c r="V875" t="s">
        <v>11060</v>
      </c>
      <c r="W875" s="2" t="s">
        <v>11198</v>
      </c>
    </row>
    <row r="876" spans="1:23" hidden="1" x14ac:dyDescent="0.45">
      <c r="A876" s="1" t="s">
        <v>887</v>
      </c>
      <c r="E876" t="s">
        <v>8816</v>
      </c>
      <c r="F876" t="s">
        <v>10294</v>
      </c>
      <c r="G876">
        <v>4.7</v>
      </c>
      <c r="H876" t="s">
        <v>10310</v>
      </c>
      <c r="I876" t="s">
        <v>10325</v>
      </c>
      <c r="L876">
        <v>1960</v>
      </c>
      <c r="N876">
        <v>46.971005149600003</v>
      </c>
      <c r="P876">
        <v>8.7824966915199987</v>
      </c>
      <c r="R876" t="s">
        <v>11038</v>
      </c>
      <c r="S876" t="s">
        <v>10310</v>
      </c>
      <c r="V876" t="s">
        <v>11060</v>
      </c>
      <c r="W876" s="2" t="s">
        <v>11198</v>
      </c>
    </row>
    <row r="877" spans="1:23" hidden="1" x14ac:dyDescent="0.45">
      <c r="A877" s="1" t="s">
        <v>888</v>
      </c>
      <c r="E877" t="s">
        <v>889</v>
      </c>
      <c r="F877" t="s">
        <v>10294</v>
      </c>
      <c r="G877">
        <v>20.399999999999999</v>
      </c>
      <c r="H877" t="s">
        <v>10310</v>
      </c>
      <c r="I877" t="s">
        <v>10325</v>
      </c>
      <c r="L877">
        <v>1966</v>
      </c>
      <c r="N877">
        <v>46.996218822800003</v>
      </c>
      <c r="P877">
        <v>8.6512442566499992</v>
      </c>
      <c r="R877" t="s">
        <v>11038</v>
      </c>
      <c r="S877" t="s">
        <v>10310</v>
      </c>
      <c r="W877" s="2" t="s">
        <v>11198</v>
      </c>
    </row>
    <row r="878" spans="1:23" hidden="1" x14ac:dyDescent="0.45">
      <c r="A878" s="1" t="s">
        <v>889</v>
      </c>
      <c r="E878" t="s">
        <v>889</v>
      </c>
      <c r="F878" t="s">
        <v>10294</v>
      </c>
      <c r="G878">
        <v>0.32</v>
      </c>
      <c r="H878" t="s">
        <v>10310</v>
      </c>
      <c r="I878" t="s">
        <v>10325</v>
      </c>
      <c r="L878">
        <v>2004</v>
      </c>
      <c r="N878">
        <v>47.007147378600003</v>
      </c>
      <c r="P878">
        <v>8.6471512030499991</v>
      </c>
      <c r="R878" t="s">
        <v>11038</v>
      </c>
      <c r="S878" t="s">
        <v>10310</v>
      </c>
      <c r="W878" s="2" t="s">
        <v>11198</v>
      </c>
    </row>
    <row r="879" spans="1:23" hidden="1" x14ac:dyDescent="0.45">
      <c r="A879" s="1" t="s">
        <v>890</v>
      </c>
      <c r="E879" t="s">
        <v>8817</v>
      </c>
      <c r="F879" t="s">
        <v>10294</v>
      </c>
      <c r="G879">
        <v>2.2000000000000002</v>
      </c>
      <c r="H879" t="s">
        <v>10310</v>
      </c>
      <c r="I879" t="s">
        <v>10325</v>
      </c>
      <c r="L879">
        <v>2016</v>
      </c>
      <c r="R879" t="s">
        <v>11038</v>
      </c>
      <c r="S879" t="s">
        <v>10310</v>
      </c>
      <c r="W879" s="2" t="s">
        <v>11198</v>
      </c>
    </row>
    <row r="880" spans="1:23" hidden="1" x14ac:dyDescent="0.45">
      <c r="A880" s="1" t="s">
        <v>891</v>
      </c>
      <c r="E880" t="s">
        <v>8818</v>
      </c>
      <c r="F880" t="s">
        <v>10294</v>
      </c>
      <c r="G880">
        <v>1.63</v>
      </c>
      <c r="H880" t="s">
        <v>10310</v>
      </c>
      <c r="I880" t="s">
        <v>10325</v>
      </c>
      <c r="L880">
        <v>1998</v>
      </c>
      <c r="N880">
        <v>46.963776447000001</v>
      </c>
      <c r="P880">
        <v>8.4833635640799994</v>
      </c>
      <c r="R880" t="s">
        <v>11038</v>
      </c>
      <c r="S880" t="s">
        <v>10310</v>
      </c>
      <c r="W880" s="2" t="s">
        <v>11198</v>
      </c>
    </row>
    <row r="881" spans="1:23" hidden="1" x14ac:dyDescent="0.45">
      <c r="A881" s="1" t="s">
        <v>892</v>
      </c>
      <c r="E881" t="s">
        <v>8819</v>
      </c>
      <c r="F881" t="s">
        <v>10294</v>
      </c>
      <c r="G881">
        <v>1.27</v>
      </c>
      <c r="H881" t="s">
        <v>10310</v>
      </c>
      <c r="I881" t="s">
        <v>10325</v>
      </c>
      <c r="L881">
        <v>1941</v>
      </c>
      <c r="N881">
        <v>46.805604924799987</v>
      </c>
      <c r="P881">
        <v>8.4455770537500001</v>
      </c>
      <c r="R881" t="s">
        <v>11038</v>
      </c>
      <c r="S881" t="s">
        <v>10310</v>
      </c>
      <c r="W881" s="2" t="s">
        <v>11198</v>
      </c>
    </row>
    <row r="882" spans="1:23" hidden="1" x14ac:dyDescent="0.45">
      <c r="A882" s="1" t="s">
        <v>893</v>
      </c>
      <c r="E882" t="s">
        <v>8820</v>
      </c>
      <c r="F882" t="s">
        <v>10294</v>
      </c>
      <c r="G882">
        <v>8.5</v>
      </c>
      <c r="H882" t="s">
        <v>10310</v>
      </c>
      <c r="I882" t="s">
        <v>10326</v>
      </c>
      <c r="L882">
        <v>1967</v>
      </c>
      <c r="R882" t="s">
        <v>11038</v>
      </c>
      <c r="S882" t="s">
        <v>10310</v>
      </c>
      <c r="W882" s="2" t="s">
        <v>11198</v>
      </c>
    </row>
    <row r="883" spans="1:23" hidden="1" x14ac:dyDescent="0.45">
      <c r="A883" s="1" t="s">
        <v>894</v>
      </c>
      <c r="E883" t="s">
        <v>8820</v>
      </c>
      <c r="F883" t="s">
        <v>10294</v>
      </c>
      <c r="G883">
        <v>3.07</v>
      </c>
      <c r="H883" t="s">
        <v>10310</v>
      </c>
      <c r="I883" t="s">
        <v>10325</v>
      </c>
      <c r="L883">
        <v>1966</v>
      </c>
      <c r="R883" t="s">
        <v>11038</v>
      </c>
      <c r="S883" t="s">
        <v>10310</v>
      </c>
      <c r="W883" s="2" t="s">
        <v>11198</v>
      </c>
    </row>
    <row r="884" spans="1:23" hidden="1" x14ac:dyDescent="0.45">
      <c r="A884" s="1" t="s">
        <v>895</v>
      </c>
      <c r="E884" t="s">
        <v>8821</v>
      </c>
      <c r="F884" t="s">
        <v>10294</v>
      </c>
      <c r="G884">
        <v>31.95</v>
      </c>
      <c r="H884" t="s">
        <v>10310</v>
      </c>
      <c r="I884" t="s">
        <v>10325</v>
      </c>
      <c r="L884">
        <v>1963</v>
      </c>
      <c r="N884">
        <v>46.842109100899997</v>
      </c>
      <c r="P884">
        <v>8.3737585174000007</v>
      </c>
      <c r="R884" t="s">
        <v>11038</v>
      </c>
      <c r="S884" t="s">
        <v>10310</v>
      </c>
      <c r="W884" s="2" t="s">
        <v>11198</v>
      </c>
    </row>
    <row r="885" spans="1:23" hidden="1" x14ac:dyDescent="0.45">
      <c r="A885" s="1" t="s">
        <v>896</v>
      </c>
      <c r="E885" t="s">
        <v>8821</v>
      </c>
      <c r="F885" t="s">
        <v>10294</v>
      </c>
      <c r="G885">
        <v>1.97</v>
      </c>
      <c r="H885" t="s">
        <v>10310</v>
      </c>
      <c r="I885" t="s">
        <v>10325</v>
      </c>
      <c r="L885">
        <v>1963</v>
      </c>
      <c r="N885">
        <v>46.842937890600012</v>
      </c>
      <c r="P885">
        <v>8.3714129936199999</v>
      </c>
      <c r="R885" t="s">
        <v>11038</v>
      </c>
      <c r="S885" t="s">
        <v>10310</v>
      </c>
      <c r="W885" s="2" t="s">
        <v>11198</v>
      </c>
    </row>
    <row r="886" spans="1:23" hidden="1" x14ac:dyDescent="0.45">
      <c r="A886" s="1" t="s">
        <v>897</v>
      </c>
      <c r="E886" t="s">
        <v>900</v>
      </c>
      <c r="F886" t="s">
        <v>10294</v>
      </c>
      <c r="G886">
        <v>17.75</v>
      </c>
      <c r="H886" t="s">
        <v>10310</v>
      </c>
      <c r="I886" t="s">
        <v>10325</v>
      </c>
      <c r="L886">
        <v>1987</v>
      </c>
      <c r="N886">
        <v>46.911663680799997</v>
      </c>
      <c r="P886">
        <v>8.39360887478</v>
      </c>
      <c r="R886" t="s">
        <v>11038</v>
      </c>
      <c r="S886" t="s">
        <v>10310</v>
      </c>
      <c r="W886" s="2" t="s">
        <v>11198</v>
      </c>
    </row>
    <row r="887" spans="1:23" hidden="1" x14ac:dyDescent="0.45">
      <c r="A887" s="1" t="s">
        <v>898</v>
      </c>
      <c r="E887" t="s">
        <v>8822</v>
      </c>
      <c r="F887" t="s">
        <v>10294</v>
      </c>
      <c r="G887">
        <v>2</v>
      </c>
      <c r="H887" t="s">
        <v>10310</v>
      </c>
      <c r="I887" t="s">
        <v>10325</v>
      </c>
      <c r="L887">
        <v>2013</v>
      </c>
      <c r="N887">
        <v>46.927090402899999</v>
      </c>
      <c r="P887">
        <v>8.3991353836000009</v>
      </c>
      <c r="R887" t="s">
        <v>11038</v>
      </c>
      <c r="S887" t="s">
        <v>10310</v>
      </c>
      <c r="W887" s="2" t="s">
        <v>11198</v>
      </c>
    </row>
    <row r="888" spans="1:23" hidden="1" x14ac:dyDescent="0.45">
      <c r="A888" s="1" t="s">
        <v>899</v>
      </c>
      <c r="E888" t="s">
        <v>8823</v>
      </c>
      <c r="F888" t="s">
        <v>10294</v>
      </c>
      <c r="G888">
        <v>8.6999999999999993</v>
      </c>
      <c r="H888" t="s">
        <v>10310</v>
      </c>
      <c r="I888" t="s">
        <v>10326</v>
      </c>
      <c r="L888">
        <v>1991</v>
      </c>
      <c r="N888">
        <v>46.8803037351</v>
      </c>
      <c r="P888">
        <v>8.4212599620699997</v>
      </c>
      <c r="R888" t="s">
        <v>11038</v>
      </c>
      <c r="S888" t="s">
        <v>10310</v>
      </c>
      <c r="V888" t="s">
        <v>11114</v>
      </c>
      <c r="W888" s="2" t="s">
        <v>11198</v>
      </c>
    </row>
    <row r="889" spans="1:23" hidden="1" x14ac:dyDescent="0.45">
      <c r="A889" s="1" t="s">
        <v>900</v>
      </c>
      <c r="E889" t="s">
        <v>900</v>
      </c>
      <c r="F889" t="s">
        <v>10294</v>
      </c>
      <c r="G889">
        <v>6.6</v>
      </c>
      <c r="H889" t="s">
        <v>10310</v>
      </c>
      <c r="I889" t="s">
        <v>10325</v>
      </c>
      <c r="L889">
        <v>1983</v>
      </c>
      <c r="N889">
        <v>46.901202569100001</v>
      </c>
      <c r="P889">
        <v>8.3967043762299998</v>
      </c>
      <c r="R889" t="s">
        <v>11038</v>
      </c>
      <c r="S889" t="s">
        <v>10310</v>
      </c>
      <c r="V889" t="s">
        <v>11114</v>
      </c>
      <c r="W889" s="2" t="s">
        <v>11198</v>
      </c>
    </row>
    <row r="890" spans="1:23" hidden="1" x14ac:dyDescent="0.45">
      <c r="A890" s="1" t="s">
        <v>901</v>
      </c>
      <c r="E890" t="s">
        <v>8824</v>
      </c>
      <c r="F890" t="s">
        <v>10294</v>
      </c>
      <c r="G890">
        <v>1.2</v>
      </c>
      <c r="H890" t="s">
        <v>10310</v>
      </c>
      <c r="I890" t="s">
        <v>10325</v>
      </c>
      <c r="L890">
        <v>2003</v>
      </c>
      <c r="N890">
        <v>46.779814119100003</v>
      </c>
      <c r="P890">
        <v>8.1556925211600007</v>
      </c>
      <c r="R890" t="s">
        <v>11038</v>
      </c>
      <c r="S890" t="s">
        <v>10310</v>
      </c>
      <c r="W890" s="2" t="s">
        <v>11198</v>
      </c>
    </row>
    <row r="891" spans="1:23" hidden="1" x14ac:dyDescent="0.45">
      <c r="A891" s="1" t="s">
        <v>902</v>
      </c>
      <c r="E891" t="s">
        <v>8825</v>
      </c>
      <c r="F891" t="s">
        <v>10294</v>
      </c>
      <c r="G891">
        <v>12</v>
      </c>
      <c r="H891" t="s">
        <v>10310</v>
      </c>
      <c r="I891" t="s">
        <v>10326</v>
      </c>
      <c r="L891">
        <v>2013</v>
      </c>
      <c r="N891">
        <v>46.821435194099998</v>
      </c>
      <c r="P891">
        <v>8.1744623486000005</v>
      </c>
      <c r="R891" t="s">
        <v>11038</v>
      </c>
      <c r="S891" t="s">
        <v>10310</v>
      </c>
      <c r="V891" t="s">
        <v>11074</v>
      </c>
      <c r="W891" s="2" t="s">
        <v>11198</v>
      </c>
    </row>
    <row r="892" spans="1:23" hidden="1" x14ac:dyDescent="0.45">
      <c r="A892" s="1" t="s">
        <v>903</v>
      </c>
      <c r="E892" t="s">
        <v>8825</v>
      </c>
      <c r="F892" t="s">
        <v>10294</v>
      </c>
      <c r="G892">
        <v>54</v>
      </c>
      <c r="H892" t="s">
        <v>10310</v>
      </c>
      <c r="I892" t="s">
        <v>10326</v>
      </c>
      <c r="L892">
        <v>1994</v>
      </c>
      <c r="N892">
        <v>46.821435194099998</v>
      </c>
      <c r="P892">
        <v>8.1744623486000005</v>
      </c>
      <c r="R892" t="s">
        <v>11038</v>
      </c>
      <c r="S892" t="s">
        <v>10310</v>
      </c>
      <c r="V892" t="s">
        <v>11115</v>
      </c>
      <c r="W892" s="2" t="s">
        <v>11198</v>
      </c>
    </row>
    <row r="893" spans="1:23" hidden="1" x14ac:dyDescent="0.45">
      <c r="A893" s="1" t="s">
        <v>904</v>
      </c>
      <c r="E893" t="s">
        <v>8826</v>
      </c>
      <c r="F893" t="s">
        <v>10294</v>
      </c>
      <c r="G893">
        <v>0.3</v>
      </c>
      <c r="H893" t="s">
        <v>10310</v>
      </c>
      <c r="I893" t="s">
        <v>10325</v>
      </c>
      <c r="L893">
        <v>2005</v>
      </c>
      <c r="N893">
        <v>46.857050951000012</v>
      </c>
      <c r="P893">
        <v>8.2295023179799998</v>
      </c>
      <c r="R893" t="s">
        <v>11038</v>
      </c>
      <c r="S893" t="s">
        <v>10310</v>
      </c>
      <c r="V893" t="s">
        <v>11116</v>
      </c>
      <c r="W893" s="2" t="s">
        <v>11198</v>
      </c>
    </row>
    <row r="894" spans="1:23" hidden="1" x14ac:dyDescent="0.45">
      <c r="A894" s="1" t="s">
        <v>905</v>
      </c>
      <c r="E894" t="s">
        <v>8827</v>
      </c>
      <c r="F894" t="s">
        <v>10294</v>
      </c>
      <c r="G894">
        <v>14</v>
      </c>
      <c r="H894" t="s">
        <v>10310</v>
      </c>
      <c r="I894" t="s">
        <v>10326</v>
      </c>
      <c r="L894">
        <v>1960</v>
      </c>
      <c r="N894">
        <v>46.799646307000003</v>
      </c>
      <c r="P894">
        <v>8.28145261421</v>
      </c>
      <c r="R894" t="s">
        <v>11038</v>
      </c>
      <c r="S894" t="s">
        <v>10310</v>
      </c>
      <c r="V894" t="s">
        <v>11117</v>
      </c>
      <c r="W894" s="2" t="s">
        <v>11198</v>
      </c>
    </row>
    <row r="895" spans="1:23" hidden="1" x14ac:dyDescent="0.45">
      <c r="A895" s="1" t="s">
        <v>906</v>
      </c>
      <c r="E895" t="s">
        <v>8828</v>
      </c>
      <c r="F895" t="s">
        <v>10294</v>
      </c>
      <c r="G895">
        <v>1.1499999999999999</v>
      </c>
      <c r="H895" t="s">
        <v>10310</v>
      </c>
      <c r="I895" t="s">
        <v>10325</v>
      </c>
      <c r="L895">
        <v>1997</v>
      </c>
      <c r="N895">
        <v>46.910273666400002</v>
      </c>
      <c r="P895">
        <v>8.2964442342199991</v>
      </c>
      <c r="R895" t="s">
        <v>11038</v>
      </c>
      <c r="S895" t="s">
        <v>10310</v>
      </c>
      <c r="W895" s="2" t="s">
        <v>11198</v>
      </c>
    </row>
    <row r="896" spans="1:23" hidden="1" x14ac:dyDescent="0.45">
      <c r="A896" s="1" t="s">
        <v>907</v>
      </c>
      <c r="E896" t="s">
        <v>8829</v>
      </c>
      <c r="F896" t="s">
        <v>10294</v>
      </c>
      <c r="G896">
        <v>2.4</v>
      </c>
      <c r="H896" t="s">
        <v>10310</v>
      </c>
      <c r="I896" t="s">
        <v>10325</v>
      </c>
      <c r="L896">
        <v>1957</v>
      </c>
      <c r="N896">
        <v>46.940743176899993</v>
      </c>
      <c r="P896">
        <v>8.2878677315299996</v>
      </c>
      <c r="R896" t="s">
        <v>11038</v>
      </c>
      <c r="S896" t="s">
        <v>10310</v>
      </c>
      <c r="W896" s="2" t="s">
        <v>11198</v>
      </c>
    </row>
    <row r="897" spans="1:23" hidden="1" x14ac:dyDescent="0.45">
      <c r="A897" s="1" t="s">
        <v>908</v>
      </c>
      <c r="E897" t="s">
        <v>8830</v>
      </c>
      <c r="F897" t="s">
        <v>10294</v>
      </c>
      <c r="G897">
        <v>0.3</v>
      </c>
      <c r="H897" t="s">
        <v>10310</v>
      </c>
      <c r="I897" t="s">
        <v>10325</v>
      </c>
      <c r="L897">
        <v>1935</v>
      </c>
      <c r="N897">
        <v>46.964883188599998</v>
      </c>
      <c r="P897">
        <v>8.33108666537</v>
      </c>
      <c r="R897" t="s">
        <v>11038</v>
      </c>
      <c r="S897" t="s">
        <v>10310</v>
      </c>
      <c r="W897" s="2" t="s">
        <v>11198</v>
      </c>
    </row>
    <row r="898" spans="1:23" hidden="1" x14ac:dyDescent="0.45">
      <c r="A898" s="1" t="s">
        <v>909</v>
      </c>
      <c r="E898" t="s">
        <v>8831</v>
      </c>
      <c r="F898" t="s">
        <v>10294</v>
      </c>
      <c r="G898">
        <v>0.93</v>
      </c>
      <c r="H898" t="s">
        <v>10310</v>
      </c>
      <c r="I898" t="s">
        <v>10325</v>
      </c>
      <c r="L898">
        <v>1998</v>
      </c>
      <c r="N898">
        <v>47.0517337725</v>
      </c>
      <c r="P898">
        <v>8.3019966548500008</v>
      </c>
      <c r="R898" t="s">
        <v>11038</v>
      </c>
      <c r="S898" t="s">
        <v>10310</v>
      </c>
      <c r="W898" s="2" t="s">
        <v>11198</v>
      </c>
    </row>
    <row r="899" spans="1:23" hidden="1" x14ac:dyDescent="0.45">
      <c r="A899" s="1" t="s">
        <v>910</v>
      </c>
      <c r="E899" t="s">
        <v>8832</v>
      </c>
      <c r="F899" t="s">
        <v>10294</v>
      </c>
      <c r="G899">
        <v>0.33</v>
      </c>
      <c r="H899" t="s">
        <v>10310</v>
      </c>
      <c r="I899" t="s">
        <v>10325</v>
      </c>
      <c r="L899">
        <v>2003</v>
      </c>
      <c r="N899">
        <v>47.055000186100003</v>
      </c>
      <c r="P899">
        <v>8.0776336571300007</v>
      </c>
      <c r="R899" t="s">
        <v>11038</v>
      </c>
      <c r="S899" t="s">
        <v>10310</v>
      </c>
      <c r="W899" s="2" t="s">
        <v>11198</v>
      </c>
    </row>
    <row r="900" spans="1:23" hidden="1" x14ac:dyDescent="0.45">
      <c r="A900" s="1" t="s">
        <v>911</v>
      </c>
      <c r="E900" t="s">
        <v>8833</v>
      </c>
      <c r="F900" t="s">
        <v>10294</v>
      </c>
      <c r="G900">
        <v>0.87</v>
      </c>
      <c r="H900" t="s">
        <v>10310</v>
      </c>
      <c r="I900" t="s">
        <v>10325</v>
      </c>
      <c r="L900">
        <v>2011</v>
      </c>
      <c r="N900">
        <v>47.038285531299998</v>
      </c>
      <c r="P900">
        <v>8.1655932207500008</v>
      </c>
      <c r="R900" t="s">
        <v>11038</v>
      </c>
      <c r="S900" t="s">
        <v>10310</v>
      </c>
      <c r="W900" s="2" t="s">
        <v>11198</v>
      </c>
    </row>
    <row r="901" spans="1:23" hidden="1" x14ac:dyDescent="0.45">
      <c r="A901" s="1" t="s">
        <v>912</v>
      </c>
      <c r="E901" t="s">
        <v>8834</v>
      </c>
      <c r="F901" t="s">
        <v>10294</v>
      </c>
      <c r="G901">
        <v>0.71</v>
      </c>
      <c r="H901" t="s">
        <v>10310</v>
      </c>
      <c r="I901" t="s">
        <v>10325</v>
      </c>
      <c r="L901">
        <v>1999</v>
      </c>
      <c r="N901">
        <v>47.033761623300002</v>
      </c>
      <c r="P901">
        <v>8.2372376171599999</v>
      </c>
      <c r="R901" t="s">
        <v>11038</v>
      </c>
      <c r="S901" t="s">
        <v>10310</v>
      </c>
      <c r="V901" t="s">
        <v>11060</v>
      </c>
      <c r="W901" s="2" t="s">
        <v>11198</v>
      </c>
    </row>
    <row r="902" spans="1:23" hidden="1" x14ac:dyDescent="0.45">
      <c r="A902" s="1" t="s">
        <v>913</v>
      </c>
      <c r="E902" t="s">
        <v>8835</v>
      </c>
      <c r="F902" t="s">
        <v>10294</v>
      </c>
      <c r="G902">
        <v>0.79</v>
      </c>
      <c r="H902" t="s">
        <v>10310</v>
      </c>
      <c r="I902" t="s">
        <v>10325</v>
      </c>
      <c r="L902">
        <v>2000</v>
      </c>
      <c r="N902">
        <v>47.052576460200008</v>
      </c>
      <c r="P902">
        <v>8.248047048270001</v>
      </c>
      <c r="R902" t="s">
        <v>11038</v>
      </c>
      <c r="S902" t="s">
        <v>10310</v>
      </c>
      <c r="W902" s="2" t="s">
        <v>11198</v>
      </c>
    </row>
    <row r="903" spans="1:23" hidden="1" x14ac:dyDescent="0.45">
      <c r="A903" s="1" t="s">
        <v>914</v>
      </c>
      <c r="E903" t="s">
        <v>8836</v>
      </c>
      <c r="F903" t="s">
        <v>10294</v>
      </c>
      <c r="G903">
        <v>1.08</v>
      </c>
      <c r="H903" t="s">
        <v>10310</v>
      </c>
      <c r="I903" t="s">
        <v>10325</v>
      </c>
      <c r="L903">
        <v>2003</v>
      </c>
      <c r="N903">
        <v>47.067037979299997</v>
      </c>
      <c r="P903">
        <v>8.2636686625800007</v>
      </c>
      <c r="R903" t="s">
        <v>11038</v>
      </c>
      <c r="S903" t="s">
        <v>10310</v>
      </c>
      <c r="W903" s="2" t="s">
        <v>11198</v>
      </c>
    </row>
    <row r="904" spans="1:23" hidden="1" x14ac:dyDescent="0.45">
      <c r="A904" s="1" t="s">
        <v>915</v>
      </c>
      <c r="E904" t="s">
        <v>8837</v>
      </c>
      <c r="F904" t="s">
        <v>10294</v>
      </c>
      <c r="G904">
        <v>2.1</v>
      </c>
      <c r="H904" t="s">
        <v>10310</v>
      </c>
      <c r="I904" t="s">
        <v>10325</v>
      </c>
      <c r="L904">
        <v>1980</v>
      </c>
      <c r="N904">
        <v>47.081775395100003</v>
      </c>
      <c r="P904">
        <v>8.3143325152000003</v>
      </c>
      <c r="R904" t="s">
        <v>11038</v>
      </c>
      <c r="S904" t="s">
        <v>10310</v>
      </c>
      <c r="W904" s="2" t="s">
        <v>11198</v>
      </c>
    </row>
    <row r="905" spans="1:23" hidden="1" x14ac:dyDescent="0.45">
      <c r="A905" s="1" t="s">
        <v>916</v>
      </c>
      <c r="E905" t="s">
        <v>8838</v>
      </c>
      <c r="F905" t="s">
        <v>10294</v>
      </c>
      <c r="G905">
        <v>1</v>
      </c>
      <c r="H905" t="s">
        <v>10310</v>
      </c>
      <c r="I905" t="s">
        <v>10325</v>
      </c>
      <c r="L905">
        <v>1981</v>
      </c>
      <c r="N905">
        <v>47.107163917700007</v>
      </c>
      <c r="P905">
        <v>8.3576988285699993</v>
      </c>
      <c r="R905" t="s">
        <v>11038</v>
      </c>
      <c r="S905" t="s">
        <v>10310</v>
      </c>
      <c r="W905" s="2" t="s">
        <v>11198</v>
      </c>
    </row>
    <row r="906" spans="1:23" hidden="1" x14ac:dyDescent="0.45">
      <c r="A906" s="1" t="s">
        <v>917</v>
      </c>
      <c r="E906" t="s">
        <v>8839</v>
      </c>
      <c r="F906" t="s">
        <v>10294</v>
      </c>
      <c r="G906">
        <v>1.1499999999999999</v>
      </c>
      <c r="H906" t="s">
        <v>10310</v>
      </c>
      <c r="I906" t="s">
        <v>10325</v>
      </c>
      <c r="L906">
        <v>2000</v>
      </c>
      <c r="N906">
        <v>47.111127652999997</v>
      </c>
      <c r="P906">
        <v>8.3681761046199998</v>
      </c>
      <c r="R906" t="s">
        <v>11038</v>
      </c>
      <c r="S906" t="s">
        <v>10310</v>
      </c>
      <c r="W906" s="2" t="s">
        <v>11198</v>
      </c>
    </row>
    <row r="907" spans="1:23" hidden="1" x14ac:dyDescent="0.45">
      <c r="A907" s="1" t="s">
        <v>918</v>
      </c>
      <c r="E907" t="s">
        <v>8840</v>
      </c>
      <c r="F907" t="s">
        <v>10294</v>
      </c>
      <c r="G907">
        <v>0.45</v>
      </c>
      <c r="H907" t="s">
        <v>10310</v>
      </c>
      <c r="I907" t="s">
        <v>10325</v>
      </c>
      <c r="L907">
        <v>1981</v>
      </c>
      <c r="N907">
        <v>47.140329120899999</v>
      </c>
      <c r="P907">
        <v>8.5725034839699994</v>
      </c>
      <c r="R907" t="s">
        <v>11038</v>
      </c>
      <c r="S907" t="s">
        <v>10310</v>
      </c>
      <c r="W907" s="2" t="s">
        <v>11198</v>
      </c>
    </row>
    <row r="908" spans="1:23" hidden="1" x14ac:dyDescent="0.45">
      <c r="A908" s="1" t="s">
        <v>919</v>
      </c>
      <c r="E908" t="s">
        <v>8841</v>
      </c>
      <c r="F908" t="s">
        <v>10294</v>
      </c>
      <c r="G908">
        <v>0.34</v>
      </c>
      <c r="H908" t="s">
        <v>10310</v>
      </c>
      <c r="I908" t="s">
        <v>10325</v>
      </c>
      <c r="L908">
        <v>2015</v>
      </c>
      <c r="N908">
        <v>47.1528364463</v>
      </c>
      <c r="P908">
        <v>8.5630100257200006</v>
      </c>
      <c r="R908" t="s">
        <v>11038</v>
      </c>
      <c r="S908" t="s">
        <v>10310</v>
      </c>
      <c r="W908" s="2" t="s">
        <v>11198</v>
      </c>
    </row>
    <row r="909" spans="1:23" hidden="1" x14ac:dyDescent="0.45">
      <c r="A909" s="1" t="s">
        <v>920</v>
      </c>
      <c r="E909" t="s">
        <v>8842</v>
      </c>
      <c r="F909" t="s">
        <v>10294</v>
      </c>
      <c r="G909">
        <v>1.9</v>
      </c>
      <c r="H909" t="s">
        <v>10310</v>
      </c>
      <c r="I909" t="s">
        <v>10325</v>
      </c>
      <c r="L909">
        <v>1943</v>
      </c>
      <c r="N909">
        <v>47.172020392500002</v>
      </c>
      <c r="P909">
        <v>8.5606428799399996</v>
      </c>
      <c r="R909" t="s">
        <v>11038</v>
      </c>
      <c r="S909" t="s">
        <v>10310</v>
      </c>
      <c r="W909" s="2" t="s">
        <v>11198</v>
      </c>
    </row>
    <row r="910" spans="1:23" hidden="1" x14ac:dyDescent="0.45">
      <c r="A910" s="1" t="s">
        <v>921</v>
      </c>
      <c r="E910" t="s">
        <v>8843</v>
      </c>
      <c r="F910" t="s">
        <v>10294</v>
      </c>
      <c r="G910">
        <v>1.67</v>
      </c>
      <c r="H910" t="s">
        <v>10310</v>
      </c>
      <c r="I910" t="s">
        <v>10325</v>
      </c>
      <c r="L910">
        <v>2005</v>
      </c>
      <c r="N910">
        <v>47.180353720500001</v>
      </c>
      <c r="P910">
        <v>8.55474850407</v>
      </c>
      <c r="R910" t="s">
        <v>11038</v>
      </c>
      <c r="S910" t="s">
        <v>10310</v>
      </c>
      <c r="W910" s="2" t="s">
        <v>11198</v>
      </c>
    </row>
    <row r="911" spans="1:23" hidden="1" x14ac:dyDescent="0.45">
      <c r="A911" s="1" t="s">
        <v>922</v>
      </c>
      <c r="E911" t="s">
        <v>8844</v>
      </c>
      <c r="F911" t="s">
        <v>10294</v>
      </c>
      <c r="G911">
        <v>2.17</v>
      </c>
      <c r="H911" t="s">
        <v>10310</v>
      </c>
      <c r="I911" t="s">
        <v>10325</v>
      </c>
      <c r="L911">
        <v>2005</v>
      </c>
      <c r="N911">
        <v>47.195704466400002</v>
      </c>
      <c r="P911">
        <v>8.5393637492100005</v>
      </c>
      <c r="R911" t="s">
        <v>11038</v>
      </c>
      <c r="S911" t="s">
        <v>10310</v>
      </c>
      <c r="W911" s="2" t="s">
        <v>11198</v>
      </c>
    </row>
    <row r="912" spans="1:23" hidden="1" x14ac:dyDescent="0.45">
      <c r="A912" s="1" t="s">
        <v>923</v>
      </c>
      <c r="E912" t="s">
        <v>8845</v>
      </c>
      <c r="F912" t="s">
        <v>10294</v>
      </c>
      <c r="G912">
        <v>0.6</v>
      </c>
      <c r="H912" t="s">
        <v>10310</v>
      </c>
      <c r="I912" t="s">
        <v>10325</v>
      </c>
      <c r="L912">
        <v>2010</v>
      </c>
      <c r="N912">
        <v>47.196492895200002</v>
      </c>
      <c r="P912">
        <v>8.4433012332300006</v>
      </c>
      <c r="R912" t="s">
        <v>11038</v>
      </c>
      <c r="S912" t="s">
        <v>10310</v>
      </c>
      <c r="W912" s="2" t="s">
        <v>11198</v>
      </c>
    </row>
    <row r="913" spans="1:23" hidden="1" x14ac:dyDescent="0.45">
      <c r="A913" s="1" t="s">
        <v>924</v>
      </c>
      <c r="E913" t="s">
        <v>924</v>
      </c>
      <c r="F913" t="s">
        <v>10294</v>
      </c>
      <c r="G913">
        <v>0.57999999999999996</v>
      </c>
      <c r="H913" t="s">
        <v>10310</v>
      </c>
      <c r="I913" t="s">
        <v>10325</v>
      </c>
      <c r="L913">
        <v>2010</v>
      </c>
      <c r="N913">
        <v>47.2016699737</v>
      </c>
      <c r="P913">
        <v>8.4375910138600005</v>
      </c>
      <c r="R913" t="s">
        <v>11038</v>
      </c>
      <c r="S913" t="s">
        <v>10310</v>
      </c>
      <c r="W913" s="2" t="s">
        <v>11198</v>
      </c>
    </row>
    <row r="914" spans="1:23" hidden="1" x14ac:dyDescent="0.45">
      <c r="A914" s="1" t="s">
        <v>925</v>
      </c>
      <c r="E914" t="s">
        <v>8846</v>
      </c>
      <c r="F914" t="s">
        <v>10294</v>
      </c>
      <c r="G914">
        <v>20</v>
      </c>
      <c r="H914" t="s">
        <v>10310</v>
      </c>
      <c r="I914" t="s">
        <v>10325</v>
      </c>
      <c r="L914">
        <v>1975</v>
      </c>
      <c r="N914">
        <v>47.343654427499999</v>
      </c>
      <c r="P914">
        <v>8.3456280250799999</v>
      </c>
      <c r="R914" t="s">
        <v>11038</v>
      </c>
      <c r="S914" t="s">
        <v>10310</v>
      </c>
      <c r="W914" s="2" t="s">
        <v>11198</v>
      </c>
    </row>
    <row r="915" spans="1:23" hidden="1" x14ac:dyDescent="0.45">
      <c r="A915" s="1" t="s">
        <v>926</v>
      </c>
      <c r="E915" t="s">
        <v>8846</v>
      </c>
      <c r="F915" t="s">
        <v>10294</v>
      </c>
      <c r="G915">
        <v>0.54</v>
      </c>
      <c r="H915" t="s">
        <v>10310</v>
      </c>
      <c r="I915" t="s">
        <v>10325</v>
      </c>
      <c r="L915">
        <v>1998</v>
      </c>
      <c r="N915">
        <v>47.349730981199997</v>
      </c>
      <c r="P915">
        <v>8.3392460737899992</v>
      </c>
      <c r="R915" t="s">
        <v>11038</v>
      </c>
      <c r="S915" t="s">
        <v>10310</v>
      </c>
      <c r="W915" s="2" t="s">
        <v>11198</v>
      </c>
    </row>
    <row r="916" spans="1:23" hidden="1" x14ac:dyDescent="0.45">
      <c r="A916" s="1" t="s">
        <v>927</v>
      </c>
      <c r="E916" t="s">
        <v>927</v>
      </c>
      <c r="F916" t="s">
        <v>10294</v>
      </c>
      <c r="G916">
        <v>2.09</v>
      </c>
      <c r="H916" t="s">
        <v>10310</v>
      </c>
      <c r="I916" t="s">
        <v>10325</v>
      </c>
      <c r="L916">
        <v>2016</v>
      </c>
      <c r="N916">
        <v>47.481309809099997</v>
      </c>
      <c r="P916">
        <v>8.2304207907700011</v>
      </c>
      <c r="R916" t="s">
        <v>11038</v>
      </c>
      <c r="S916" t="s">
        <v>10310</v>
      </c>
      <c r="V916" t="s">
        <v>11118</v>
      </c>
      <c r="W916" s="2" t="s">
        <v>11198</v>
      </c>
    </row>
    <row r="917" spans="1:23" hidden="1" x14ac:dyDescent="0.45">
      <c r="A917" s="1" t="s">
        <v>928</v>
      </c>
      <c r="E917" t="s">
        <v>8847</v>
      </c>
      <c r="F917" t="s">
        <v>10294</v>
      </c>
      <c r="G917">
        <v>1000</v>
      </c>
      <c r="H917" t="s">
        <v>10310</v>
      </c>
      <c r="I917" t="s">
        <v>10324</v>
      </c>
      <c r="L917">
        <v>2016</v>
      </c>
      <c r="R917" t="s">
        <v>11038</v>
      </c>
      <c r="S917" t="s">
        <v>10310</v>
      </c>
      <c r="V917" t="s">
        <v>11119</v>
      </c>
      <c r="W917" s="2" t="s">
        <v>11198</v>
      </c>
    </row>
    <row r="918" spans="1:23" hidden="1" x14ac:dyDescent="0.45">
      <c r="A918" s="1" t="s">
        <v>929</v>
      </c>
      <c r="E918" t="s">
        <v>8848</v>
      </c>
      <c r="F918" t="s">
        <v>10294</v>
      </c>
      <c r="G918">
        <v>306</v>
      </c>
      <c r="H918" t="s">
        <v>10310</v>
      </c>
      <c r="I918" t="s">
        <v>10326</v>
      </c>
      <c r="L918">
        <v>1964</v>
      </c>
      <c r="N918">
        <v>46.876115343599999</v>
      </c>
      <c r="P918">
        <v>8.9870293489899993</v>
      </c>
      <c r="Q918" t="s">
        <v>10563</v>
      </c>
      <c r="R918" t="s">
        <v>11038</v>
      </c>
      <c r="S918" t="s">
        <v>10310</v>
      </c>
      <c r="V918" t="s">
        <v>11120</v>
      </c>
      <c r="W918" s="2" t="s">
        <v>11198</v>
      </c>
    </row>
    <row r="919" spans="1:23" hidden="1" x14ac:dyDescent="0.45">
      <c r="A919" s="1" t="s">
        <v>930</v>
      </c>
      <c r="E919" t="s">
        <v>8848</v>
      </c>
      <c r="F919" t="s">
        <v>10294</v>
      </c>
      <c r="G919">
        <v>137.9</v>
      </c>
      <c r="H919" t="s">
        <v>10310</v>
      </c>
      <c r="I919" t="s">
        <v>10327</v>
      </c>
      <c r="L919">
        <v>2010</v>
      </c>
      <c r="N919">
        <v>46.878750080200007</v>
      </c>
      <c r="P919">
        <v>8.9851370422700008</v>
      </c>
      <c r="Q919" t="s">
        <v>10563</v>
      </c>
      <c r="R919" t="s">
        <v>11038</v>
      </c>
      <c r="S919" t="s">
        <v>10310</v>
      </c>
      <c r="V919" t="s">
        <v>11074</v>
      </c>
      <c r="W919" s="2" t="s">
        <v>11198</v>
      </c>
    </row>
    <row r="920" spans="1:23" hidden="1" x14ac:dyDescent="0.45">
      <c r="A920" s="1" t="s">
        <v>931</v>
      </c>
      <c r="E920" t="s">
        <v>8848</v>
      </c>
      <c r="F920" t="s">
        <v>10294</v>
      </c>
      <c r="G920">
        <v>46</v>
      </c>
      <c r="H920" t="s">
        <v>10310</v>
      </c>
      <c r="I920" t="s">
        <v>10325</v>
      </c>
      <c r="L920">
        <v>1968</v>
      </c>
      <c r="N920">
        <v>46.876115343599999</v>
      </c>
      <c r="P920">
        <v>8.9870293489899993</v>
      </c>
      <c r="Q920" t="s">
        <v>10563</v>
      </c>
      <c r="R920" t="s">
        <v>11038</v>
      </c>
      <c r="S920" t="s">
        <v>10310</v>
      </c>
      <c r="V920" t="s">
        <v>11121</v>
      </c>
      <c r="W920" s="2" t="s">
        <v>11198</v>
      </c>
    </row>
    <row r="921" spans="1:23" hidden="1" x14ac:dyDescent="0.45">
      <c r="A921" s="1" t="s">
        <v>932</v>
      </c>
      <c r="E921" t="s">
        <v>932</v>
      </c>
      <c r="F921" t="s">
        <v>10294</v>
      </c>
      <c r="G921">
        <v>34</v>
      </c>
      <c r="H921" t="s">
        <v>10310</v>
      </c>
      <c r="I921" t="s">
        <v>10325</v>
      </c>
      <c r="L921">
        <v>1964</v>
      </c>
      <c r="N921">
        <v>46.915510447000003</v>
      </c>
      <c r="P921">
        <v>8.9879015615399993</v>
      </c>
      <c r="Q921" t="s">
        <v>10563</v>
      </c>
      <c r="R921" t="s">
        <v>11038</v>
      </c>
      <c r="S921" t="s">
        <v>10310</v>
      </c>
      <c r="V921" t="s">
        <v>11060</v>
      </c>
      <c r="W921" s="2" t="s">
        <v>11198</v>
      </c>
    </row>
    <row r="922" spans="1:23" hidden="1" x14ac:dyDescent="0.45">
      <c r="A922" s="1" t="s">
        <v>933</v>
      </c>
      <c r="E922" t="s">
        <v>932</v>
      </c>
      <c r="F922" t="s">
        <v>10294</v>
      </c>
      <c r="G922">
        <v>15</v>
      </c>
      <c r="H922" t="s">
        <v>10310</v>
      </c>
      <c r="I922" t="s">
        <v>10325</v>
      </c>
      <c r="L922">
        <v>1950</v>
      </c>
      <c r="N922">
        <v>46.915510447000003</v>
      </c>
      <c r="P922">
        <v>8.9879015615399993</v>
      </c>
      <c r="Q922" t="s">
        <v>10563</v>
      </c>
      <c r="R922" t="s">
        <v>11038</v>
      </c>
      <c r="S922" t="s">
        <v>10310</v>
      </c>
      <c r="V922" t="s">
        <v>11060</v>
      </c>
      <c r="W922" s="2" t="s">
        <v>11198</v>
      </c>
    </row>
    <row r="923" spans="1:23" hidden="1" x14ac:dyDescent="0.45">
      <c r="A923" s="1" t="s">
        <v>934</v>
      </c>
      <c r="E923" t="s">
        <v>932</v>
      </c>
      <c r="F923" t="s">
        <v>10294</v>
      </c>
      <c r="G923">
        <v>0.5</v>
      </c>
      <c r="H923" t="s">
        <v>10310</v>
      </c>
      <c r="I923" t="s">
        <v>10325</v>
      </c>
      <c r="L923">
        <v>2004</v>
      </c>
      <c r="N923">
        <v>46.920074844200002</v>
      </c>
      <c r="P923">
        <v>8.9963057321900006</v>
      </c>
      <c r="R923" t="s">
        <v>11038</v>
      </c>
      <c r="S923" t="s">
        <v>10310</v>
      </c>
      <c r="W923" s="2" t="s">
        <v>11198</v>
      </c>
    </row>
    <row r="924" spans="1:23" hidden="1" x14ac:dyDescent="0.45">
      <c r="A924" s="1" t="s">
        <v>935</v>
      </c>
      <c r="E924" t="s">
        <v>932</v>
      </c>
      <c r="F924" t="s">
        <v>10294</v>
      </c>
      <c r="G924">
        <v>1.6</v>
      </c>
      <c r="H924" t="s">
        <v>10310</v>
      </c>
      <c r="I924" t="s">
        <v>10325</v>
      </c>
      <c r="L924">
        <v>2012</v>
      </c>
      <c r="N924">
        <v>46.926053964499999</v>
      </c>
      <c r="P924">
        <v>8.9998935089799996</v>
      </c>
      <c r="R924" t="s">
        <v>11038</v>
      </c>
      <c r="S924" t="s">
        <v>10310</v>
      </c>
      <c r="W924" s="2" t="s">
        <v>11198</v>
      </c>
    </row>
    <row r="925" spans="1:23" hidden="1" x14ac:dyDescent="0.45">
      <c r="A925" s="1" t="s">
        <v>936</v>
      </c>
      <c r="E925" t="s">
        <v>8849</v>
      </c>
      <c r="F925" t="s">
        <v>10294</v>
      </c>
      <c r="G925">
        <v>3.9</v>
      </c>
      <c r="H925" t="s">
        <v>10310</v>
      </c>
      <c r="I925" t="s">
        <v>10325</v>
      </c>
      <c r="L925">
        <v>2010</v>
      </c>
      <c r="N925">
        <v>46.927640537800002</v>
      </c>
      <c r="P925">
        <v>9.002303541469999</v>
      </c>
      <c r="R925" t="s">
        <v>11038</v>
      </c>
      <c r="S925" t="s">
        <v>10310</v>
      </c>
      <c r="W925" s="2" t="s">
        <v>11198</v>
      </c>
    </row>
    <row r="926" spans="1:23" hidden="1" x14ac:dyDescent="0.45">
      <c r="A926" s="1" t="s">
        <v>937</v>
      </c>
      <c r="E926" t="s">
        <v>8850</v>
      </c>
      <c r="F926" t="s">
        <v>10294</v>
      </c>
      <c r="G926">
        <v>0.93</v>
      </c>
      <c r="H926" t="s">
        <v>10310</v>
      </c>
      <c r="I926" t="s">
        <v>10325</v>
      </c>
      <c r="L926">
        <v>2014</v>
      </c>
      <c r="N926">
        <v>46.938608194799997</v>
      </c>
      <c r="P926">
        <v>8.9830506147399998</v>
      </c>
      <c r="R926" t="s">
        <v>11038</v>
      </c>
      <c r="S926" t="s">
        <v>10310</v>
      </c>
      <c r="W926" s="2" t="s">
        <v>11198</v>
      </c>
    </row>
    <row r="927" spans="1:23" hidden="1" x14ac:dyDescent="0.45">
      <c r="A927" s="1" t="s">
        <v>938</v>
      </c>
      <c r="E927" t="s">
        <v>8851</v>
      </c>
      <c r="F927" t="s">
        <v>10294</v>
      </c>
      <c r="G927">
        <v>2.5299999999999998</v>
      </c>
      <c r="H927" t="s">
        <v>10310</v>
      </c>
      <c r="I927" t="s">
        <v>10325</v>
      </c>
      <c r="L927">
        <v>2017</v>
      </c>
      <c r="R927" t="s">
        <v>11038</v>
      </c>
      <c r="S927" t="s">
        <v>10310</v>
      </c>
      <c r="W927" s="2" t="s">
        <v>11198</v>
      </c>
    </row>
    <row r="928" spans="1:23" hidden="1" x14ac:dyDescent="0.45">
      <c r="A928" s="1" t="s">
        <v>939</v>
      </c>
      <c r="E928" t="s">
        <v>8852</v>
      </c>
      <c r="F928" t="s">
        <v>10294</v>
      </c>
      <c r="G928">
        <v>0.93</v>
      </c>
      <c r="H928" t="s">
        <v>10310</v>
      </c>
      <c r="I928" t="s">
        <v>10325</v>
      </c>
      <c r="L928">
        <v>1997</v>
      </c>
      <c r="N928">
        <v>46.951127756699996</v>
      </c>
      <c r="P928">
        <v>9.0280823347400005</v>
      </c>
      <c r="R928" t="s">
        <v>11038</v>
      </c>
      <c r="S928" t="s">
        <v>10310</v>
      </c>
      <c r="W928" s="2" t="s">
        <v>11198</v>
      </c>
    </row>
    <row r="929" spans="1:23" hidden="1" x14ac:dyDescent="0.45">
      <c r="A929" s="1" t="s">
        <v>940</v>
      </c>
      <c r="E929" t="s">
        <v>8853</v>
      </c>
      <c r="F929" t="s">
        <v>10294</v>
      </c>
      <c r="G929">
        <v>1.05</v>
      </c>
      <c r="H929" t="s">
        <v>10310</v>
      </c>
      <c r="I929" t="s">
        <v>10325</v>
      </c>
      <c r="L929">
        <v>2007</v>
      </c>
      <c r="N929">
        <v>46.964634778900013</v>
      </c>
      <c r="P929">
        <v>9.0401786303199998</v>
      </c>
      <c r="R929" t="s">
        <v>11038</v>
      </c>
      <c r="S929" t="s">
        <v>10310</v>
      </c>
      <c r="W929" s="2" t="s">
        <v>11198</v>
      </c>
    </row>
    <row r="930" spans="1:23" hidden="1" x14ac:dyDescent="0.45">
      <c r="A930" s="1" t="s">
        <v>941</v>
      </c>
      <c r="E930" t="s">
        <v>941</v>
      </c>
      <c r="F930" t="s">
        <v>10294</v>
      </c>
      <c r="G930">
        <v>3.5</v>
      </c>
      <c r="H930" t="s">
        <v>10310</v>
      </c>
      <c r="I930" t="s">
        <v>10325</v>
      </c>
      <c r="L930">
        <v>1976</v>
      </c>
      <c r="N930">
        <v>46.966049774799998</v>
      </c>
      <c r="P930">
        <v>9.0354895250999991</v>
      </c>
      <c r="R930" t="s">
        <v>11038</v>
      </c>
      <c r="S930" t="s">
        <v>10310</v>
      </c>
      <c r="W930" s="2" t="s">
        <v>11198</v>
      </c>
    </row>
    <row r="931" spans="1:23" hidden="1" x14ac:dyDescent="0.45">
      <c r="A931" s="1" t="s">
        <v>942</v>
      </c>
      <c r="E931" t="s">
        <v>942</v>
      </c>
      <c r="F931" t="s">
        <v>10294</v>
      </c>
      <c r="G931">
        <v>1</v>
      </c>
      <c r="H931" t="s">
        <v>10310</v>
      </c>
      <c r="I931" t="s">
        <v>10325</v>
      </c>
      <c r="L931">
        <v>1993</v>
      </c>
      <c r="N931">
        <v>46.977401289399992</v>
      </c>
      <c r="P931">
        <v>9.0472635688800001</v>
      </c>
      <c r="R931" t="s">
        <v>11038</v>
      </c>
      <c r="S931" t="s">
        <v>10310</v>
      </c>
      <c r="W931" s="2" t="s">
        <v>11198</v>
      </c>
    </row>
    <row r="932" spans="1:23" hidden="1" x14ac:dyDescent="0.45">
      <c r="A932" s="1" t="s">
        <v>943</v>
      </c>
      <c r="E932" t="s">
        <v>943</v>
      </c>
      <c r="F932" t="s">
        <v>10294</v>
      </c>
      <c r="G932">
        <v>0.92</v>
      </c>
      <c r="H932" t="s">
        <v>10310</v>
      </c>
      <c r="I932" t="s">
        <v>10325</v>
      </c>
      <c r="L932">
        <v>2012</v>
      </c>
      <c r="N932">
        <v>46.983874800699986</v>
      </c>
      <c r="P932">
        <v>9.0603415513499996</v>
      </c>
      <c r="R932" t="s">
        <v>11038</v>
      </c>
      <c r="S932" t="s">
        <v>10310</v>
      </c>
      <c r="V932" t="s">
        <v>11122</v>
      </c>
      <c r="W932" s="2" t="s">
        <v>11198</v>
      </c>
    </row>
    <row r="933" spans="1:23" hidden="1" x14ac:dyDescent="0.45">
      <c r="A933" s="1" t="s">
        <v>944</v>
      </c>
      <c r="E933" t="s">
        <v>8854</v>
      </c>
      <c r="F933" t="s">
        <v>10294</v>
      </c>
      <c r="G933">
        <v>0.9</v>
      </c>
      <c r="H933" t="s">
        <v>10310</v>
      </c>
      <c r="I933" t="s">
        <v>10325</v>
      </c>
      <c r="L933">
        <v>1999</v>
      </c>
      <c r="N933">
        <v>46.993794083900013</v>
      </c>
      <c r="P933">
        <v>9.0777355120300012</v>
      </c>
      <c r="R933" t="s">
        <v>11038</v>
      </c>
      <c r="S933" t="s">
        <v>10310</v>
      </c>
      <c r="W933" s="2" t="s">
        <v>11198</v>
      </c>
    </row>
    <row r="934" spans="1:23" hidden="1" x14ac:dyDescent="0.45">
      <c r="A934" s="1" t="s">
        <v>945</v>
      </c>
      <c r="E934" t="s">
        <v>8855</v>
      </c>
      <c r="F934" t="s">
        <v>10294</v>
      </c>
      <c r="G934">
        <v>0.33</v>
      </c>
      <c r="H934" t="s">
        <v>10310</v>
      </c>
      <c r="I934" t="s">
        <v>10325</v>
      </c>
      <c r="L934">
        <v>1995</v>
      </c>
      <c r="N934">
        <v>46.922342991100003</v>
      </c>
      <c r="P934">
        <v>9.1584199005800002</v>
      </c>
      <c r="R934" t="s">
        <v>11038</v>
      </c>
      <c r="S934" t="s">
        <v>10310</v>
      </c>
      <c r="W934" s="2" t="s">
        <v>11198</v>
      </c>
    </row>
    <row r="935" spans="1:23" hidden="1" x14ac:dyDescent="0.45">
      <c r="A935" s="1" t="s">
        <v>946</v>
      </c>
      <c r="E935" t="s">
        <v>8856</v>
      </c>
      <c r="F935" t="s">
        <v>10294</v>
      </c>
      <c r="G935">
        <v>0.64</v>
      </c>
      <c r="H935" t="s">
        <v>10310</v>
      </c>
      <c r="I935" t="s">
        <v>10325</v>
      </c>
      <c r="L935">
        <v>1999</v>
      </c>
      <c r="N935">
        <v>46.956152837099999</v>
      </c>
      <c r="P935">
        <v>9.1597653481100014</v>
      </c>
      <c r="R935" t="s">
        <v>11038</v>
      </c>
      <c r="S935" t="s">
        <v>10310</v>
      </c>
      <c r="W935" s="2" t="s">
        <v>11198</v>
      </c>
    </row>
    <row r="936" spans="1:23" hidden="1" x14ac:dyDescent="0.45">
      <c r="A936" s="1" t="s">
        <v>947</v>
      </c>
      <c r="E936" t="s">
        <v>8857</v>
      </c>
      <c r="F936" t="s">
        <v>10294</v>
      </c>
      <c r="G936">
        <v>0.53</v>
      </c>
      <c r="H936" t="s">
        <v>10310</v>
      </c>
      <c r="I936" t="s">
        <v>10325</v>
      </c>
      <c r="L936">
        <v>2012</v>
      </c>
      <c r="N936">
        <v>46.9744263563</v>
      </c>
      <c r="P936">
        <v>9.1591681010000006</v>
      </c>
      <c r="R936" t="s">
        <v>11038</v>
      </c>
      <c r="S936" t="s">
        <v>10310</v>
      </c>
      <c r="W936" s="2" t="s">
        <v>11198</v>
      </c>
    </row>
    <row r="937" spans="1:23" hidden="1" x14ac:dyDescent="0.45">
      <c r="A937" s="1" t="s">
        <v>948</v>
      </c>
      <c r="E937" t="s">
        <v>8858</v>
      </c>
      <c r="F937" t="s">
        <v>10294</v>
      </c>
      <c r="G937">
        <v>3.75</v>
      </c>
      <c r="H937" t="s">
        <v>10310</v>
      </c>
      <c r="I937" t="s">
        <v>10325</v>
      </c>
      <c r="L937">
        <v>2009</v>
      </c>
      <c r="N937">
        <v>46.985042651500002</v>
      </c>
      <c r="P937">
        <v>9.1531975405499999</v>
      </c>
      <c r="R937" t="s">
        <v>11038</v>
      </c>
      <c r="S937" t="s">
        <v>10310</v>
      </c>
      <c r="V937" t="s">
        <v>11123</v>
      </c>
      <c r="W937" s="2" t="s">
        <v>11198</v>
      </c>
    </row>
    <row r="938" spans="1:23" hidden="1" x14ac:dyDescent="0.45">
      <c r="A938" s="1" t="s">
        <v>949</v>
      </c>
      <c r="E938" t="s">
        <v>8859</v>
      </c>
      <c r="F938" t="s">
        <v>10294</v>
      </c>
      <c r="G938">
        <v>0.53</v>
      </c>
      <c r="H938" t="s">
        <v>10310</v>
      </c>
      <c r="I938" t="s">
        <v>10325</v>
      </c>
      <c r="L938">
        <v>2018</v>
      </c>
      <c r="R938" t="s">
        <v>11038</v>
      </c>
      <c r="S938" t="s">
        <v>10310</v>
      </c>
      <c r="W938" s="2" t="s">
        <v>11198</v>
      </c>
    </row>
    <row r="939" spans="1:23" hidden="1" x14ac:dyDescent="0.45">
      <c r="A939" s="1" t="s">
        <v>950</v>
      </c>
      <c r="E939" t="s">
        <v>8854</v>
      </c>
      <c r="F939" t="s">
        <v>10294</v>
      </c>
      <c r="G939">
        <v>15.7</v>
      </c>
      <c r="H939" t="s">
        <v>10310</v>
      </c>
      <c r="I939" t="s">
        <v>10325</v>
      </c>
      <c r="L939">
        <v>2003</v>
      </c>
      <c r="N939">
        <v>46.995728698500002</v>
      </c>
      <c r="P939">
        <v>9.0871310546300013</v>
      </c>
      <c r="R939" t="s">
        <v>11038</v>
      </c>
      <c r="S939" t="s">
        <v>10310</v>
      </c>
      <c r="V939" t="s">
        <v>11124</v>
      </c>
      <c r="W939" s="2" t="s">
        <v>11198</v>
      </c>
    </row>
    <row r="940" spans="1:23" hidden="1" x14ac:dyDescent="0.45">
      <c r="A940" s="1" t="s">
        <v>951</v>
      </c>
      <c r="E940" t="s">
        <v>8854</v>
      </c>
      <c r="F940" t="s">
        <v>10294</v>
      </c>
      <c r="G940">
        <v>28.2</v>
      </c>
      <c r="H940" t="s">
        <v>10310</v>
      </c>
      <c r="I940" t="s">
        <v>10326</v>
      </c>
      <c r="L940">
        <v>2004</v>
      </c>
      <c r="N940">
        <v>46.995728698500002</v>
      </c>
      <c r="P940">
        <v>9.0871310546300013</v>
      </c>
      <c r="R940" t="s">
        <v>11038</v>
      </c>
      <c r="S940" t="s">
        <v>10310</v>
      </c>
      <c r="V940" t="s">
        <v>11125</v>
      </c>
      <c r="W940" s="2" t="s">
        <v>11198</v>
      </c>
    </row>
    <row r="941" spans="1:23" hidden="1" x14ac:dyDescent="0.45">
      <c r="A941" s="1" t="s">
        <v>952</v>
      </c>
      <c r="E941" t="s">
        <v>8854</v>
      </c>
      <c r="F941" t="s">
        <v>10294</v>
      </c>
      <c r="G941">
        <v>1.8</v>
      </c>
      <c r="H941" t="s">
        <v>10310</v>
      </c>
      <c r="I941" t="s">
        <v>10325</v>
      </c>
      <c r="L941">
        <v>2005</v>
      </c>
      <c r="N941">
        <v>46.995640657299987</v>
      </c>
      <c r="P941">
        <v>9.0869968510100012</v>
      </c>
      <c r="R941" t="s">
        <v>11038</v>
      </c>
      <c r="S941" t="s">
        <v>10310</v>
      </c>
      <c r="V941" t="s">
        <v>11126</v>
      </c>
      <c r="W941" s="2" t="s">
        <v>11198</v>
      </c>
    </row>
    <row r="942" spans="1:23" hidden="1" x14ac:dyDescent="0.45">
      <c r="A942" s="1" t="s">
        <v>953</v>
      </c>
      <c r="E942" t="s">
        <v>8854</v>
      </c>
      <c r="F942" t="s">
        <v>10294</v>
      </c>
      <c r="G942">
        <v>0.5</v>
      </c>
      <c r="H942" t="s">
        <v>10310</v>
      </c>
      <c r="I942" t="s">
        <v>10325</v>
      </c>
      <c r="L942">
        <v>2000</v>
      </c>
      <c r="N942">
        <v>46.994725001000013</v>
      </c>
      <c r="P942">
        <v>9.0818403449199998</v>
      </c>
      <c r="R942" t="s">
        <v>11038</v>
      </c>
      <c r="S942" t="s">
        <v>10310</v>
      </c>
      <c r="W942" s="2" t="s">
        <v>11198</v>
      </c>
    </row>
    <row r="943" spans="1:23" hidden="1" x14ac:dyDescent="0.45">
      <c r="A943" s="1" t="s">
        <v>954</v>
      </c>
      <c r="E943" t="s">
        <v>8860</v>
      </c>
      <c r="F943" t="s">
        <v>10294</v>
      </c>
      <c r="G943">
        <v>0.85</v>
      </c>
      <c r="H943" t="s">
        <v>10310</v>
      </c>
      <c r="I943" t="s">
        <v>10325</v>
      </c>
      <c r="L943">
        <v>2016</v>
      </c>
      <c r="R943" t="s">
        <v>11038</v>
      </c>
      <c r="S943" t="s">
        <v>10310</v>
      </c>
      <c r="W943" s="2" t="s">
        <v>11198</v>
      </c>
    </row>
    <row r="944" spans="1:23" hidden="1" x14ac:dyDescent="0.45">
      <c r="A944" s="1" t="s">
        <v>955</v>
      </c>
      <c r="E944" t="s">
        <v>8861</v>
      </c>
      <c r="F944" t="s">
        <v>10294</v>
      </c>
      <c r="G944">
        <v>0.82</v>
      </c>
      <c r="H944" t="s">
        <v>10310</v>
      </c>
      <c r="I944" t="s">
        <v>10325</v>
      </c>
      <c r="L944">
        <v>2010</v>
      </c>
      <c r="N944">
        <v>47.026562455799997</v>
      </c>
      <c r="P944">
        <v>9.0826841115299999</v>
      </c>
      <c r="R944" t="s">
        <v>11038</v>
      </c>
      <c r="S944" t="s">
        <v>10310</v>
      </c>
      <c r="W944" s="2" t="s">
        <v>11198</v>
      </c>
    </row>
    <row r="945" spans="1:23" hidden="1" x14ac:dyDescent="0.45">
      <c r="A945" s="1" t="s">
        <v>956</v>
      </c>
      <c r="E945" t="s">
        <v>8862</v>
      </c>
      <c r="F945" t="s">
        <v>10294</v>
      </c>
      <c r="G945">
        <v>0.55000000000000004</v>
      </c>
      <c r="H945" t="s">
        <v>10310</v>
      </c>
      <c r="I945" t="s">
        <v>10325</v>
      </c>
      <c r="L945">
        <v>2016</v>
      </c>
      <c r="R945" t="s">
        <v>11038</v>
      </c>
      <c r="S945" t="s">
        <v>10310</v>
      </c>
      <c r="W945" s="2" t="s">
        <v>11198</v>
      </c>
    </row>
    <row r="946" spans="1:23" hidden="1" x14ac:dyDescent="0.45">
      <c r="A946" s="1" t="s">
        <v>957</v>
      </c>
      <c r="E946" t="s">
        <v>8863</v>
      </c>
      <c r="F946" t="s">
        <v>10294</v>
      </c>
      <c r="G946">
        <v>0.32</v>
      </c>
      <c r="H946" t="s">
        <v>10310</v>
      </c>
      <c r="I946" t="s">
        <v>10325</v>
      </c>
      <c r="L946">
        <v>2011</v>
      </c>
      <c r="N946">
        <v>47.049365797900002</v>
      </c>
      <c r="P946">
        <v>9.0671927710000002</v>
      </c>
      <c r="R946" t="s">
        <v>11038</v>
      </c>
      <c r="S946" t="s">
        <v>10310</v>
      </c>
      <c r="W946" s="2" t="s">
        <v>11198</v>
      </c>
    </row>
    <row r="947" spans="1:23" hidden="1" x14ac:dyDescent="0.45">
      <c r="A947" s="1" t="s">
        <v>958</v>
      </c>
      <c r="E947" t="s">
        <v>8864</v>
      </c>
      <c r="F947" t="s">
        <v>10294</v>
      </c>
      <c r="G947">
        <v>0.8</v>
      </c>
      <c r="H947" t="s">
        <v>10310</v>
      </c>
      <c r="I947" t="s">
        <v>10325</v>
      </c>
      <c r="L947">
        <v>1983</v>
      </c>
      <c r="N947">
        <v>47.063765377000003</v>
      </c>
      <c r="P947">
        <v>9.0605203259000007</v>
      </c>
      <c r="R947" t="s">
        <v>11038</v>
      </c>
      <c r="S947" t="s">
        <v>10310</v>
      </c>
      <c r="W947" s="2" t="s">
        <v>11198</v>
      </c>
    </row>
    <row r="948" spans="1:23" hidden="1" x14ac:dyDescent="0.45">
      <c r="A948" s="1" t="s">
        <v>959</v>
      </c>
      <c r="E948" t="s">
        <v>8864</v>
      </c>
      <c r="F948" t="s">
        <v>10294</v>
      </c>
      <c r="G948">
        <v>89.1</v>
      </c>
      <c r="H948" t="s">
        <v>10310</v>
      </c>
      <c r="I948" t="s">
        <v>10326</v>
      </c>
      <c r="L948">
        <v>1975</v>
      </c>
      <c r="N948">
        <v>47.056638481899988</v>
      </c>
      <c r="P948">
        <v>9.0491146335499995</v>
      </c>
      <c r="R948" t="s">
        <v>11038</v>
      </c>
      <c r="S948" t="s">
        <v>10310</v>
      </c>
      <c r="W948" s="2" t="s">
        <v>11198</v>
      </c>
    </row>
    <row r="949" spans="1:23" hidden="1" x14ac:dyDescent="0.45">
      <c r="A949" s="1" t="s">
        <v>960</v>
      </c>
      <c r="E949" t="s">
        <v>8864</v>
      </c>
      <c r="F949" t="s">
        <v>10294</v>
      </c>
      <c r="G949">
        <v>1.42</v>
      </c>
      <c r="H949" t="s">
        <v>10310</v>
      </c>
      <c r="I949" t="s">
        <v>10325</v>
      </c>
      <c r="L949">
        <v>1960</v>
      </c>
      <c r="N949">
        <v>47.073749514699998</v>
      </c>
      <c r="P949">
        <v>9.0606907985700005</v>
      </c>
      <c r="R949" t="s">
        <v>11038</v>
      </c>
      <c r="S949" t="s">
        <v>10310</v>
      </c>
      <c r="W949" s="2" t="s">
        <v>11198</v>
      </c>
    </row>
    <row r="950" spans="1:23" hidden="1" x14ac:dyDescent="0.45">
      <c r="A950" s="1" t="s">
        <v>961</v>
      </c>
      <c r="E950" t="s">
        <v>8865</v>
      </c>
      <c r="F950" t="s">
        <v>10294</v>
      </c>
      <c r="G950">
        <v>0.99</v>
      </c>
      <c r="H950" t="s">
        <v>10310</v>
      </c>
      <c r="I950" t="s">
        <v>10325</v>
      </c>
      <c r="L950">
        <v>1995</v>
      </c>
      <c r="N950">
        <v>47.038255659900003</v>
      </c>
      <c r="P950">
        <v>9.392719810800001</v>
      </c>
      <c r="R950" t="s">
        <v>11038</v>
      </c>
      <c r="S950" t="s">
        <v>10310</v>
      </c>
      <c r="W950" s="2" t="s">
        <v>11198</v>
      </c>
    </row>
    <row r="951" spans="1:23" hidden="1" x14ac:dyDescent="0.45">
      <c r="A951" s="1" t="s">
        <v>962</v>
      </c>
      <c r="E951" t="s">
        <v>8866</v>
      </c>
      <c r="F951" t="s">
        <v>10294</v>
      </c>
      <c r="G951">
        <v>3.3</v>
      </c>
      <c r="H951" t="s">
        <v>10310</v>
      </c>
      <c r="I951" t="s">
        <v>10325</v>
      </c>
      <c r="L951">
        <v>1989</v>
      </c>
      <c r="N951">
        <v>47.043263383400003</v>
      </c>
      <c r="P951">
        <v>9.4155424173199993</v>
      </c>
      <c r="R951" t="s">
        <v>11038</v>
      </c>
      <c r="S951" t="s">
        <v>10310</v>
      </c>
      <c r="V951" t="s">
        <v>11127</v>
      </c>
      <c r="W951" s="2" t="s">
        <v>11198</v>
      </c>
    </row>
    <row r="952" spans="1:23" hidden="1" x14ac:dyDescent="0.45">
      <c r="A952" s="1" t="s">
        <v>963</v>
      </c>
      <c r="E952" t="s">
        <v>8865</v>
      </c>
      <c r="F952" t="s">
        <v>10294</v>
      </c>
      <c r="G952">
        <v>0.55000000000000004</v>
      </c>
      <c r="H952" t="s">
        <v>10310</v>
      </c>
      <c r="I952" t="s">
        <v>10325</v>
      </c>
      <c r="L952">
        <v>2003</v>
      </c>
      <c r="N952">
        <v>47.044544943500007</v>
      </c>
      <c r="P952">
        <v>9.4142733533000005</v>
      </c>
      <c r="R952" t="s">
        <v>11038</v>
      </c>
      <c r="S952" t="s">
        <v>10310</v>
      </c>
      <c r="V952" t="s">
        <v>11128</v>
      </c>
      <c r="W952" s="2" t="s">
        <v>11198</v>
      </c>
    </row>
    <row r="953" spans="1:23" hidden="1" x14ac:dyDescent="0.45">
      <c r="A953" s="1" t="s">
        <v>964</v>
      </c>
      <c r="E953" t="s">
        <v>8867</v>
      </c>
      <c r="F953" t="s">
        <v>10294</v>
      </c>
      <c r="G953">
        <v>0.64</v>
      </c>
      <c r="H953" t="s">
        <v>10310</v>
      </c>
      <c r="I953" t="s">
        <v>10325</v>
      </c>
      <c r="L953">
        <v>2018</v>
      </c>
      <c r="R953" t="s">
        <v>11038</v>
      </c>
      <c r="S953" t="s">
        <v>10310</v>
      </c>
      <c r="W953" s="2" t="s">
        <v>11198</v>
      </c>
    </row>
    <row r="954" spans="1:23" hidden="1" x14ac:dyDescent="0.45">
      <c r="A954" s="1" t="s">
        <v>965</v>
      </c>
      <c r="E954" t="s">
        <v>8865</v>
      </c>
      <c r="F954" t="s">
        <v>10294</v>
      </c>
      <c r="G954">
        <v>1.76</v>
      </c>
      <c r="H954" t="s">
        <v>10310</v>
      </c>
      <c r="I954" t="s">
        <v>10325</v>
      </c>
      <c r="L954">
        <v>2018</v>
      </c>
      <c r="R954" t="s">
        <v>11038</v>
      </c>
      <c r="S954" t="s">
        <v>10310</v>
      </c>
      <c r="W954" s="2" t="s">
        <v>11198</v>
      </c>
    </row>
    <row r="955" spans="1:23" hidden="1" x14ac:dyDescent="0.45">
      <c r="A955" s="1" t="s">
        <v>966</v>
      </c>
      <c r="E955" t="s">
        <v>8868</v>
      </c>
      <c r="F955" t="s">
        <v>10294</v>
      </c>
      <c r="G955">
        <v>5.07</v>
      </c>
      <c r="H955" t="s">
        <v>10310</v>
      </c>
      <c r="I955" t="s">
        <v>10325</v>
      </c>
      <c r="L955">
        <v>1988</v>
      </c>
      <c r="N955">
        <v>47.086559182200013</v>
      </c>
      <c r="P955">
        <v>9.3345431731899993</v>
      </c>
      <c r="R955" t="s">
        <v>11038</v>
      </c>
      <c r="S955" t="s">
        <v>10310</v>
      </c>
      <c r="V955" t="s">
        <v>11129</v>
      </c>
      <c r="W955" s="2" t="s">
        <v>11198</v>
      </c>
    </row>
    <row r="956" spans="1:23" hidden="1" x14ac:dyDescent="0.45">
      <c r="A956" s="1" t="s">
        <v>967</v>
      </c>
      <c r="E956" t="s">
        <v>8868</v>
      </c>
      <c r="F956" t="s">
        <v>10294</v>
      </c>
      <c r="G956">
        <v>0.7</v>
      </c>
      <c r="H956" t="s">
        <v>10310</v>
      </c>
      <c r="I956" t="s">
        <v>10325</v>
      </c>
      <c r="L956">
        <v>1943</v>
      </c>
      <c r="N956">
        <v>47.086289413099998</v>
      </c>
      <c r="P956">
        <v>9.3345336260499998</v>
      </c>
      <c r="R956" t="s">
        <v>11038</v>
      </c>
      <c r="S956" t="s">
        <v>10310</v>
      </c>
      <c r="V956" t="s">
        <v>11130</v>
      </c>
      <c r="W956" s="2" t="s">
        <v>11198</v>
      </c>
    </row>
    <row r="957" spans="1:23" hidden="1" x14ac:dyDescent="0.45">
      <c r="A957" s="1" t="s">
        <v>968</v>
      </c>
      <c r="E957" t="s">
        <v>8869</v>
      </c>
      <c r="F957" t="s">
        <v>10294</v>
      </c>
      <c r="G957">
        <v>0.34</v>
      </c>
      <c r="H957" t="s">
        <v>10310</v>
      </c>
      <c r="I957" t="s">
        <v>10325</v>
      </c>
      <c r="L957">
        <v>1963</v>
      </c>
      <c r="N957">
        <v>47.082309965500002</v>
      </c>
      <c r="P957">
        <v>9.3520435320999997</v>
      </c>
      <c r="R957" t="s">
        <v>11038</v>
      </c>
      <c r="S957" t="s">
        <v>10310</v>
      </c>
      <c r="W957" s="2" t="s">
        <v>11198</v>
      </c>
    </row>
    <row r="958" spans="1:23" hidden="1" x14ac:dyDescent="0.45">
      <c r="A958" s="1" t="s">
        <v>969</v>
      </c>
      <c r="E958" t="s">
        <v>8868</v>
      </c>
      <c r="F958" t="s">
        <v>10294</v>
      </c>
      <c r="G958">
        <v>1.48</v>
      </c>
      <c r="H958" t="s">
        <v>10310</v>
      </c>
      <c r="I958" t="s">
        <v>10325</v>
      </c>
      <c r="L958">
        <v>1993</v>
      </c>
      <c r="N958">
        <v>47.088084187600003</v>
      </c>
      <c r="P958">
        <v>9.3402617848800009</v>
      </c>
      <c r="R958" t="s">
        <v>11038</v>
      </c>
      <c r="S958" t="s">
        <v>10310</v>
      </c>
      <c r="V958" t="s">
        <v>11076</v>
      </c>
      <c r="W958" s="2" t="s">
        <v>11198</v>
      </c>
    </row>
    <row r="959" spans="1:23" hidden="1" x14ac:dyDescent="0.45">
      <c r="A959" s="1" t="s">
        <v>970</v>
      </c>
      <c r="E959" t="s">
        <v>8868</v>
      </c>
      <c r="F959" t="s">
        <v>10294</v>
      </c>
      <c r="G959">
        <v>1.19</v>
      </c>
      <c r="H959" t="s">
        <v>10310</v>
      </c>
      <c r="I959" t="s">
        <v>10325</v>
      </c>
      <c r="L959">
        <v>1974</v>
      </c>
      <c r="N959">
        <v>47.088628084799993</v>
      </c>
      <c r="P959">
        <v>9.3400176178399992</v>
      </c>
      <c r="R959" t="s">
        <v>11038</v>
      </c>
      <c r="S959" t="s">
        <v>10310</v>
      </c>
      <c r="V959" t="s">
        <v>11060</v>
      </c>
      <c r="W959" s="2" t="s">
        <v>11198</v>
      </c>
    </row>
    <row r="960" spans="1:23" hidden="1" x14ac:dyDescent="0.45">
      <c r="A960" s="1" t="s">
        <v>971</v>
      </c>
      <c r="E960" t="s">
        <v>971</v>
      </c>
      <c r="F960" t="s">
        <v>10294</v>
      </c>
      <c r="G960">
        <v>0.6</v>
      </c>
      <c r="H960" t="s">
        <v>10310</v>
      </c>
      <c r="I960" t="s">
        <v>10325</v>
      </c>
      <c r="L960">
        <v>1992</v>
      </c>
      <c r="N960">
        <v>47.124895704099998</v>
      </c>
      <c r="P960">
        <v>9.3286504480199994</v>
      </c>
      <c r="R960" t="s">
        <v>11038</v>
      </c>
      <c r="S960" t="s">
        <v>10310</v>
      </c>
      <c r="V960" t="s">
        <v>11060</v>
      </c>
      <c r="W960" s="2" t="s">
        <v>11198</v>
      </c>
    </row>
    <row r="961" spans="1:23" hidden="1" x14ac:dyDescent="0.45">
      <c r="A961" s="1" t="s">
        <v>972</v>
      </c>
      <c r="E961" t="s">
        <v>8870</v>
      </c>
      <c r="F961" t="s">
        <v>10294</v>
      </c>
      <c r="G961">
        <v>0.75</v>
      </c>
      <c r="H961" t="s">
        <v>10310</v>
      </c>
      <c r="I961" t="s">
        <v>10325</v>
      </c>
      <c r="L961">
        <v>1954</v>
      </c>
      <c r="N961">
        <v>47.110541097800002</v>
      </c>
      <c r="P961">
        <v>9.2705517559199997</v>
      </c>
      <c r="R961" t="s">
        <v>11038</v>
      </c>
      <c r="S961" t="s">
        <v>10310</v>
      </c>
      <c r="W961" s="2" t="s">
        <v>11198</v>
      </c>
    </row>
    <row r="962" spans="1:23" hidden="1" x14ac:dyDescent="0.45">
      <c r="A962" s="1" t="s">
        <v>973</v>
      </c>
      <c r="E962" t="s">
        <v>973</v>
      </c>
      <c r="F962" t="s">
        <v>10294</v>
      </c>
      <c r="G962">
        <v>1.1599999999999999</v>
      </c>
      <c r="H962" t="s">
        <v>10310</v>
      </c>
      <c r="I962" t="s">
        <v>10325</v>
      </c>
      <c r="L962">
        <v>1927</v>
      </c>
      <c r="N962">
        <v>47.1005471458</v>
      </c>
      <c r="P962">
        <v>9.2596688365399995</v>
      </c>
      <c r="R962" t="s">
        <v>11038</v>
      </c>
      <c r="S962" t="s">
        <v>10310</v>
      </c>
      <c r="W962" s="2" t="s">
        <v>11198</v>
      </c>
    </row>
    <row r="963" spans="1:23" hidden="1" x14ac:dyDescent="0.45">
      <c r="A963" s="1" t="s">
        <v>974</v>
      </c>
      <c r="E963" t="s">
        <v>8871</v>
      </c>
      <c r="F963" t="s">
        <v>10294</v>
      </c>
      <c r="G963">
        <v>6.5</v>
      </c>
      <c r="H963" t="s">
        <v>10310</v>
      </c>
      <c r="I963" t="s">
        <v>10325</v>
      </c>
      <c r="L963">
        <v>2003</v>
      </c>
      <c r="N963">
        <v>47.092449227400003</v>
      </c>
      <c r="P963">
        <v>9.2078822456899996</v>
      </c>
      <c r="R963" t="s">
        <v>11038</v>
      </c>
      <c r="S963" t="s">
        <v>10310</v>
      </c>
      <c r="V963" t="s">
        <v>11131</v>
      </c>
      <c r="W963" s="2" t="s">
        <v>11198</v>
      </c>
    </row>
    <row r="964" spans="1:23" hidden="1" x14ac:dyDescent="0.45">
      <c r="A964" s="1" t="s">
        <v>975</v>
      </c>
      <c r="E964" t="s">
        <v>8872</v>
      </c>
      <c r="F964" t="s">
        <v>10294</v>
      </c>
      <c r="G964">
        <v>2.8</v>
      </c>
      <c r="H964" t="s">
        <v>10310</v>
      </c>
      <c r="I964" t="s">
        <v>10325</v>
      </c>
      <c r="L964">
        <v>1990</v>
      </c>
      <c r="N964">
        <v>47.108448441199997</v>
      </c>
      <c r="P964">
        <v>9.2147363119300003</v>
      </c>
      <c r="R964" t="s">
        <v>11038</v>
      </c>
      <c r="S964" t="s">
        <v>10310</v>
      </c>
      <c r="W964" s="2" t="s">
        <v>11198</v>
      </c>
    </row>
    <row r="965" spans="1:23" hidden="1" x14ac:dyDescent="0.45">
      <c r="A965" s="1" t="s">
        <v>976</v>
      </c>
      <c r="E965" t="s">
        <v>8873</v>
      </c>
      <c r="F965" t="s">
        <v>10294</v>
      </c>
      <c r="G965">
        <v>2.3199999999999998</v>
      </c>
      <c r="H965" t="s">
        <v>10310</v>
      </c>
      <c r="I965" t="s">
        <v>10325</v>
      </c>
      <c r="L965">
        <v>1990</v>
      </c>
      <c r="N965">
        <v>47.113504882999997</v>
      </c>
      <c r="P965">
        <v>9.2193850133400002</v>
      </c>
      <c r="R965" t="s">
        <v>11038</v>
      </c>
      <c r="S965" t="s">
        <v>10310</v>
      </c>
      <c r="W965" s="2" t="s">
        <v>11198</v>
      </c>
    </row>
    <row r="966" spans="1:23" hidden="1" x14ac:dyDescent="0.45">
      <c r="A966" s="1" t="s">
        <v>977</v>
      </c>
      <c r="E966" t="s">
        <v>8874</v>
      </c>
      <c r="F966" t="s">
        <v>10294</v>
      </c>
      <c r="G966">
        <v>1.63</v>
      </c>
      <c r="H966" t="s">
        <v>10310</v>
      </c>
      <c r="I966" t="s">
        <v>10325</v>
      </c>
      <c r="L966">
        <v>1982</v>
      </c>
      <c r="N966">
        <v>47.1380756597</v>
      </c>
      <c r="P966">
        <v>9.1355530965699998</v>
      </c>
      <c r="R966" t="s">
        <v>11038</v>
      </c>
      <c r="S966" t="s">
        <v>10310</v>
      </c>
      <c r="W966" s="2" t="s">
        <v>11198</v>
      </c>
    </row>
    <row r="967" spans="1:23" hidden="1" x14ac:dyDescent="0.45">
      <c r="A967" s="1" t="s">
        <v>978</v>
      </c>
      <c r="E967" t="s">
        <v>8875</v>
      </c>
      <c r="F967" t="s">
        <v>10294</v>
      </c>
      <c r="G967">
        <v>0.89</v>
      </c>
      <c r="H967" t="s">
        <v>10310</v>
      </c>
      <c r="I967" t="s">
        <v>10325</v>
      </c>
      <c r="L967">
        <v>2007</v>
      </c>
      <c r="N967">
        <v>47.093600424399988</v>
      </c>
      <c r="P967">
        <v>9.0373154401000004</v>
      </c>
      <c r="R967" t="s">
        <v>11038</v>
      </c>
      <c r="S967" t="s">
        <v>10310</v>
      </c>
      <c r="V967" t="s">
        <v>11071</v>
      </c>
      <c r="W967" s="2" t="s">
        <v>11198</v>
      </c>
    </row>
    <row r="968" spans="1:23" hidden="1" x14ac:dyDescent="0.45">
      <c r="A968" s="1" t="s">
        <v>979</v>
      </c>
      <c r="E968" t="s">
        <v>8875</v>
      </c>
      <c r="F968" t="s">
        <v>10294</v>
      </c>
      <c r="G968">
        <v>0.85</v>
      </c>
      <c r="H968" t="s">
        <v>10310</v>
      </c>
      <c r="I968" t="s">
        <v>10325</v>
      </c>
      <c r="L968">
        <v>1977</v>
      </c>
      <c r="N968">
        <v>47.093600424399988</v>
      </c>
      <c r="P968">
        <v>9.0373154401000004</v>
      </c>
      <c r="R968" t="s">
        <v>11038</v>
      </c>
      <c r="S968" t="s">
        <v>10310</v>
      </c>
      <c r="V968" t="s">
        <v>11112</v>
      </c>
      <c r="W968" s="2" t="s">
        <v>11198</v>
      </c>
    </row>
    <row r="969" spans="1:23" hidden="1" x14ac:dyDescent="0.45">
      <c r="A969" s="1" t="s">
        <v>980</v>
      </c>
      <c r="E969" t="s">
        <v>8876</v>
      </c>
      <c r="F969" t="s">
        <v>10294</v>
      </c>
      <c r="G969">
        <v>4.5</v>
      </c>
      <c r="H969" t="s">
        <v>10310</v>
      </c>
      <c r="I969" t="s">
        <v>10325</v>
      </c>
      <c r="L969">
        <v>2011</v>
      </c>
      <c r="N969">
        <v>47.094678322500002</v>
      </c>
      <c r="P969">
        <v>9.0567135560800001</v>
      </c>
      <c r="R969" t="s">
        <v>11038</v>
      </c>
      <c r="S969" t="s">
        <v>10310</v>
      </c>
      <c r="W969" s="2" t="s">
        <v>11198</v>
      </c>
    </row>
    <row r="970" spans="1:23" hidden="1" x14ac:dyDescent="0.45">
      <c r="A970" s="1" t="s">
        <v>981</v>
      </c>
      <c r="E970" t="s">
        <v>981</v>
      </c>
      <c r="F970" t="s">
        <v>10294</v>
      </c>
      <c r="G970">
        <v>2.2200000000000002</v>
      </c>
      <c r="H970" t="s">
        <v>10310</v>
      </c>
      <c r="I970" t="s">
        <v>10325</v>
      </c>
      <c r="L970">
        <v>1980</v>
      </c>
      <c r="N970">
        <v>47.123582023100013</v>
      </c>
      <c r="P970">
        <v>9.0421650235399991</v>
      </c>
      <c r="R970" t="s">
        <v>11038</v>
      </c>
      <c r="S970" t="s">
        <v>10310</v>
      </c>
      <c r="V970" t="s">
        <v>11060</v>
      </c>
      <c r="W970" s="2" t="s">
        <v>11198</v>
      </c>
    </row>
    <row r="971" spans="1:23" hidden="1" x14ac:dyDescent="0.45">
      <c r="A971" s="1" t="s">
        <v>982</v>
      </c>
      <c r="E971" t="s">
        <v>982</v>
      </c>
      <c r="F971" t="s">
        <v>10294</v>
      </c>
      <c r="G971">
        <v>0.57999999999999996</v>
      </c>
      <c r="H971" t="s">
        <v>10310</v>
      </c>
      <c r="I971" t="s">
        <v>10325</v>
      </c>
      <c r="L971">
        <v>2011</v>
      </c>
      <c r="N971">
        <v>47.1331874754</v>
      </c>
      <c r="P971">
        <v>9.0628873592600012</v>
      </c>
      <c r="R971" t="s">
        <v>11038</v>
      </c>
      <c r="S971" t="s">
        <v>10310</v>
      </c>
      <c r="V971" t="s">
        <v>11132</v>
      </c>
      <c r="W971" s="2" t="s">
        <v>11198</v>
      </c>
    </row>
    <row r="972" spans="1:23" hidden="1" x14ac:dyDescent="0.45">
      <c r="A972" s="1" t="s">
        <v>983</v>
      </c>
      <c r="E972" t="s">
        <v>8877</v>
      </c>
      <c r="F972" t="s">
        <v>10294</v>
      </c>
      <c r="G972">
        <v>0.51</v>
      </c>
      <c r="H972" t="s">
        <v>10310</v>
      </c>
      <c r="I972" t="s">
        <v>10325</v>
      </c>
      <c r="L972">
        <v>2015</v>
      </c>
      <c r="N972">
        <v>47.231159892900003</v>
      </c>
      <c r="P972">
        <v>8.9642986307200001</v>
      </c>
      <c r="R972" t="s">
        <v>11038</v>
      </c>
      <c r="S972" t="s">
        <v>10310</v>
      </c>
      <c r="W972" s="2" t="s">
        <v>11198</v>
      </c>
    </row>
    <row r="973" spans="1:23" hidden="1" x14ac:dyDescent="0.45">
      <c r="A973" s="1" t="s">
        <v>984</v>
      </c>
      <c r="E973" t="s">
        <v>8878</v>
      </c>
      <c r="F973" t="s">
        <v>10294</v>
      </c>
      <c r="G973">
        <v>66.239999999999995</v>
      </c>
      <c r="H973" t="s">
        <v>10310</v>
      </c>
      <c r="I973" t="s">
        <v>10324</v>
      </c>
      <c r="L973">
        <v>2012</v>
      </c>
      <c r="N973">
        <v>47.1383731791</v>
      </c>
      <c r="P973">
        <v>8.8975773605899988</v>
      </c>
      <c r="Q973" t="s">
        <v>10564</v>
      </c>
      <c r="R973" t="s">
        <v>11038</v>
      </c>
      <c r="S973" t="s">
        <v>10310</v>
      </c>
      <c r="V973" t="s">
        <v>11060</v>
      </c>
      <c r="W973" s="2" t="s">
        <v>11198</v>
      </c>
    </row>
    <row r="974" spans="1:23" hidden="1" x14ac:dyDescent="0.45">
      <c r="A974" s="1" t="s">
        <v>985</v>
      </c>
      <c r="E974" t="s">
        <v>8879</v>
      </c>
      <c r="F974" t="s">
        <v>10294</v>
      </c>
      <c r="G974">
        <v>51.52</v>
      </c>
      <c r="H974" t="s">
        <v>10310</v>
      </c>
      <c r="I974" t="s">
        <v>10326</v>
      </c>
      <c r="L974">
        <v>1984</v>
      </c>
      <c r="N974">
        <v>47.171628052200013</v>
      </c>
      <c r="P974">
        <v>8.9000673991100001</v>
      </c>
      <c r="Q974" t="s">
        <v>10564</v>
      </c>
      <c r="R974" t="s">
        <v>11038</v>
      </c>
      <c r="S974" t="s">
        <v>10310</v>
      </c>
      <c r="W974" s="2" t="s">
        <v>11198</v>
      </c>
    </row>
    <row r="975" spans="1:23" hidden="1" x14ac:dyDescent="0.45">
      <c r="A975" s="1" t="s">
        <v>986</v>
      </c>
      <c r="E975" t="s">
        <v>8880</v>
      </c>
      <c r="F975" t="s">
        <v>10294</v>
      </c>
      <c r="G975">
        <v>0.3</v>
      </c>
      <c r="H975" t="s">
        <v>10310</v>
      </c>
      <c r="I975" t="s">
        <v>10325</v>
      </c>
      <c r="L975">
        <v>1985</v>
      </c>
      <c r="N975">
        <v>47.180976338800001</v>
      </c>
      <c r="P975">
        <v>8.8575715744500005</v>
      </c>
      <c r="R975" t="s">
        <v>11038</v>
      </c>
      <c r="S975" t="s">
        <v>10310</v>
      </c>
      <c r="W975" s="2" t="s">
        <v>11198</v>
      </c>
    </row>
    <row r="976" spans="1:23" hidden="1" x14ac:dyDescent="0.45">
      <c r="A976" s="1" t="s">
        <v>987</v>
      </c>
      <c r="E976" t="s">
        <v>8881</v>
      </c>
      <c r="F976" t="s">
        <v>10294</v>
      </c>
      <c r="G976">
        <v>0.56000000000000005</v>
      </c>
      <c r="H976" t="s">
        <v>10310</v>
      </c>
      <c r="I976" t="s">
        <v>10325</v>
      </c>
      <c r="L976">
        <v>2013</v>
      </c>
      <c r="N976">
        <v>47.2688671863</v>
      </c>
      <c r="P976">
        <v>8.8721984201699993</v>
      </c>
      <c r="R976" t="s">
        <v>11038</v>
      </c>
      <c r="S976" t="s">
        <v>10310</v>
      </c>
      <c r="W976" s="2" t="s">
        <v>11198</v>
      </c>
    </row>
    <row r="977" spans="1:23" hidden="1" x14ac:dyDescent="0.45">
      <c r="A977" s="1" t="s">
        <v>988</v>
      </c>
      <c r="E977" t="s">
        <v>8882</v>
      </c>
      <c r="F977" t="s">
        <v>10294</v>
      </c>
      <c r="G977">
        <v>135</v>
      </c>
      <c r="H977" t="s">
        <v>10310</v>
      </c>
      <c r="I977" t="s">
        <v>10324</v>
      </c>
      <c r="L977">
        <v>1992</v>
      </c>
      <c r="N977">
        <v>47.1941128968</v>
      </c>
      <c r="P977">
        <v>8.8129151706699993</v>
      </c>
      <c r="R977" t="s">
        <v>11038</v>
      </c>
      <c r="S977" t="s">
        <v>10310</v>
      </c>
      <c r="V977" t="s">
        <v>11133</v>
      </c>
      <c r="W977" s="2" t="s">
        <v>11198</v>
      </c>
    </row>
    <row r="978" spans="1:23" hidden="1" x14ac:dyDescent="0.45">
      <c r="A978" s="1" t="s">
        <v>989</v>
      </c>
      <c r="E978" t="s">
        <v>989</v>
      </c>
      <c r="F978" t="s">
        <v>10294</v>
      </c>
      <c r="G978">
        <v>0.3</v>
      </c>
      <c r="H978" t="s">
        <v>10310</v>
      </c>
      <c r="I978" t="s">
        <v>10325</v>
      </c>
      <c r="L978">
        <v>1957</v>
      </c>
      <c r="N978">
        <v>47.200343302100002</v>
      </c>
      <c r="P978">
        <v>8.7253000401299996</v>
      </c>
      <c r="R978" t="s">
        <v>11038</v>
      </c>
      <c r="S978" t="s">
        <v>10310</v>
      </c>
      <c r="W978" s="2" t="s">
        <v>11198</v>
      </c>
    </row>
    <row r="979" spans="1:23" hidden="1" x14ac:dyDescent="0.45">
      <c r="A979" s="1" t="s">
        <v>990</v>
      </c>
      <c r="E979" t="s">
        <v>8883</v>
      </c>
      <c r="F979" t="s">
        <v>10294</v>
      </c>
      <c r="G979">
        <v>0.87</v>
      </c>
      <c r="H979" t="s">
        <v>10310</v>
      </c>
      <c r="I979" t="s">
        <v>10325</v>
      </c>
      <c r="L979">
        <v>1989</v>
      </c>
      <c r="N979">
        <v>47.173583301999997</v>
      </c>
      <c r="P979">
        <v>8.7129150925799994</v>
      </c>
      <c r="R979" t="s">
        <v>11038</v>
      </c>
      <c r="S979" t="s">
        <v>10310</v>
      </c>
      <c r="W979" s="2" t="s">
        <v>11198</v>
      </c>
    </row>
    <row r="980" spans="1:23" hidden="1" x14ac:dyDescent="0.45">
      <c r="A980" s="1" t="s">
        <v>991</v>
      </c>
      <c r="E980" t="s">
        <v>8884</v>
      </c>
      <c r="F980" t="s">
        <v>10294</v>
      </c>
      <c r="G980">
        <v>1.45</v>
      </c>
      <c r="H980" t="s">
        <v>10310</v>
      </c>
      <c r="I980" t="s">
        <v>10325</v>
      </c>
      <c r="L980">
        <v>1961</v>
      </c>
      <c r="N980">
        <v>47.1773356908</v>
      </c>
      <c r="P980">
        <v>8.6823957649099999</v>
      </c>
      <c r="R980" t="s">
        <v>11038</v>
      </c>
      <c r="S980" t="s">
        <v>10310</v>
      </c>
      <c r="W980" s="2" t="s">
        <v>11198</v>
      </c>
    </row>
    <row r="981" spans="1:23" hidden="1" x14ac:dyDescent="0.45">
      <c r="A981" s="1" t="s">
        <v>992</v>
      </c>
      <c r="E981" t="s">
        <v>8697</v>
      </c>
      <c r="F981" t="s">
        <v>10294</v>
      </c>
      <c r="G981">
        <v>2.8</v>
      </c>
      <c r="H981" t="s">
        <v>10310</v>
      </c>
      <c r="I981" t="s">
        <v>10325</v>
      </c>
      <c r="L981">
        <v>1967</v>
      </c>
      <c r="N981">
        <v>47.1791652701</v>
      </c>
      <c r="P981">
        <v>8.6284758672899997</v>
      </c>
      <c r="R981" t="s">
        <v>11038</v>
      </c>
      <c r="S981" t="s">
        <v>10310</v>
      </c>
      <c r="W981" s="2" t="s">
        <v>11198</v>
      </c>
    </row>
    <row r="982" spans="1:23" hidden="1" x14ac:dyDescent="0.45">
      <c r="A982" s="1" t="s">
        <v>993</v>
      </c>
      <c r="E982" t="s">
        <v>8885</v>
      </c>
      <c r="F982" t="s">
        <v>10294</v>
      </c>
      <c r="G982">
        <v>5</v>
      </c>
      <c r="H982" t="s">
        <v>10310</v>
      </c>
      <c r="I982" t="s">
        <v>10325</v>
      </c>
      <c r="L982">
        <v>2004</v>
      </c>
      <c r="N982">
        <v>47.387012590399998</v>
      </c>
      <c r="P982">
        <v>8.5323219334499996</v>
      </c>
      <c r="R982" t="s">
        <v>11038</v>
      </c>
      <c r="S982" t="s">
        <v>10310</v>
      </c>
      <c r="W982" s="2" t="s">
        <v>11198</v>
      </c>
    </row>
    <row r="983" spans="1:23" hidden="1" x14ac:dyDescent="0.45">
      <c r="A983" s="1" t="s">
        <v>994</v>
      </c>
      <c r="E983" t="s">
        <v>8885</v>
      </c>
      <c r="F983" t="s">
        <v>10294</v>
      </c>
      <c r="G983">
        <v>1.4</v>
      </c>
      <c r="H983" t="s">
        <v>10310</v>
      </c>
      <c r="I983" t="s">
        <v>10325</v>
      </c>
      <c r="L983">
        <v>1988</v>
      </c>
      <c r="N983">
        <v>47.401469320700002</v>
      </c>
      <c r="P983">
        <v>8.4865139901899997</v>
      </c>
      <c r="R983" t="s">
        <v>11038</v>
      </c>
      <c r="S983" t="s">
        <v>10310</v>
      </c>
      <c r="W983" s="2" t="s">
        <v>11198</v>
      </c>
    </row>
    <row r="984" spans="1:23" hidden="1" x14ac:dyDescent="0.45">
      <c r="A984" s="1" t="s">
        <v>995</v>
      </c>
      <c r="E984" t="s">
        <v>996</v>
      </c>
      <c r="F984" t="s">
        <v>10294</v>
      </c>
      <c r="G984">
        <v>2.1</v>
      </c>
      <c r="H984" t="s">
        <v>10310</v>
      </c>
      <c r="I984" t="s">
        <v>10325</v>
      </c>
      <c r="L984">
        <v>2007</v>
      </c>
      <c r="N984">
        <v>47.456366393500012</v>
      </c>
      <c r="P984">
        <v>8.3214228194899995</v>
      </c>
      <c r="R984" t="s">
        <v>11038</v>
      </c>
      <c r="S984" t="s">
        <v>10310</v>
      </c>
      <c r="W984" s="2" t="s">
        <v>11198</v>
      </c>
    </row>
    <row r="985" spans="1:23" hidden="1" x14ac:dyDescent="0.45">
      <c r="A985" s="1" t="s">
        <v>996</v>
      </c>
      <c r="E985" t="s">
        <v>996</v>
      </c>
      <c r="F985" t="s">
        <v>10294</v>
      </c>
      <c r="G985">
        <v>25.35</v>
      </c>
      <c r="H985" t="s">
        <v>10310</v>
      </c>
      <c r="I985" t="s">
        <v>10325</v>
      </c>
      <c r="L985">
        <v>1964</v>
      </c>
      <c r="N985">
        <v>47.457089914999997</v>
      </c>
      <c r="P985">
        <v>8.3209043409000003</v>
      </c>
      <c r="R985" t="s">
        <v>11038</v>
      </c>
      <c r="S985" t="s">
        <v>10310</v>
      </c>
      <c r="W985" s="2" t="s">
        <v>11198</v>
      </c>
    </row>
    <row r="986" spans="1:23" hidden="1" x14ac:dyDescent="0.45">
      <c r="A986" s="1" t="s">
        <v>997</v>
      </c>
      <c r="E986" t="s">
        <v>8886</v>
      </c>
      <c r="F986" t="s">
        <v>10294</v>
      </c>
      <c r="G986">
        <v>0.5</v>
      </c>
      <c r="H986" t="s">
        <v>10310</v>
      </c>
      <c r="I986" t="s">
        <v>10325</v>
      </c>
      <c r="L986">
        <v>2013</v>
      </c>
      <c r="N986">
        <v>47.468518020899999</v>
      </c>
      <c r="P986">
        <v>8.3083596061599998</v>
      </c>
      <c r="R986" t="s">
        <v>11038</v>
      </c>
      <c r="S986" t="s">
        <v>10310</v>
      </c>
      <c r="W986" s="2" t="s">
        <v>11198</v>
      </c>
    </row>
    <row r="987" spans="1:23" hidden="1" x14ac:dyDescent="0.45">
      <c r="A987" s="1" t="s">
        <v>998</v>
      </c>
      <c r="E987" t="s">
        <v>8886</v>
      </c>
      <c r="F987" t="s">
        <v>10294</v>
      </c>
      <c r="G987">
        <v>5.2</v>
      </c>
      <c r="H987" t="s">
        <v>10310</v>
      </c>
      <c r="I987" t="s">
        <v>10325</v>
      </c>
      <c r="L987">
        <v>2014</v>
      </c>
      <c r="N987">
        <v>47.470387678199998</v>
      </c>
      <c r="P987">
        <v>8.3109105586599998</v>
      </c>
      <c r="R987" t="s">
        <v>11038</v>
      </c>
      <c r="S987" t="s">
        <v>10310</v>
      </c>
      <c r="W987" s="2" t="s">
        <v>11198</v>
      </c>
    </row>
    <row r="988" spans="1:23" hidden="1" x14ac:dyDescent="0.45">
      <c r="A988" s="1" t="s">
        <v>999</v>
      </c>
      <c r="E988" t="s">
        <v>8887</v>
      </c>
      <c r="F988" t="s">
        <v>10294</v>
      </c>
      <c r="G988">
        <v>7</v>
      </c>
      <c r="H988" t="s">
        <v>10310</v>
      </c>
      <c r="I988" t="s">
        <v>10325</v>
      </c>
      <c r="L988">
        <v>2006</v>
      </c>
      <c r="N988">
        <v>47.484553913900001</v>
      </c>
      <c r="P988">
        <v>8.2928319252799998</v>
      </c>
      <c r="R988" t="s">
        <v>11038</v>
      </c>
      <c r="S988" t="s">
        <v>10310</v>
      </c>
      <c r="W988" s="2" t="s">
        <v>11198</v>
      </c>
    </row>
    <row r="989" spans="1:23" hidden="1" x14ac:dyDescent="0.45">
      <c r="A989" s="1" t="s">
        <v>1000</v>
      </c>
      <c r="E989" t="s">
        <v>8888</v>
      </c>
      <c r="F989" t="s">
        <v>10294</v>
      </c>
      <c r="G989">
        <v>0.38</v>
      </c>
      <c r="H989" t="s">
        <v>10310</v>
      </c>
      <c r="I989" t="s">
        <v>10325</v>
      </c>
      <c r="L989">
        <v>2013</v>
      </c>
      <c r="N989">
        <v>47.4874209022</v>
      </c>
      <c r="P989">
        <v>8.2696564316999996</v>
      </c>
      <c r="R989" t="s">
        <v>11038</v>
      </c>
      <c r="S989" t="s">
        <v>10310</v>
      </c>
      <c r="W989" s="2" t="s">
        <v>11198</v>
      </c>
    </row>
    <row r="990" spans="1:23" hidden="1" x14ac:dyDescent="0.45">
      <c r="A990" s="1" t="s">
        <v>1001</v>
      </c>
      <c r="E990" t="s">
        <v>8888</v>
      </c>
      <c r="F990" t="s">
        <v>10294</v>
      </c>
      <c r="G990">
        <v>3.3</v>
      </c>
      <c r="H990" t="s">
        <v>10310</v>
      </c>
      <c r="I990" t="s">
        <v>10325</v>
      </c>
      <c r="L990">
        <v>2013</v>
      </c>
      <c r="N990">
        <v>47.488714163500013</v>
      </c>
      <c r="P990">
        <v>8.2648995261399989</v>
      </c>
      <c r="R990" t="s">
        <v>11038</v>
      </c>
      <c r="S990" t="s">
        <v>10310</v>
      </c>
      <c r="W990" s="2" t="s">
        <v>11198</v>
      </c>
    </row>
    <row r="991" spans="1:23" hidden="1" x14ac:dyDescent="0.45">
      <c r="A991" s="1" t="s">
        <v>1002</v>
      </c>
      <c r="E991" t="s">
        <v>1002</v>
      </c>
      <c r="F991" t="s">
        <v>10294</v>
      </c>
      <c r="G991">
        <v>1</v>
      </c>
      <c r="H991" t="s">
        <v>10310</v>
      </c>
      <c r="I991" t="s">
        <v>10325</v>
      </c>
      <c r="L991">
        <v>1986</v>
      </c>
      <c r="N991">
        <v>47.4960768989</v>
      </c>
      <c r="P991">
        <v>8.2539984927500001</v>
      </c>
      <c r="R991" t="s">
        <v>11038</v>
      </c>
      <c r="S991" t="s">
        <v>10310</v>
      </c>
      <c r="W991" s="2" t="s">
        <v>11198</v>
      </c>
    </row>
    <row r="992" spans="1:23" hidden="1" x14ac:dyDescent="0.45">
      <c r="A992" s="1" t="s">
        <v>1003</v>
      </c>
      <c r="E992" t="s">
        <v>1002</v>
      </c>
      <c r="F992" t="s">
        <v>10294</v>
      </c>
      <c r="G992">
        <v>0.9</v>
      </c>
      <c r="H992" t="s">
        <v>10310</v>
      </c>
      <c r="I992" t="s">
        <v>10325</v>
      </c>
      <c r="L992">
        <v>2000</v>
      </c>
      <c r="N992">
        <v>47.498149955600013</v>
      </c>
      <c r="P992">
        <v>8.24049276547</v>
      </c>
      <c r="R992" t="s">
        <v>11038</v>
      </c>
      <c r="S992" t="s">
        <v>10310</v>
      </c>
      <c r="W992" s="2" t="s">
        <v>11198</v>
      </c>
    </row>
    <row r="993" spans="1:23" hidden="1" x14ac:dyDescent="0.45">
      <c r="A993" s="1" t="s">
        <v>1004</v>
      </c>
      <c r="E993" t="s">
        <v>8889</v>
      </c>
      <c r="F993" t="s">
        <v>10294</v>
      </c>
      <c r="G993">
        <v>0.8</v>
      </c>
      <c r="H993" t="s">
        <v>10310</v>
      </c>
      <c r="I993" t="s">
        <v>10325</v>
      </c>
      <c r="L993">
        <v>2010</v>
      </c>
      <c r="N993">
        <v>47.502738438400002</v>
      </c>
      <c r="P993">
        <v>8.2402964765399993</v>
      </c>
      <c r="R993" t="s">
        <v>11038</v>
      </c>
      <c r="S993" t="s">
        <v>10310</v>
      </c>
      <c r="W993" s="2" t="s">
        <v>11198</v>
      </c>
    </row>
    <row r="994" spans="1:23" hidden="1" x14ac:dyDescent="0.45">
      <c r="A994" s="1" t="s">
        <v>1005</v>
      </c>
      <c r="E994" t="s">
        <v>8853</v>
      </c>
      <c r="F994" t="s">
        <v>10294</v>
      </c>
      <c r="G994">
        <v>1.06</v>
      </c>
      <c r="H994" t="s">
        <v>10310</v>
      </c>
      <c r="I994" t="s">
        <v>10325</v>
      </c>
      <c r="L994">
        <v>2016</v>
      </c>
      <c r="R994" t="s">
        <v>11038</v>
      </c>
      <c r="S994" t="s">
        <v>10310</v>
      </c>
      <c r="W994" s="2" t="s">
        <v>11198</v>
      </c>
    </row>
    <row r="995" spans="1:23" hidden="1" x14ac:dyDescent="0.45">
      <c r="A995" s="1" t="s">
        <v>1006</v>
      </c>
      <c r="E995" t="s">
        <v>8890</v>
      </c>
      <c r="F995" t="s">
        <v>10294</v>
      </c>
      <c r="G995">
        <v>9.67</v>
      </c>
      <c r="H995" t="s">
        <v>10310</v>
      </c>
      <c r="I995" t="s">
        <v>10326</v>
      </c>
      <c r="L995">
        <v>1967</v>
      </c>
      <c r="N995">
        <v>46.468174137299997</v>
      </c>
      <c r="P995">
        <v>8.3695233044199995</v>
      </c>
      <c r="R995" t="s">
        <v>11038</v>
      </c>
      <c r="S995" t="s">
        <v>10310</v>
      </c>
      <c r="W995" s="2" t="s">
        <v>11198</v>
      </c>
    </row>
    <row r="996" spans="1:23" hidden="1" x14ac:dyDescent="0.45">
      <c r="A996" s="1" t="s">
        <v>1007</v>
      </c>
      <c r="E996" t="s">
        <v>8891</v>
      </c>
      <c r="F996" t="s">
        <v>10294</v>
      </c>
      <c r="G996">
        <v>15.11</v>
      </c>
      <c r="H996" t="s">
        <v>10310</v>
      </c>
      <c r="I996" t="s">
        <v>10325</v>
      </c>
      <c r="L996">
        <v>2018</v>
      </c>
      <c r="R996" t="s">
        <v>11038</v>
      </c>
      <c r="S996" t="s">
        <v>10310</v>
      </c>
      <c r="W996" s="2" t="s">
        <v>11198</v>
      </c>
    </row>
    <row r="997" spans="1:23" hidden="1" x14ac:dyDescent="0.45">
      <c r="A997" s="1" t="s">
        <v>1008</v>
      </c>
      <c r="E997" t="s">
        <v>8892</v>
      </c>
      <c r="F997" t="s">
        <v>10294</v>
      </c>
      <c r="G997">
        <v>2.35</v>
      </c>
      <c r="H997" t="s">
        <v>10310</v>
      </c>
      <c r="I997" t="s">
        <v>10325</v>
      </c>
      <c r="L997">
        <v>2014</v>
      </c>
      <c r="N997">
        <v>46.503125938500013</v>
      </c>
      <c r="P997">
        <v>8.3185316475499995</v>
      </c>
      <c r="R997" t="s">
        <v>11038</v>
      </c>
      <c r="S997" t="s">
        <v>10310</v>
      </c>
      <c r="W997" s="2" t="s">
        <v>11198</v>
      </c>
    </row>
    <row r="998" spans="1:23" hidden="1" x14ac:dyDescent="0.45">
      <c r="A998" s="1" t="s">
        <v>1009</v>
      </c>
      <c r="E998" t="s">
        <v>8893</v>
      </c>
      <c r="F998" t="s">
        <v>10294</v>
      </c>
      <c r="G998">
        <v>1.99</v>
      </c>
      <c r="H998" t="s">
        <v>10310</v>
      </c>
      <c r="I998" t="s">
        <v>10325</v>
      </c>
      <c r="L998">
        <v>1959</v>
      </c>
      <c r="N998">
        <v>46.485714887900002</v>
      </c>
      <c r="P998">
        <v>8.2773536111899997</v>
      </c>
      <c r="R998" t="s">
        <v>11038</v>
      </c>
      <c r="S998" t="s">
        <v>10310</v>
      </c>
      <c r="W998" s="2" t="s">
        <v>11198</v>
      </c>
    </row>
    <row r="999" spans="1:23" hidden="1" x14ac:dyDescent="0.45">
      <c r="A999" s="1" t="s">
        <v>1010</v>
      </c>
      <c r="E999" t="s">
        <v>8894</v>
      </c>
      <c r="F999" t="s">
        <v>10294</v>
      </c>
      <c r="G999">
        <v>0.86</v>
      </c>
      <c r="H999" t="s">
        <v>10310</v>
      </c>
      <c r="I999" t="s">
        <v>10325</v>
      </c>
      <c r="L999">
        <v>2016</v>
      </c>
      <c r="R999" t="s">
        <v>11038</v>
      </c>
      <c r="S999" t="s">
        <v>10310</v>
      </c>
      <c r="W999" s="2" t="s">
        <v>11198</v>
      </c>
    </row>
    <row r="1000" spans="1:23" hidden="1" x14ac:dyDescent="0.45">
      <c r="A1000" s="1" t="s">
        <v>1011</v>
      </c>
      <c r="E1000" t="s">
        <v>715</v>
      </c>
      <c r="F1000" t="s">
        <v>10294</v>
      </c>
      <c r="G1000">
        <v>2.13</v>
      </c>
      <c r="H1000" t="s">
        <v>10310</v>
      </c>
      <c r="I1000" t="s">
        <v>10325</v>
      </c>
      <c r="L1000">
        <v>2012</v>
      </c>
      <c r="N1000">
        <v>46.465288504700013</v>
      </c>
      <c r="P1000">
        <v>8.2533430400800007</v>
      </c>
      <c r="R1000" t="s">
        <v>11038</v>
      </c>
      <c r="S1000" t="s">
        <v>10310</v>
      </c>
      <c r="W1000" s="2" t="s">
        <v>11198</v>
      </c>
    </row>
    <row r="1001" spans="1:23" hidden="1" x14ac:dyDescent="0.45">
      <c r="A1001" s="1" t="s">
        <v>1012</v>
      </c>
      <c r="E1001" t="s">
        <v>8895</v>
      </c>
      <c r="F1001" t="s">
        <v>10294</v>
      </c>
      <c r="G1001">
        <v>3.64</v>
      </c>
      <c r="H1001" t="s">
        <v>10310</v>
      </c>
      <c r="I1001" t="s">
        <v>10325</v>
      </c>
      <c r="L1001">
        <v>2013</v>
      </c>
      <c r="N1001">
        <v>46.452151954900003</v>
      </c>
      <c r="P1001">
        <v>8.215139487050001</v>
      </c>
      <c r="R1001" t="s">
        <v>11038</v>
      </c>
      <c r="S1001" t="s">
        <v>10310</v>
      </c>
      <c r="V1001" t="s">
        <v>11134</v>
      </c>
      <c r="W1001" s="2" t="s">
        <v>11198</v>
      </c>
    </row>
    <row r="1002" spans="1:23" hidden="1" x14ac:dyDescent="0.45">
      <c r="A1002" s="1" t="s">
        <v>1013</v>
      </c>
      <c r="E1002" t="s">
        <v>1013</v>
      </c>
      <c r="F1002" t="s">
        <v>10294</v>
      </c>
      <c r="G1002">
        <v>1.2</v>
      </c>
      <c r="H1002" t="s">
        <v>10310</v>
      </c>
      <c r="I1002" t="s">
        <v>10325</v>
      </c>
      <c r="L1002">
        <v>2003</v>
      </c>
      <c r="N1002">
        <v>46.394554254699997</v>
      </c>
      <c r="P1002">
        <v>8.1781705091799992</v>
      </c>
      <c r="R1002" t="s">
        <v>11038</v>
      </c>
      <c r="S1002" t="s">
        <v>10310</v>
      </c>
      <c r="W1002" s="2" t="s">
        <v>11198</v>
      </c>
    </row>
    <row r="1003" spans="1:23" hidden="1" x14ac:dyDescent="0.45">
      <c r="A1003" s="1" t="s">
        <v>1014</v>
      </c>
      <c r="E1003" t="s">
        <v>1014</v>
      </c>
      <c r="F1003" t="s">
        <v>10294</v>
      </c>
      <c r="G1003">
        <v>26</v>
      </c>
      <c r="H1003" t="s">
        <v>10310</v>
      </c>
      <c r="I1003" t="s">
        <v>10325</v>
      </c>
      <c r="L1003">
        <v>2003</v>
      </c>
      <c r="N1003">
        <v>46.3961814647</v>
      </c>
      <c r="P1003">
        <v>8.1342449272300001</v>
      </c>
      <c r="R1003" t="s">
        <v>11038</v>
      </c>
      <c r="S1003" t="s">
        <v>10310</v>
      </c>
      <c r="W1003" s="2" t="s">
        <v>11198</v>
      </c>
    </row>
    <row r="1004" spans="1:23" hidden="1" x14ac:dyDescent="0.45">
      <c r="A1004" s="1" t="s">
        <v>1015</v>
      </c>
      <c r="E1004" t="s">
        <v>1015</v>
      </c>
      <c r="F1004" t="s">
        <v>10294</v>
      </c>
      <c r="G1004">
        <v>64</v>
      </c>
      <c r="H1004" t="s">
        <v>10310</v>
      </c>
      <c r="I1004" t="s">
        <v>10325</v>
      </c>
      <c r="L1004">
        <v>1999</v>
      </c>
      <c r="N1004">
        <v>46.4260956687</v>
      </c>
      <c r="P1004">
        <v>8.1411329638899996</v>
      </c>
      <c r="R1004" t="s">
        <v>11038</v>
      </c>
      <c r="S1004" t="s">
        <v>10310</v>
      </c>
      <c r="W1004" s="2" t="s">
        <v>11198</v>
      </c>
    </row>
    <row r="1005" spans="1:23" hidden="1" x14ac:dyDescent="0.45">
      <c r="A1005" s="1" t="s">
        <v>1016</v>
      </c>
      <c r="E1005" t="s">
        <v>1016</v>
      </c>
      <c r="F1005" t="s">
        <v>10294</v>
      </c>
      <c r="G1005">
        <v>3.1</v>
      </c>
      <c r="H1005" t="s">
        <v>10310</v>
      </c>
      <c r="I1005" t="s">
        <v>10325</v>
      </c>
      <c r="L1005">
        <v>2012</v>
      </c>
      <c r="N1005">
        <v>46.396452119999999</v>
      </c>
      <c r="P1005">
        <v>8.1341183702899986</v>
      </c>
      <c r="R1005" t="s">
        <v>11038</v>
      </c>
      <c r="S1005" t="s">
        <v>10310</v>
      </c>
      <c r="W1005" s="2" t="s">
        <v>11198</v>
      </c>
    </row>
    <row r="1006" spans="1:23" hidden="1" x14ac:dyDescent="0.45">
      <c r="A1006" s="1" t="s">
        <v>1017</v>
      </c>
      <c r="E1006" t="s">
        <v>8896</v>
      </c>
      <c r="F1006" t="s">
        <v>10294</v>
      </c>
      <c r="G1006">
        <v>33</v>
      </c>
      <c r="H1006" t="s">
        <v>10310</v>
      </c>
      <c r="I1006" t="s">
        <v>10325</v>
      </c>
      <c r="L1006">
        <v>1954</v>
      </c>
      <c r="N1006">
        <v>46.391168744600002</v>
      </c>
      <c r="P1006">
        <v>8.1301504096400006</v>
      </c>
      <c r="R1006" t="s">
        <v>11038</v>
      </c>
      <c r="S1006" t="s">
        <v>10310</v>
      </c>
      <c r="W1006" s="2" t="s">
        <v>11198</v>
      </c>
    </row>
    <row r="1007" spans="1:23" hidden="1" x14ac:dyDescent="0.45">
      <c r="A1007" s="1" t="s">
        <v>1018</v>
      </c>
      <c r="E1007" t="s">
        <v>8897</v>
      </c>
      <c r="F1007" t="s">
        <v>10294</v>
      </c>
      <c r="G1007">
        <v>1.25</v>
      </c>
      <c r="H1007" t="s">
        <v>10310</v>
      </c>
      <c r="I1007" t="s">
        <v>10325</v>
      </c>
      <c r="L1007">
        <v>2005</v>
      </c>
      <c r="N1007">
        <v>46.342857004999999</v>
      </c>
      <c r="P1007">
        <v>8.1735703838899987</v>
      </c>
      <c r="R1007" t="s">
        <v>11038</v>
      </c>
      <c r="S1007" t="s">
        <v>10310</v>
      </c>
      <c r="W1007" s="2" t="s">
        <v>11198</v>
      </c>
    </row>
    <row r="1008" spans="1:23" hidden="1" x14ac:dyDescent="0.45">
      <c r="A1008" s="1" t="s">
        <v>1019</v>
      </c>
      <c r="E1008" t="s">
        <v>1019</v>
      </c>
      <c r="F1008" t="s">
        <v>10294</v>
      </c>
      <c r="G1008">
        <v>41</v>
      </c>
      <c r="H1008" t="s">
        <v>10310</v>
      </c>
      <c r="I1008" t="s">
        <v>10325</v>
      </c>
      <c r="L1008">
        <v>1989</v>
      </c>
      <c r="N1008">
        <v>46.347614362000002</v>
      </c>
      <c r="P1008">
        <v>8.1751935855699998</v>
      </c>
      <c r="R1008" t="s">
        <v>11038</v>
      </c>
      <c r="S1008" t="s">
        <v>10310</v>
      </c>
      <c r="W1008" s="2" t="s">
        <v>11198</v>
      </c>
    </row>
    <row r="1009" spans="1:23" hidden="1" x14ac:dyDescent="0.45">
      <c r="A1009" s="1" t="s">
        <v>1020</v>
      </c>
      <c r="E1009" t="s">
        <v>1021</v>
      </c>
      <c r="F1009" t="s">
        <v>10294</v>
      </c>
      <c r="G1009">
        <v>35.299999999999997</v>
      </c>
      <c r="H1009" t="s">
        <v>10310</v>
      </c>
      <c r="I1009" t="s">
        <v>10325</v>
      </c>
      <c r="L1009">
        <v>1965</v>
      </c>
      <c r="N1009">
        <v>46.353974884099998</v>
      </c>
      <c r="P1009">
        <v>8.0427602349100002</v>
      </c>
      <c r="R1009" t="s">
        <v>11038</v>
      </c>
      <c r="S1009" t="s">
        <v>10310</v>
      </c>
      <c r="V1009" t="s">
        <v>11135</v>
      </c>
      <c r="W1009" s="2" t="s">
        <v>11198</v>
      </c>
    </row>
    <row r="1010" spans="1:23" hidden="1" x14ac:dyDescent="0.45">
      <c r="A1010" s="1" t="s">
        <v>1021</v>
      </c>
      <c r="E1010" t="s">
        <v>1021</v>
      </c>
      <c r="F1010" t="s">
        <v>10294</v>
      </c>
      <c r="G1010">
        <v>54.9</v>
      </c>
      <c r="H1010" t="s">
        <v>10310</v>
      </c>
      <c r="I1010" t="s">
        <v>10325</v>
      </c>
      <c r="L1010">
        <v>1943</v>
      </c>
      <c r="N1010">
        <v>46.352180652399987</v>
      </c>
      <c r="P1010">
        <v>8.0418308872500006</v>
      </c>
      <c r="R1010" t="s">
        <v>11038</v>
      </c>
      <c r="S1010" t="s">
        <v>10310</v>
      </c>
      <c r="W1010" s="2" t="s">
        <v>11198</v>
      </c>
    </row>
    <row r="1011" spans="1:23" hidden="1" x14ac:dyDescent="0.45">
      <c r="A1011" s="1" t="s">
        <v>1022</v>
      </c>
      <c r="E1011" t="s">
        <v>1023</v>
      </c>
      <c r="F1011" t="s">
        <v>10294</v>
      </c>
      <c r="G1011">
        <v>7.2</v>
      </c>
      <c r="H1011" t="s">
        <v>10310</v>
      </c>
      <c r="I1011" t="s">
        <v>10325</v>
      </c>
      <c r="L1011">
        <v>1959</v>
      </c>
      <c r="N1011">
        <v>46.332997531499998</v>
      </c>
      <c r="P1011">
        <v>8.0113584734399996</v>
      </c>
      <c r="R1011" t="s">
        <v>11038</v>
      </c>
      <c r="S1011" t="s">
        <v>10310</v>
      </c>
      <c r="V1011" t="s">
        <v>11136</v>
      </c>
      <c r="W1011" s="2" t="s">
        <v>11198</v>
      </c>
    </row>
    <row r="1012" spans="1:23" hidden="1" x14ac:dyDescent="0.45">
      <c r="A1012" s="1" t="s">
        <v>1023</v>
      </c>
      <c r="E1012" t="s">
        <v>8898</v>
      </c>
      <c r="F1012" t="s">
        <v>10294</v>
      </c>
      <c r="G1012">
        <v>340</v>
      </c>
      <c r="H1012" t="s">
        <v>10310</v>
      </c>
      <c r="I1012" t="s">
        <v>10326</v>
      </c>
      <c r="L1012">
        <v>1980</v>
      </c>
      <c r="N1012">
        <v>46.333646172200012</v>
      </c>
      <c r="P1012">
        <v>8.0075990397000005</v>
      </c>
      <c r="Q1012" t="s">
        <v>10565</v>
      </c>
      <c r="R1012" t="s">
        <v>11038</v>
      </c>
      <c r="S1012" t="s">
        <v>10310</v>
      </c>
      <c r="W1012" s="2" t="s">
        <v>11198</v>
      </c>
    </row>
    <row r="1013" spans="1:23" hidden="1" x14ac:dyDescent="0.45">
      <c r="A1013" s="1" t="s">
        <v>1024</v>
      </c>
      <c r="E1013" t="s">
        <v>8899</v>
      </c>
      <c r="F1013" t="s">
        <v>10294</v>
      </c>
      <c r="G1013">
        <v>1.44</v>
      </c>
      <c r="H1013" t="s">
        <v>10310</v>
      </c>
      <c r="I1013" t="s">
        <v>10325</v>
      </c>
      <c r="L1013">
        <v>2015</v>
      </c>
      <c r="N1013">
        <v>46.314238938899997</v>
      </c>
      <c r="P1013">
        <v>7.9457295331300006</v>
      </c>
      <c r="R1013" t="s">
        <v>11038</v>
      </c>
      <c r="S1013" t="s">
        <v>10310</v>
      </c>
      <c r="W1013" s="2" t="s">
        <v>11198</v>
      </c>
    </row>
    <row r="1014" spans="1:23" hidden="1" x14ac:dyDescent="0.45">
      <c r="A1014" s="1" t="s">
        <v>1025</v>
      </c>
      <c r="E1014" t="s">
        <v>8900</v>
      </c>
      <c r="F1014" t="s">
        <v>10294</v>
      </c>
      <c r="G1014">
        <v>2.35</v>
      </c>
      <c r="H1014" t="s">
        <v>10310</v>
      </c>
      <c r="I1014" t="s">
        <v>10324</v>
      </c>
      <c r="L1014">
        <v>1990</v>
      </c>
      <c r="N1014">
        <v>46.293451166300002</v>
      </c>
      <c r="P1014">
        <v>8.0881588711700001</v>
      </c>
      <c r="R1014" t="s">
        <v>11038</v>
      </c>
      <c r="S1014" t="s">
        <v>10310</v>
      </c>
      <c r="W1014" s="2" t="s">
        <v>11198</v>
      </c>
    </row>
    <row r="1015" spans="1:23" hidden="1" x14ac:dyDescent="0.45">
      <c r="A1015" s="1" t="s">
        <v>1026</v>
      </c>
      <c r="E1015" t="s">
        <v>8900</v>
      </c>
      <c r="F1015" t="s">
        <v>10294</v>
      </c>
      <c r="G1015">
        <v>0.55000000000000004</v>
      </c>
      <c r="H1015" t="s">
        <v>10310</v>
      </c>
      <c r="I1015" t="s">
        <v>10325</v>
      </c>
      <c r="L1015">
        <v>2015</v>
      </c>
      <c r="N1015">
        <v>46.2892989196</v>
      </c>
      <c r="P1015">
        <v>8.0247836154199987</v>
      </c>
      <c r="R1015" t="s">
        <v>11038</v>
      </c>
      <c r="S1015" t="s">
        <v>10310</v>
      </c>
      <c r="V1015" t="s">
        <v>11137</v>
      </c>
      <c r="W1015" s="2" t="s">
        <v>11198</v>
      </c>
    </row>
    <row r="1016" spans="1:23" hidden="1" x14ac:dyDescent="0.45">
      <c r="A1016" s="1" t="s">
        <v>1027</v>
      </c>
      <c r="E1016" t="s">
        <v>8900</v>
      </c>
      <c r="F1016" t="s">
        <v>10294</v>
      </c>
      <c r="G1016">
        <v>5.01</v>
      </c>
      <c r="H1016" t="s">
        <v>10310</v>
      </c>
      <c r="I1016" t="s">
        <v>10326</v>
      </c>
      <c r="L1016">
        <v>1990</v>
      </c>
      <c r="N1016">
        <v>46.297742733</v>
      </c>
      <c r="P1016">
        <v>8.0608252091899999</v>
      </c>
      <c r="R1016" t="s">
        <v>11038</v>
      </c>
      <c r="S1016" t="s">
        <v>10310</v>
      </c>
      <c r="W1016" s="2" t="s">
        <v>11198</v>
      </c>
    </row>
    <row r="1017" spans="1:23" hidden="1" x14ac:dyDescent="0.45">
      <c r="A1017" s="1" t="s">
        <v>1028</v>
      </c>
      <c r="E1017" t="s">
        <v>8901</v>
      </c>
      <c r="F1017" t="s">
        <v>10294</v>
      </c>
      <c r="G1017">
        <v>6.1</v>
      </c>
      <c r="H1017" t="s">
        <v>10310</v>
      </c>
      <c r="I1017" t="s">
        <v>10325</v>
      </c>
      <c r="L1017">
        <v>1980</v>
      </c>
      <c r="N1017">
        <v>46.304426748700003</v>
      </c>
      <c r="P1017">
        <v>8.0041783346899997</v>
      </c>
      <c r="R1017" t="s">
        <v>11038</v>
      </c>
      <c r="S1017" t="s">
        <v>10310</v>
      </c>
      <c r="W1017" s="2" t="s">
        <v>11198</v>
      </c>
    </row>
    <row r="1018" spans="1:23" hidden="1" x14ac:dyDescent="0.45">
      <c r="A1018" s="1" t="s">
        <v>1024</v>
      </c>
      <c r="E1018" t="s">
        <v>8902</v>
      </c>
      <c r="F1018" t="s">
        <v>10294</v>
      </c>
      <c r="G1018">
        <v>1.44</v>
      </c>
      <c r="H1018" t="s">
        <v>10310</v>
      </c>
      <c r="I1018" t="s">
        <v>10325</v>
      </c>
      <c r="L1018">
        <v>2015</v>
      </c>
      <c r="N1018">
        <v>46.314238938899997</v>
      </c>
      <c r="P1018">
        <v>7.9457295331300006</v>
      </c>
      <c r="R1018" t="s">
        <v>11038</v>
      </c>
      <c r="S1018" t="s">
        <v>10310</v>
      </c>
      <c r="W1018" s="2" t="s">
        <v>11198</v>
      </c>
    </row>
    <row r="1019" spans="1:23" hidden="1" x14ac:dyDescent="0.45">
      <c r="A1019" s="1" t="s">
        <v>1029</v>
      </c>
      <c r="E1019" t="s">
        <v>8900</v>
      </c>
      <c r="F1019" t="s">
        <v>10294</v>
      </c>
      <c r="G1019">
        <v>0.3</v>
      </c>
      <c r="H1019" t="s">
        <v>10310</v>
      </c>
      <c r="I1019" t="s">
        <v>10325</v>
      </c>
      <c r="L1019">
        <v>2016</v>
      </c>
      <c r="R1019" t="s">
        <v>11038</v>
      </c>
      <c r="S1019" t="s">
        <v>10310</v>
      </c>
      <c r="V1019" t="s">
        <v>11060</v>
      </c>
      <c r="W1019" s="2" t="s">
        <v>11198</v>
      </c>
    </row>
    <row r="1020" spans="1:23" hidden="1" x14ac:dyDescent="0.45">
      <c r="A1020" s="1" t="s">
        <v>1030</v>
      </c>
      <c r="E1020" t="s">
        <v>8900</v>
      </c>
      <c r="F1020" t="s">
        <v>10294</v>
      </c>
      <c r="G1020">
        <v>0.45</v>
      </c>
      <c r="H1020" t="s">
        <v>10310</v>
      </c>
      <c r="I1020" t="s">
        <v>10325</v>
      </c>
      <c r="L1020">
        <v>1995</v>
      </c>
      <c r="N1020">
        <v>46.316238325500002</v>
      </c>
      <c r="P1020">
        <v>8.0340320936400005</v>
      </c>
      <c r="R1020" t="s">
        <v>11038</v>
      </c>
      <c r="S1020" t="s">
        <v>10310</v>
      </c>
      <c r="V1020" t="s">
        <v>11060</v>
      </c>
      <c r="W1020" s="2" t="s">
        <v>11198</v>
      </c>
    </row>
    <row r="1021" spans="1:23" hidden="1" x14ac:dyDescent="0.45">
      <c r="A1021" s="1" t="s">
        <v>1031</v>
      </c>
      <c r="E1021" t="s">
        <v>8903</v>
      </c>
      <c r="F1021" t="s">
        <v>10294</v>
      </c>
      <c r="G1021">
        <v>74</v>
      </c>
      <c r="H1021" t="s">
        <v>10310</v>
      </c>
      <c r="I1021" t="s">
        <v>10324</v>
      </c>
      <c r="L1021">
        <v>1966</v>
      </c>
      <c r="N1021">
        <v>46.082369056899999</v>
      </c>
      <c r="P1021">
        <v>7.9565054316699992</v>
      </c>
      <c r="Q1021" t="s">
        <v>10566</v>
      </c>
      <c r="R1021" t="s">
        <v>11038</v>
      </c>
      <c r="S1021" t="s">
        <v>10310</v>
      </c>
      <c r="W1021" s="2" t="s">
        <v>11198</v>
      </c>
    </row>
    <row r="1022" spans="1:23" hidden="1" x14ac:dyDescent="0.45">
      <c r="A1022" s="1" t="s">
        <v>1031</v>
      </c>
      <c r="E1022" t="s">
        <v>8903</v>
      </c>
      <c r="F1022" t="s">
        <v>10294</v>
      </c>
      <c r="G1022">
        <v>0</v>
      </c>
      <c r="H1022" t="s">
        <v>10310</v>
      </c>
      <c r="I1022" t="s">
        <v>10324</v>
      </c>
      <c r="L1022">
        <v>1987</v>
      </c>
      <c r="N1022">
        <v>46.082369056899999</v>
      </c>
      <c r="P1022">
        <v>7.9565054316699992</v>
      </c>
      <c r="Q1022" t="s">
        <v>10566</v>
      </c>
      <c r="R1022" t="s">
        <v>11038</v>
      </c>
      <c r="S1022" t="s">
        <v>10310</v>
      </c>
      <c r="W1022" s="2" t="s">
        <v>11198</v>
      </c>
    </row>
    <row r="1023" spans="1:23" hidden="1" x14ac:dyDescent="0.45">
      <c r="A1023" s="1" t="s">
        <v>1032</v>
      </c>
      <c r="E1023" t="s">
        <v>8904</v>
      </c>
      <c r="F1023" t="s">
        <v>10294</v>
      </c>
      <c r="G1023">
        <v>1.55</v>
      </c>
      <c r="H1023" t="s">
        <v>10310</v>
      </c>
      <c r="I1023" t="s">
        <v>10325</v>
      </c>
      <c r="L1023">
        <v>1960</v>
      </c>
      <c r="N1023">
        <v>46.116281143800002</v>
      </c>
      <c r="P1023">
        <v>7.936906672160001</v>
      </c>
      <c r="Q1023" t="s">
        <v>10566</v>
      </c>
      <c r="R1023" t="s">
        <v>11038</v>
      </c>
      <c r="S1023" t="s">
        <v>10310</v>
      </c>
      <c r="V1023" t="s">
        <v>11138</v>
      </c>
      <c r="W1023" s="2" t="s">
        <v>11198</v>
      </c>
    </row>
    <row r="1024" spans="1:23" hidden="1" x14ac:dyDescent="0.45">
      <c r="A1024" s="1" t="s">
        <v>1033</v>
      </c>
      <c r="E1024" t="s">
        <v>1033</v>
      </c>
      <c r="F1024" t="s">
        <v>10294</v>
      </c>
      <c r="G1024">
        <v>185</v>
      </c>
      <c r="H1024" t="s">
        <v>10310</v>
      </c>
      <c r="I1024" t="s">
        <v>10326</v>
      </c>
      <c r="L1024">
        <v>1965</v>
      </c>
      <c r="N1024">
        <v>46.230220334199998</v>
      </c>
      <c r="P1024">
        <v>7.85719305844</v>
      </c>
      <c r="Q1024" t="s">
        <v>10566</v>
      </c>
      <c r="R1024" t="s">
        <v>11038</v>
      </c>
      <c r="S1024" t="s">
        <v>10310</v>
      </c>
      <c r="W1024" s="2" t="s">
        <v>11198</v>
      </c>
    </row>
    <row r="1025" spans="1:23" hidden="1" x14ac:dyDescent="0.45">
      <c r="A1025" s="1" t="s">
        <v>1034</v>
      </c>
      <c r="E1025" t="s">
        <v>8905</v>
      </c>
      <c r="F1025" t="s">
        <v>10294</v>
      </c>
      <c r="G1025">
        <v>0.43</v>
      </c>
      <c r="H1025" t="s">
        <v>10310</v>
      </c>
      <c r="I1025" t="s">
        <v>10325</v>
      </c>
      <c r="L1025">
        <v>2015</v>
      </c>
      <c r="N1025">
        <v>46.010090218400002</v>
      </c>
      <c r="P1025">
        <v>7.7788247031100024</v>
      </c>
      <c r="R1025" t="s">
        <v>11038</v>
      </c>
      <c r="S1025" t="s">
        <v>10310</v>
      </c>
      <c r="W1025" s="2" t="s">
        <v>11198</v>
      </c>
    </row>
    <row r="1026" spans="1:23" hidden="1" x14ac:dyDescent="0.45">
      <c r="A1026" s="1" t="s">
        <v>1035</v>
      </c>
      <c r="E1026" t="s">
        <v>8906</v>
      </c>
      <c r="F1026" t="s">
        <v>10294</v>
      </c>
      <c r="G1026">
        <v>11.3</v>
      </c>
      <c r="H1026" t="s">
        <v>10310</v>
      </c>
      <c r="I1026" t="s">
        <v>10325</v>
      </c>
      <c r="L1026">
        <v>2002</v>
      </c>
      <c r="N1026">
        <v>46.011463820800003</v>
      </c>
      <c r="P1026">
        <v>7.7385531630499997</v>
      </c>
      <c r="R1026" t="s">
        <v>11038</v>
      </c>
      <c r="S1026" t="s">
        <v>10310</v>
      </c>
      <c r="W1026" s="2" t="s">
        <v>11198</v>
      </c>
    </row>
    <row r="1027" spans="1:23" hidden="1" x14ac:dyDescent="0.45">
      <c r="A1027" s="1" t="s">
        <v>1036</v>
      </c>
      <c r="E1027" t="s">
        <v>8906</v>
      </c>
      <c r="F1027" t="s">
        <v>10294</v>
      </c>
      <c r="G1027">
        <v>3.4</v>
      </c>
      <c r="H1027" t="s">
        <v>10310</v>
      </c>
      <c r="I1027" t="s">
        <v>10325</v>
      </c>
      <c r="L1027">
        <v>1990</v>
      </c>
      <c r="N1027">
        <v>46.0243792554</v>
      </c>
      <c r="P1027">
        <v>7.7525702653800002</v>
      </c>
      <c r="R1027" t="s">
        <v>11038</v>
      </c>
      <c r="S1027" t="s">
        <v>10310</v>
      </c>
      <c r="W1027" s="2" t="s">
        <v>11198</v>
      </c>
    </row>
    <row r="1028" spans="1:23" hidden="1" x14ac:dyDescent="0.45">
      <c r="A1028" s="1" t="s">
        <v>1037</v>
      </c>
      <c r="E1028" t="s">
        <v>8907</v>
      </c>
      <c r="F1028" t="s">
        <v>10294</v>
      </c>
      <c r="G1028">
        <v>1.65</v>
      </c>
      <c r="H1028" t="s">
        <v>10310</v>
      </c>
      <c r="I1028" t="s">
        <v>10325</v>
      </c>
      <c r="L1028">
        <v>1992</v>
      </c>
      <c r="N1028">
        <v>46.067205080500003</v>
      </c>
      <c r="P1028">
        <v>7.7811183273600006</v>
      </c>
      <c r="R1028" t="s">
        <v>11038</v>
      </c>
      <c r="S1028" t="s">
        <v>10310</v>
      </c>
      <c r="W1028" s="2" t="s">
        <v>11198</v>
      </c>
    </row>
    <row r="1029" spans="1:23" hidden="1" x14ac:dyDescent="0.45">
      <c r="A1029" s="1" t="s">
        <v>1038</v>
      </c>
      <c r="E1029" t="s">
        <v>8908</v>
      </c>
      <c r="F1029" t="s">
        <v>10294</v>
      </c>
      <c r="G1029">
        <v>4.7</v>
      </c>
      <c r="H1029" t="s">
        <v>10310</v>
      </c>
      <c r="I1029" t="s">
        <v>10325</v>
      </c>
      <c r="L1029">
        <v>2015</v>
      </c>
      <c r="N1029">
        <v>46.187585755500002</v>
      </c>
      <c r="P1029">
        <v>7.80376246261</v>
      </c>
      <c r="R1029" t="s">
        <v>11038</v>
      </c>
      <c r="S1029" t="s">
        <v>10310</v>
      </c>
      <c r="W1029" s="2" t="s">
        <v>11198</v>
      </c>
    </row>
    <row r="1030" spans="1:23" hidden="1" x14ac:dyDescent="0.45">
      <c r="A1030" s="1" t="s">
        <v>1039</v>
      </c>
      <c r="E1030" t="s">
        <v>8909</v>
      </c>
      <c r="F1030" t="s">
        <v>10294</v>
      </c>
      <c r="G1030">
        <v>1</v>
      </c>
      <c r="H1030" t="s">
        <v>10310</v>
      </c>
      <c r="I1030" t="s">
        <v>10325</v>
      </c>
      <c r="L1030">
        <v>2014</v>
      </c>
      <c r="N1030">
        <v>46.1797220622</v>
      </c>
      <c r="P1030">
        <v>7.9110674339799996</v>
      </c>
      <c r="R1030" t="s">
        <v>11038</v>
      </c>
      <c r="S1030" t="s">
        <v>10310</v>
      </c>
      <c r="W1030" s="2" t="s">
        <v>11198</v>
      </c>
    </row>
    <row r="1031" spans="1:23" hidden="1" x14ac:dyDescent="0.45">
      <c r="A1031" s="1" t="s">
        <v>1040</v>
      </c>
      <c r="E1031" t="s">
        <v>8910</v>
      </c>
      <c r="F1031" t="s">
        <v>10294</v>
      </c>
      <c r="G1031">
        <v>0.49</v>
      </c>
      <c r="H1031" t="s">
        <v>10310</v>
      </c>
      <c r="I1031" t="s">
        <v>10325</v>
      </c>
      <c r="L1031">
        <v>2010</v>
      </c>
      <c r="N1031">
        <v>46.2347493762</v>
      </c>
      <c r="P1031">
        <v>7.8486720198100004</v>
      </c>
      <c r="R1031" t="s">
        <v>11038</v>
      </c>
      <c r="S1031" t="s">
        <v>10310</v>
      </c>
      <c r="V1031" t="s">
        <v>11060</v>
      </c>
      <c r="W1031" s="2" t="s">
        <v>11198</v>
      </c>
    </row>
    <row r="1032" spans="1:23" hidden="1" x14ac:dyDescent="0.45">
      <c r="A1032" s="1" t="s">
        <v>1041</v>
      </c>
      <c r="E1032" t="s">
        <v>8911</v>
      </c>
      <c r="F1032" t="s">
        <v>10294</v>
      </c>
      <c r="G1032">
        <v>29.2</v>
      </c>
      <c r="H1032" t="s">
        <v>10310</v>
      </c>
      <c r="I1032" t="s">
        <v>10325</v>
      </c>
      <c r="L1032">
        <v>1999</v>
      </c>
      <c r="N1032">
        <v>46.239778933999993</v>
      </c>
      <c r="P1032">
        <v>7.8748982348499998</v>
      </c>
      <c r="R1032" t="s">
        <v>11038</v>
      </c>
      <c r="S1032" t="s">
        <v>10310</v>
      </c>
      <c r="W1032" s="2" t="s">
        <v>11198</v>
      </c>
    </row>
    <row r="1033" spans="1:23" hidden="1" x14ac:dyDescent="0.45">
      <c r="A1033" s="1" t="s">
        <v>1042</v>
      </c>
      <c r="E1033" t="s">
        <v>8911</v>
      </c>
      <c r="F1033" t="s">
        <v>10294</v>
      </c>
      <c r="G1033">
        <v>64.400000000000006</v>
      </c>
      <c r="H1033" t="s">
        <v>10310</v>
      </c>
      <c r="I1033" t="s">
        <v>10325</v>
      </c>
      <c r="L1033">
        <v>1959</v>
      </c>
      <c r="N1033">
        <v>46.240231203</v>
      </c>
      <c r="P1033">
        <v>7.8742536208400002</v>
      </c>
      <c r="R1033" t="s">
        <v>11038</v>
      </c>
      <c r="S1033" t="s">
        <v>10310</v>
      </c>
      <c r="W1033" s="2" t="s">
        <v>11198</v>
      </c>
    </row>
    <row r="1034" spans="1:23" hidden="1" x14ac:dyDescent="0.45">
      <c r="A1034" s="1" t="s">
        <v>1043</v>
      </c>
      <c r="E1034" t="s">
        <v>8912</v>
      </c>
      <c r="F1034" t="s">
        <v>10294</v>
      </c>
      <c r="G1034">
        <v>3</v>
      </c>
      <c r="H1034" t="s">
        <v>10310</v>
      </c>
      <c r="I1034" t="s">
        <v>10325</v>
      </c>
      <c r="L1034">
        <v>2018</v>
      </c>
      <c r="R1034" t="s">
        <v>11038</v>
      </c>
      <c r="S1034" t="s">
        <v>10310</v>
      </c>
      <c r="W1034" s="2" t="s">
        <v>11198</v>
      </c>
    </row>
    <row r="1035" spans="1:23" hidden="1" x14ac:dyDescent="0.45">
      <c r="A1035" s="1" t="s">
        <v>1043</v>
      </c>
      <c r="E1035" t="s">
        <v>8913</v>
      </c>
      <c r="F1035" t="s">
        <v>10294</v>
      </c>
      <c r="G1035">
        <v>2.3199999999999998</v>
      </c>
      <c r="H1035" t="s">
        <v>10310</v>
      </c>
      <c r="I1035" t="s">
        <v>10325</v>
      </c>
      <c r="L1035">
        <v>2018</v>
      </c>
      <c r="R1035" t="s">
        <v>11038</v>
      </c>
      <c r="S1035" t="s">
        <v>10310</v>
      </c>
      <c r="W1035" s="2" t="s">
        <v>11198</v>
      </c>
    </row>
    <row r="1036" spans="1:23" hidden="1" x14ac:dyDescent="0.45">
      <c r="A1036" s="1" t="s">
        <v>1044</v>
      </c>
      <c r="E1036" t="s">
        <v>1044</v>
      </c>
      <c r="F1036" t="s">
        <v>10294</v>
      </c>
      <c r="G1036">
        <v>0.33</v>
      </c>
      <c r="H1036" t="s">
        <v>10310</v>
      </c>
      <c r="I1036" t="s">
        <v>10325</v>
      </c>
      <c r="L1036">
        <v>1994</v>
      </c>
      <c r="N1036">
        <v>46.307529302299997</v>
      </c>
      <c r="P1036">
        <v>7.8716766852899989</v>
      </c>
      <c r="R1036" t="s">
        <v>11038</v>
      </c>
      <c r="S1036" t="s">
        <v>10310</v>
      </c>
      <c r="V1036" t="s">
        <v>11060</v>
      </c>
      <c r="W1036" s="2" t="s">
        <v>11198</v>
      </c>
    </row>
    <row r="1037" spans="1:23" hidden="1" x14ac:dyDescent="0.45">
      <c r="A1037" s="1" t="s">
        <v>1045</v>
      </c>
      <c r="E1037" t="s">
        <v>8914</v>
      </c>
      <c r="F1037" t="s">
        <v>10294</v>
      </c>
      <c r="G1037">
        <v>0.5</v>
      </c>
      <c r="H1037" t="s">
        <v>10310</v>
      </c>
      <c r="I1037" t="s">
        <v>10325</v>
      </c>
      <c r="L1037">
        <v>2000</v>
      </c>
      <c r="N1037">
        <v>46.312405534799993</v>
      </c>
      <c r="P1037">
        <v>7.8161530860399999</v>
      </c>
      <c r="R1037" t="s">
        <v>11038</v>
      </c>
      <c r="S1037" t="s">
        <v>10310</v>
      </c>
      <c r="V1037" t="s">
        <v>11060</v>
      </c>
      <c r="W1037" s="2" t="s">
        <v>11198</v>
      </c>
    </row>
    <row r="1038" spans="1:23" hidden="1" x14ac:dyDescent="0.45">
      <c r="A1038" s="1" t="s">
        <v>1046</v>
      </c>
      <c r="E1038" t="s">
        <v>1048</v>
      </c>
      <c r="F1038" t="s">
        <v>10294</v>
      </c>
      <c r="G1038">
        <v>1.3</v>
      </c>
      <c r="H1038" t="s">
        <v>10310</v>
      </c>
      <c r="I1038" t="s">
        <v>10325</v>
      </c>
      <c r="L1038">
        <v>2010</v>
      </c>
      <c r="N1038">
        <v>46.2659175633</v>
      </c>
      <c r="P1038">
        <v>7.781588383069999</v>
      </c>
      <c r="R1038" t="s">
        <v>11038</v>
      </c>
      <c r="S1038" t="s">
        <v>10310</v>
      </c>
      <c r="W1038" s="2" t="s">
        <v>11198</v>
      </c>
    </row>
    <row r="1039" spans="1:23" hidden="1" x14ac:dyDescent="0.45">
      <c r="A1039" s="1" t="s">
        <v>1047</v>
      </c>
      <c r="E1039" t="s">
        <v>8915</v>
      </c>
      <c r="F1039" t="s">
        <v>10294</v>
      </c>
      <c r="G1039">
        <v>0.98</v>
      </c>
      <c r="H1039" t="s">
        <v>10310</v>
      </c>
      <c r="I1039" t="s">
        <v>10325</v>
      </c>
      <c r="L1039">
        <v>2014</v>
      </c>
      <c r="N1039">
        <v>46.292642498299998</v>
      </c>
      <c r="P1039">
        <v>7.7790313852499997</v>
      </c>
      <c r="R1039" t="s">
        <v>11038</v>
      </c>
      <c r="S1039" t="s">
        <v>10310</v>
      </c>
      <c r="W1039" s="2" t="s">
        <v>11198</v>
      </c>
    </row>
    <row r="1040" spans="1:23" hidden="1" x14ac:dyDescent="0.45">
      <c r="A1040" s="1" t="s">
        <v>1048</v>
      </c>
      <c r="E1040" t="s">
        <v>1048</v>
      </c>
      <c r="F1040" t="s">
        <v>10294</v>
      </c>
      <c r="G1040">
        <v>0.85</v>
      </c>
      <c r="H1040" t="s">
        <v>10310</v>
      </c>
      <c r="I1040" t="s">
        <v>10325</v>
      </c>
      <c r="L1040">
        <v>1995</v>
      </c>
      <c r="N1040">
        <v>46.285749089299998</v>
      </c>
      <c r="P1040">
        <v>7.7974134761899991</v>
      </c>
      <c r="R1040" t="s">
        <v>11038</v>
      </c>
      <c r="S1040" t="s">
        <v>10310</v>
      </c>
      <c r="W1040" s="2" t="s">
        <v>11198</v>
      </c>
    </row>
    <row r="1041" spans="1:23" hidden="1" x14ac:dyDescent="0.45">
      <c r="A1041" s="1" t="s">
        <v>1049</v>
      </c>
      <c r="E1041" t="s">
        <v>8916</v>
      </c>
      <c r="F1041" t="s">
        <v>10294</v>
      </c>
      <c r="G1041">
        <v>1.06</v>
      </c>
      <c r="H1041" t="s">
        <v>10310</v>
      </c>
      <c r="I1041" t="s">
        <v>10325</v>
      </c>
      <c r="L1041">
        <v>2007</v>
      </c>
      <c r="N1041">
        <v>46.301232833699999</v>
      </c>
      <c r="P1041">
        <v>7.7938812829499993</v>
      </c>
      <c r="R1041" t="s">
        <v>11038</v>
      </c>
      <c r="S1041" t="s">
        <v>10310</v>
      </c>
      <c r="W1041" s="2" t="s">
        <v>11198</v>
      </c>
    </row>
    <row r="1042" spans="1:23" hidden="1" x14ac:dyDescent="0.45">
      <c r="A1042" s="1" t="s">
        <v>1050</v>
      </c>
      <c r="E1042" t="s">
        <v>8917</v>
      </c>
      <c r="F1042" t="s">
        <v>10294</v>
      </c>
      <c r="G1042">
        <v>0.55000000000000004</v>
      </c>
      <c r="H1042" t="s">
        <v>10310</v>
      </c>
      <c r="I1042" t="s">
        <v>10325</v>
      </c>
      <c r="L1042">
        <v>2011</v>
      </c>
      <c r="N1042">
        <v>46.301781876600003</v>
      </c>
      <c r="P1042">
        <v>7.79089962744</v>
      </c>
      <c r="R1042" t="s">
        <v>11038</v>
      </c>
      <c r="S1042" t="s">
        <v>10310</v>
      </c>
      <c r="W1042" s="2" t="s">
        <v>11198</v>
      </c>
    </row>
    <row r="1043" spans="1:23" hidden="1" x14ac:dyDescent="0.45">
      <c r="A1043" s="1" t="s">
        <v>1051</v>
      </c>
      <c r="E1043" t="s">
        <v>1051</v>
      </c>
      <c r="F1043" t="s">
        <v>10294</v>
      </c>
      <c r="G1043">
        <v>0.33</v>
      </c>
      <c r="H1043" t="s">
        <v>10310</v>
      </c>
      <c r="I1043" t="s">
        <v>10325</v>
      </c>
      <c r="L1043">
        <v>2008</v>
      </c>
      <c r="N1043">
        <v>46.314210526499998</v>
      </c>
      <c r="P1043">
        <v>7.7861765739600006</v>
      </c>
      <c r="R1043" t="s">
        <v>11038</v>
      </c>
      <c r="S1043" t="s">
        <v>10310</v>
      </c>
      <c r="V1043" t="s">
        <v>11060</v>
      </c>
      <c r="W1043" s="2" t="s">
        <v>11198</v>
      </c>
    </row>
    <row r="1044" spans="1:23" hidden="1" x14ac:dyDescent="0.45">
      <c r="A1044" s="1" t="s">
        <v>1051</v>
      </c>
      <c r="E1044" t="s">
        <v>1051</v>
      </c>
      <c r="F1044" t="s">
        <v>10294</v>
      </c>
      <c r="G1044">
        <v>0.57999999999999996</v>
      </c>
      <c r="H1044" t="s">
        <v>10310</v>
      </c>
      <c r="I1044" t="s">
        <v>10325</v>
      </c>
      <c r="L1044">
        <v>2008</v>
      </c>
      <c r="N1044">
        <v>46.314210526499998</v>
      </c>
      <c r="P1044">
        <v>7.7861765739600006</v>
      </c>
      <c r="R1044" t="s">
        <v>11038</v>
      </c>
      <c r="S1044" t="s">
        <v>10310</v>
      </c>
      <c r="V1044" t="s">
        <v>11074</v>
      </c>
      <c r="W1044" s="2" t="s">
        <v>11198</v>
      </c>
    </row>
    <row r="1045" spans="1:23" hidden="1" x14ac:dyDescent="0.45">
      <c r="A1045" s="1" t="s">
        <v>1052</v>
      </c>
      <c r="E1045" t="s">
        <v>1053</v>
      </c>
      <c r="F1045" t="s">
        <v>10294</v>
      </c>
      <c r="G1045">
        <v>1.25</v>
      </c>
      <c r="H1045" t="s">
        <v>10310</v>
      </c>
      <c r="I1045" t="s">
        <v>10325</v>
      </c>
      <c r="L1045">
        <v>2012</v>
      </c>
      <c r="N1045">
        <v>46.429697753600003</v>
      </c>
      <c r="P1045">
        <v>7.84571987097</v>
      </c>
      <c r="R1045" t="s">
        <v>11038</v>
      </c>
      <c r="S1045" t="s">
        <v>10310</v>
      </c>
      <c r="W1045" s="2" t="s">
        <v>11198</v>
      </c>
    </row>
    <row r="1046" spans="1:23" hidden="1" x14ac:dyDescent="0.45">
      <c r="A1046" s="1" t="s">
        <v>1053</v>
      </c>
      <c r="E1046" t="s">
        <v>1053</v>
      </c>
      <c r="F1046" t="s">
        <v>10294</v>
      </c>
      <c r="G1046">
        <v>0.45</v>
      </c>
      <c r="H1046" t="s">
        <v>10310</v>
      </c>
      <c r="I1046" t="s">
        <v>10325</v>
      </c>
      <c r="L1046">
        <v>1994</v>
      </c>
      <c r="N1046">
        <v>46.422943063599988</v>
      </c>
      <c r="P1046">
        <v>7.8221242024100004</v>
      </c>
      <c r="R1046" t="s">
        <v>11038</v>
      </c>
      <c r="S1046" t="s">
        <v>10310</v>
      </c>
      <c r="V1046" t="s">
        <v>11060</v>
      </c>
      <c r="W1046" s="2" t="s">
        <v>11198</v>
      </c>
    </row>
    <row r="1047" spans="1:23" hidden="1" x14ac:dyDescent="0.45">
      <c r="A1047" s="1" t="s">
        <v>1054</v>
      </c>
      <c r="E1047" t="s">
        <v>8918</v>
      </c>
      <c r="F1047" t="s">
        <v>10294</v>
      </c>
      <c r="G1047">
        <v>1.4</v>
      </c>
      <c r="H1047" t="s">
        <v>10310</v>
      </c>
      <c r="I1047" t="s">
        <v>10325</v>
      </c>
      <c r="L1047">
        <v>2010</v>
      </c>
      <c r="N1047">
        <v>46.406946125399998</v>
      </c>
      <c r="P1047">
        <v>7.789500198889999</v>
      </c>
      <c r="R1047" t="s">
        <v>11038</v>
      </c>
      <c r="S1047" t="s">
        <v>10310</v>
      </c>
      <c r="W1047" s="2" t="s">
        <v>11198</v>
      </c>
    </row>
    <row r="1048" spans="1:23" hidden="1" x14ac:dyDescent="0.45">
      <c r="A1048" s="1" t="s">
        <v>1055</v>
      </c>
      <c r="E1048" t="s">
        <v>8919</v>
      </c>
      <c r="F1048" t="s">
        <v>10294</v>
      </c>
      <c r="G1048">
        <v>0.99</v>
      </c>
      <c r="H1048" t="s">
        <v>10310</v>
      </c>
      <c r="I1048" t="s">
        <v>10325</v>
      </c>
      <c r="L1048">
        <v>2013</v>
      </c>
      <c r="N1048">
        <v>46.391209302599997</v>
      </c>
      <c r="P1048">
        <v>7.7570270248899993</v>
      </c>
      <c r="R1048" t="s">
        <v>11038</v>
      </c>
      <c r="S1048" t="s">
        <v>10310</v>
      </c>
      <c r="W1048" s="2" t="s">
        <v>11198</v>
      </c>
    </row>
    <row r="1049" spans="1:23" hidden="1" x14ac:dyDescent="0.45">
      <c r="A1049" s="1" t="s">
        <v>1056</v>
      </c>
      <c r="E1049" t="s">
        <v>8920</v>
      </c>
      <c r="F1049" t="s">
        <v>10294</v>
      </c>
      <c r="G1049">
        <v>122</v>
      </c>
      <c r="H1049" t="s">
        <v>10310</v>
      </c>
      <c r="I1049" t="s">
        <v>10325</v>
      </c>
      <c r="L1049">
        <v>2008</v>
      </c>
      <c r="N1049">
        <v>46.319728546500002</v>
      </c>
      <c r="P1049">
        <v>7.744274904330001</v>
      </c>
      <c r="R1049" t="s">
        <v>11038</v>
      </c>
      <c r="S1049" t="s">
        <v>10310</v>
      </c>
      <c r="V1049" t="s">
        <v>11139</v>
      </c>
      <c r="W1049" s="2" t="s">
        <v>11198</v>
      </c>
    </row>
    <row r="1050" spans="1:23" hidden="1" x14ac:dyDescent="0.45">
      <c r="A1050" s="1" t="s">
        <v>1057</v>
      </c>
      <c r="E1050" t="s">
        <v>8921</v>
      </c>
      <c r="F1050" t="s">
        <v>10294</v>
      </c>
      <c r="G1050">
        <v>0.75</v>
      </c>
      <c r="H1050" t="s">
        <v>10310</v>
      </c>
      <c r="I1050" t="s">
        <v>10325</v>
      </c>
      <c r="L1050">
        <v>2009</v>
      </c>
      <c r="N1050">
        <v>46.248031690799998</v>
      </c>
      <c r="P1050">
        <v>7.7093825812499999</v>
      </c>
      <c r="R1050" t="s">
        <v>11038</v>
      </c>
      <c r="S1050" t="s">
        <v>10310</v>
      </c>
      <c r="W1050" s="2" t="s">
        <v>11198</v>
      </c>
    </row>
    <row r="1051" spans="1:23" hidden="1" x14ac:dyDescent="0.45">
      <c r="A1051" s="1" t="s">
        <v>1058</v>
      </c>
      <c r="E1051" t="s">
        <v>8921</v>
      </c>
      <c r="F1051" t="s">
        <v>10294</v>
      </c>
      <c r="G1051">
        <v>8.1999999999999993</v>
      </c>
      <c r="H1051" t="s">
        <v>10310</v>
      </c>
      <c r="I1051" t="s">
        <v>10324</v>
      </c>
      <c r="L1051">
        <v>1942</v>
      </c>
      <c r="N1051">
        <v>46.283251981400007</v>
      </c>
      <c r="P1051">
        <v>7.6887977330600012</v>
      </c>
      <c r="R1051" t="s">
        <v>11038</v>
      </c>
      <c r="S1051" t="s">
        <v>10310</v>
      </c>
      <c r="V1051" t="s">
        <v>11140</v>
      </c>
      <c r="W1051" s="2" t="s">
        <v>11198</v>
      </c>
    </row>
    <row r="1052" spans="1:23" hidden="1" x14ac:dyDescent="0.45">
      <c r="A1052" s="1" t="s">
        <v>1058</v>
      </c>
      <c r="E1052" t="s">
        <v>8922</v>
      </c>
      <c r="F1052" t="s">
        <v>10294</v>
      </c>
      <c r="G1052">
        <v>0</v>
      </c>
      <c r="H1052" t="s">
        <v>10310</v>
      </c>
      <c r="I1052" t="s">
        <v>10324</v>
      </c>
      <c r="L1052">
        <v>1955</v>
      </c>
      <c r="N1052">
        <v>46.283251981400007</v>
      </c>
      <c r="P1052">
        <v>7.6887977330600012</v>
      </c>
      <c r="R1052" t="s">
        <v>11038</v>
      </c>
      <c r="S1052" t="s">
        <v>10310</v>
      </c>
      <c r="V1052" t="s">
        <v>11060</v>
      </c>
      <c r="W1052" s="2" t="s">
        <v>11198</v>
      </c>
    </row>
    <row r="1053" spans="1:23" hidden="1" x14ac:dyDescent="0.45">
      <c r="A1053" s="1" t="s">
        <v>1059</v>
      </c>
      <c r="E1053" t="s">
        <v>8923</v>
      </c>
      <c r="F1053" t="s">
        <v>10294</v>
      </c>
      <c r="G1053">
        <v>23.9</v>
      </c>
      <c r="H1053" t="s">
        <v>10310</v>
      </c>
      <c r="I1053" t="s">
        <v>10326</v>
      </c>
      <c r="L1053">
        <v>1954</v>
      </c>
      <c r="N1053">
        <v>46.295402259799992</v>
      </c>
      <c r="P1053">
        <v>7.6859983640499996</v>
      </c>
      <c r="R1053" t="s">
        <v>11038</v>
      </c>
      <c r="S1053" t="s">
        <v>10310</v>
      </c>
      <c r="V1053" t="s">
        <v>11060</v>
      </c>
      <c r="W1053" s="2" t="s">
        <v>11198</v>
      </c>
    </row>
    <row r="1054" spans="1:23" hidden="1" x14ac:dyDescent="0.45">
      <c r="A1054" s="1" t="s">
        <v>1060</v>
      </c>
      <c r="E1054" t="s">
        <v>8924</v>
      </c>
      <c r="F1054" t="s">
        <v>10294</v>
      </c>
      <c r="G1054">
        <v>13</v>
      </c>
      <c r="H1054" t="s">
        <v>10310</v>
      </c>
      <c r="I1054" t="s">
        <v>10325</v>
      </c>
      <c r="L1054">
        <v>2014</v>
      </c>
      <c r="N1054">
        <v>46.318729465099999</v>
      </c>
      <c r="P1054">
        <v>7.6237845826100008</v>
      </c>
      <c r="R1054" t="s">
        <v>11038</v>
      </c>
      <c r="S1054" t="s">
        <v>10310</v>
      </c>
      <c r="W1054" s="2" t="s">
        <v>11198</v>
      </c>
    </row>
    <row r="1055" spans="1:23" hidden="1" x14ac:dyDescent="0.45">
      <c r="A1055" s="1" t="s">
        <v>1061</v>
      </c>
      <c r="E1055" t="s">
        <v>8925</v>
      </c>
      <c r="F1055" t="s">
        <v>10294</v>
      </c>
      <c r="G1055">
        <v>47.84</v>
      </c>
      <c r="H1055" t="s">
        <v>10310</v>
      </c>
      <c r="I1055" t="s">
        <v>10325</v>
      </c>
      <c r="L1055">
        <v>1998</v>
      </c>
      <c r="N1055">
        <v>46.281945871200001</v>
      </c>
      <c r="P1055">
        <v>7.5474999663399993</v>
      </c>
      <c r="R1055" t="s">
        <v>11038</v>
      </c>
      <c r="S1055" t="s">
        <v>10310</v>
      </c>
      <c r="W1055" s="2" t="s">
        <v>11198</v>
      </c>
    </row>
    <row r="1056" spans="1:23" hidden="1" x14ac:dyDescent="0.45">
      <c r="A1056" s="1" t="s">
        <v>1062</v>
      </c>
      <c r="E1056" t="s">
        <v>8926</v>
      </c>
      <c r="F1056" t="s">
        <v>10294</v>
      </c>
      <c r="G1056">
        <v>1.05</v>
      </c>
      <c r="H1056" t="s">
        <v>10310</v>
      </c>
      <c r="I1056" t="s">
        <v>10325</v>
      </c>
      <c r="L1056">
        <v>1961</v>
      </c>
      <c r="N1056">
        <v>46.155199456400013</v>
      </c>
      <c r="P1056">
        <v>7.545825014430001</v>
      </c>
      <c r="R1056" t="s">
        <v>11038</v>
      </c>
      <c r="S1056" t="s">
        <v>10310</v>
      </c>
      <c r="W1056" s="2" t="s">
        <v>11198</v>
      </c>
    </row>
    <row r="1057" spans="1:23" hidden="1" x14ac:dyDescent="0.45">
      <c r="A1057" s="1" t="s">
        <v>1063</v>
      </c>
      <c r="E1057" t="s">
        <v>8927</v>
      </c>
      <c r="F1057" t="s">
        <v>10294</v>
      </c>
      <c r="G1057">
        <v>71</v>
      </c>
      <c r="H1057" t="s">
        <v>10310</v>
      </c>
      <c r="I1057" t="s">
        <v>10324</v>
      </c>
      <c r="L1057">
        <v>1958</v>
      </c>
      <c r="N1057">
        <v>46.153036237999999</v>
      </c>
      <c r="P1057">
        <v>7.6199884279699992</v>
      </c>
      <c r="R1057" t="s">
        <v>11038</v>
      </c>
      <c r="S1057" t="s">
        <v>10310</v>
      </c>
      <c r="V1057" t="s">
        <v>11141</v>
      </c>
      <c r="W1057" s="2" t="s">
        <v>11198</v>
      </c>
    </row>
    <row r="1058" spans="1:23" hidden="1" x14ac:dyDescent="0.45">
      <c r="A1058" s="1" t="s">
        <v>1064</v>
      </c>
      <c r="E1058" t="s">
        <v>8928</v>
      </c>
      <c r="F1058" t="s">
        <v>10294</v>
      </c>
      <c r="G1058">
        <v>50</v>
      </c>
      <c r="H1058" t="s">
        <v>10310</v>
      </c>
      <c r="I1058" t="s">
        <v>10326</v>
      </c>
      <c r="L1058">
        <v>1958</v>
      </c>
      <c r="N1058">
        <v>46.209937654599997</v>
      </c>
      <c r="P1058">
        <v>7.5859698336700001</v>
      </c>
      <c r="R1058" t="s">
        <v>11038</v>
      </c>
      <c r="S1058" t="s">
        <v>10310</v>
      </c>
      <c r="V1058" t="s">
        <v>11142</v>
      </c>
      <c r="W1058" s="2" t="s">
        <v>11198</v>
      </c>
    </row>
    <row r="1059" spans="1:23" hidden="1" x14ac:dyDescent="0.45">
      <c r="A1059" s="1" t="s">
        <v>1065</v>
      </c>
      <c r="E1059" t="s">
        <v>8928</v>
      </c>
      <c r="F1059" t="s">
        <v>10294</v>
      </c>
      <c r="G1059">
        <v>0.68</v>
      </c>
      <c r="H1059" t="s">
        <v>10310</v>
      </c>
      <c r="I1059" t="s">
        <v>10325</v>
      </c>
      <c r="L1059">
        <v>1958</v>
      </c>
      <c r="N1059">
        <v>46.209937654599997</v>
      </c>
      <c r="P1059">
        <v>7.5859698336700001</v>
      </c>
      <c r="R1059" t="s">
        <v>11038</v>
      </c>
      <c r="S1059" t="s">
        <v>10310</v>
      </c>
      <c r="V1059" t="s">
        <v>11143</v>
      </c>
      <c r="W1059" s="2" t="s">
        <v>11198</v>
      </c>
    </row>
    <row r="1060" spans="1:23" hidden="1" x14ac:dyDescent="0.45">
      <c r="A1060" s="1" t="s">
        <v>1066</v>
      </c>
      <c r="E1060" t="s">
        <v>8925</v>
      </c>
      <c r="F1060" t="s">
        <v>10294</v>
      </c>
      <c r="G1060">
        <v>52</v>
      </c>
      <c r="H1060" t="s">
        <v>10310</v>
      </c>
      <c r="I1060" t="s">
        <v>10326</v>
      </c>
      <c r="L1060">
        <v>2014</v>
      </c>
      <c r="N1060">
        <v>46.281317287299998</v>
      </c>
      <c r="P1060">
        <v>7.5463310332399987</v>
      </c>
      <c r="R1060" t="s">
        <v>11038</v>
      </c>
      <c r="S1060" t="s">
        <v>10310</v>
      </c>
      <c r="V1060" t="s">
        <v>11144</v>
      </c>
      <c r="W1060" s="2" t="s">
        <v>11198</v>
      </c>
    </row>
    <row r="1061" spans="1:23" hidden="1" x14ac:dyDescent="0.45">
      <c r="A1061" s="1" t="s">
        <v>1067</v>
      </c>
      <c r="E1061" t="s">
        <v>8929</v>
      </c>
      <c r="F1061" t="s">
        <v>10294</v>
      </c>
      <c r="G1061">
        <v>66</v>
      </c>
      <c r="H1061" t="s">
        <v>10310</v>
      </c>
      <c r="I1061" t="s">
        <v>10326</v>
      </c>
      <c r="L1061">
        <v>1999</v>
      </c>
      <c r="N1061">
        <v>46.308174493400003</v>
      </c>
      <c r="P1061">
        <v>7.4341008991199997</v>
      </c>
      <c r="R1061" t="s">
        <v>11038</v>
      </c>
      <c r="S1061" t="s">
        <v>10310</v>
      </c>
      <c r="W1061" s="2" t="s">
        <v>11198</v>
      </c>
    </row>
    <row r="1062" spans="1:23" hidden="1" x14ac:dyDescent="0.45">
      <c r="A1062" s="1" t="s">
        <v>1068</v>
      </c>
      <c r="E1062" t="s">
        <v>8930</v>
      </c>
      <c r="F1062" t="s">
        <v>10294</v>
      </c>
      <c r="G1062">
        <v>1.9</v>
      </c>
      <c r="H1062" t="s">
        <v>10310</v>
      </c>
      <c r="I1062" t="s">
        <v>10325</v>
      </c>
      <c r="L1062">
        <v>1957</v>
      </c>
      <c r="N1062">
        <v>46.314831115600008</v>
      </c>
      <c r="P1062">
        <v>7.4317634199700002</v>
      </c>
      <c r="R1062" t="s">
        <v>11038</v>
      </c>
      <c r="S1062" t="s">
        <v>10310</v>
      </c>
      <c r="W1062" s="2" t="s">
        <v>11198</v>
      </c>
    </row>
    <row r="1063" spans="1:23" hidden="1" x14ac:dyDescent="0.45">
      <c r="A1063" s="1" t="s">
        <v>1069</v>
      </c>
      <c r="E1063" t="s">
        <v>8931</v>
      </c>
      <c r="F1063" t="s">
        <v>10294</v>
      </c>
      <c r="G1063">
        <v>2</v>
      </c>
      <c r="H1063" t="s">
        <v>10310</v>
      </c>
      <c r="I1063" t="s">
        <v>10325</v>
      </c>
      <c r="L1063">
        <v>2012</v>
      </c>
      <c r="N1063">
        <v>46.305925715800001</v>
      </c>
      <c r="P1063">
        <v>7.4385143738600004</v>
      </c>
      <c r="R1063" t="s">
        <v>11038</v>
      </c>
      <c r="S1063" t="s">
        <v>10310</v>
      </c>
      <c r="W1063" s="2" t="s">
        <v>11198</v>
      </c>
    </row>
    <row r="1064" spans="1:23" hidden="1" x14ac:dyDescent="0.45">
      <c r="A1064" s="1" t="s">
        <v>1070</v>
      </c>
      <c r="E1064" t="s">
        <v>8932</v>
      </c>
      <c r="F1064" t="s">
        <v>10294</v>
      </c>
      <c r="G1064">
        <v>36</v>
      </c>
      <c r="H1064" t="s">
        <v>10310</v>
      </c>
      <c r="I1064" t="s">
        <v>10326</v>
      </c>
      <c r="L1064">
        <v>1998</v>
      </c>
      <c r="N1064">
        <v>46.260587704999999</v>
      </c>
      <c r="P1064">
        <v>7.4447405298100007</v>
      </c>
      <c r="R1064" t="s">
        <v>11038</v>
      </c>
      <c r="S1064" t="s">
        <v>10310</v>
      </c>
      <c r="W1064" s="2" t="s">
        <v>11198</v>
      </c>
    </row>
    <row r="1065" spans="1:23" hidden="1" x14ac:dyDescent="0.45">
      <c r="A1065" s="1" t="s">
        <v>1071</v>
      </c>
      <c r="E1065" t="s">
        <v>8933</v>
      </c>
      <c r="F1065" t="s">
        <v>10294</v>
      </c>
      <c r="G1065">
        <v>0.72</v>
      </c>
      <c r="H1065" t="s">
        <v>10310</v>
      </c>
      <c r="I1065" t="s">
        <v>10325</v>
      </c>
      <c r="L1065">
        <v>1990</v>
      </c>
      <c r="N1065">
        <v>46.2682325663</v>
      </c>
      <c r="P1065">
        <v>7.4210040645899999</v>
      </c>
      <c r="R1065" t="s">
        <v>11038</v>
      </c>
      <c r="S1065" t="s">
        <v>10310</v>
      </c>
      <c r="W1065" s="2" t="s">
        <v>11198</v>
      </c>
    </row>
    <row r="1066" spans="1:23" hidden="1" x14ac:dyDescent="0.45">
      <c r="A1066" s="1" t="s">
        <v>1072</v>
      </c>
      <c r="E1066" t="s">
        <v>8934</v>
      </c>
      <c r="F1066" t="s">
        <v>10294</v>
      </c>
      <c r="G1066">
        <v>5.0999999999999996</v>
      </c>
      <c r="H1066" t="s">
        <v>10310</v>
      </c>
      <c r="I1066" t="s">
        <v>10325</v>
      </c>
      <c r="L1066">
        <v>1977</v>
      </c>
      <c r="N1066">
        <v>46.169997388100008</v>
      </c>
      <c r="P1066">
        <v>7.406536074289999</v>
      </c>
      <c r="R1066" t="s">
        <v>11038</v>
      </c>
      <c r="S1066" t="s">
        <v>10310</v>
      </c>
      <c r="W1066" s="2" t="s">
        <v>11198</v>
      </c>
    </row>
    <row r="1067" spans="1:23" hidden="1" x14ac:dyDescent="0.45">
      <c r="A1067" s="1" t="s">
        <v>1073</v>
      </c>
      <c r="E1067" t="s">
        <v>8935</v>
      </c>
      <c r="F1067" t="s">
        <v>10294</v>
      </c>
      <c r="G1067">
        <v>0.6</v>
      </c>
      <c r="H1067" t="s">
        <v>10310</v>
      </c>
      <c r="I1067" t="s">
        <v>10325</v>
      </c>
      <c r="L1067">
        <v>2012</v>
      </c>
      <c r="N1067">
        <v>46.170717405300003</v>
      </c>
      <c r="P1067">
        <v>7.4078304296399997</v>
      </c>
      <c r="R1067" t="s">
        <v>11038</v>
      </c>
      <c r="S1067" t="s">
        <v>10310</v>
      </c>
      <c r="W1067" s="2" t="s">
        <v>11198</v>
      </c>
    </row>
    <row r="1068" spans="1:23" hidden="1" x14ac:dyDescent="0.45">
      <c r="A1068" s="1" t="s">
        <v>1074</v>
      </c>
      <c r="E1068" t="s">
        <v>8936</v>
      </c>
      <c r="F1068" t="s">
        <v>10294</v>
      </c>
      <c r="G1068">
        <v>25.2</v>
      </c>
      <c r="H1068" t="s">
        <v>10310</v>
      </c>
      <c r="I1068" t="s">
        <v>10325</v>
      </c>
      <c r="L1068">
        <v>1915</v>
      </c>
      <c r="R1068" t="s">
        <v>11038</v>
      </c>
      <c r="S1068" t="s">
        <v>10310</v>
      </c>
      <c r="W1068" s="2" t="s">
        <v>11198</v>
      </c>
    </row>
    <row r="1069" spans="1:23" hidden="1" x14ac:dyDescent="0.45">
      <c r="A1069" s="1" t="s">
        <v>1075</v>
      </c>
      <c r="E1069" t="s">
        <v>8936</v>
      </c>
      <c r="F1069" t="s">
        <v>10294</v>
      </c>
      <c r="G1069">
        <v>0.43</v>
      </c>
      <c r="H1069" t="s">
        <v>10310</v>
      </c>
      <c r="I1069" t="s">
        <v>10325</v>
      </c>
      <c r="L1069">
        <v>1953</v>
      </c>
      <c r="R1069" t="s">
        <v>11038</v>
      </c>
      <c r="S1069" t="s">
        <v>10310</v>
      </c>
      <c r="W1069" s="2" t="s">
        <v>11198</v>
      </c>
    </row>
    <row r="1070" spans="1:23" hidden="1" x14ac:dyDescent="0.45">
      <c r="A1070" s="1" t="s">
        <v>1076</v>
      </c>
      <c r="E1070" t="s">
        <v>8937</v>
      </c>
      <c r="F1070" t="s">
        <v>10294</v>
      </c>
      <c r="G1070">
        <v>0</v>
      </c>
      <c r="H1070" t="s">
        <v>10310</v>
      </c>
      <c r="I1070" t="s">
        <v>10326</v>
      </c>
      <c r="L1070">
        <v>1950</v>
      </c>
      <c r="N1070">
        <v>46.1127290441</v>
      </c>
      <c r="P1070">
        <v>7.3218520552999999</v>
      </c>
      <c r="R1070" t="s">
        <v>11038</v>
      </c>
      <c r="S1070" t="s">
        <v>10310</v>
      </c>
      <c r="W1070" s="2" t="s">
        <v>11198</v>
      </c>
    </row>
    <row r="1071" spans="1:23" hidden="1" x14ac:dyDescent="0.45">
      <c r="A1071" s="1" t="s">
        <v>1077</v>
      </c>
      <c r="E1071" t="s">
        <v>8938</v>
      </c>
      <c r="F1071" t="s">
        <v>10294</v>
      </c>
      <c r="G1071">
        <v>0.46</v>
      </c>
      <c r="H1071" t="s">
        <v>10310</v>
      </c>
      <c r="I1071" t="s">
        <v>10325</v>
      </c>
      <c r="L1071">
        <v>2004</v>
      </c>
      <c r="N1071">
        <v>46.2744977933</v>
      </c>
      <c r="P1071">
        <v>7.3528955583400002</v>
      </c>
      <c r="R1071" t="s">
        <v>11038</v>
      </c>
      <c r="S1071" t="s">
        <v>10310</v>
      </c>
      <c r="V1071" t="s">
        <v>11145</v>
      </c>
      <c r="W1071" s="2" t="s">
        <v>11198</v>
      </c>
    </row>
    <row r="1072" spans="1:23" hidden="1" x14ac:dyDescent="0.45">
      <c r="A1072" s="1" t="s">
        <v>1078</v>
      </c>
      <c r="E1072" t="s">
        <v>8939</v>
      </c>
      <c r="F1072" t="s">
        <v>10294</v>
      </c>
      <c r="G1072">
        <v>0.59</v>
      </c>
      <c r="H1072" t="s">
        <v>10310</v>
      </c>
      <c r="I1072" t="s">
        <v>10325</v>
      </c>
      <c r="L1072">
        <v>2010</v>
      </c>
      <c r="R1072" t="s">
        <v>11038</v>
      </c>
      <c r="S1072" t="s">
        <v>10310</v>
      </c>
      <c r="V1072" t="s">
        <v>11146</v>
      </c>
      <c r="W1072" s="2" t="s">
        <v>11198</v>
      </c>
    </row>
    <row r="1073" spans="1:23" hidden="1" x14ac:dyDescent="0.45">
      <c r="A1073" s="1" t="s">
        <v>1079</v>
      </c>
      <c r="E1073" t="s">
        <v>8938</v>
      </c>
      <c r="F1073" t="s">
        <v>10294</v>
      </c>
      <c r="G1073">
        <v>0.57999999999999996</v>
      </c>
      <c r="H1073" t="s">
        <v>10310</v>
      </c>
      <c r="I1073" t="s">
        <v>10325</v>
      </c>
      <c r="L1073">
        <v>2015</v>
      </c>
      <c r="N1073">
        <v>46.246438901099999</v>
      </c>
      <c r="P1073">
        <v>7.3631833754499993</v>
      </c>
      <c r="R1073" t="s">
        <v>11038</v>
      </c>
      <c r="S1073" t="s">
        <v>10310</v>
      </c>
      <c r="W1073" s="2" t="s">
        <v>11198</v>
      </c>
    </row>
    <row r="1074" spans="1:23" hidden="1" x14ac:dyDescent="0.45">
      <c r="A1074" s="1" t="s">
        <v>1080</v>
      </c>
      <c r="E1074" t="s">
        <v>8938</v>
      </c>
      <c r="F1074" t="s">
        <v>10294</v>
      </c>
      <c r="G1074">
        <v>0.33</v>
      </c>
      <c r="H1074" t="s">
        <v>10310</v>
      </c>
      <c r="I1074" t="s">
        <v>10325</v>
      </c>
      <c r="L1074">
        <v>2001</v>
      </c>
      <c r="N1074">
        <v>46.263342943500007</v>
      </c>
      <c r="P1074">
        <v>7.3525242406500002</v>
      </c>
      <c r="R1074" t="s">
        <v>11038</v>
      </c>
      <c r="S1074" t="s">
        <v>10310</v>
      </c>
      <c r="V1074" t="s">
        <v>11147</v>
      </c>
      <c r="W1074" s="2" t="s">
        <v>11198</v>
      </c>
    </row>
    <row r="1075" spans="1:23" hidden="1" x14ac:dyDescent="0.45">
      <c r="A1075" s="1" t="s">
        <v>1081</v>
      </c>
      <c r="E1075" t="s">
        <v>8940</v>
      </c>
      <c r="F1075" t="s">
        <v>10294</v>
      </c>
      <c r="G1075">
        <v>0.73</v>
      </c>
      <c r="H1075" t="s">
        <v>10310</v>
      </c>
      <c r="I1075" t="s">
        <v>10325</v>
      </c>
      <c r="L1075">
        <v>2015</v>
      </c>
      <c r="N1075">
        <v>46.226911789399999</v>
      </c>
      <c r="P1075">
        <v>7.2732593091699993</v>
      </c>
      <c r="R1075" t="s">
        <v>11038</v>
      </c>
      <c r="S1075" t="s">
        <v>10310</v>
      </c>
      <c r="W1075" s="2" t="s">
        <v>11198</v>
      </c>
    </row>
    <row r="1076" spans="1:23" hidden="1" x14ac:dyDescent="0.45">
      <c r="A1076" s="1" t="s">
        <v>1082</v>
      </c>
      <c r="E1076" t="s">
        <v>1082</v>
      </c>
      <c r="F1076" t="s">
        <v>10294</v>
      </c>
      <c r="G1076">
        <v>52</v>
      </c>
      <c r="H1076" t="s">
        <v>10310</v>
      </c>
      <c r="I1076" t="s">
        <v>10325</v>
      </c>
      <c r="L1076">
        <v>1996</v>
      </c>
      <c r="N1076">
        <v>46.216720940099997</v>
      </c>
      <c r="P1076">
        <v>7.2565734756899989</v>
      </c>
      <c r="R1076" t="s">
        <v>11038</v>
      </c>
      <c r="S1076" t="s">
        <v>10310</v>
      </c>
      <c r="W1076" s="2" t="s">
        <v>11198</v>
      </c>
    </row>
    <row r="1077" spans="1:23" hidden="1" x14ac:dyDescent="0.45">
      <c r="A1077" s="1" t="s">
        <v>1083</v>
      </c>
      <c r="E1077" t="s">
        <v>8941</v>
      </c>
      <c r="F1077" t="s">
        <v>10294</v>
      </c>
      <c r="G1077">
        <v>0.48</v>
      </c>
      <c r="H1077" t="s">
        <v>10310</v>
      </c>
      <c r="I1077" t="s">
        <v>10325</v>
      </c>
      <c r="L1077">
        <v>1971</v>
      </c>
      <c r="N1077">
        <v>46.220949067399999</v>
      </c>
      <c r="P1077">
        <v>7.2566888557000002</v>
      </c>
      <c r="R1077" t="s">
        <v>11038</v>
      </c>
      <c r="S1077" t="s">
        <v>10310</v>
      </c>
      <c r="V1077" t="s">
        <v>11060</v>
      </c>
      <c r="W1077" s="2" t="s">
        <v>11198</v>
      </c>
    </row>
    <row r="1078" spans="1:23" hidden="1" x14ac:dyDescent="0.45">
      <c r="A1078" s="1" t="s">
        <v>1084</v>
      </c>
      <c r="E1078" t="s">
        <v>8942</v>
      </c>
      <c r="F1078" t="s">
        <v>10294</v>
      </c>
      <c r="G1078">
        <v>0</v>
      </c>
      <c r="H1078" t="s">
        <v>10310</v>
      </c>
      <c r="I1078" t="s">
        <v>10326</v>
      </c>
      <c r="L1078">
        <v>1961</v>
      </c>
      <c r="N1078">
        <v>46.182979076499997</v>
      </c>
      <c r="P1078">
        <v>7.2515065212600014</v>
      </c>
      <c r="Q1078" t="s">
        <v>10567</v>
      </c>
      <c r="R1078" t="s">
        <v>11038</v>
      </c>
      <c r="S1078" t="s">
        <v>10310</v>
      </c>
      <c r="V1078" t="s">
        <v>11148</v>
      </c>
      <c r="W1078" s="2" t="s">
        <v>11198</v>
      </c>
    </row>
    <row r="1079" spans="1:23" hidden="1" x14ac:dyDescent="0.45">
      <c r="A1079" s="1" t="s">
        <v>1084</v>
      </c>
      <c r="E1079" t="s">
        <v>8943</v>
      </c>
      <c r="F1079" t="s">
        <v>10294</v>
      </c>
      <c r="G1079">
        <v>0</v>
      </c>
      <c r="H1079" t="s">
        <v>10310</v>
      </c>
      <c r="I1079" t="s">
        <v>10326</v>
      </c>
      <c r="L1079">
        <v>1965</v>
      </c>
      <c r="N1079">
        <v>46.182979076499997</v>
      </c>
      <c r="P1079">
        <v>7.2515065212600014</v>
      </c>
      <c r="Q1079" t="s">
        <v>10567</v>
      </c>
      <c r="R1079" t="s">
        <v>11038</v>
      </c>
      <c r="S1079" t="s">
        <v>10310</v>
      </c>
      <c r="V1079" t="s">
        <v>11149</v>
      </c>
      <c r="W1079" s="2" t="s">
        <v>11198</v>
      </c>
    </row>
    <row r="1080" spans="1:23" hidden="1" x14ac:dyDescent="0.45">
      <c r="A1080" s="1" t="s">
        <v>1084</v>
      </c>
      <c r="E1080" t="s">
        <v>8944</v>
      </c>
      <c r="F1080" t="s">
        <v>10294</v>
      </c>
      <c r="G1080">
        <v>0</v>
      </c>
      <c r="H1080" t="s">
        <v>10310</v>
      </c>
      <c r="I1080" t="s">
        <v>10326</v>
      </c>
      <c r="L1080">
        <v>1964</v>
      </c>
      <c r="N1080">
        <v>46.182979076499997</v>
      </c>
      <c r="P1080">
        <v>7.2515065212600014</v>
      </c>
      <c r="Q1080" t="s">
        <v>10567</v>
      </c>
      <c r="R1080" t="s">
        <v>11038</v>
      </c>
      <c r="S1080" t="s">
        <v>10310</v>
      </c>
      <c r="V1080" t="s">
        <v>11150</v>
      </c>
      <c r="W1080" s="2" t="s">
        <v>11198</v>
      </c>
    </row>
    <row r="1081" spans="1:23" hidden="1" x14ac:dyDescent="0.45">
      <c r="A1081" s="1" t="s">
        <v>1084</v>
      </c>
      <c r="E1081" t="s">
        <v>8945</v>
      </c>
      <c r="F1081" t="s">
        <v>10294</v>
      </c>
      <c r="G1081">
        <v>0</v>
      </c>
      <c r="H1081" t="s">
        <v>10310</v>
      </c>
      <c r="I1081" t="s">
        <v>10326</v>
      </c>
      <c r="L1081">
        <v>1963</v>
      </c>
      <c r="N1081">
        <v>46.182979076499997</v>
      </c>
      <c r="P1081">
        <v>7.2515065212600014</v>
      </c>
      <c r="Q1081" t="s">
        <v>10567</v>
      </c>
      <c r="R1081" t="s">
        <v>11038</v>
      </c>
      <c r="S1081" t="s">
        <v>10310</v>
      </c>
      <c r="V1081" t="s">
        <v>11150</v>
      </c>
      <c r="W1081" s="2" t="s">
        <v>11198</v>
      </c>
    </row>
    <row r="1082" spans="1:23" hidden="1" x14ac:dyDescent="0.45">
      <c r="A1082" s="1" t="s">
        <v>1085</v>
      </c>
      <c r="E1082" t="s">
        <v>1092</v>
      </c>
      <c r="F1082" t="s">
        <v>10294</v>
      </c>
      <c r="G1082">
        <v>1285</v>
      </c>
      <c r="H1082" t="s">
        <v>10310</v>
      </c>
      <c r="I1082" t="s">
        <v>10326</v>
      </c>
      <c r="L1082">
        <v>1999</v>
      </c>
      <c r="N1082">
        <v>46.182979076499997</v>
      </c>
      <c r="P1082">
        <v>7.2515065212600014</v>
      </c>
      <c r="R1082" t="s">
        <v>11038</v>
      </c>
      <c r="S1082" t="s">
        <v>10310</v>
      </c>
      <c r="V1082" t="s">
        <v>11151</v>
      </c>
      <c r="W1082" s="2" t="s">
        <v>11198</v>
      </c>
    </row>
    <row r="1083" spans="1:23" hidden="1" x14ac:dyDescent="0.45">
      <c r="A1083" s="1" t="s">
        <v>1084</v>
      </c>
      <c r="E1083" t="s">
        <v>8946</v>
      </c>
      <c r="F1083" t="s">
        <v>10294</v>
      </c>
      <c r="G1083">
        <v>306</v>
      </c>
      <c r="H1083" t="s">
        <v>10310</v>
      </c>
      <c r="I1083" t="s">
        <v>10326</v>
      </c>
      <c r="L1083">
        <v>1957</v>
      </c>
      <c r="N1083">
        <v>46.182979076499997</v>
      </c>
      <c r="P1083">
        <v>7.2515065212600014</v>
      </c>
      <c r="Q1083" t="s">
        <v>10567</v>
      </c>
      <c r="R1083" t="s">
        <v>11038</v>
      </c>
      <c r="S1083" t="s">
        <v>10310</v>
      </c>
      <c r="V1083" t="s">
        <v>11152</v>
      </c>
      <c r="W1083" s="2" t="s">
        <v>11198</v>
      </c>
    </row>
    <row r="1084" spans="1:23" hidden="1" x14ac:dyDescent="0.45">
      <c r="A1084" s="1" t="s">
        <v>1084</v>
      </c>
      <c r="E1084" t="s">
        <v>1092</v>
      </c>
      <c r="F1084" t="s">
        <v>10294</v>
      </c>
      <c r="G1084">
        <v>392</v>
      </c>
      <c r="H1084" t="s">
        <v>10310</v>
      </c>
      <c r="I1084" t="s">
        <v>10326</v>
      </c>
      <c r="L1084">
        <v>1960</v>
      </c>
      <c r="N1084">
        <v>46.182979076499997</v>
      </c>
      <c r="P1084">
        <v>7.2515065212600014</v>
      </c>
      <c r="Q1084" t="s">
        <v>10567</v>
      </c>
      <c r="R1084" t="s">
        <v>11038</v>
      </c>
      <c r="S1084" t="s">
        <v>10310</v>
      </c>
      <c r="V1084" t="s">
        <v>11153</v>
      </c>
      <c r="W1084" s="2" t="s">
        <v>11198</v>
      </c>
    </row>
    <row r="1085" spans="1:23" hidden="1" x14ac:dyDescent="0.45">
      <c r="A1085" s="1" t="s">
        <v>1086</v>
      </c>
      <c r="E1085" t="s">
        <v>1092</v>
      </c>
      <c r="F1085" t="s">
        <v>10294</v>
      </c>
      <c r="G1085">
        <v>0.65</v>
      </c>
      <c r="H1085" t="s">
        <v>10310</v>
      </c>
      <c r="I1085" t="s">
        <v>10325</v>
      </c>
      <c r="L1085">
        <v>2016</v>
      </c>
      <c r="R1085" t="s">
        <v>11038</v>
      </c>
      <c r="S1085" t="s">
        <v>10310</v>
      </c>
      <c r="V1085" t="s">
        <v>11154</v>
      </c>
      <c r="W1085" s="2" t="s">
        <v>11198</v>
      </c>
    </row>
    <row r="1086" spans="1:23" hidden="1" x14ac:dyDescent="0.45">
      <c r="A1086" s="1" t="s">
        <v>1087</v>
      </c>
      <c r="E1086" t="s">
        <v>8947</v>
      </c>
      <c r="F1086" t="s">
        <v>10294</v>
      </c>
      <c r="G1086">
        <v>0.35</v>
      </c>
      <c r="H1086" t="s">
        <v>10310</v>
      </c>
      <c r="I1086" t="s">
        <v>10325</v>
      </c>
      <c r="L1086">
        <v>2013</v>
      </c>
      <c r="N1086">
        <v>46.160935429699997</v>
      </c>
      <c r="P1086">
        <v>7.24886403999</v>
      </c>
      <c r="R1086" t="s">
        <v>11038</v>
      </c>
      <c r="S1086" t="s">
        <v>10310</v>
      </c>
      <c r="W1086" s="2" t="s">
        <v>11198</v>
      </c>
    </row>
    <row r="1087" spans="1:23" hidden="1" x14ac:dyDescent="0.45">
      <c r="A1087" s="1" t="s">
        <v>1088</v>
      </c>
      <c r="E1087" t="s">
        <v>8948</v>
      </c>
      <c r="F1087" t="s">
        <v>10294</v>
      </c>
      <c r="G1087">
        <v>0.45</v>
      </c>
      <c r="H1087" t="s">
        <v>10310</v>
      </c>
      <c r="I1087" t="s">
        <v>10325</v>
      </c>
      <c r="L1087">
        <v>2014</v>
      </c>
      <c r="N1087">
        <v>46.1295458122</v>
      </c>
      <c r="P1087">
        <v>7.2518202657900002</v>
      </c>
      <c r="R1087" t="s">
        <v>11038</v>
      </c>
      <c r="S1087" t="s">
        <v>10310</v>
      </c>
      <c r="W1087" s="2" t="s">
        <v>11198</v>
      </c>
    </row>
    <row r="1088" spans="1:23" hidden="1" x14ac:dyDescent="0.45">
      <c r="A1088" s="1" t="s">
        <v>1089</v>
      </c>
      <c r="E1088" t="s">
        <v>8949</v>
      </c>
      <c r="F1088" t="s">
        <v>10294</v>
      </c>
      <c r="G1088">
        <v>0.31</v>
      </c>
      <c r="H1088" t="s">
        <v>10310</v>
      </c>
      <c r="I1088" t="s">
        <v>10325</v>
      </c>
      <c r="L1088">
        <v>2009</v>
      </c>
      <c r="N1088">
        <v>46.168905025800001</v>
      </c>
      <c r="P1088">
        <v>7.2283790358000006</v>
      </c>
      <c r="R1088" t="s">
        <v>11038</v>
      </c>
      <c r="S1088" t="s">
        <v>10310</v>
      </c>
      <c r="W1088" s="2" t="s">
        <v>11198</v>
      </c>
    </row>
    <row r="1089" spans="1:23" hidden="1" x14ac:dyDescent="0.45">
      <c r="A1089" s="1" t="s">
        <v>1090</v>
      </c>
      <c r="E1089" t="s">
        <v>8950</v>
      </c>
      <c r="F1089" t="s">
        <v>10294</v>
      </c>
      <c r="G1089">
        <v>30</v>
      </c>
      <c r="H1089" t="s">
        <v>10310</v>
      </c>
      <c r="I1089" t="s">
        <v>10325</v>
      </c>
      <c r="L1089">
        <v>1964</v>
      </c>
      <c r="N1089">
        <v>45.999772030000003</v>
      </c>
      <c r="P1089">
        <v>7.3506208330399989</v>
      </c>
      <c r="Q1089" t="s">
        <v>10568</v>
      </c>
      <c r="R1089" t="s">
        <v>11038</v>
      </c>
      <c r="S1089" t="s">
        <v>10310</v>
      </c>
      <c r="W1089" s="2" t="s">
        <v>11198</v>
      </c>
    </row>
    <row r="1090" spans="1:23" hidden="1" x14ac:dyDescent="0.45">
      <c r="A1090" s="1" t="s">
        <v>1091</v>
      </c>
      <c r="E1090" t="s">
        <v>8946</v>
      </c>
      <c r="F1090" t="s">
        <v>10294</v>
      </c>
      <c r="G1090">
        <v>140</v>
      </c>
      <c r="H1090" t="s">
        <v>10310</v>
      </c>
      <c r="I1090" t="s">
        <v>10326</v>
      </c>
      <c r="L1090">
        <v>1992</v>
      </c>
      <c r="N1090">
        <v>46.030404725200007</v>
      </c>
      <c r="P1090">
        <v>7.3079525499100004</v>
      </c>
      <c r="Q1090" t="s">
        <v>10568</v>
      </c>
      <c r="R1090" t="s">
        <v>11038</v>
      </c>
      <c r="S1090" t="s">
        <v>10310</v>
      </c>
      <c r="W1090" s="2" t="s">
        <v>11198</v>
      </c>
    </row>
    <row r="1091" spans="1:23" hidden="1" x14ac:dyDescent="0.45">
      <c r="A1091" s="1" t="s">
        <v>1092</v>
      </c>
      <c r="E1091" t="s">
        <v>8951</v>
      </c>
      <c r="F1091" t="s">
        <v>10294</v>
      </c>
      <c r="G1091">
        <v>258</v>
      </c>
      <c r="H1091" t="s">
        <v>10310</v>
      </c>
      <c r="I1091" t="s">
        <v>10326</v>
      </c>
      <c r="L1091">
        <v>1992</v>
      </c>
      <c r="N1091">
        <v>46.157443214200001</v>
      </c>
      <c r="P1091">
        <v>7.2092651406699986</v>
      </c>
      <c r="Q1091" t="s">
        <v>10568</v>
      </c>
      <c r="R1091" t="s">
        <v>11038</v>
      </c>
      <c r="S1091" t="s">
        <v>10310</v>
      </c>
      <c r="W1091" s="2" t="s">
        <v>11198</v>
      </c>
    </row>
    <row r="1092" spans="1:23" hidden="1" x14ac:dyDescent="0.45">
      <c r="A1092" s="1" t="s">
        <v>1093</v>
      </c>
      <c r="E1092" t="s">
        <v>8952</v>
      </c>
      <c r="F1092" t="s">
        <v>10294</v>
      </c>
      <c r="G1092">
        <v>0.47</v>
      </c>
      <c r="H1092" t="s">
        <v>10310</v>
      </c>
      <c r="I1092" t="s">
        <v>10325</v>
      </c>
      <c r="L1092">
        <v>2013</v>
      </c>
      <c r="N1092">
        <v>46.191157038500002</v>
      </c>
      <c r="P1092">
        <v>7.1997964840999993</v>
      </c>
      <c r="R1092" t="s">
        <v>11038</v>
      </c>
      <c r="S1092" t="s">
        <v>10310</v>
      </c>
      <c r="V1092" t="s">
        <v>11155</v>
      </c>
      <c r="W1092" s="2" t="s">
        <v>11198</v>
      </c>
    </row>
    <row r="1093" spans="1:23" hidden="1" x14ac:dyDescent="0.45">
      <c r="A1093" s="1" t="s">
        <v>1094</v>
      </c>
      <c r="E1093" t="s">
        <v>8953</v>
      </c>
      <c r="F1093" t="s">
        <v>10294</v>
      </c>
      <c r="G1093">
        <v>2.13</v>
      </c>
      <c r="H1093" t="s">
        <v>10310</v>
      </c>
      <c r="I1093" t="s">
        <v>10325</v>
      </c>
      <c r="L1093">
        <v>2017</v>
      </c>
      <c r="R1093" t="s">
        <v>11038</v>
      </c>
      <c r="S1093" t="s">
        <v>10310</v>
      </c>
      <c r="V1093" t="s">
        <v>11156</v>
      </c>
      <c r="W1093" s="2" t="s">
        <v>11198</v>
      </c>
    </row>
    <row r="1094" spans="1:23" hidden="1" x14ac:dyDescent="0.45">
      <c r="A1094" s="1" t="s">
        <v>1095</v>
      </c>
      <c r="E1094" t="s">
        <v>8954</v>
      </c>
      <c r="F1094" t="s">
        <v>10294</v>
      </c>
      <c r="G1094">
        <v>0.87</v>
      </c>
      <c r="H1094" t="s">
        <v>10310</v>
      </c>
      <c r="I1094" t="s">
        <v>10325</v>
      </c>
      <c r="L1094">
        <v>2017</v>
      </c>
      <c r="R1094" t="s">
        <v>11038</v>
      </c>
      <c r="S1094" t="s">
        <v>10310</v>
      </c>
      <c r="V1094" t="s">
        <v>11156</v>
      </c>
      <c r="W1094" s="2" t="s">
        <v>11198</v>
      </c>
    </row>
    <row r="1095" spans="1:23" hidden="1" x14ac:dyDescent="0.45">
      <c r="A1095" s="1" t="s">
        <v>1096</v>
      </c>
      <c r="E1095" t="s">
        <v>1096</v>
      </c>
      <c r="F1095" t="s">
        <v>10294</v>
      </c>
      <c r="G1095">
        <v>8.6999999999999993</v>
      </c>
      <c r="H1095" t="s">
        <v>10310</v>
      </c>
      <c r="I1095" t="s">
        <v>10325</v>
      </c>
      <c r="L1095">
        <v>1994</v>
      </c>
      <c r="N1095">
        <v>46.057125357499999</v>
      </c>
      <c r="P1095">
        <v>7.2480638838799996</v>
      </c>
      <c r="Q1095" t="s">
        <v>10568</v>
      </c>
      <c r="R1095" t="s">
        <v>11038</v>
      </c>
      <c r="S1095" t="s">
        <v>10310</v>
      </c>
      <c r="W1095" s="2" t="s">
        <v>11198</v>
      </c>
    </row>
    <row r="1096" spans="1:23" hidden="1" x14ac:dyDescent="0.45">
      <c r="A1096" s="1" t="s">
        <v>1097</v>
      </c>
      <c r="E1096" t="s">
        <v>8955</v>
      </c>
      <c r="F1096" t="s">
        <v>10294</v>
      </c>
      <c r="G1096">
        <v>0.4</v>
      </c>
      <c r="H1096" t="s">
        <v>10310</v>
      </c>
      <c r="I1096" t="s">
        <v>10325</v>
      </c>
      <c r="L1096">
        <v>2007</v>
      </c>
      <c r="N1096">
        <v>46.082767191800002</v>
      </c>
      <c r="P1096">
        <v>7.20311685212</v>
      </c>
      <c r="R1096" t="s">
        <v>11038</v>
      </c>
      <c r="S1096" t="s">
        <v>10310</v>
      </c>
      <c r="V1096" t="s">
        <v>11060</v>
      </c>
      <c r="W1096" s="2" t="s">
        <v>11198</v>
      </c>
    </row>
    <row r="1097" spans="1:23" hidden="1" x14ac:dyDescent="0.45">
      <c r="A1097" s="1" t="s">
        <v>1098</v>
      </c>
      <c r="E1097" t="s">
        <v>8956</v>
      </c>
      <c r="F1097" t="s">
        <v>10294</v>
      </c>
      <c r="G1097">
        <v>2.2999999999999998</v>
      </c>
      <c r="H1097" t="s">
        <v>10310</v>
      </c>
      <c r="I1097" t="s">
        <v>10325</v>
      </c>
      <c r="L1097">
        <v>2017</v>
      </c>
      <c r="R1097" t="s">
        <v>11038</v>
      </c>
      <c r="S1097" t="s">
        <v>10310</v>
      </c>
      <c r="W1097" s="2" t="s">
        <v>11198</v>
      </c>
    </row>
    <row r="1098" spans="1:23" hidden="1" x14ac:dyDescent="0.45">
      <c r="A1098" s="1" t="s">
        <v>1099</v>
      </c>
      <c r="E1098" t="s">
        <v>8957</v>
      </c>
      <c r="F1098" t="s">
        <v>10294</v>
      </c>
      <c r="G1098">
        <v>0.47</v>
      </c>
      <c r="H1098" t="s">
        <v>10310</v>
      </c>
      <c r="I1098" t="s">
        <v>10325</v>
      </c>
      <c r="L1098">
        <v>1998</v>
      </c>
      <c r="N1098">
        <v>46.1141701715</v>
      </c>
      <c r="P1098">
        <v>7.1670225832399987</v>
      </c>
      <c r="R1098" t="s">
        <v>11038</v>
      </c>
      <c r="S1098" t="s">
        <v>10310</v>
      </c>
      <c r="V1098" t="s">
        <v>11145</v>
      </c>
      <c r="W1098" s="2" t="s">
        <v>11198</v>
      </c>
    </row>
    <row r="1099" spans="1:23" hidden="1" x14ac:dyDescent="0.45">
      <c r="A1099" s="1" t="s">
        <v>1100</v>
      </c>
      <c r="E1099" t="s">
        <v>8958</v>
      </c>
      <c r="F1099" t="s">
        <v>10294</v>
      </c>
      <c r="G1099">
        <v>0.9</v>
      </c>
      <c r="H1099" t="s">
        <v>10310</v>
      </c>
      <c r="I1099" t="s">
        <v>10325</v>
      </c>
      <c r="L1099">
        <v>2009</v>
      </c>
      <c r="N1099">
        <v>46.0935060212</v>
      </c>
      <c r="P1099">
        <v>7.177857466619999</v>
      </c>
      <c r="R1099" t="s">
        <v>11038</v>
      </c>
      <c r="S1099" t="s">
        <v>10310</v>
      </c>
      <c r="V1099" t="s">
        <v>11157</v>
      </c>
      <c r="W1099" s="2" t="s">
        <v>11198</v>
      </c>
    </row>
    <row r="1100" spans="1:23" hidden="1" x14ac:dyDescent="0.45">
      <c r="A1100" s="1" t="s">
        <v>1101</v>
      </c>
      <c r="E1100" t="s">
        <v>8959</v>
      </c>
      <c r="F1100" t="s">
        <v>10294</v>
      </c>
      <c r="G1100">
        <v>1.47</v>
      </c>
      <c r="H1100" t="s">
        <v>10310</v>
      </c>
      <c r="I1100" t="s">
        <v>10325</v>
      </c>
      <c r="L1100">
        <v>1963</v>
      </c>
      <c r="N1100">
        <v>45.886001963799998</v>
      </c>
      <c r="P1100">
        <v>7.1872218504499994</v>
      </c>
      <c r="R1100" t="s">
        <v>11038</v>
      </c>
      <c r="S1100" t="s">
        <v>10310</v>
      </c>
      <c r="W1100" s="2" t="s">
        <v>11198</v>
      </c>
    </row>
    <row r="1101" spans="1:23" hidden="1" x14ac:dyDescent="0.45">
      <c r="A1101" s="1" t="s">
        <v>1102</v>
      </c>
      <c r="E1101" t="s">
        <v>8960</v>
      </c>
      <c r="F1101" t="s">
        <v>10294</v>
      </c>
      <c r="G1101">
        <v>2</v>
      </c>
      <c r="H1101" t="s">
        <v>10310</v>
      </c>
      <c r="I1101" t="s">
        <v>10325</v>
      </c>
      <c r="L1101">
        <v>2016</v>
      </c>
      <c r="R1101" t="s">
        <v>11038</v>
      </c>
      <c r="S1101" t="s">
        <v>10310</v>
      </c>
      <c r="W1101" s="2" t="s">
        <v>11198</v>
      </c>
    </row>
    <row r="1102" spans="1:23" hidden="1" x14ac:dyDescent="0.45">
      <c r="A1102" s="1" t="s">
        <v>1103</v>
      </c>
      <c r="E1102" t="s">
        <v>8961</v>
      </c>
      <c r="F1102" t="s">
        <v>10294</v>
      </c>
      <c r="G1102">
        <v>33.4</v>
      </c>
      <c r="H1102" t="s">
        <v>10310</v>
      </c>
      <c r="I1102" t="s">
        <v>10326</v>
      </c>
      <c r="L1102">
        <v>1958</v>
      </c>
      <c r="N1102">
        <v>45.9810884929</v>
      </c>
      <c r="P1102">
        <v>7.1894924319600007</v>
      </c>
      <c r="R1102" t="s">
        <v>11038</v>
      </c>
      <c r="S1102" t="s">
        <v>10310</v>
      </c>
      <c r="W1102" s="2" t="s">
        <v>11198</v>
      </c>
    </row>
    <row r="1103" spans="1:23" hidden="1" x14ac:dyDescent="0.45">
      <c r="A1103" s="1" t="s">
        <v>1104</v>
      </c>
      <c r="E1103" t="s">
        <v>8962</v>
      </c>
      <c r="F1103" t="s">
        <v>10294</v>
      </c>
      <c r="G1103">
        <v>0.32</v>
      </c>
      <c r="H1103" t="s">
        <v>10310</v>
      </c>
      <c r="I1103" t="s">
        <v>10325</v>
      </c>
      <c r="L1103">
        <v>2004</v>
      </c>
      <c r="N1103">
        <v>46.021935925500003</v>
      </c>
      <c r="P1103">
        <v>7.1213844123700003</v>
      </c>
      <c r="R1103" t="s">
        <v>11038</v>
      </c>
      <c r="S1103" t="s">
        <v>10310</v>
      </c>
      <c r="V1103" t="s">
        <v>11060</v>
      </c>
      <c r="W1103" s="2" t="s">
        <v>11198</v>
      </c>
    </row>
    <row r="1104" spans="1:23" hidden="1" x14ac:dyDescent="0.45">
      <c r="A1104" s="1" t="s">
        <v>1105</v>
      </c>
      <c r="E1104" t="s">
        <v>1106</v>
      </c>
      <c r="F1104" t="s">
        <v>10294</v>
      </c>
      <c r="G1104">
        <v>1.2</v>
      </c>
      <c r="H1104" t="s">
        <v>10310</v>
      </c>
      <c r="I1104" t="s">
        <v>10325</v>
      </c>
      <c r="L1104">
        <v>1996</v>
      </c>
      <c r="N1104">
        <v>46.021183885100001</v>
      </c>
      <c r="P1104">
        <v>7.1424362802800001</v>
      </c>
      <c r="R1104" t="s">
        <v>11038</v>
      </c>
      <c r="S1104" t="s">
        <v>10310</v>
      </c>
      <c r="V1104" t="s">
        <v>11158</v>
      </c>
      <c r="W1104" s="2" t="s">
        <v>11198</v>
      </c>
    </row>
    <row r="1105" spans="1:23" hidden="1" x14ac:dyDescent="0.45">
      <c r="A1105" s="1" t="s">
        <v>1106</v>
      </c>
      <c r="E1105" t="s">
        <v>1106</v>
      </c>
      <c r="F1105" t="s">
        <v>10294</v>
      </c>
      <c r="G1105">
        <v>26.4</v>
      </c>
      <c r="H1105" t="s">
        <v>10310</v>
      </c>
      <c r="I1105" t="s">
        <v>10325</v>
      </c>
      <c r="L1105">
        <v>1958</v>
      </c>
      <c r="N1105">
        <v>46.021093590200003</v>
      </c>
      <c r="P1105">
        <v>7.1423076461600008</v>
      </c>
      <c r="R1105" t="s">
        <v>11038</v>
      </c>
      <c r="S1105" t="s">
        <v>10310</v>
      </c>
      <c r="V1105" t="s">
        <v>11159</v>
      </c>
      <c r="W1105" s="2" t="s">
        <v>11198</v>
      </c>
    </row>
    <row r="1106" spans="1:23" hidden="1" x14ac:dyDescent="0.45">
      <c r="A1106" s="1" t="s">
        <v>1106</v>
      </c>
      <c r="E1106" t="s">
        <v>8963</v>
      </c>
      <c r="F1106" t="s">
        <v>10294</v>
      </c>
      <c r="G1106">
        <v>0</v>
      </c>
      <c r="H1106" t="s">
        <v>10310</v>
      </c>
      <c r="I1106" t="s">
        <v>10325</v>
      </c>
      <c r="L1106">
        <v>1943</v>
      </c>
      <c r="N1106">
        <v>46.021093590200003</v>
      </c>
      <c r="P1106">
        <v>7.1423076461600008</v>
      </c>
      <c r="R1106" t="s">
        <v>11038</v>
      </c>
      <c r="S1106" t="s">
        <v>10310</v>
      </c>
      <c r="W1106" s="2" t="s">
        <v>11198</v>
      </c>
    </row>
    <row r="1107" spans="1:23" hidden="1" x14ac:dyDescent="0.45">
      <c r="A1107" s="1" t="s">
        <v>1107</v>
      </c>
      <c r="E1107" t="s">
        <v>8964</v>
      </c>
      <c r="F1107" t="s">
        <v>10294</v>
      </c>
      <c r="G1107">
        <v>11</v>
      </c>
      <c r="H1107" t="s">
        <v>10310</v>
      </c>
      <c r="I1107" t="s">
        <v>10325</v>
      </c>
      <c r="L1107">
        <v>1929</v>
      </c>
      <c r="N1107">
        <v>46.079152002000001</v>
      </c>
      <c r="P1107">
        <v>7.1567272481399993</v>
      </c>
      <c r="R1107" t="s">
        <v>11038</v>
      </c>
      <c r="S1107" t="s">
        <v>10310</v>
      </c>
      <c r="W1107" s="2" t="s">
        <v>11198</v>
      </c>
    </row>
    <row r="1108" spans="1:23" hidden="1" x14ac:dyDescent="0.45">
      <c r="A1108" s="1" t="s">
        <v>1108</v>
      </c>
      <c r="E1108" t="s">
        <v>1108</v>
      </c>
      <c r="F1108" t="s">
        <v>10294</v>
      </c>
      <c r="G1108">
        <v>22</v>
      </c>
      <c r="H1108" t="s">
        <v>10310</v>
      </c>
      <c r="I1108" t="s">
        <v>10325</v>
      </c>
      <c r="L1108">
        <v>1945</v>
      </c>
      <c r="N1108">
        <v>46.088309866099998</v>
      </c>
      <c r="P1108">
        <v>7.0590697666300004</v>
      </c>
      <c r="R1108" t="s">
        <v>11038</v>
      </c>
      <c r="S1108" t="s">
        <v>10310</v>
      </c>
      <c r="W1108" s="2" t="s">
        <v>11198</v>
      </c>
    </row>
    <row r="1109" spans="1:23" hidden="1" x14ac:dyDescent="0.45">
      <c r="A1109" s="1" t="s">
        <v>1109</v>
      </c>
      <c r="E1109" t="s">
        <v>8965</v>
      </c>
      <c r="F1109" t="s">
        <v>10294</v>
      </c>
      <c r="G1109">
        <v>0.93</v>
      </c>
      <c r="H1109" t="s">
        <v>10310</v>
      </c>
      <c r="I1109" t="s">
        <v>10325</v>
      </c>
      <c r="L1109">
        <v>1981</v>
      </c>
      <c r="N1109">
        <v>46.073184866999988</v>
      </c>
      <c r="P1109">
        <v>7.0554270165399986</v>
      </c>
      <c r="R1109" t="s">
        <v>11038</v>
      </c>
      <c r="S1109" t="s">
        <v>10310</v>
      </c>
      <c r="V1109" t="s">
        <v>11160</v>
      </c>
      <c r="W1109" s="2" t="s">
        <v>11198</v>
      </c>
    </row>
    <row r="1110" spans="1:23" hidden="1" x14ac:dyDescent="0.45">
      <c r="A1110" s="1" t="s">
        <v>1110</v>
      </c>
      <c r="E1110" t="s">
        <v>8966</v>
      </c>
      <c r="F1110" t="s">
        <v>10294</v>
      </c>
      <c r="G1110">
        <v>1</v>
      </c>
      <c r="H1110" t="s">
        <v>10310</v>
      </c>
      <c r="I1110" t="s">
        <v>10325</v>
      </c>
      <c r="L1110">
        <v>1995</v>
      </c>
      <c r="N1110">
        <v>46.058337244500002</v>
      </c>
      <c r="P1110">
        <v>6.9603003861399992</v>
      </c>
      <c r="R1110" t="s">
        <v>11038</v>
      </c>
      <c r="S1110" t="s">
        <v>10310</v>
      </c>
      <c r="V1110" t="s">
        <v>11161</v>
      </c>
      <c r="W1110" s="2" t="s">
        <v>11198</v>
      </c>
    </row>
    <row r="1111" spans="1:23" hidden="1" x14ac:dyDescent="0.45">
      <c r="A1111" s="1" t="s">
        <v>1111</v>
      </c>
      <c r="E1111" t="s">
        <v>8966</v>
      </c>
      <c r="F1111" t="s">
        <v>10294</v>
      </c>
      <c r="G1111">
        <v>112</v>
      </c>
      <c r="H1111" t="s">
        <v>10310</v>
      </c>
      <c r="I1111" t="s">
        <v>10324</v>
      </c>
      <c r="L1111">
        <v>1977</v>
      </c>
      <c r="N1111">
        <v>46.062018165600001</v>
      </c>
      <c r="P1111">
        <v>6.9585881500899998</v>
      </c>
      <c r="R1111" t="s">
        <v>11038</v>
      </c>
      <c r="S1111" t="s">
        <v>10310</v>
      </c>
      <c r="V1111" t="s">
        <v>11162</v>
      </c>
      <c r="W1111" s="2" t="s">
        <v>11198</v>
      </c>
    </row>
    <row r="1112" spans="1:23" hidden="1" x14ac:dyDescent="0.45">
      <c r="A1112" s="1" t="s">
        <v>1112</v>
      </c>
      <c r="E1112" t="s">
        <v>8967</v>
      </c>
      <c r="F1112" t="s">
        <v>10294</v>
      </c>
      <c r="G1112">
        <v>260.5</v>
      </c>
      <c r="H1112" t="s">
        <v>10310</v>
      </c>
      <c r="I1112" t="s">
        <v>10326</v>
      </c>
      <c r="L1112">
        <v>1978</v>
      </c>
      <c r="N1112">
        <v>46.050822165500001</v>
      </c>
      <c r="P1112">
        <v>6.9489970113800004</v>
      </c>
      <c r="Q1112" t="s">
        <v>10569</v>
      </c>
      <c r="R1112" t="s">
        <v>11038</v>
      </c>
      <c r="S1112" t="s">
        <v>10310</v>
      </c>
      <c r="V1112" t="s">
        <v>11163</v>
      </c>
      <c r="W1112" s="2" t="s">
        <v>11198</v>
      </c>
    </row>
    <row r="1113" spans="1:23" hidden="1" x14ac:dyDescent="0.45">
      <c r="A1113" s="1" t="s">
        <v>1112</v>
      </c>
      <c r="E1113" t="s">
        <v>8968</v>
      </c>
      <c r="F1113" t="s">
        <v>10294</v>
      </c>
      <c r="G1113">
        <v>0</v>
      </c>
      <c r="H1113" t="s">
        <v>10310</v>
      </c>
      <c r="I1113" t="s">
        <v>10326</v>
      </c>
      <c r="L1113">
        <v>1978</v>
      </c>
      <c r="N1113">
        <v>46.050822165500001</v>
      </c>
      <c r="P1113">
        <v>6.9489970113800004</v>
      </c>
      <c r="Q1113" t="s">
        <v>10569</v>
      </c>
      <c r="R1113" t="s">
        <v>11038</v>
      </c>
      <c r="S1113" t="s">
        <v>10310</v>
      </c>
      <c r="W1113" s="2" t="s">
        <v>11198</v>
      </c>
    </row>
    <row r="1114" spans="1:23" hidden="1" x14ac:dyDescent="0.45">
      <c r="A1114" s="1" t="s">
        <v>1112</v>
      </c>
      <c r="E1114" t="s">
        <v>8967</v>
      </c>
      <c r="F1114" t="s">
        <v>10294</v>
      </c>
      <c r="G1114">
        <v>0</v>
      </c>
      <c r="H1114" t="s">
        <v>10310</v>
      </c>
      <c r="I1114" t="s">
        <v>10326</v>
      </c>
      <c r="L1114">
        <v>1978</v>
      </c>
      <c r="N1114">
        <v>46.050822165500001</v>
      </c>
      <c r="P1114">
        <v>6.9489970113800004</v>
      </c>
      <c r="Q1114" t="s">
        <v>10569</v>
      </c>
      <c r="R1114" t="s">
        <v>11038</v>
      </c>
      <c r="S1114" t="s">
        <v>10310</v>
      </c>
      <c r="V1114" t="s">
        <v>11164</v>
      </c>
      <c r="W1114" s="2" t="s">
        <v>11198</v>
      </c>
    </row>
    <row r="1115" spans="1:23" hidden="1" x14ac:dyDescent="0.45">
      <c r="A1115" s="1" t="s">
        <v>1113</v>
      </c>
      <c r="E1115" t="s">
        <v>8969</v>
      </c>
      <c r="F1115" t="s">
        <v>10294</v>
      </c>
      <c r="G1115">
        <v>92</v>
      </c>
      <c r="H1115" t="s">
        <v>10310</v>
      </c>
      <c r="I1115" t="s">
        <v>10326</v>
      </c>
      <c r="L1115">
        <v>1990</v>
      </c>
      <c r="N1115">
        <v>46.133207791499999</v>
      </c>
      <c r="P1115">
        <v>7.0359833700699994</v>
      </c>
      <c r="R1115" t="s">
        <v>11038</v>
      </c>
      <c r="S1115" t="s">
        <v>10310</v>
      </c>
      <c r="V1115" t="s">
        <v>11161</v>
      </c>
      <c r="W1115" s="2" t="s">
        <v>11198</v>
      </c>
    </row>
    <row r="1116" spans="1:23" hidden="1" x14ac:dyDescent="0.45">
      <c r="A1116" s="1" t="s">
        <v>1114</v>
      </c>
      <c r="E1116" t="s">
        <v>8969</v>
      </c>
      <c r="F1116" t="s">
        <v>10294</v>
      </c>
      <c r="G1116">
        <v>0.46</v>
      </c>
      <c r="H1116" t="s">
        <v>10310</v>
      </c>
      <c r="I1116" t="s">
        <v>10325</v>
      </c>
      <c r="L1116">
        <v>2013</v>
      </c>
      <c r="N1116">
        <v>46.133832833100001</v>
      </c>
      <c r="P1116">
        <v>7.0346848085000007</v>
      </c>
      <c r="R1116" t="s">
        <v>11038</v>
      </c>
      <c r="S1116" t="s">
        <v>10310</v>
      </c>
      <c r="W1116" s="2" t="s">
        <v>11198</v>
      </c>
    </row>
    <row r="1117" spans="1:23" hidden="1" x14ac:dyDescent="0.45">
      <c r="A1117" s="1" t="s">
        <v>1112</v>
      </c>
      <c r="E1117" t="s">
        <v>8970</v>
      </c>
      <c r="F1117" t="s">
        <v>10294</v>
      </c>
      <c r="G1117">
        <v>170</v>
      </c>
      <c r="H1117" t="s">
        <v>10310</v>
      </c>
      <c r="I1117" t="s">
        <v>10326</v>
      </c>
      <c r="L1117">
        <v>1978</v>
      </c>
      <c r="N1117">
        <v>46.050822165500001</v>
      </c>
      <c r="P1117">
        <v>6.9489970113800004</v>
      </c>
      <c r="Q1117" t="s">
        <v>10569</v>
      </c>
      <c r="R1117" t="s">
        <v>11038</v>
      </c>
      <c r="S1117" t="s">
        <v>10310</v>
      </c>
      <c r="W1117" s="2" t="s">
        <v>11198</v>
      </c>
    </row>
    <row r="1118" spans="1:23" hidden="1" x14ac:dyDescent="0.45">
      <c r="A1118" s="1" t="s">
        <v>1115</v>
      </c>
      <c r="E1118" t="s">
        <v>8969</v>
      </c>
      <c r="F1118" t="s">
        <v>10294</v>
      </c>
      <c r="G1118">
        <v>1.7</v>
      </c>
      <c r="H1118" t="s">
        <v>10310</v>
      </c>
      <c r="I1118" t="s">
        <v>10325</v>
      </c>
      <c r="L1118">
        <v>2016</v>
      </c>
      <c r="R1118" t="s">
        <v>11038</v>
      </c>
      <c r="S1118" t="s">
        <v>10310</v>
      </c>
      <c r="W1118" s="2" t="s">
        <v>11198</v>
      </c>
    </row>
    <row r="1119" spans="1:23" hidden="1" x14ac:dyDescent="0.45">
      <c r="A1119" s="1" t="s">
        <v>1116</v>
      </c>
      <c r="E1119" t="s">
        <v>8971</v>
      </c>
      <c r="F1119" t="s">
        <v>10294</v>
      </c>
      <c r="G1119">
        <v>70</v>
      </c>
      <c r="H1119" t="s">
        <v>10310</v>
      </c>
      <c r="I1119" t="s">
        <v>10326</v>
      </c>
      <c r="L1119">
        <v>2012</v>
      </c>
      <c r="N1119">
        <v>46.146405848299999</v>
      </c>
      <c r="P1119">
        <v>7.0288967625300014</v>
      </c>
      <c r="R1119" t="s">
        <v>11038</v>
      </c>
      <c r="S1119" t="s">
        <v>10310</v>
      </c>
      <c r="V1119" t="s">
        <v>11165</v>
      </c>
      <c r="W1119" s="2" t="s">
        <v>11198</v>
      </c>
    </row>
    <row r="1120" spans="1:23" hidden="1" x14ac:dyDescent="0.45">
      <c r="A1120" s="1" t="s">
        <v>1116</v>
      </c>
      <c r="E1120" t="s">
        <v>8972</v>
      </c>
      <c r="F1120" t="s">
        <v>10294</v>
      </c>
      <c r="G1120">
        <v>0</v>
      </c>
      <c r="H1120" t="s">
        <v>10310</v>
      </c>
      <c r="I1120" t="s">
        <v>10326</v>
      </c>
      <c r="L1120">
        <v>1965</v>
      </c>
      <c r="N1120">
        <v>46.146405848299999</v>
      </c>
      <c r="P1120">
        <v>7.0288967625300014</v>
      </c>
      <c r="R1120" t="s">
        <v>11038</v>
      </c>
      <c r="S1120" t="s">
        <v>10310</v>
      </c>
      <c r="W1120" s="2" t="s">
        <v>11198</v>
      </c>
    </row>
    <row r="1121" spans="1:23" hidden="1" x14ac:dyDescent="0.45">
      <c r="A1121" s="1" t="s">
        <v>1116</v>
      </c>
      <c r="E1121" t="s">
        <v>8973</v>
      </c>
      <c r="F1121" t="s">
        <v>10294</v>
      </c>
      <c r="G1121">
        <v>0</v>
      </c>
      <c r="H1121" t="s">
        <v>10310</v>
      </c>
      <c r="I1121" t="s">
        <v>10326</v>
      </c>
      <c r="L1121">
        <v>1963</v>
      </c>
      <c r="N1121">
        <v>46.146405848299999</v>
      </c>
      <c r="P1121">
        <v>7.0288967625300014</v>
      </c>
      <c r="R1121" t="s">
        <v>11038</v>
      </c>
      <c r="S1121" t="s">
        <v>10310</v>
      </c>
      <c r="W1121" s="2" t="s">
        <v>11198</v>
      </c>
    </row>
    <row r="1122" spans="1:23" hidden="1" x14ac:dyDescent="0.45">
      <c r="A1122" s="1" t="s">
        <v>1117</v>
      </c>
      <c r="E1122" t="s">
        <v>8974</v>
      </c>
      <c r="F1122" t="s">
        <v>10294</v>
      </c>
      <c r="G1122">
        <v>3.3</v>
      </c>
      <c r="H1122" t="s">
        <v>10310</v>
      </c>
      <c r="I1122" t="s">
        <v>10325</v>
      </c>
      <c r="L1122">
        <v>1981</v>
      </c>
      <c r="N1122">
        <v>46.181957058099997</v>
      </c>
      <c r="P1122">
        <v>7.0339384604799999</v>
      </c>
      <c r="R1122" t="s">
        <v>11038</v>
      </c>
      <c r="S1122" t="s">
        <v>10310</v>
      </c>
      <c r="W1122" s="2" t="s">
        <v>11198</v>
      </c>
    </row>
    <row r="1123" spans="1:23" hidden="1" x14ac:dyDescent="0.45">
      <c r="A1123" s="1" t="s">
        <v>1118</v>
      </c>
      <c r="E1123" t="s">
        <v>8975</v>
      </c>
      <c r="F1123" t="s">
        <v>10294</v>
      </c>
      <c r="G1123">
        <v>0.72</v>
      </c>
      <c r="H1123" t="s">
        <v>10310</v>
      </c>
      <c r="I1123" t="s">
        <v>10325</v>
      </c>
      <c r="L1123">
        <v>1998</v>
      </c>
      <c r="N1123">
        <v>46.181325721500002</v>
      </c>
      <c r="P1123">
        <v>7.0092074641999993</v>
      </c>
      <c r="R1123" t="s">
        <v>11038</v>
      </c>
      <c r="S1123" t="s">
        <v>10310</v>
      </c>
      <c r="V1123" t="s">
        <v>11145</v>
      </c>
      <c r="W1123" s="2" t="s">
        <v>11198</v>
      </c>
    </row>
    <row r="1124" spans="1:23" hidden="1" x14ac:dyDescent="0.45">
      <c r="A1124" s="1" t="s">
        <v>1119</v>
      </c>
      <c r="E1124" t="s">
        <v>1119</v>
      </c>
      <c r="F1124" t="s">
        <v>10294</v>
      </c>
      <c r="G1124">
        <v>90</v>
      </c>
      <c r="H1124" t="s">
        <v>10310</v>
      </c>
      <c r="I1124" t="s">
        <v>10325</v>
      </c>
      <c r="L1124">
        <v>1990</v>
      </c>
      <c r="N1124">
        <v>46.214444220799997</v>
      </c>
      <c r="P1124">
        <v>7.0129627051899996</v>
      </c>
      <c r="R1124" t="s">
        <v>11038</v>
      </c>
      <c r="S1124" t="s">
        <v>10310</v>
      </c>
      <c r="V1124" t="s">
        <v>11166</v>
      </c>
      <c r="W1124" s="2" t="s">
        <v>11198</v>
      </c>
    </row>
    <row r="1125" spans="1:23" hidden="1" x14ac:dyDescent="0.45">
      <c r="A1125" s="1" t="s">
        <v>1120</v>
      </c>
      <c r="E1125" t="s">
        <v>1120</v>
      </c>
      <c r="F1125" t="s">
        <v>10294</v>
      </c>
      <c r="G1125">
        <v>24</v>
      </c>
      <c r="H1125" t="s">
        <v>10310</v>
      </c>
      <c r="I1125" t="s">
        <v>10325</v>
      </c>
      <c r="L1125">
        <v>2004</v>
      </c>
      <c r="N1125">
        <v>46.2659833584</v>
      </c>
      <c r="P1125">
        <v>7.0617175648399986</v>
      </c>
      <c r="R1125" t="s">
        <v>11038</v>
      </c>
      <c r="S1125" t="s">
        <v>10310</v>
      </c>
      <c r="W1125" s="2" t="s">
        <v>11198</v>
      </c>
    </row>
    <row r="1126" spans="1:23" hidden="1" x14ac:dyDescent="0.45">
      <c r="A1126" s="1" t="s">
        <v>1121</v>
      </c>
      <c r="E1126" t="s">
        <v>8976</v>
      </c>
      <c r="F1126" t="s">
        <v>10294</v>
      </c>
      <c r="G1126">
        <v>8</v>
      </c>
      <c r="H1126" t="s">
        <v>10310</v>
      </c>
      <c r="I1126" t="s">
        <v>10325</v>
      </c>
      <c r="L1126">
        <v>1993</v>
      </c>
      <c r="N1126">
        <v>46.265099741899988</v>
      </c>
      <c r="P1126">
        <v>7.0401925822300004</v>
      </c>
      <c r="R1126" t="s">
        <v>11038</v>
      </c>
      <c r="S1126" t="s">
        <v>10310</v>
      </c>
      <c r="V1126" t="s">
        <v>11167</v>
      </c>
      <c r="W1126" s="2" t="s">
        <v>11198</v>
      </c>
    </row>
    <row r="1127" spans="1:23" hidden="1" x14ac:dyDescent="0.45">
      <c r="A1127" s="1" t="s">
        <v>1122</v>
      </c>
      <c r="E1127" t="s">
        <v>8976</v>
      </c>
      <c r="F1127" t="s">
        <v>10294</v>
      </c>
      <c r="G1127">
        <v>2.61</v>
      </c>
      <c r="H1127" t="s">
        <v>10310</v>
      </c>
      <c r="I1127" t="s">
        <v>10325</v>
      </c>
      <c r="L1127">
        <v>2013</v>
      </c>
      <c r="N1127">
        <v>46.265099741899988</v>
      </c>
      <c r="P1127">
        <v>7.0401925822300004</v>
      </c>
      <c r="R1127" t="s">
        <v>11038</v>
      </c>
      <c r="S1127" t="s">
        <v>10310</v>
      </c>
      <c r="V1127" t="s">
        <v>11168</v>
      </c>
      <c r="W1127" s="2" t="s">
        <v>11198</v>
      </c>
    </row>
    <row r="1128" spans="1:23" hidden="1" x14ac:dyDescent="0.45">
      <c r="A1128" s="1" t="s">
        <v>1123</v>
      </c>
      <c r="E1128" t="s">
        <v>8977</v>
      </c>
      <c r="F1128" t="s">
        <v>10294</v>
      </c>
      <c r="G1128">
        <v>1.9</v>
      </c>
      <c r="H1128" t="s">
        <v>10310</v>
      </c>
      <c r="I1128" t="s">
        <v>10325</v>
      </c>
      <c r="L1128">
        <v>1943</v>
      </c>
      <c r="N1128">
        <v>46.260381185599996</v>
      </c>
      <c r="P1128">
        <v>7.0288141273800004</v>
      </c>
      <c r="R1128" t="s">
        <v>11038</v>
      </c>
      <c r="S1128" t="s">
        <v>10310</v>
      </c>
      <c r="W1128" s="2" t="s">
        <v>11198</v>
      </c>
    </row>
    <row r="1129" spans="1:23" hidden="1" x14ac:dyDescent="0.45">
      <c r="A1129" s="1" t="s">
        <v>1124</v>
      </c>
      <c r="E1129" t="s">
        <v>8978</v>
      </c>
      <c r="F1129" t="s">
        <v>10294</v>
      </c>
      <c r="G1129">
        <v>0.97</v>
      </c>
      <c r="H1129" t="s">
        <v>10310</v>
      </c>
      <c r="I1129" t="s">
        <v>10325</v>
      </c>
      <c r="L1129">
        <v>1990</v>
      </c>
      <c r="N1129">
        <v>46.161762733000003</v>
      </c>
      <c r="P1129">
        <v>6.8591876672300014</v>
      </c>
      <c r="R1129" t="s">
        <v>11038</v>
      </c>
      <c r="S1129" t="s">
        <v>10310</v>
      </c>
      <c r="V1129" t="s">
        <v>11060</v>
      </c>
      <c r="W1129" s="2" t="s">
        <v>11198</v>
      </c>
    </row>
    <row r="1130" spans="1:23" hidden="1" x14ac:dyDescent="0.45">
      <c r="A1130" s="1" t="s">
        <v>1125</v>
      </c>
      <c r="E1130" t="s">
        <v>8979</v>
      </c>
      <c r="F1130" t="s">
        <v>10294</v>
      </c>
      <c r="G1130">
        <v>0.92</v>
      </c>
      <c r="H1130" t="s">
        <v>10310</v>
      </c>
      <c r="I1130" t="s">
        <v>10325</v>
      </c>
      <c r="L1130">
        <v>2005</v>
      </c>
      <c r="N1130">
        <v>46.186030869899987</v>
      </c>
      <c r="P1130">
        <v>6.8910497029600002</v>
      </c>
      <c r="R1130" t="s">
        <v>11038</v>
      </c>
      <c r="S1130" t="s">
        <v>10310</v>
      </c>
      <c r="W1130" s="2" t="s">
        <v>11198</v>
      </c>
    </row>
    <row r="1131" spans="1:23" hidden="1" x14ac:dyDescent="0.45">
      <c r="A1131" s="1" t="s">
        <v>1126</v>
      </c>
      <c r="E1131" t="s">
        <v>8980</v>
      </c>
      <c r="F1131" t="s">
        <v>10294</v>
      </c>
      <c r="G1131">
        <v>13.6</v>
      </c>
      <c r="H1131" t="s">
        <v>10310</v>
      </c>
      <c r="I1131" t="s">
        <v>10325</v>
      </c>
      <c r="L1131">
        <v>1999</v>
      </c>
      <c r="N1131">
        <v>46.249260207699997</v>
      </c>
      <c r="P1131">
        <v>6.9472070532200014</v>
      </c>
      <c r="R1131" t="s">
        <v>11038</v>
      </c>
      <c r="S1131" t="s">
        <v>10310</v>
      </c>
      <c r="V1131" t="s">
        <v>11071</v>
      </c>
      <c r="W1131" s="2" t="s">
        <v>11198</v>
      </c>
    </row>
    <row r="1132" spans="1:23" hidden="1" x14ac:dyDescent="0.45">
      <c r="A1132" s="1" t="s">
        <v>1127</v>
      </c>
      <c r="E1132" t="s">
        <v>8981</v>
      </c>
      <c r="F1132" t="s">
        <v>10294</v>
      </c>
      <c r="G1132">
        <v>9.8000000000000007</v>
      </c>
      <c r="H1132" t="s">
        <v>10310</v>
      </c>
      <c r="I1132" t="s">
        <v>10325</v>
      </c>
      <c r="L1132">
        <v>1994</v>
      </c>
      <c r="N1132">
        <v>46.249260207699997</v>
      </c>
      <c r="P1132">
        <v>6.9472070532200014</v>
      </c>
      <c r="R1132" t="s">
        <v>11038</v>
      </c>
      <c r="S1132" t="s">
        <v>10310</v>
      </c>
      <c r="V1132" t="s">
        <v>11112</v>
      </c>
      <c r="W1132" s="2" t="s">
        <v>11198</v>
      </c>
    </row>
    <row r="1133" spans="1:23" hidden="1" x14ac:dyDescent="0.45">
      <c r="A1133" s="1" t="s">
        <v>1128</v>
      </c>
      <c r="E1133" t="s">
        <v>8980</v>
      </c>
      <c r="F1133" t="s">
        <v>10294</v>
      </c>
      <c r="G1133">
        <v>0.4</v>
      </c>
      <c r="H1133" t="s">
        <v>10310</v>
      </c>
      <c r="I1133" t="s">
        <v>10325</v>
      </c>
      <c r="L1133">
        <v>1992</v>
      </c>
      <c r="N1133">
        <v>46.249608127899997</v>
      </c>
      <c r="P1133">
        <v>6.9444808418100008</v>
      </c>
      <c r="R1133" t="s">
        <v>11038</v>
      </c>
      <c r="S1133" t="s">
        <v>10310</v>
      </c>
      <c r="W1133" s="2" t="s">
        <v>11198</v>
      </c>
    </row>
    <row r="1134" spans="1:23" hidden="1" x14ac:dyDescent="0.45">
      <c r="A1134" s="1" t="s">
        <v>1129</v>
      </c>
      <c r="E1134" t="s">
        <v>8982</v>
      </c>
      <c r="F1134" t="s">
        <v>10294</v>
      </c>
      <c r="G1134">
        <v>0.42</v>
      </c>
      <c r="H1134" t="s">
        <v>10310</v>
      </c>
      <c r="I1134" t="s">
        <v>10325</v>
      </c>
      <c r="L1134">
        <v>2014</v>
      </c>
      <c r="R1134" t="s">
        <v>11038</v>
      </c>
      <c r="S1134" t="s">
        <v>10310</v>
      </c>
      <c r="V1134" t="s">
        <v>11060</v>
      </c>
      <c r="W1134" s="2" t="s">
        <v>11198</v>
      </c>
    </row>
    <row r="1135" spans="1:23" hidden="1" x14ac:dyDescent="0.45">
      <c r="A1135" s="1" t="s">
        <v>1130</v>
      </c>
      <c r="E1135" t="s">
        <v>8983</v>
      </c>
      <c r="F1135" t="s">
        <v>10294</v>
      </c>
      <c r="G1135">
        <v>5.4</v>
      </c>
      <c r="H1135" t="s">
        <v>10310</v>
      </c>
      <c r="I1135" t="s">
        <v>10326</v>
      </c>
      <c r="L1135">
        <v>1957</v>
      </c>
      <c r="N1135">
        <v>46.353064107500003</v>
      </c>
      <c r="P1135">
        <v>7.15465044855</v>
      </c>
      <c r="R1135" t="s">
        <v>11038</v>
      </c>
      <c r="S1135" t="s">
        <v>10310</v>
      </c>
      <c r="V1135" t="s">
        <v>11060</v>
      </c>
      <c r="W1135" s="2" t="s">
        <v>11198</v>
      </c>
    </row>
    <row r="1136" spans="1:23" hidden="1" x14ac:dyDescent="0.45">
      <c r="A1136" s="1" t="s">
        <v>1131</v>
      </c>
      <c r="E1136" t="s">
        <v>8984</v>
      </c>
      <c r="F1136" t="s">
        <v>10294</v>
      </c>
      <c r="G1136">
        <v>10.6</v>
      </c>
      <c r="H1136" t="s">
        <v>10310</v>
      </c>
      <c r="I1136" t="s">
        <v>10325</v>
      </c>
      <c r="L1136">
        <v>1991</v>
      </c>
      <c r="N1136">
        <v>46.348145567000003</v>
      </c>
      <c r="P1136">
        <v>7.0445180088699999</v>
      </c>
      <c r="R1136" t="s">
        <v>11038</v>
      </c>
      <c r="S1136" t="s">
        <v>10310</v>
      </c>
      <c r="W1136" s="2" t="s">
        <v>11198</v>
      </c>
    </row>
    <row r="1137" spans="1:23" hidden="1" x14ac:dyDescent="0.45">
      <c r="A1137" s="1" t="s">
        <v>1132</v>
      </c>
      <c r="E1137" t="s">
        <v>8985</v>
      </c>
      <c r="F1137" t="s">
        <v>10294</v>
      </c>
      <c r="G1137">
        <v>0.39</v>
      </c>
      <c r="H1137" t="s">
        <v>10310</v>
      </c>
      <c r="I1137" t="s">
        <v>10325</v>
      </c>
      <c r="L1137">
        <v>2013</v>
      </c>
      <c r="N1137">
        <v>46.347424565499999</v>
      </c>
      <c r="P1137">
        <v>7.0441335484800014</v>
      </c>
      <c r="R1137" t="s">
        <v>11038</v>
      </c>
      <c r="S1137" t="s">
        <v>10310</v>
      </c>
      <c r="W1137" s="2" t="s">
        <v>11198</v>
      </c>
    </row>
    <row r="1138" spans="1:23" hidden="1" x14ac:dyDescent="0.45">
      <c r="A1138" s="1" t="s">
        <v>1133</v>
      </c>
      <c r="E1138" t="s">
        <v>8986</v>
      </c>
      <c r="F1138" t="s">
        <v>10294</v>
      </c>
      <c r="G1138">
        <v>0.46</v>
      </c>
      <c r="H1138" t="s">
        <v>10310</v>
      </c>
      <c r="I1138" t="s">
        <v>10325</v>
      </c>
      <c r="L1138">
        <v>2000</v>
      </c>
      <c r="N1138">
        <v>46.327799456299999</v>
      </c>
      <c r="P1138">
        <v>7.0153186690699991</v>
      </c>
      <c r="R1138" t="s">
        <v>11038</v>
      </c>
      <c r="S1138" t="s">
        <v>10310</v>
      </c>
      <c r="V1138" t="s">
        <v>11060</v>
      </c>
      <c r="W1138" s="2" t="s">
        <v>11198</v>
      </c>
    </row>
    <row r="1139" spans="1:23" hidden="1" x14ac:dyDescent="0.45">
      <c r="A1139" s="1" t="s">
        <v>1134</v>
      </c>
      <c r="E1139" t="s">
        <v>8987</v>
      </c>
      <c r="F1139" t="s">
        <v>10294</v>
      </c>
      <c r="G1139">
        <v>20.3</v>
      </c>
      <c r="H1139" t="s">
        <v>10310</v>
      </c>
      <c r="I1139" t="s">
        <v>10325</v>
      </c>
      <c r="L1139">
        <v>1967</v>
      </c>
      <c r="R1139" t="s">
        <v>11038</v>
      </c>
      <c r="S1139" t="s">
        <v>10310</v>
      </c>
      <c r="W1139" s="2" t="s">
        <v>11198</v>
      </c>
    </row>
    <row r="1140" spans="1:23" hidden="1" x14ac:dyDescent="0.45">
      <c r="A1140" s="1" t="s">
        <v>1135</v>
      </c>
      <c r="E1140" t="s">
        <v>8988</v>
      </c>
      <c r="F1140" t="s">
        <v>10294</v>
      </c>
      <c r="G1140">
        <v>0.33</v>
      </c>
      <c r="H1140" t="s">
        <v>10310</v>
      </c>
      <c r="I1140" t="s">
        <v>10325</v>
      </c>
      <c r="L1140">
        <v>1997</v>
      </c>
      <c r="N1140">
        <v>46.317062632099997</v>
      </c>
      <c r="P1140">
        <v>6.9839836441199994</v>
      </c>
      <c r="R1140" t="s">
        <v>11038</v>
      </c>
      <c r="S1140" t="s">
        <v>10310</v>
      </c>
      <c r="V1140" t="s">
        <v>11169</v>
      </c>
      <c r="W1140" s="2" t="s">
        <v>11198</v>
      </c>
    </row>
    <row r="1141" spans="1:23" hidden="1" x14ac:dyDescent="0.45">
      <c r="A1141" s="1" t="s">
        <v>1136</v>
      </c>
      <c r="E1141" t="s">
        <v>8989</v>
      </c>
      <c r="F1141" t="s">
        <v>10294</v>
      </c>
      <c r="G1141">
        <v>2.2999999999999998</v>
      </c>
      <c r="H1141" t="s">
        <v>10310</v>
      </c>
      <c r="I1141" t="s">
        <v>10325</v>
      </c>
      <c r="L1141">
        <v>2018</v>
      </c>
      <c r="R1141" t="s">
        <v>11038</v>
      </c>
      <c r="S1141" t="s">
        <v>10310</v>
      </c>
      <c r="V1141" t="s">
        <v>11060</v>
      </c>
      <c r="W1141" s="2" t="s">
        <v>11198</v>
      </c>
    </row>
    <row r="1142" spans="1:23" hidden="1" x14ac:dyDescent="0.45">
      <c r="A1142" s="1" t="s">
        <v>1137</v>
      </c>
      <c r="E1142" t="s">
        <v>8990</v>
      </c>
      <c r="F1142" t="s">
        <v>10294</v>
      </c>
      <c r="G1142">
        <v>0.35</v>
      </c>
      <c r="H1142" t="s">
        <v>10310</v>
      </c>
      <c r="I1142" t="s">
        <v>10325</v>
      </c>
      <c r="L1142">
        <v>2009</v>
      </c>
      <c r="N1142">
        <v>46.387722478100002</v>
      </c>
      <c r="P1142">
        <v>6.80580981556</v>
      </c>
      <c r="R1142" t="s">
        <v>11038</v>
      </c>
      <c r="S1142" t="s">
        <v>10310</v>
      </c>
      <c r="W1142" s="2" t="s">
        <v>11198</v>
      </c>
    </row>
    <row r="1143" spans="1:23" hidden="1" x14ac:dyDescent="0.45">
      <c r="A1143" s="1" t="s">
        <v>1138</v>
      </c>
      <c r="E1143" t="s">
        <v>8991</v>
      </c>
      <c r="F1143" t="s">
        <v>10294</v>
      </c>
      <c r="G1143">
        <v>420</v>
      </c>
      <c r="H1143" t="s">
        <v>10310</v>
      </c>
      <c r="I1143" t="s">
        <v>10324</v>
      </c>
      <c r="L1143">
        <v>2016</v>
      </c>
      <c r="R1143" t="s">
        <v>11038</v>
      </c>
      <c r="S1143" t="s">
        <v>10310</v>
      </c>
      <c r="V1143" t="s">
        <v>11170</v>
      </c>
      <c r="W1143" s="2" t="s">
        <v>11198</v>
      </c>
    </row>
    <row r="1144" spans="1:23" hidden="1" x14ac:dyDescent="0.45">
      <c r="A1144" s="1" t="s">
        <v>1139</v>
      </c>
      <c r="E1144" t="s">
        <v>8992</v>
      </c>
      <c r="F1144" t="s">
        <v>10294</v>
      </c>
      <c r="G1144">
        <v>1.65</v>
      </c>
      <c r="H1144" t="s">
        <v>10310</v>
      </c>
      <c r="I1144" t="s">
        <v>10325</v>
      </c>
      <c r="L1144">
        <v>1971</v>
      </c>
      <c r="N1144">
        <v>46.440323133200003</v>
      </c>
      <c r="P1144">
        <v>6.9251716539899997</v>
      </c>
      <c r="R1144" t="s">
        <v>11038</v>
      </c>
      <c r="S1144" t="s">
        <v>10310</v>
      </c>
      <c r="W1144" s="2" t="s">
        <v>11198</v>
      </c>
    </row>
    <row r="1145" spans="1:23" hidden="1" x14ac:dyDescent="0.45">
      <c r="A1145" s="1" t="s">
        <v>1140</v>
      </c>
      <c r="E1145" t="s">
        <v>8993</v>
      </c>
      <c r="F1145" t="s">
        <v>10294</v>
      </c>
      <c r="G1145">
        <v>1.2</v>
      </c>
      <c r="H1145" t="s">
        <v>10310</v>
      </c>
      <c r="I1145" t="s">
        <v>10325</v>
      </c>
      <c r="L1145">
        <v>1996</v>
      </c>
      <c r="N1145">
        <v>46.433905489499999</v>
      </c>
      <c r="P1145">
        <v>6.9184667990299999</v>
      </c>
      <c r="R1145" t="s">
        <v>11038</v>
      </c>
      <c r="S1145" t="s">
        <v>10310</v>
      </c>
      <c r="W1145" s="2" t="s">
        <v>11198</v>
      </c>
    </row>
    <row r="1146" spans="1:23" hidden="1" x14ac:dyDescent="0.45">
      <c r="A1146" s="1" t="s">
        <v>1141</v>
      </c>
      <c r="E1146" t="s">
        <v>8994</v>
      </c>
      <c r="F1146" t="s">
        <v>10294</v>
      </c>
      <c r="G1146">
        <v>0.73</v>
      </c>
      <c r="H1146" t="s">
        <v>10310</v>
      </c>
      <c r="I1146" t="s">
        <v>10325</v>
      </c>
      <c r="L1146">
        <v>2014</v>
      </c>
      <c r="N1146">
        <v>46.474642528799997</v>
      </c>
      <c r="P1146">
        <v>6.7777090475300001</v>
      </c>
      <c r="R1146" t="s">
        <v>11038</v>
      </c>
      <c r="S1146" t="s">
        <v>10310</v>
      </c>
      <c r="W1146" s="2" t="s">
        <v>11198</v>
      </c>
    </row>
    <row r="1147" spans="1:23" hidden="1" x14ac:dyDescent="0.45">
      <c r="A1147" s="1" t="s">
        <v>1142</v>
      </c>
      <c r="E1147" t="s">
        <v>8995</v>
      </c>
      <c r="F1147" t="s">
        <v>10294</v>
      </c>
      <c r="G1147">
        <v>10.7</v>
      </c>
      <c r="H1147" t="s">
        <v>10310</v>
      </c>
      <c r="I1147" t="s">
        <v>10325</v>
      </c>
      <c r="L1147">
        <v>2001</v>
      </c>
      <c r="N1147">
        <v>46.499208969599998</v>
      </c>
      <c r="P1147">
        <v>6.3858086764999999</v>
      </c>
      <c r="R1147" t="s">
        <v>11038</v>
      </c>
      <c r="S1147" t="s">
        <v>10310</v>
      </c>
      <c r="W1147" s="2" t="s">
        <v>11198</v>
      </c>
    </row>
    <row r="1148" spans="1:23" hidden="1" x14ac:dyDescent="0.45">
      <c r="A1148" s="1" t="s">
        <v>1143</v>
      </c>
      <c r="E1148" t="s">
        <v>8996</v>
      </c>
      <c r="F1148" t="s">
        <v>10294</v>
      </c>
      <c r="G1148">
        <v>3.31</v>
      </c>
      <c r="H1148" t="s">
        <v>10310</v>
      </c>
      <c r="I1148" t="s">
        <v>10325</v>
      </c>
      <c r="L1148">
        <v>2008</v>
      </c>
      <c r="N1148">
        <v>46.488859945200012</v>
      </c>
      <c r="P1148">
        <v>6.4050267999299999</v>
      </c>
      <c r="R1148" t="s">
        <v>11038</v>
      </c>
      <c r="S1148" t="s">
        <v>10310</v>
      </c>
      <c r="W1148" s="2" t="s">
        <v>11198</v>
      </c>
    </row>
    <row r="1149" spans="1:23" hidden="1" x14ac:dyDescent="0.45">
      <c r="A1149" s="1" t="s">
        <v>1144</v>
      </c>
      <c r="E1149" t="s">
        <v>8997</v>
      </c>
      <c r="F1149" t="s">
        <v>10294</v>
      </c>
      <c r="G1149">
        <v>8.6999999999999993</v>
      </c>
      <c r="H1149" t="s">
        <v>10310</v>
      </c>
      <c r="I1149" t="s">
        <v>10325</v>
      </c>
      <c r="L1149">
        <v>1994</v>
      </c>
      <c r="N1149">
        <v>46.203119747700008</v>
      </c>
      <c r="P1149">
        <v>6.13447158551</v>
      </c>
      <c r="R1149" t="s">
        <v>11038</v>
      </c>
      <c r="S1149" t="s">
        <v>10310</v>
      </c>
      <c r="V1149" t="s">
        <v>11171</v>
      </c>
      <c r="W1149" s="2" t="s">
        <v>11198</v>
      </c>
    </row>
    <row r="1150" spans="1:23" hidden="1" x14ac:dyDescent="0.45">
      <c r="A1150" s="1" t="s">
        <v>1145</v>
      </c>
      <c r="E1150" t="s">
        <v>8998</v>
      </c>
      <c r="F1150" t="s">
        <v>10294</v>
      </c>
      <c r="G1150">
        <v>0.32</v>
      </c>
      <c r="H1150" t="s">
        <v>10310</v>
      </c>
      <c r="I1150" t="s">
        <v>10325</v>
      </c>
      <c r="L1150">
        <v>2007</v>
      </c>
      <c r="N1150">
        <v>46.179056739799996</v>
      </c>
      <c r="P1150">
        <v>6.170276834480001</v>
      </c>
      <c r="R1150" t="s">
        <v>11038</v>
      </c>
      <c r="S1150" t="s">
        <v>10310</v>
      </c>
      <c r="W1150" s="2" t="s">
        <v>11198</v>
      </c>
    </row>
    <row r="1151" spans="1:23" hidden="1" x14ac:dyDescent="0.45">
      <c r="A1151" s="1" t="s">
        <v>1146</v>
      </c>
      <c r="E1151" t="s">
        <v>8999</v>
      </c>
      <c r="F1151" t="s">
        <v>10294</v>
      </c>
      <c r="G1151">
        <v>102.8</v>
      </c>
      <c r="H1151" t="s">
        <v>10310</v>
      </c>
      <c r="I1151" t="s">
        <v>10325</v>
      </c>
      <c r="L1151">
        <v>1999</v>
      </c>
      <c r="N1151">
        <v>46.191394129199999</v>
      </c>
      <c r="P1151">
        <v>6.0273573406300009</v>
      </c>
      <c r="R1151" t="s">
        <v>11038</v>
      </c>
      <c r="S1151" t="s">
        <v>10310</v>
      </c>
      <c r="W1151" s="2" t="s">
        <v>11198</v>
      </c>
    </row>
    <row r="1152" spans="1:23" hidden="1" x14ac:dyDescent="0.45">
      <c r="A1152" s="1" t="s">
        <v>1147</v>
      </c>
      <c r="E1152" t="s">
        <v>9000</v>
      </c>
      <c r="F1152" t="s">
        <v>10294</v>
      </c>
      <c r="G1152">
        <v>54</v>
      </c>
      <c r="H1152" t="s">
        <v>10310</v>
      </c>
      <c r="I1152" t="s">
        <v>10325</v>
      </c>
      <c r="L1152">
        <v>2013</v>
      </c>
      <c r="N1152">
        <v>46.160425949399993</v>
      </c>
      <c r="P1152">
        <v>5.9764989749000001</v>
      </c>
      <c r="R1152" t="s">
        <v>11038</v>
      </c>
      <c r="S1152" t="s">
        <v>10310</v>
      </c>
      <c r="W1152" s="2" t="s">
        <v>11198</v>
      </c>
    </row>
    <row r="1153" spans="1:23" hidden="1" x14ac:dyDescent="0.45">
      <c r="A1153" s="1" t="s">
        <v>1148</v>
      </c>
      <c r="E1153" t="s">
        <v>9001</v>
      </c>
      <c r="F1153" t="s">
        <v>10294</v>
      </c>
      <c r="G1153">
        <v>0.48</v>
      </c>
      <c r="H1153" t="s">
        <v>10310</v>
      </c>
      <c r="I1153" t="s">
        <v>10325</v>
      </c>
      <c r="L1153">
        <v>2013</v>
      </c>
      <c r="N1153">
        <v>46.159316428500013</v>
      </c>
      <c r="P1153">
        <v>5.9741982260300004</v>
      </c>
      <c r="R1153" t="s">
        <v>11038</v>
      </c>
      <c r="S1153" t="s">
        <v>10310</v>
      </c>
      <c r="V1153" t="s">
        <v>11060</v>
      </c>
      <c r="W1153" s="2" t="s">
        <v>11198</v>
      </c>
    </row>
    <row r="1154" spans="1:23" hidden="1" x14ac:dyDescent="0.45">
      <c r="A1154" s="1" t="s">
        <v>1149</v>
      </c>
      <c r="E1154" t="s">
        <v>9002</v>
      </c>
      <c r="F1154" t="s">
        <v>10294</v>
      </c>
      <c r="G1154">
        <v>1.6</v>
      </c>
      <c r="H1154" t="s">
        <v>10310</v>
      </c>
      <c r="I1154" t="s">
        <v>10325</v>
      </c>
      <c r="L1154">
        <v>1984</v>
      </c>
      <c r="N1154">
        <v>47.052962993100003</v>
      </c>
      <c r="P1154">
        <v>6.7159451496799996</v>
      </c>
      <c r="R1154" t="s">
        <v>11038</v>
      </c>
      <c r="S1154" t="s">
        <v>10310</v>
      </c>
      <c r="V1154" t="s">
        <v>11172</v>
      </c>
      <c r="W1154" s="2" t="s">
        <v>11198</v>
      </c>
    </row>
    <row r="1155" spans="1:23" hidden="1" x14ac:dyDescent="0.45">
      <c r="A1155" s="1" t="s">
        <v>1150</v>
      </c>
      <c r="E1155" t="s">
        <v>9003</v>
      </c>
      <c r="F1155" t="s">
        <v>10294</v>
      </c>
      <c r="G1155">
        <v>1</v>
      </c>
      <c r="H1155" t="s">
        <v>10310</v>
      </c>
      <c r="I1155" t="s">
        <v>10325</v>
      </c>
      <c r="L1155">
        <v>2005</v>
      </c>
      <c r="N1155">
        <v>47.101443760200013</v>
      </c>
      <c r="P1155">
        <v>6.7444033766900002</v>
      </c>
      <c r="R1155" t="s">
        <v>11038</v>
      </c>
      <c r="S1155" t="s">
        <v>10310</v>
      </c>
      <c r="W1155" s="2" t="s">
        <v>11198</v>
      </c>
    </row>
    <row r="1156" spans="1:23" hidden="1" x14ac:dyDescent="0.45">
      <c r="A1156" s="1" t="s">
        <v>1151</v>
      </c>
      <c r="E1156" t="s">
        <v>9003</v>
      </c>
      <c r="F1156" t="s">
        <v>10294</v>
      </c>
      <c r="G1156">
        <v>31.6</v>
      </c>
      <c r="H1156" t="s">
        <v>10310</v>
      </c>
      <c r="I1156" t="s">
        <v>10325</v>
      </c>
      <c r="L1156">
        <v>1953</v>
      </c>
      <c r="N1156">
        <v>47.120958446700001</v>
      </c>
      <c r="P1156">
        <v>6.7739328574099993</v>
      </c>
      <c r="R1156" t="s">
        <v>11038</v>
      </c>
      <c r="S1156" t="s">
        <v>10310</v>
      </c>
      <c r="W1156" s="2" t="s">
        <v>11198</v>
      </c>
    </row>
    <row r="1157" spans="1:23" hidden="1" x14ac:dyDescent="0.45">
      <c r="A1157" s="1" t="s">
        <v>1152</v>
      </c>
      <c r="E1157" t="s">
        <v>9004</v>
      </c>
      <c r="F1157" t="s">
        <v>10294</v>
      </c>
      <c r="G1157">
        <v>12</v>
      </c>
      <c r="H1157" t="s">
        <v>10310</v>
      </c>
      <c r="I1157" t="s">
        <v>10325</v>
      </c>
      <c r="L1157">
        <v>1956</v>
      </c>
      <c r="N1157">
        <v>47.187693823900013</v>
      </c>
      <c r="P1157">
        <v>6.8731173717499994</v>
      </c>
      <c r="R1157" t="s">
        <v>11038</v>
      </c>
      <c r="S1157" t="s">
        <v>10310</v>
      </c>
      <c r="W1157" s="2" t="s">
        <v>11198</v>
      </c>
    </row>
    <row r="1158" spans="1:23" hidden="1" x14ac:dyDescent="0.45">
      <c r="A1158" s="1" t="s">
        <v>1153</v>
      </c>
      <c r="E1158" t="s">
        <v>9005</v>
      </c>
      <c r="F1158" t="s">
        <v>10294</v>
      </c>
      <c r="G1158">
        <v>5.6</v>
      </c>
      <c r="H1158" t="s">
        <v>10310</v>
      </c>
      <c r="I1158" t="s">
        <v>10325</v>
      </c>
      <c r="L1158">
        <v>1958</v>
      </c>
      <c r="N1158">
        <v>47.2287001901</v>
      </c>
      <c r="P1158">
        <v>6.9285383556899989</v>
      </c>
      <c r="R1158" t="s">
        <v>11038</v>
      </c>
      <c r="S1158" t="s">
        <v>10310</v>
      </c>
      <c r="V1158" t="s">
        <v>11173</v>
      </c>
      <c r="W1158" s="2" t="s">
        <v>11198</v>
      </c>
    </row>
    <row r="1159" spans="1:23" hidden="1" x14ac:dyDescent="0.45">
      <c r="A1159" s="1" t="s">
        <v>1154</v>
      </c>
      <c r="E1159" t="s">
        <v>9006</v>
      </c>
      <c r="F1159" t="s">
        <v>10294</v>
      </c>
      <c r="G1159">
        <v>1.27</v>
      </c>
      <c r="H1159" t="s">
        <v>10310</v>
      </c>
      <c r="I1159" t="s">
        <v>10325</v>
      </c>
      <c r="L1159">
        <v>2012</v>
      </c>
      <c r="N1159">
        <v>46.512636562499999</v>
      </c>
      <c r="P1159">
        <v>8.5383847721300015</v>
      </c>
      <c r="R1159" t="s">
        <v>11038</v>
      </c>
      <c r="S1159" t="s">
        <v>10310</v>
      </c>
      <c r="W1159" s="2" t="s">
        <v>11198</v>
      </c>
    </row>
    <row r="1160" spans="1:23" hidden="1" x14ac:dyDescent="0.45">
      <c r="A1160" s="1" t="s">
        <v>1155</v>
      </c>
      <c r="E1160" t="s">
        <v>9007</v>
      </c>
      <c r="F1160" t="s">
        <v>10294</v>
      </c>
      <c r="G1160">
        <v>1.93</v>
      </c>
      <c r="H1160" t="s">
        <v>10310</v>
      </c>
      <c r="I1160" t="s">
        <v>10326</v>
      </c>
      <c r="L1160">
        <v>1991</v>
      </c>
      <c r="N1160">
        <v>46.552463748800001</v>
      </c>
      <c r="P1160">
        <v>8.5866619032100004</v>
      </c>
      <c r="R1160" t="s">
        <v>11038</v>
      </c>
      <c r="S1160" t="s">
        <v>10310</v>
      </c>
      <c r="W1160" s="2" t="s">
        <v>11198</v>
      </c>
    </row>
    <row r="1161" spans="1:23" hidden="1" x14ac:dyDescent="0.45">
      <c r="A1161" s="1" t="s">
        <v>1156</v>
      </c>
      <c r="E1161" t="s">
        <v>9008</v>
      </c>
      <c r="F1161" t="s">
        <v>10294</v>
      </c>
      <c r="G1161">
        <v>60</v>
      </c>
      <c r="H1161" t="s">
        <v>10310</v>
      </c>
      <c r="I1161" t="s">
        <v>10326</v>
      </c>
      <c r="L1161">
        <v>1947</v>
      </c>
      <c r="N1161">
        <v>46.526351590099999</v>
      </c>
      <c r="P1161">
        <v>8.5977090091899999</v>
      </c>
      <c r="R1161" t="s">
        <v>11038</v>
      </c>
      <c r="S1161" t="s">
        <v>10310</v>
      </c>
      <c r="W1161" s="2" t="s">
        <v>11198</v>
      </c>
    </row>
    <row r="1162" spans="1:23" hidden="1" x14ac:dyDescent="0.45">
      <c r="A1162" s="1" t="s">
        <v>1156</v>
      </c>
      <c r="E1162" t="s">
        <v>9009</v>
      </c>
      <c r="F1162" t="s">
        <v>10294</v>
      </c>
      <c r="G1162">
        <v>0</v>
      </c>
      <c r="H1162" t="s">
        <v>10310</v>
      </c>
      <c r="I1162" t="s">
        <v>10326</v>
      </c>
      <c r="L1162">
        <v>1947</v>
      </c>
      <c r="N1162">
        <v>46.526351590099999</v>
      </c>
      <c r="P1162">
        <v>8.5977090091899999</v>
      </c>
      <c r="R1162" t="s">
        <v>11038</v>
      </c>
      <c r="S1162" t="s">
        <v>10310</v>
      </c>
      <c r="W1162" s="2" t="s">
        <v>11198</v>
      </c>
    </row>
    <row r="1163" spans="1:23" hidden="1" x14ac:dyDescent="0.45">
      <c r="A1163" s="1" t="s">
        <v>1157</v>
      </c>
      <c r="E1163" t="s">
        <v>9010</v>
      </c>
      <c r="F1163" t="s">
        <v>10294</v>
      </c>
      <c r="G1163">
        <v>3.6</v>
      </c>
      <c r="H1163" t="s">
        <v>10310</v>
      </c>
      <c r="I1163" t="s">
        <v>10325</v>
      </c>
      <c r="L1163">
        <v>1988</v>
      </c>
      <c r="N1163">
        <v>46.5194921171</v>
      </c>
      <c r="P1163">
        <v>8.6345754931999998</v>
      </c>
      <c r="R1163" t="s">
        <v>11038</v>
      </c>
      <c r="S1163" t="s">
        <v>10310</v>
      </c>
      <c r="V1163" t="s">
        <v>11060</v>
      </c>
      <c r="W1163" s="2" t="s">
        <v>11198</v>
      </c>
    </row>
    <row r="1164" spans="1:23" hidden="1" x14ac:dyDescent="0.45">
      <c r="A1164" s="1" t="s">
        <v>1158</v>
      </c>
      <c r="E1164" t="s">
        <v>9011</v>
      </c>
      <c r="F1164" t="s">
        <v>10294</v>
      </c>
      <c r="G1164">
        <v>44</v>
      </c>
      <c r="H1164" t="s">
        <v>10310</v>
      </c>
      <c r="I1164" t="s">
        <v>10326</v>
      </c>
      <c r="L1164">
        <v>1958</v>
      </c>
      <c r="N1164">
        <v>46.517256765100001</v>
      </c>
      <c r="P1164">
        <v>8.6753175640800002</v>
      </c>
      <c r="Q1164" t="s">
        <v>10559</v>
      </c>
      <c r="R1164" t="s">
        <v>11038</v>
      </c>
      <c r="S1164" t="s">
        <v>10310</v>
      </c>
      <c r="V1164" t="s">
        <v>11174</v>
      </c>
      <c r="W1164" s="2" t="s">
        <v>11198</v>
      </c>
    </row>
    <row r="1165" spans="1:23" hidden="1" x14ac:dyDescent="0.45">
      <c r="A1165" s="1" t="s">
        <v>1159</v>
      </c>
      <c r="E1165" t="s">
        <v>9011</v>
      </c>
      <c r="F1165" t="s">
        <v>10294</v>
      </c>
      <c r="G1165">
        <v>14</v>
      </c>
      <c r="H1165" t="s">
        <v>10310</v>
      </c>
      <c r="I1165" t="s">
        <v>10325</v>
      </c>
      <c r="L1165">
        <v>1968</v>
      </c>
      <c r="N1165">
        <v>46.517411110799998</v>
      </c>
      <c r="P1165">
        <v>8.6776669381199998</v>
      </c>
      <c r="Q1165" t="s">
        <v>10559</v>
      </c>
      <c r="R1165" t="s">
        <v>11038</v>
      </c>
      <c r="S1165" t="s">
        <v>10310</v>
      </c>
      <c r="W1165" s="2" t="s">
        <v>11198</v>
      </c>
    </row>
    <row r="1166" spans="1:23" hidden="1" x14ac:dyDescent="0.45">
      <c r="A1166" s="1" t="s">
        <v>1160</v>
      </c>
      <c r="E1166" t="s">
        <v>9012</v>
      </c>
      <c r="F1166" t="s">
        <v>10294</v>
      </c>
      <c r="G1166">
        <v>10</v>
      </c>
      <c r="H1166" t="s">
        <v>10310</v>
      </c>
      <c r="I1166" t="s">
        <v>10326</v>
      </c>
      <c r="L1166">
        <v>1925</v>
      </c>
      <c r="N1166">
        <v>46.490211436300001</v>
      </c>
      <c r="P1166">
        <v>8.7367042462600004</v>
      </c>
      <c r="Q1166" t="s">
        <v>10559</v>
      </c>
      <c r="R1166" t="s">
        <v>11038</v>
      </c>
      <c r="S1166" t="s">
        <v>10310</v>
      </c>
      <c r="W1166" s="2" t="s">
        <v>11198</v>
      </c>
    </row>
    <row r="1167" spans="1:23" hidden="1" x14ac:dyDescent="0.45">
      <c r="A1167" s="1" t="s">
        <v>1161</v>
      </c>
      <c r="E1167" t="s">
        <v>9013</v>
      </c>
      <c r="F1167" t="s">
        <v>10294</v>
      </c>
      <c r="G1167">
        <v>0.31</v>
      </c>
      <c r="H1167" t="s">
        <v>10310</v>
      </c>
      <c r="I1167" t="s">
        <v>10325</v>
      </c>
      <c r="L1167">
        <v>2008</v>
      </c>
      <c r="N1167">
        <v>46.480190595000003</v>
      </c>
      <c r="P1167">
        <v>8.7475343955899998</v>
      </c>
      <c r="Q1167" t="s">
        <v>10559</v>
      </c>
      <c r="R1167" t="s">
        <v>11038</v>
      </c>
      <c r="S1167" t="s">
        <v>10310</v>
      </c>
      <c r="W1167" s="2" t="s">
        <v>11198</v>
      </c>
    </row>
    <row r="1168" spans="1:23" hidden="1" x14ac:dyDescent="0.45">
      <c r="A1168" s="1" t="s">
        <v>1162</v>
      </c>
      <c r="E1168" t="s">
        <v>9014</v>
      </c>
      <c r="F1168" t="s">
        <v>10294</v>
      </c>
      <c r="G1168">
        <v>2</v>
      </c>
      <c r="H1168" t="s">
        <v>10310</v>
      </c>
      <c r="I1168" t="s">
        <v>10325</v>
      </c>
      <c r="L1168">
        <v>1950</v>
      </c>
      <c r="N1168">
        <v>46.485654459499997</v>
      </c>
      <c r="P1168">
        <v>8.7880442031800001</v>
      </c>
      <c r="R1168" t="s">
        <v>11038</v>
      </c>
      <c r="S1168" t="s">
        <v>10310</v>
      </c>
      <c r="W1168" s="2" t="s">
        <v>11198</v>
      </c>
    </row>
    <row r="1169" spans="1:23" hidden="1" x14ac:dyDescent="0.45">
      <c r="A1169" s="1" t="s">
        <v>1163</v>
      </c>
      <c r="E1169" t="s">
        <v>9015</v>
      </c>
      <c r="F1169" t="s">
        <v>10294</v>
      </c>
      <c r="G1169">
        <v>1</v>
      </c>
      <c r="H1169" t="s">
        <v>10310</v>
      </c>
      <c r="I1169" t="s">
        <v>10325</v>
      </c>
      <c r="L1169">
        <v>2000</v>
      </c>
      <c r="N1169">
        <v>46.466563784900003</v>
      </c>
      <c r="P1169">
        <v>8.7666058967600016</v>
      </c>
      <c r="R1169" t="s">
        <v>11038</v>
      </c>
      <c r="S1169" t="s">
        <v>10310</v>
      </c>
      <c r="W1169" s="2" t="s">
        <v>11198</v>
      </c>
    </row>
    <row r="1170" spans="1:23" hidden="1" x14ac:dyDescent="0.45">
      <c r="A1170" s="1" t="s">
        <v>1164</v>
      </c>
      <c r="E1170" t="s">
        <v>9016</v>
      </c>
      <c r="F1170" t="s">
        <v>10294</v>
      </c>
      <c r="G1170">
        <v>72.900000000000006</v>
      </c>
      <c r="H1170" t="s">
        <v>10310</v>
      </c>
      <c r="I1170" t="s">
        <v>10325</v>
      </c>
      <c r="L1170">
        <v>1958</v>
      </c>
      <c r="N1170">
        <v>46.438330957700003</v>
      </c>
      <c r="P1170">
        <v>8.8399633600600005</v>
      </c>
      <c r="R1170" t="s">
        <v>11038</v>
      </c>
      <c r="S1170" t="s">
        <v>10310</v>
      </c>
      <c r="W1170" s="2" t="s">
        <v>11198</v>
      </c>
    </row>
    <row r="1171" spans="1:23" hidden="1" x14ac:dyDescent="0.45">
      <c r="A1171" s="1" t="s">
        <v>1165</v>
      </c>
      <c r="E1171" t="s">
        <v>9017</v>
      </c>
      <c r="F1171" t="s">
        <v>10294</v>
      </c>
      <c r="G1171">
        <v>2.9</v>
      </c>
      <c r="H1171" t="s">
        <v>10310</v>
      </c>
      <c r="I1171" t="s">
        <v>10325</v>
      </c>
      <c r="L1171">
        <v>1998</v>
      </c>
      <c r="N1171">
        <v>46.419574283400003</v>
      </c>
      <c r="P1171">
        <v>8.8506670185900003</v>
      </c>
      <c r="R1171" t="s">
        <v>11038</v>
      </c>
      <c r="S1171" t="s">
        <v>10310</v>
      </c>
      <c r="W1171" s="2" t="s">
        <v>11198</v>
      </c>
    </row>
    <row r="1172" spans="1:23" hidden="1" x14ac:dyDescent="0.45">
      <c r="A1172" s="1" t="s">
        <v>1166</v>
      </c>
      <c r="E1172" t="s">
        <v>9018</v>
      </c>
      <c r="F1172" t="s">
        <v>10294</v>
      </c>
      <c r="G1172">
        <v>141</v>
      </c>
      <c r="H1172" t="s">
        <v>10310</v>
      </c>
      <c r="I1172" t="s">
        <v>10325</v>
      </c>
      <c r="L1172">
        <v>1974</v>
      </c>
      <c r="N1172">
        <v>46.364951210699999</v>
      </c>
      <c r="P1172">
        <v>8.9287853677699989</v>
      </c>
      <c r="Q1172" t="s">
        <v>10559</v>
      </c>
      <c r="R1172" t="s">
        <v>11038</v>
      </c>
      <c r="S1172" t="s">
        <v>10310</v>
      </c>
      <c r="W1172" s="2" t="s">
        <v>11198</v>
      </c>
    </row>
    <row r="1173" spans="1:23" hidden="1" x14ac:dyDescent="0.45">
      <c r="A1173" s="1" t="s">
        <v>1167</v>
      </c>
      <c r="E1173" t="s">
        <v>9019</v>
      </c>
      <c r="F1173" t="s">
        <v>10294</v>
      </c>
      <c r="G1173">
        <v>20</v>
      </c>
      <c r="H1173" t="s">
        <v>10310</v>
      </c>
      <c r="I1173" t="s">
        <v>10325</v>
      </c>
      <c r="L1173">
        <v>1963</v>
      </c>
      <c r="N1173">
        <v>46.565256077000001</v>
      </c>
      <c r="P1173">
        <v>8.960783160210001</v>
      </c>
      <c r="Q1173" t="s">
        <v>10570</v>
      </c>
      <c r="R1173" t="s">
        <v>11038</v>
      </c>
      <c r="S1173" t="s">
        <v>10310</v>
      </c>
      <c r="W1173" s="2" t="s">
        <v>11198</v>
      </c>
    </row>
    <row r="1174" spans="1:23" hidden="1" x14ac:dyDescent="0.45">
      <c r="A1174" s="1" t="s">
        <v>1168</v>
      </c>
      <c r="E1174" t="s">
        <v>1168</v>
      </c>
      <c r="F1174" t="s">
        <v>10294</v>
      </c>
      <c r="G1174">
        <v>102</v>
      </c>
      <c r="H1174" t="s">
        <v>10310</v>
      </c>
      <c r="I1174" t="s">
        <v>10326</v>
      </c>
      <c r="L1174">
        <v>1962</v>
      </c>
      <c r="N1174">
        <v>46.539679513599999</v>
      </c>
      <c r="P1174">
        <v>8.9491114485600001</v>
      </c>
      <c r="Q1174" t="s">
        <v>10570</v>
      </c>
      <c r="R1174" t="s">
        <v>11038</v>
      </c>
      <c r="S1174" t="s">
        <v>10310</v>
      </c>
      <c r="W1174" s="2" t="s">
        <v>11198</v>
      </c>
    </row>
    <row r="1175" spans="1:23" hidden="1" x14ac:dyDescent="0.45">
      <c r="A1175" s="1" t="s">
        <v>1169</v>
      </c>
      <c r="E1175" t="s">
        <v>1169</v>
      </c>
      <c r="F1175" t="s">
        <v>10294</v>
      </c>
      <c r="G1175">
        <v>324</v>
      </c>
      <c r="H1175" t="s">
        <v>10310</v>
      </c>
      <c r="I1175" t="s">
        <v>10326</v>
      </c>
      <c r="L1175">
        <v>2007</v>
      </c>
      <c r="N1175">
        <v>46.334988521600003</v>
      </c>
      <c r="P1175">
        <v>8.9826495993899993</v>
      </c>
      <c r="Q1175" t="s">
        <v>10570</v>
      </c>
      <c r="R1175" t="s">
        <v>11038</v>
      </c>
      <c r="S1175" t="s">
        <v>10310</v>
      </c>
      <c r="W1175" s="2" t="s">
        <v>11198</v>
      </c>
    </row>
    <row r="1176" spans="1:23" hidden="1" x14ac:dyDescent="0.45">
      <c r="A1176" s="1" t="s">
        <v>1170</v>
      </c>
      <c r="E1176" t="s">
        <v>9020</v>
      </c>
      <c r="F1176" t="s">
        <v>10294</v>
      </c>
      <c r="G1176">
        <v>20.9</v>
      </c>
      <c r="H1176" t="s">
        <v>10310</v>
      </c>
      <c r="I1176" t="s">
        <v>10326</v>
      </c>
      <c r="L1176">
        <v>1962</v>
      </c>
      <c r="N1176">
        <v>46.431134361999987</v>
      </c>
      <c r="P1176">
        <v>9.2069991042699986</v>
      </c>
      <c r="R1176" t="s">
        <v>11038</v>
      </c>
      <c r="S1176" t="s">
        <v>10310</v>
      </c>
      <c r="V1176" t="s">
        <v>11060</v>
      </c>
      <c r="W1176" s="2" t="s">
        <v>11198</v>
      </c>
    </row>
    <row r="1177" spans="1:23" hidden="1" x14ac:dyDescent="0.45">
      <c r="A1177" s="1" t="s">
        <v>1171</v>
      </c>
      <c r="E1177" t="s">
        <v>9020</v>
      </c>
      <c r="F1177" t="s">
        <v>10294</v>
      </c>
      <c r="G1177">
        <v>4.2</v>
      </c>
      <c r="H1177" t="s">
        <v>10310</v>
      </c>
      <c r="I1177" t="s">
        <v>10325</v>
      </c>
      <c r="L1177">
        <v>1963</v>
      </c>
      <c r="N1177">
        <v>46.431134361999987</v>
      </c>
      <c r="P1177">
        <v>9.2069991042699986</v>
      </c>
      <c r="R1177" t="s">
        <v>11038</v>
      </c>
      <c r="S1177" t="s">
        <v>10310</v>
      </c>
      <c r="V1177" t="s">
        <v>11060</v>
      </c>
      <c r="W1177" s="2" t="s">
        <v>11198</v>
      </c>
    </row>
    <row r="1178" spans="1:23" hidden="1" x14ac:dyDescent="0.45">
      <c r="A1178" s="1" t="s">
        <v>1172</v>
      </c>
      <c r="E1178" t="s">
        <v>9021</v>
      </c>
      <c r="F1178" t="s">
        <v>10294</v>
      </c>
      <c r="G1178">
        <v>0.35</v>
      </c>
      <c r="H1178" t="s">
        <v>10310</v>
      </c>
      <c r="I1178" t="s">
        <v>10325</v>
      </c>
      <c r="L1178">
        <v>2010</v>
      </c>
      <c r="N1178">
        <v>46.419635288899997</v>
      </c>
      <c r="P1178">
        <v>9.2344672392499998</v>
      </c>
      <c r="R1178" t="s">
        <v>11038</v>
      </c>
      <c r="S1178" t="s">
        <v>10310</v>
      </c>
      <c r="V1178" t="s">
        <v>11060</v>
      </c>
      <c r="W1178" s="2" t="s">
        <v>11198</v>
      </c>
    </row>
    <row r="1179" spans="1:23" hidden="1" x14ac:dyDescent="0.45">
      <c r="A1179" s="1" t="s">
        <v>1173</v>
      </c>
      <c r="E1179" t="s">
        <v>1173</v>
      </c>
      <c r="F1179" t="s">
        <v>10294</v>
      </c>
      <c r="G1179">
        <v>83</v>
      </c>
      <c r="H1179" t="s">
        <v>10310</v>
      </c>
      <c r="I1179" t="s">
        <v>10325</v>
      </c>
      <c r="L1179">
        <v>1961</v>
      </c>
      <c r="N1179">
        <v>46.342423904100002</v>
      </c>
      <c r="P1179">
        <v>9.2121663506500013</v>
      </c>
      <c r="R1179" t="s">
        <v>11038</v>
      </c>
      <c r="S1179" t="s">
        <v>10310</v>
      </c>
      <c r="W1179" s="2" t="s">
        <v>11198</v>
      </c>
    </row>
    <row r="1180" spans="1:23" hidden="1" x14ac:dyDescent="0.45">
      <c r="A1180" s="1" t="s">
        <v>1174</v>
      </c>
      <c r="E1180" t="s">
        <v>9022</v>
      </c>
      <c r="F1180" t="s">
        <v>10294</v>
      </c>
      <c r="G1180">
        <v>25</v>
      </c>
      <c r="H1180" t="s">
        <v>10310</v>
      </c>
      <c r="I1180" t="s">
        <v>10325</v>
      </c>
      <c r="L1180">
        <v>1958</v>
      </c>
      <c r="N1180">
        <v>46.321957660200013</v>
      </c>
      <c r="P1180">
        <v>9.2090307879199997</v>
      </c>
      <c r="R1180" t="s">
        <v>11038</v>
      </c>
      <c r="S1180" t="s">
        <v>10310</v>
      </c>
      <c r="W1180" s="2" t="s">
        <v>11198</v>
      </c>
    </row>
    <row r="1181" spans="1:23" hidden="1" x14ac:dyDescent="0.45">
      <c r="A1181" s="1" t="s">
        <v>1175</v>
      </c>
      <c r="E1181" t="s">
        <v>9023</v>
      </c>
      <c r="F1181" t="s">
        <v>10294</v>
      </c>
      <c r="G1181">
        <v>0.3</v>
      </c>
      <c r="H1181" t="s">
        <v>10310</v>
      </c>
      <c r="I1181" t="s">
        <v>10325</v>
      </c>
      <c r="L1181">
        <v>1987</v>
      </c>
      <c r="N1181">
        <v>46.285155654500002</v>
      </c>
      <c r="P1181">
        <v>9.1742183759100016</v>
      </c>
      <c r="R1181" t="s">
        <v>11038</v>
      </c>
      <c r="S1181" t="s">
        <v>10310</v>
      </c>
      <c r="W1181" s="2" t="s">
        <v>11198</v>
      </c>
    </row>
    <row r="1182" spans="1:23" hidden="1" x14ac:dyDescent="0.45">
      <c r="A1182" s="1" t="s">
        <v>1176</v>
      </c>
      <c r="E1182" t="s">
        <v>9024</v>
      </c>
      <c r="F1182" t="s">
        <v>10294</v>
      </c>
      <c r="G1182">
        <v>37.5</v>
      </c>
      <c r="H1182" t="s">
        <v>10310</v>
      </c>
      <c r="I1182" t="s">
        <v>10325</v>
      </c>
      <c r="L1182">
        <v>1965</v>
      </c>
      <c r="N1182">
        <v>46.242011995399999</v>
      </c>
      <c r="P1182">
        <v>9.1535200043499998</v>
      </c>
      <c r="R1182" t="s">
        <v>11038</v>
      </c>
      <c r="S1182" t="s">
        <v>10310</v>
      </c>
      <c r="W1182" s="2" t="s">
        <v>11198</v>
      </c>
    </row>
    <row r="1183" spans="1:23" hidden="1" x14ac:dyDescent="0.45">
      <c r="A1183" s="1" t="s">
        <v>1177</v>
      </c>
      <c r="E1183" t="s">
        <v>9025</v>
      </c>
      <c r="F1183" t="s">
        <v>10294</v>
      </c>
      <c r="G1183">
        <v>20.8</v>
      </c>
      <c r="H1183" t="s">
        <v>10310</v>
      </c>
      <c r="I1183" t="s">
        <v>10325</v>
      </c>
      <c r="L1183">
        <v>1951</v>
      </c>
      <c r="N1183">
        <v>46.239207950599997</v>
      </c>
      <c r="P1183">
        <v>9.1185496205399996</v>
      </c>
      <c r="R1183" t="s">
        <v>11038</v>
      </c>
      <c r="S1183" t="s">
        <v>10310</v>
      </c>
      <c r="W1183" s="2" t="s">
        <v>11198</v>
      </c>
    </row>
    <row r="1184" spans="1:23" hidden="1" x14ac:dyDescent="0.45">
      <c r="A1184" s="1" t="s">
        <v>1178</v>
      </c>
      <c r="E1184" t="s">
        <v>9026</v>
      </c>
      <c r="F1184" t="s">
        <v>10294</v>
      </c>
      <c r="G1184">
        <v>15.5</v>
      </c>
      <c r="H1184" t="s">
        <v>10310</v>
      </c>
      <c r="I1184" t="s">
        <v>10325</v>
      </c>
      <c r="L1184">
        <v>1970</v>
      </c>
      <c r="N1184">
        <v>46.168063608100013</v>
      </c>
      <c r="P1184">
        <v>9.0168995270700005</v>
      </c>
      <c r="R1184" t="s">
        <v>11038</v>
      </c>
      <c r="S1184" t="s">
        <v>10310</v>
      </c>
      <c r="W1184" s="2" t="s">
        <v>11198</v>
      </c>
    </row>
    <row r="1185" spans="1:23" hidden="1" x14ac:dyDescent="0.45">
      <c r="A1185" s="1" t="s">
        <v>1179</v>
      </c>
      <c r="E1185" t="s">
        <v>9027</v>
      </c>
      <c r="F1185" t="s">
        <v>10294</v>
      </c>
      <c r="G1185">
        <v>132.5</v>
      </c>
      <c r="H1185" t="s">
        <v>10310</v>
      </c>
      <c r="I1185" t="s">
        <v>10326</v>
      </c>
      <c r="L1185">
        <v>1965</v>
      </c>
      <c r="N1185">
        <v>46.194216775599998</v>
      </c>
      <c r="P1185">
        <v>8.8491011168600018</v>
      </c>
      <c r="R1185" t="s">
        <v>11038</v>
      </c>
      <c r="S1185" t="s">
        <v>10310</v>
      </c>
      <c r="W1185" s="2" t="s">
        <v>11198</v>
      </c>
    </row>
    <row r="1186" spans="1:23" hidden="1" x14ac:dyDescent="0.45">
      <c r="A1186" s="1" t="s">
        <v>1180</v>
      </c>
      <c r="E1186" t="s">
        <v>9028</v>
      </c>
      <c r="F1186" t="s">
        <v>10294</v>
      </c>
      <c r="G1186">
        <v>4.25</v>
      </c>
      <c r="H1186" t="s">
        <v>10310</v>
      </c>
      <c r="I1186" t="s">
        <v>10325</v>
      </c>
      <c r="L1186">
        <v>1972</v>
      </c>
      <c r="N1186">
        <v>46.181658232799997</v>
      </c>
      <c r="P1186">
        <v>8.8533094536700006</v>
      </c>
      <c r="R1186" t="s">
        <v>11038</v>
      </c>
      <c r="S1186" t="s">
        <v>10310</v>
      </c>
      <c r="W1186" s="2" t="s">
        <v>11198</v>
      </c>
    </row>
    <row r="1187" spans="1:23" hidden="1" x14ac:dyDescent="0.45">
      <c r="A1187" s="1" t="s">
        <v>1181</v>
      </c>
      <c r="E1187" t="s">
        <v>9029</v>
      </c>
      <c r="F1187" t="s">
        <v>10294</v>
      </c>
      <c r="G1187">
        <v>54</v>
      </c>
      <c r="H1187" t="s">
        <v>10310</v>
      </c>
      <c r="I1187" t="s">
        <v>10324</v>
      </c>
      <c r="L1187">
        <v>1955</v>
      </c>
      <c r="N1187">
        <v>46.415641866400001</v>
      </c>
      <c r="P1187">
        <v>8.6114740701199999</v>
      </c>
      <c r="Q1187" t="s">
        <v>10571</v>
      </c>
      <c r="R1187" t="s">
        <v>11038</v>
      </c>
      <c r="S1187" t="s">
        <v>10310</v>
      </c>
      <c r="V1187" t="s">
        <v>11060</v>
      </c>
      <c r="W1187" s="2" t="s">
        <v>11198</v>
      </c>
    </row>
    <row r="1188" spans="1:23" hidden="1" x14ac:dyDescent="0.45">
      <c r="A1188" s="1" t="s">
        <v>1182</v>
      </c>
      <c r="E1188" t="s">
        <v>9029</v>
      </c>
      <c r="F1188" t="s">
        <v>10294</v>
      </c>
      <c r="G1188">
        <v>0.98</v>
      </c>
      <c r="H1188" t="s">
        <v>10310</v>
      </c>
      <c r="I1188" t="s">
        <v>10325</v>
      </c>
      <c r="L1188">
        <v>1991</v>
      </c>
      <c r="N1188">
        <v>46.415641866400001</v>
      </c>
      <c r="P1188">
        <v>8.6114740701199999</v>
      </c>
      <c r="Q1188" t="s">
        <v>10571</v>
      </c>
      <c r="R1188" t="s">
        <v>11038</v>
      </c>
      <c r="S1188" t="s">
        <v>10310</v>
      </c>
      <c r="V1188" t="s">
        <v>11060</v>
      </c>
      <c r="W1188" s="2" t="s">
        <v>11198</v>
      </c>
    </row>
    <row r="1189" spans="1:23" hidden="1" x14ac:dyDescent="0.45">
      <c r="A1189" s="1" t="s">
        <v>1183</v>
      </c>
      <c r="E1189" t="s">
        <v>1183</v>
      </c>
      <c r="F1189" t="s">
        <v>10294</v>
      </c>
      <c r="G1189">
        <v>192</v>
      </c>
      <c r="H1189" t="s">
        <v>10310</v>
      </c>
      <c r="I1189" t="s">
        <v>10324</v>
      </c>
      <c r="L1189">
        <v>2016</v>
      </c>
      <c r="N1189">
        <v>46.444994789799992</v>
      </c>
      <c r="P1189">
        <v>8.5089015008200004</v>
      </c>
      <c r="Q1189" t="s">
        <v>10571</v>
      </c>
      <c r="R1189" t="s">
        <v>11038</v>
      </c>
      <c r="S1189" t="s">
        <v>10310</v>
      </c>
      <c r="V1189" t="s">
        <v>11060</v>
      </c>
      <c r="W1189" s="2" t="s">
        <v>11198</v>
      </c>
    </row>
    <row r="1190" spans="1:23" hidden="1" x14ac:dyDescent="0.45">
      <c r="A1190" s="1" t="s">
        <v>1184</v>
      </c>
      <c r="E1190" t="s">
        <v>9030</v>
      </c>
      <c r="F1190" t="s">
        <v>10294</v>
      </c>
      <c r="G1190">
        <v>140</v>
      </c>
      <c r="H1190" t="s">
        <v>10310</v>
      </c>
      <c r="I1190" t="s">
        <v>10326</v>
      </c>
      <c r="L1190">
        <v>1966</v>
      </c>
      <c r="N1190">
        <v>46.410353764600004</v>
      </c>
      <c r="P1190">
        <v>8.5376128454100009</v>
      </c>
      <c r="Q1190" t="s">
        <v>10571</v>
      </c>
      <c r="R1190" t="s">
        <v>11038</v>
      </c>
      <c r="S1190" t="s">
        <v>10310</v>
      </c>
      <c r="V1190" t="s">
        <v>11175</v>
      </c>
      <c r="W1190" s="2" t="s">
        <v>11198</v>
      </c>
    </row>
    <row r="1191" spans="1:23" hidden="1" x14ac:dyDescent="0.45">
      <c r="A1191" s="1" t="s">
        <v>1185</v>
      </c>
      <c r="E1191" t="s">
        <v>9031</v>
      </c>
      <c r="F1191" t="s">
        <v>10294</v>
      </c>
      <c r="G1191">
        <v>2.12</v>
      </c>
      <c r="H1191" t="s">
        <v>10310</v>
      </c>
      <c r="I1191" t="s">
        <v>10325</v>
      </c>
      <c r="L1191">
        <v>2016</v>
      </c>
      <c r="R1191" t="s">
        <v>11038</v>
      </c>
      <c r="S1191" t="s">
        <v>10310</v>
      </c>
      <c r="W1191" s="2" t="s">
        <v>11198</v>
      </c>
    </row>
    <row r="1192" spans="1:23" hidden="1" x14ac:dyDescent="0.45">
      <c r="A1192" s="1" t="s">
        <v>1186</v>
      </c>
      <c r="E1192" t="s">
        <v>1186</v>
      </c>
      <c r="F1192" t="s">
        <v>10294</v>
      </c>
      <c r="G1192">
        <v>114</v>
      </c>
      <c r="H1192" t="s">
        <v>10310</v>
      </c>
      <c r="I1192" t="s">
        <v>10326</v>
      </c>
      <c r="L1192">
        <v>1955</v>
      </c>
      <c r="N1192">
        <v>46.353641092399997</v>
      </c>
      <c r="P1192">
        <v>8.5953235334600002</v>
      </c>
      <c r="Q1192" t="s">
        <v>10571</v>
      </c>
      <c r="R1192" t="s">
        <v>11038</v>
      </c>
      <c r="S1192" t="s">
        <v>10310</v>
      </c>
      <c r="W1192" s="2" t="s">
        <v>11198</v>
      </c>
    </row>
    <row r="1193" spans="1:23" hidden="1" x14ac:dyDescent="0.45">
      <c r="A1193" s="1" t="s">
        <v>1187</v>
      </c>
      <c r="E1193" t="s">
        <v>9032</v>
      </c>
      <c r="F1193" t="s">
        <v>10294</v>
      </c>
      <c r="G1193">
        <v>119</v>
      </c>
      <c r="H1193" t="s">
        <v>10310</v>
      </c>
      <c r="I1193" t="s">
        <v>10326</v>
      </c>
      <c r="L1193">
        <v>1953</v>
      </c>
      <c r="N1193">
        <v>46.131824283</v>
      </c>
      <c r="P1193">
        <v>8.7167873534800009</v>
      </c>
      <c r="Q1193" t="s">
        <v>10571</v>
      </c>
      <c r="R1193" t="s">
        <v>11038</v>
      </c>
      <c r="S1193" t="s">
        <v>10310</v>
      </c>
      <c r="W1193" s="2" t="s">
        <v>11198</v>
      </c>
    </row>
    <row r="1194" spans="1:23" hidden="1" x14ac:dyDescent="0.45">
      <c r="A1194" s="1" t="s">
        <v>1188</v>
      </c>
      <c r="E1194" t="s">
        <v>9032</v>
      </c>
      <c r="F1194" t="s">
        <v>10294</v>
      </c>
      <c r="G1194">
        <v>62</v>
      </c>
      <c r="H1194" t="s">
        <v>10310</v>
      </c>
      <c r="I1194" t="s">
        <v>10326</v>
      </c>
      <c r="L1194">
        <v>1973</v>
      </c>
      <c r="N1194">
        <v>46.132176728700003</v>
      </c>
      <c r="P1194">
        <v>8.7174426384100006</v>
      </c>
      <c r="Q1194" t="s">
        <v>10571</v>
      </c>
      <c r="R1194" t="s">
        <v>11038</v>
      </c>
      <c r="S1194" t="s">
        <v>10310</v>
      </c>
      <c r="W1194" s="2" t="s">
        <v>11198</v>
      </c>
    </row>
    <row r="1195" spans="1:23" hidden="1" x14ac:dyDescent="0.45">
      <c r="A1195" s="1" t="s">
        <v>1189</v>
      </c>
      <c r="E1195" t="s">
        <v>9033</v>
      </c>
      <c r="F1195" t="s">
        <v>10294</v>
      </c>
      <c r="G1195">
        <v>1.38</v>
      </c>
      <c r="H1195" t="s">
        <v>10310</v>
      </c>
      <c r="I1195" t="s">
        <v>10325</v>
      </c>
      <c r="L1195">
        <v>2004</v>
      </c>
      <c r="N1195">
        <v>46.306577130400001</v>
      </c>
      <c r="P1195">
        <v>8.5516126453999988</v>
      </c>
      <c r="R1195" t="s">
        <v>11038</v>
      </c>
      <c r="S1195" t="s">
        <v>10310</v>
      </c>
      <c r="W1195" s="2" t="s">
        <v>11198</v>
      </c>
    </row>
    <row r="1196" spans="1:23" hidden="1" x14ac:dyDescent="0.45">
      <c r="A1196" s="1" t="s">
        <v>1190</v>
      </c>
      <c r="E1196" t="s">
        <v>9034</v>
      </c>
      <c r="F1196" t="s">
        <v>10294</v>
      </c>
      <c r="G1196">
        <v>8.94</v>
      </c>
      <c r="H1196" t="s">
        <v>10310</v>
      </c>
      <c r="I1196" t="s">
        <v>10325</v>
      </c>
      <c r="L1196">
        <v>1967</v>
      </c>
      <c r="N1196">
        <v>46.2824127218</v>
      </c>
      <c r="P1196">
        <v>8.6697188341300002</v>
      </c>
      <c r="R1196" t="s">
        <v>11038</v>
      </c>
      <c r="S1196" t="s">
        <v>10310</v>
      </c>
      <c r="W1196" s="2" t="s">
        <v>11198</v>
      </c>
    </row>
    <row r="1197" spans="1:23" hidden="1" x14ac:dyDescent="0.45">
      <c r="A1197" s="1" t="s">
        <v>1191</v>
      </c>
      <c r="E1197" t="s">
        <v>9035</v>
      </c>
      <c r="F1197" t="s">
        <v>10294</v>
      </c>
      <c r="G1197">
        <v>2.85</v>
      </c>
      <c r="H1197" t="s">
        <v>10310</v>
      </c>
      <c r="I1197" t="s">
        <v>10325</v>
      </c>
      <c r="L1197">
        <v>2018</v>
      </c>
      <c r="R1197" t="s">
        <v>11038</v>
      </c>
      <c r="S1197" t="s">
        <v>10310</v>
      </c>
      <c r="W1197" s="2" t="s">
        <v>11198</v>
      </c>
    </row>
    <row r="1198" spans="1:23" hidden="1" x14ac:dyDescent="0.45">
      <c r="A1198" s="1" t="s">
        <v>1192</v>
      </c>
      <c r="E1198" t="s">
        <v>9036</v>
      </c>
      <c r="F1198" t="s">
        <v>10294</v>
      </c>
      <c r="G1198">
        <v>3.1</v>
      </c>
      <c r="H1198" t="s">
        <v>10310</v>
      </c>
      <c r="I1198" t="s">
        <v>10325</v>
      </c>
      <c r="L1198">
        <v>1958</v>
      </c>
      <c r="N1198">
        <v>46.185590089999998</v>
      </c>
      <c r="P1198">
        <v>8.7512088932399994</v>
      </c>
      <c r="R1198" t="s">
        <v>11038</v>
      </c>
      <c r="S1198" t="s">
        <v>10310</v>
      </c>
      <c r="W1198" s="2" t="s">
        <v>11198</v>
      </c>
    </row>
    <row r="1199" spans="1:23" hidden="1" x14ac:dyDescent="0.45">
      <c r="A1199" s="1" t="s">
        <v>1193</v>
      </c>
      <c r="E1199" t="s">
        <v>9037</v>
      </c>
      <c r="F1199" t="s">
        <v>10294</v>
      </c>
      <c r="G1199">
        <v>5</v>
      </c>
      <c r="H1199" t="s">
        <v>10310</v>
      </c>
      <c r="I1199" t="s">
        <v>10325</v>
      </c>
      <c r="L1199">
        <v>1991</v>
      </c>
      <c r="N1199">
        <v>46.047992628000003</v>
      </c>
      <c r="P1199">
        <v>8.9746655602299992</v>
      </c>
      <c r="R1199" t="s">
        <v>11038</v>
      </c>
      <c r="S1199" t="s">
        <v>10310</v>
      </c>
      <c r="W1199" s="2" t="s">
        <v>11198</v>
      </c>
    </row>
    <row r="1200" spans="1:23" hidden="1" x14ac:dyDescent="0.45">
      <c r="A1200" s="1" t="s">
        <v>1194</v>
      </c>
      <c r="E1200" t="s">
        <v>1194</v>
      </c>
      <c r="F1200" t="s">
        <v>10294</v>
      </c>
      <c r="G1200">
        <v>0.84</v>
      </c>
      <c r="H1200" t="s">
        <v>10310</v>
      </c>
      <c r="I1200" t="s">
        <v>10325</v>
      </c>
      <c r="L1200">
        <v>2015</v>
      </c>
      <c r="N1200">
        <v>46.077433511899997</v>
      </c>
      <c r="P1200">
        <v>8.9125336869600016</v>
      </c>
      <c r="R1200" t="s">
        <v>11038</v>
      </c>
      <c r="S1200" t="s">
        <v>10310</v>
      </c>
      <c r="W1200" s="2" t="s">
        <v>11198</v>
      </c>
    </row>
    <row r="1201" spans="1:23" hidden="1" x14ac:dyDescent="0.45">
      <c r="A1201" s="1" t="s">
        <v>1195</v>
      </c>
      <c r="E1201" t="s">
        <v>9038</v>
      </c>
      <c r="F1201" t="s">
        <v>10294</v>
      </c>
      <c r="G1201">
        <v>0.95</v>
      </c>
      <c r="H1201" t="s">
        <v>10310</v>
      </c>
      <c r="I1201" t="s">
        <v>10325</v>
      </c>
      <c r="L1201">
        <v>1999</v>
      </c>
      <c r="N1201">
        <v>45.939445393699998</v>
      </c>
      <c r="P1201">
        <v>8.9776796766999993</v>
      </c>
      <c r="R1201" t="s">
        <v>11038</v>
      </c>
      <c r="S1201" t="s">
        <v>10310</v>
      </c>
      <c r="V1201" t="s">
        <v>11176</v>
      </c>
      <c r="W1201" s="2" t="s">
        <v>11198</v>
      </c>
    </row>
    <row r="1202" spans="1:23" hidden="1" x14ac:dyDescent="0.45">
      <c r="A1202" s="1" t="s">
        <v>1196</v>
      </c>
      <c r="E1202" t="s">
        <v>1196</v>
      </c>
      <c r="F1202" t="s">
        <v>10294</v>
      </c>
      <c r="G1202">
        <v>11.33</v>
      </c>
      <c r="H1202" t="s">
        <v>10310</v>
      </c>
      <c r="I1202" t="s">
        <v>10325</v>
      </c>
      <c r="L1202">
        <v>1986</v>
      </c>
      <c r="N1202">
        <v>46.188211533500002</v>
      </c>
      <c r="P1202">
        <v>8.0700669845000004</v>
      </c>
      <c r="R1202" t="s">
        <v>11038</v>
      </c>
      <c r="S1202" t="s">
        <v>10310</v>
      </c>
      <c r="W1202" s="2" t="s">
        <v>11198</v>
      </c>
    </row>
    <row r="1203" spans="1:23" hidden="1" x14ac:dyDescent="0.45">
      <c r="A1203" s="1" t="s">
        <v>1197</v>
      </c>
      <c r="E1203" t="s">
        <v>9039</v>
      </c>
      <c r="F1203" t="s">
        <v>10294</v>
      </c>
      <c r="G1203">
        <v>61</v>
      </c>
      <c r="H1203" t="s">
        <v>10310</v>
      </c>
      <c r="I1203" t="s">
        <v>10325</v>
      </c>
      <c r="L1203">
        <v>2017</v>
      </c>
      <c r="N1203">
        <v>46.196009214999997</v>
      </c>
      <c r="P1203">
        <v>8.1506042231000002</v>
      </c>
      <c r="R1203" t="s">
        <v>11038</v>
      </c>
      <c r="S1203" t="s">
        <v>10310</v>
      </c>
      <c r="W1203" s="2" t="s">
        <v>11198</v>
      </c>
    </row>
    <row r="1204" spans="1:23" hidden="1" x14ac:dyDescent="0.45">
      <c r="A1204" s="1" t="s">
        <v>1198</v>
      </c>
      <c r="E1204" t="s">
        <v>9040</v>
      </c>
      <c r="F1204" t="s">
        <v>10294</v>
      </c>
      <c r="G1204">
        <v>5.2</v>
      </c>
      <c r="H1204" t="s">
        <v>10310</v>
      </c>
      <c r="I1204" t="s">
        <v>10325</v>
      </c>
      <c r="L1204">
        <v>1979</v>
      </c>
      <c r="N1204">
        <v>46.149940988900013</v>
      </c>
      <c r="P1204">
        <v>8.1079366869300014</v>
      </c>
      <c r="R1204" t="s">
        <v>11038</v>
      </c>
      <c r="S1204" t="s">
        <v>10310</v>
      </c>
      <c r="W1204" s="2" t="s">
        <v>11198</v>
      </c>
    </row>
    <row r="1205" spans="1:23" hidden="1" x14ac:dyDescent="0.45">
      <c r="A1205" s="1" t="s">
        <v>1199</v>
      </c>
      <c r="E1205" t="s">
        <v>9041</v>
      </c>
      <c r="F1205" t="s">
        <v>10294</v>
      </c>
      <c r="G1205">
        <v>9.5</v>
      </c>
      <c r="H1205" t="s">
        <v>10310</v>
      </c>
      <c r="I1205" t="s">
        <v>10326</v>
      </c>
      <c r="L1205">
        <v>2004</v>
      </c>
      <c r="N1205">
        <v>46.372495043100002</v>
      </c>
      <c r="P1205">
        <v>10.0289744735</v>
      </c>
      <c r="R1205" t="s">
        <v>11038</v>
      </c>
      <c r="S1205" t="s">
        <v>10310</v>
      </c>
      <c r="W1205" s="2" t="s">
        <v>11198</v>
      </c>
    </row>
    <row r="1206" spans="1:23" hidden="1" x14ac:dyDescent="0.45">
      <c r="A1206" s="1" t="s">
        <v>1199</v>
      </c>
      <c r="E1206" t="s">
        <v>9042</v>
      </c>
      <c r="F1206" t="s">
        <v>10294</v>
      </c>
      <c r="G1206">
        <v>0</v>
      </c>
      <c r="H1206" t="s">
        <v>10310</v>
      </c>
      <c r="I1206" t="s">
        <v>10326</v>
      </c>
      <c r="L1206">
        <v>1923</v>
      </c>
      <c r="N1206">
        <v>46.372495043100002</v>
      </c>
      <c r="P1206">
        <v>10.0289744735</v>
      </c>
      <c r="R1206" t="s">
        <v>11038</v>
      </c>
      <c r="S1206" t="s">
        <v>10310</v>
      </c>
      <c r="W1206" s="2" t="s">
        <v>11198</v>
      </c>
    </row>
    <row r="1207" spans="1:23" hidden="1" x14ac:dyDescent="0.45">
      <c r="A1207" s="1" t="s">
        <v>1200</v>
      </c>
      <c r="E1207" t="s">
        <v>9043</v>
      </c>
      <c r="F1207" t="s">
        <v>10294</v>
      </c>
      <c r="G1207">
        <v>7</v>
      </c>
      <c r="H1207" t="s">
        <v>10310</v>
      </c>
      <c r="I1207" t="s">
        <v>10326</v>
      </c>
      <c r="L1207">
        <v>2016</v>
      </c>
      <c r="N1207">
        <v>46.368096876599999</v>
      </c>
      <c r="P1207">
        <v>10.0363058541</v>
      </c>
      <c r="R1207" t="s">
        <v>11038</v>
      </c>
      <c r="S1207" t="s">
        <v>10310</v>
      </c>
      <c r="V1207" t="s">
        <v>11177</v>
      </c>
      <c r="W1207" s="2" t="s">
        <v>11198</v>
      </c>
    </row>
    <row r="1208" spans="1:23" hidden="1" x14ac:dyDescent="0.45">
      <c r="A1208" s="1" t="s">
        <v>1201</v>
      </c>
      <c r="E1208" t="s">
        <v>9044</v>
      </c>
      <c r="F1208" t="s">
        <v>10294</v>
      </c>
      <c r="G1208">
        <v>27</v>
      </c>
      <c r="H1208" t="s">
        <v>10310</v>
      </c>
      <c r="I1208" t="s">
        <v>10326</v>
      </c>
      <c r="L1208">
        <v>2005</v>
      </c>
      <c r="N1208">
        <v>46.348264222700003</v>
      </c>
      <c r="P1208">
        <v>10.0610921706</v>
      </c>
      <c r="R1208" t="s">
        <v>11038</v>
      </c>
      <c r="S1208" t="s">
        <v>10310</v>
      </c>
      <c r="W1208" s="2" t="s">
        <v>11198</v>
      </c>
    </row>
    <row r="1209" spans="1:23" hidden="1" x14ac:dyDescent="0.45">
      <c r="A1209" s="1" t="s">
        <v>1202</v>
      </c>
      <c r="E1209" t="s">
        <v>9045</v>
      </c>
      <c r="F1209" t="s">
        <v>10294</v>
      </c>
      <c r="G1209">
        <v>0.51</v>
      </c>
      <c r="H1209" t="s">
        <v>10310</v>
      </c>
      <c r="I1209" t="s">
        <v>10325</v>
      </c>
      <c r="L1209">
        <v>2010</v>
      </c>
      <c r="N1209">
        <v>46.357645425400001</v>
      </c>
      <c r="P1209">
        <v>10.075715214700001</v>
      </c>
      <c r="R1209" t="s">
        <v>11038</v>
      </c>
      <c r="S1209" t="s">
        <v>10310</v>
      </c>
      <c r="V1209" t="s">
        <v>11060</v>
      </c>
      <c r="W1209" s="2" t="s">
        <v>11198</v>
      </c>
    </row>
    <row r="1210" spans="1:23" hidden="1" x14ac:dyDescent="0.45">
      <c r="A1210" s="1" t="s">
        <v>1203</v>
      </c>
      <c r="E1210" t="s">
        <v>9046</v>
      </c>
      <c r="F1210" t="s">
        <v>10294</v>
      </c>
      <c r="G1210">
        <v>50</v>
      </c>
      <c r="H1210" t="s">
        <v>10310</v>
      </c>
      <c r="I1210" t="s">
        <v>10326</v>
      </c>
      <c r="L1210">
        <v>2003</v>
      </c>
      <c r="N1210">
        <v>46.232187889199999</v>
      </c>
      <c r="P1210">
        <v>10.143694633400001</v>
      </c>
      <c r="R1210" t="s">
        <v>11038</v>
      </c>
      <c r="S1210" t="s">
        <v>10310</v>
      </c>
      <c r="W1210" s="2" t="s">
        <v>11198</v>
      </c>
    </row>
    <row r="1211" spans="1:23" hidden="1" x14ac:dyDescent="0.45">
      <c r="A1211" s="1" t="s">
        <v>1204</v>
      </c>
      <c r="E1211" t="s">
        <v>9046</v>
      </c>
      <c r="F1211" t="s">
        <v>10294</v>
      </c>
      <c r="G1211">
        <v>1.62</v>
      </c>
      <c r="H1211" t="s">
        <v>10310</v>
      </c>
      <c r="I1211" t="s">
        <v>10326</v>
      </c>
      <c r="L1211">
        <v>1950</v>
      </c>
      <c r="N1211">
        <v>46.230802111700001</v>
      </c>
      <c r="P1211">
        <v>10.1451821456</v>
      </c>
      <c r="R1211" t="s">
        <v>11038</v>
      </c>
      <c r="S1211" t="s">
        <v>10310</v>
      </c>
      <c r="W1211" s="2" t="s">
        <v>11198</v>
      </c>
    </row>
    <row r="1212" spans="1:23" hidden="1" x14ac:dyDescent="0.45">
      <c r="A1212" s="1" t="s">
        <v>1205</v>
      </c>
      <c r="E1212" t="s">
        <v>9047</v>
      </c>
      <c r="F1212" t="s">
        <v>10294</v>
      </c>
      <c r="G1212">
        <v>6.6</v>
      </c>
      <c r="H1212" t="s">
        <v>10310</v>
      </c>
      <c r="I1212" t="s">
        <v>10325</v>
      </c>
      <c r="L1212">
        <v>1961</v>
      </c>
      <c r="N1212">
        <v>46.380640118599999</v>
      </c>
      <c r="P1212">
        <v>9.6579632758500011</v>
      </c>
      <c r="R1212" t="s">
        <v>11038</v>
      </c>
      <c r="S1212" t="s">
        <v>10310</v>
      </c>
      <c r="W1212" s="2" t="s">
        <v>11198</v>
      </c>
    </row>
    <row r="1213" spans="1:23" hidden="1" x14ac:dyDescent="0.45">
      <c r="A1213" s="1" t="s">
        <v>1206</v>
      </c>
      <c r="E1213" t="s">
        <v>9047</v>
      </c>
      <c r="F1213" t="s">
        <v>10294</v>
      </c>
      <c r="G1213">
        <v>86</v>
      </c>
      <c r="H1213" t="s">
        <v>10310</v>
      </c>
      <c r="I1213" t="s">
        <v>10326</v>
      </c>
      <c r="L1213">
        <v>2004</v>
      </c>
      <c r="N1213">
        <v>46.374952212299988</v>
      </c>
      <c r="P1213">
        <v>9.6589008830199994</v>
      </c>
      <c r="R1213" t="s">
        <v>11038</v>
      </c>
      <c r="S1213" t="s">
        <v>10310</v>
      </c>
      <c r="V1213" t="s">
        <v>11178</v>
      </c>
      <c r="W1213" s="2" t="s">
        <v>11198</v>
      </c>
    </row>
    <row r="1214" spans="1:23" hidden="1" x14ac:dyDescent="0.45">
      <c r="A1214" s="1" t="s">
        <v>1207</v>
      </c>
      <c r="E1214" t="s">
        <v>1207</v>
      </c>
      <c r="F1214" t="s">
        <v>10294</v>
      </c>
      <c r="G1214">
        <v>0.5</v>
      </c>
      <c r="H1214" t="s">
        <v>10310</v>
      </c>
      <c r="I1214" t="s">
        <v>10325</v>
      </c>
      <c r="L1214">
        <v>1991</v>
      </c>
      <c r="N1214">
        <v>46.363896646299999</v>
      </c>
      <c r="P1214">
        <v>9.7126562223799997</v>
      </c>
      <c r="R1214" t="s">
        <v>11038</v>
      </c>
      <c r="S1214" t="s">
        <v>10310</v>
      </c>
      <c r="W1214" s="2" t="s">
        <v>11198</v>
      </c>
    </row>
    <row r="1215" spans="1:23" hidden="1" x14ac:dyDescent="0.45">
      <c r="A1215" s="1" t="s">
        <v>1208</v>
      </c>
      <c r="E1215" t="s">
        <v>9047</v>
      </c>
      <c r="F1215" t="s">
        <v>10294</v>
      </c>
      <c r="G1215">
        <v>9</v>
      </c>
      <c r="H1215" t="s">
        <v>10310</v>
      </c>
      <c r="I1215" t="s">
        <v>10325</v>
      </c>
      <c r="L1215">
        <v>1960</v>
      </c>
      <c r="N1215">
        <v>46.374952212299988</v>
      </c>
      <c r="P1215">
        <v>9.6589008830199994</v>
      </c>
      <c r="R1215" t="s">
        <v>11038</v>
      </c>
      <c r="S1215" t="s">
        <v>10310</v>
      </c>
      <c r="V1215" t="s">
        <v>11179</v>
      </c>
      <c r="W1215" s="2" t="s">
        <v>11198</v>
      </c>
    </row>
    <row r="1216" spans="1:23" hidden="1" x14ac:dyDescent="0.45">
      <c r="A1216" s="1" t="s">
        <v>1206</v>
      </c>
      <c r="E1216" t="s">
        <v>9047</v>
      </c>
      <c r="F1216" t="s">
        <v>10294</v>
      </c>
      <c r="G1216">
        <v>0</v>
      </c>
      <c r="H1216" t="s">
        <v>10310</v>
      </c>
      <c r="I1216" t="s">
        <v>10326</v>
      </c>
      <c r="L1216">
        <v>1967</v>
      </c>
      <c r="N1216">
        <v>46.374952212299988</v>
      </c>
      <c r="P1216">
        <v>9.6589008830199994</v>
      </c>
      <c r="R1216" t="s">
        <v>11038</v>
      </c>
      <c r="S1216" t="s">
        <v>10310</v>
      </c>
      <c r="V1216" t="s">
        <v>11180</v>
      </c>
      <c r="W1216" s="2" t="s">
        <v>11198</v>
      </c>
    </row>
    <row r="1217" spans="1:23" hidden="1" x14ac:dyDescent="0.45">
      <c r="A1217" s="1" t="s">
        <v>1206</v>
      </c>
      <c r="E1217" t="s">
        <v>9048</v>
      </c>
      <c r="F1217" t="s">
        <v>10294</v>
      </c>
      <c r="G1217">
        <v>0</v>
      </c>
      <c r="H1217" t="s">
        <v>10310</v>
      </c>
      <c r="I1217" t="s">
        <v>10326</v>
      </c>
      <c r="L1217">
        <v>1963</v>
      </c>
      <c r="N1217">
        <v>46.374952212299988</v>
      </c>
      <c r="P1217">
        <v>9.6589008830199994</v>
      </c>
      <c r="R1217" t="s">
        <v>11038</v>
      </c>
      <c r="S1217" t="s">
        <v>10310</v>
      </c>
      <c r="W1217" s="2" t="s">
        <v>11198</v>
      </c>
    </row>
    <row r="1218" spans="1:23" hidden="1" x14ac:dyDescent="0.45">
      <c r="A1218" s="1" t="s">
        <v>1209</v>
      </c>
      <c r="E1218" t="s">
        <v>9049</v>
      </c>
      <c r="F1218" t="s">
        <v>10294</v>
      </c>
      <c r="G1218">
        <v>0.51</v>
      </c>
      <c r="H1218" t="s">
        <v>10310</v>
      </c>
      <c r="I1218" t="s">
        <v>10325</v>
      </c>
      <c r="L1218">
        <v>2017</v>
      </c>
      <c r="R1218" t="s">
        <v>11038</v>
      </c>
      <c r="S1218" t="s">
        <v>10310</v>
      </c>
      <c r="W1218" s="2" t="s">
        <v>11198</v>
      </c>
    </row>
    <row r="1219" spans="1:23" hidden="1" x14ac:dyDescent="0.45">
      <c r="A1219" s="1" t="s">
        <v>1210</v>
      </c>
      <c r="E1219" t="s">
        <v>1210</v>
      </c>
      <c r="F1219" t="s">
        <v>10294</v>
      </c>
      <c r="G1219">
        <v>100</v>
      </c>
      <c r="H1219" t="s">
        <v>10310</v>
      </c>
      <c r="I1219" t="s">
        <v>10326</v>
      </c>
      <c r="L1219">
        <v>1980</v>
      </c>
      <c r="N1219">
        <v>46.3360981055</v>
      </c>
      <c r="P1219">
        <v>9.5154370077500001</v>
      </c>
      <c r="R1219" t="s">
        <v>11038</v>
      </c>
      <c r="S1219" t="s">
        <v>10310</v>
      </c>
      <c r="W1219" s="2" t="s">
        <v>11198</v>
      </c>
    </row>
    <row r="1220" spans="1:23" hidden="1" x14ac:dyDescent="0.45">
      <c r="A1220" s="1" t="s">
        <v>1211</v>
      </c>
      <c r="E1220" t="s">
        <v>1211</v>
      </c>
      <c r="F1220" t="s">
        <v>10294</v>
      </c>
      <c r="G1220">
        <v>1.47</v>
      </c>
      <c r="H1220" t="s">
        <v>10310</v>
      </c>
      <c r="I1220" t="s">
        <v>10325</v>
      </c>
      <c r="L1220">
        <v>1973</v>
      </c>
      <c r="N1220">
        <v>46.459624285600007</v>
      </c>
      <c r="P1220">
        <v>9.7933767320400005</v>
      </c>
      <c r="R1220" t="s">
        <v>11038</v>
      </c>
      <c r="S1220" t="s">
        <v>10310</v>
      </c>
      <c r="W1220" s="2" t="s">
        <v>11198</v>
      </c>
    </row>
    <row r="1221" spans="1:23" hidden="1" x14ac:dyDescent="0.45">
      <c r="A1221" s="1" t="s">
        <v>1212</v>
      </c>
      <c r="E1221" t="s">
        <v>9050</v>
      </c>
      <c r="F1221" t="s">
        <v>10294</v>
      </c>
      <c r="G1221">
        <v>0.96</v>
      </c>
      <c r="H1221" t="s">
        <v>10310</v>
      </c>
      <c r="I1221" t="s">
        <v>10325</v>
      </c>
      <c r="L1221">
        <v>2014</v>
      </c>
      <c r="N1221">
        <v>46.8050592146</v>
      </c>
      <c r="P1221">
        <v>10.328997363799999</v>
      </c>
      <c r="Q1221" t="s">
        <v>10572</v>
      </c>
      <c r="R1221" t="s">
        <v>11038</v>
      </c>
      <c r="S1221" t="s">
        <v>10310</v>
      </c>
      <c r="W1221" s="2" t="s">
        <v>11198</v>
      </c>
    </row>
    <row r="1222" spans="1:23" hidden="1" x14ac:dyDescent="0.45">
      <c r="A1222" s="1" t="s">
        <v>1213</v>
      </c>
      <c r="E1222" t="s">
        <v>9051</v>
      </c>
      <c r="F1222" t="s">
        <v>10294</v>
      </c>
      <c r="G1222">
        <v>4.4000000000000004</v>
      </c>
      <c r="H1222" t="s">
        <v>10310</v>
      </c>
      <c r="I1222" t="s">
        <v>10325</v>
      </c>
      <c r="L1222">
        <v>2007</v>
      </c>
      <c r="N1222">
        <v>46.505619584799987</v>
      </c>
      <c r="P1222">
        <v>9.8572890171300003</v>
      </c>
      <c r="R1222" t="s">
        <v>11038</v>
      </c>
      <c r="S1222" t="s">
        <v>10310</v>
      </c>
      <c r="W1222" s="2" t="s">
        <v>11198</v>
      </c>
    </row>
    <row r="1223" spans="1:23" hidden="1" x14ac:dyDescent="0.45">
      <c r="A1223" s="1" t="s">
        <v>1214</v>
      </c>
      <c r="E1223" t="s">
        <v>1214</v>
      </c>
      <c r="F1223" t="s">
        <v>10294</v>
      </c>
      <c r="G1223">
        <v>0.31</v>
      </c>
      <c r="H1223" t="s">
        <v>10310</v>
      </c>
      <c r="I1223" t="s">
        <v>10325</v>
      </c>
      <c r="L1223">
        <v>2003</v>
      </c>
      <c r="N1223">
        <v>46.511743188399997</v>
      </c>
      <c r="P1223">
        <v>9.878159146869999</v>
      </c>
      <c r="R1223" t="s">
        <v>11038</v>
      </c>
      <c r="S1223" t="s">
        <v>10310</v>
      </c>
      <c r="V1223" t="s">
        <v>11181</v>
      </c>
      <c r="W1223" s="2" t="s">
        <v>11198</v>
      </c>
    </row>
    <row r="1224" spans="1:23" hidden="1" x14ac:dyDescent="0.45">
      <c r="A1224" s="1" t="s">
        <v>1215</v>
      </c>
      <c r="E1224" t="s">
        <v>9052</v>
      </c>
      <c r="F1224" t="s">
        <v>10294</v>
      </c>
      <c r="G1224">
        <v>1.6</v>
      </c>
      <c r="H1224" t="s">
        <v>10310</v>
      </c>
      <c r="I1224" t="s">
        <v>10325</v>
      </c>
      <c r="L1224">
        <v>2016</v>
      </c>
      <c r="N1224">
        <v>46.452580337100002</v>
      </c>
      <c r="P1224">
        <v>9.9416468234700002</v>
      </c>
      <c r="R1224" t="s">
        <v>11038</v>
      </c>
      <c r="S1224" t="s">
        <v>10310</v>
      </c>
      <c r="W1224" s="2" t="s">
        <v>11198</v>
      </c>
    </row>
    <row r="1225" spans="1:23" hidden="1" x14ac:dyDescent="0.45">
      <c r="A1225" s="1" t="s">
        <v>1216</v>
      </c>
      <c r="E1225" t="s">
        <v>9053</v>
      </c>
      <c r="F1225" t="s">
        <v>10294</v>
      </c>
      <c r="G1225">
        <v>0.36</v>
      </c>
      <c r="H1225" t="s">
        <v>10310</v>
      </c>
      <c r="I1225" t="s">
        <v>10325</v>
      </c>
      <c r="L1225">
        <v>1992</v>
      </c>
      <c r="N1225">
        <v>46.5419232912</v>
      </c>
      <c r="P1225">
        <v>9.8934760125800008</v>
      </c>
      <c r="R1225" t="s">
        <v>11038</v>
      </c>
      <c r="S1225" t="s">
        <v>10310</v>
      </c>
      <c r="W1225" s="2" t="s">
        <v>11198</v>
      </c>
    </row>
    <row r="1226" spans="1:23" hidden="1" x14ac:dyDescent="0.45">
      <c r="A1226" s="1" t="s">
        <v>1217</v>
      </c>
      <c r="E1226" t="s">
        <v>1217</v>
      </c>
      <c r="F1226" t="s">
        <v>10294</v>
      </c>
      <c r="G1226">
        <v>1.56</v>
      </c>
      <c r="H1226" t="s">
        <v>10310</v>
      </c>
      <c r="I1226" t="s">
        <v>10325</v>
      </c>
      <c r="L1226">
        <v>1980</v>
      </c>
      <c r="N1226">
        <v>46.585270951200002</v>
      </c>
      <c r="P1226">
        <v>9.9363025201999999</v>
      </c>
      <c r="R1226" t="s">
        <v>11038</v>
      </c>
      <c r="S1226" t="s">
        <v>10310</v>
      </c>
      <c r="W1226" s="2" t="s">
        <v>11198</v>
      </c>
    </row>
    <row r="1227" spans="1:23" hidden="1" x14ac:dyDescent="0.45">
      <c r="A1227" s="1" t="s">
        <v>1218</v>
      </c>
      <c r="E1227" t="s">
        <v>9054</v>
      </c>
      <c r="F1227" t="s">
        <v>10294</v>
      </c>
      <c r="G1227">
        <v>5.86</v>
      </c>
      <c r="H1227" t="s">
        <v>10310</v>
      </c>
      <c r="I1227" t="s">
        <v>10325</v>
      </c>
      <c r="L1227">
        <v>2015</v>
      </c>
      <c r="N1227">
        <v>46.755193007599999</v>
      </c>
      <c r="P1227">
        <v>10.0840366722</v>
      </c>
      <c r="R1227" t="s">
        <v>11038</v>
      </c>
      <c r="S1227" t="s">
        <v>10310</v>
      </c>
      <c r="W1227" s="2" t="s">
        <v>11198</v>
      </c>
    </row>
    <row r="1228" spans="1:23" hidden="1" x14ac:dyDescent="0.45">
      <c r="A1228" s="1" t="s">
        <v>1219</v>
      </c>
      <c r="E1228" t="s">
        <v>9055</v>
      </c>
      <c r="F1228" t="s">
        <v>10294</v>
      </c>
      <c r="G1228">
        <v>3.07</v>
      </c>
      <c r="H1228" t="s">
        <v>10310</v>
      </c>
      <c r="I1228" t="s">
        <v>10325</v>
      </c>
      <c r="L1228">
        <v>2014</v>
      </c>
      <c r="N1228">
        <v>46.768977953100013</v>
      </c>
      <c r="P1228">
        <v>10.1143178662</v>
      </c>
      <c r="R1228" t="s">
        <v>11038</v>
      </c>
      <c r="S1228" t="s">
        <v>10310</v>
      </c>
      <c r="W1228" s="2" t="s">
        <v>11198</v>
      </c>
    </row>
    <row r="1229" spans="1:23" hidden="1" x14ac:dyDescent="0.45">
      <c r="A1229" s="1" t="s">
        <v>1220</v>
      </c>
      <c r="E1229" t="s">
        <v>9056</v>
      </c>
      <c r="F1229" t="s">
        <v>10294</v>
      </c>
      <c r="G1229">
        <v>0.35</v>
      </c>
      <c r="H1229" t="s">
        <v>10310</v>
      </c>
      <c r="I1229" t="s">
        <v>10325</v>
      </c>
      <c r="L1229">
        <v>1998</v>
      </c>
      <c r="N1229">
        <v>46.768482329399987</v>
      </c>
      <c r="P1229">
        <v>10.142980769299999</v>
      </c>
      <c r="R1229" t="s">
        <v>11038</v>
      </c>
      <c r="S1229" t="s">
        <v>10310</v>
      </c>
      <c r="V1229" t="s">
        <v>11060</v>
      </c>
      <c r="W1229" s="2" t="s">
        <v>11198</v>
      </c>
    </row>
    <row r="1230" spans="1:23" hidden="1" x14ac:dyDescent="0.45">
      <c r="A1230" s="1" t="s">
        <v>1221</v>
      </c>
      <c r="E1230" t="s">
        <v>9057</v>
      </c>
      <c r="F1230" t="s">
        <v>10294</v>
      </c>
      <c r="G1230">
        <v>6.6</v>
      </c>
      <c r="H1230" t="s">
        <v>10310</v>
      </c>
      <c r="I1230" t="s">
        <v>10325</v>
      </c>
      <c r="L1230">
        <v>2014</v>
      </c>
      <c r="N1230">
        <v>46.7776529012</v>
      </c>
      <c r="P1230">
        <v>10.2257209387</v>
      </c>
      <c r="R1230" t="s">
        <v>11038</v>
      </c>
      <c r="S1230" t="s">
        <v>10310</v>
      </c>
      <c r="W1230" s="2" t="s">
        <v>11198</v>
      </c>
    </row>
    <row r="1231" spans="1:23" hidden="1" x14ac:dyDescent="0.45">
      <c r="A1231" s="1" t="s">
        <v>1222</v>
      </c>
      <c r="E1231" t="s">
        <v>9058</v>
      </c>
      <c r="F1231" t="s">
        <v>10294</v>
      </c>
      <c r="G1231">
        <v>0.92</v>
      </c>
      <c r="H1231" t="s">
        <v>10310</v>
      </c>
      <c r="I1231" t="s">
        <v>10325</v>
      </c>
      <c r="L1231">
        <v>2010</v>
      </c>
      <c r="N1231">
        <v>46.789902983399998</v>
      </c>
      <c r="P1231">
        <v>10.2837559953</v>
      </c>
      <c r="R1231" t="s">
        <v>11038</v>
      </c>
      <c r="S1231" t="s">
        <v>10310</v>
      </c>
      <c r="V1231" t="s">
        <v>11060</v>
      </c>
      <c r="W1231" s="2" t="s">
        <v>11198</v>
      </c>
    </row>
    <row r="1232" spans="1:23" hidden="1" x14ac:dyDescent="0.45">
      <c r="A1232" s="1" t="s">
        <v>1223</v>
      </c>
      <c r="E1232" t="s">
        <v>9050</v>
      </c>
      <c r="F1232" t="s">
        <v>10294</v>
      </c>
      <c r="G1232">
        <v>1.9</v>
      </c>
      <c r="H1232" t="s">
        <v>10310</v>
      </c>
      <c r="I1232" t="s">
        <v>10325</v>
      </c>
      <c r="L1232">
        <v>2001</v>
      </c>
      <c r="N1232">
        <v>46.788494036099998</v>
      </c>
      <c r="P1232">
        <v>10.296917758999999</v>
      </c>
      <c r="R1232" t="s">
        <v>11038</v>
      </c>
      <c r="S1232" t="s">
        <v>10310</v>
      </c>
      <c r="W1232" s="2" t="s">
        <v>11198</v>
      </c>
    </row>
    <row r="1233" spans="1:23" hidden="1" x14ac:dyDescent="0.45">
      <c r="A1233" s="1" t="s">
        <v>1224</v>
      </c>
      <c r="E1233" t="s">
        <v>9059</v>
      </c>
      <c r="F1233" t="s">
        <v>10294</v>
      </c>
      <c r="G1233">
        <v>0.3</v>
      </c>
      <c r="H1233" t="s">
        <v>10310</v>
      </c>
      <c r="I1233" t="s">
        <v>10325</v>
      </c>
      <c r="L1233">
        <v>1994</v>
      </c>
      <c r="N1233">
        <v>46.870270247400001</v>
      </c>
      <c r="P1233">
        <v>10.4358013527</v>
      </c>
      <c r="R1233" t="s">
        <v>11038</v>
      </c>
      <c r="S1233" t="s">
        <v>10310</v>
      </c>
      <c r="V1233" t="s">
        <v>11060</v>
      </c>
      <c r="W1233" s="2" t="s">
        <v>11198</v>
      </c>
    </row>
    <row r="1234" spans="1:23" hidden="1" x14ac:dyDescent="0.45">
      <c r="A1234" s="1" t="s">
        <v>1225</v>
      </c>
      <c r="E1234" t="s">
        <v>9060</v>
      </c>
      <c r="F1234" t="s">
        <v>10294</v>
      </c>
      <c r="G1234">
        <v>0.46</v>
      </c>
      <c r="H1234" t="s">
        <v>10310</v>
      </c>
      <c r="I1234" t="s">
        <v>10325</v>
      </c>
      <c r="L1234">
        <v>2017</v>
      </c>
      <c r="R1234" t="s">
        <v>11038</v>
      </c>
      <c r="S1234" t="s">
        <v>10310</v>
      </c>
      <c r="W1234" s="2" t="s">
        <v>11198</v>
      </c>
    </row>
    <row r="1235" spans="1:23" hidden="1" x14ac:dyDescent="0.45">
      <c r="A1235" s="1" t="s">
        <v>1226</v>
      </c>
      <c r="E1235" t="s">
        <v>9061</v>
      </c>
      <c r="F1235" t="s">
        <v>10294</v>
      </c>
      <c r="G1235">
        <v>0.96</v>
      </c>
      <c r="H1235" t="s">
        <v>10310</v>
      </c>
      <c r="I1235" t="s">
        <v>10325</v>
      </c>
      <c r="L1235">
        <v>1970</v>
      </c>
      <c r="N1235">
        <v>46.960384617000003</v>
      </c>
      <c r="P1235">
        <v>10.421768158900001</v>
      </c>
      <c r="R1235" t="s">
        <v>11038</v>
      </c>
      <c r="S1235" t="s">
        <v>10310</v>
      </c>
      <c r="W1235" s="2" t="s">
        <v>11198</v>
      </c>
    </row>
    <row r="1236" spans="1:23" hidden="1" x14ac:dyDescent="0.45">
      <c r="A1236" s="1" t="s">
        <v>1227</v>
      </c>
      <c r="E1236" t="s">
        <v>9062</v>
      </c>
      <c r="F1236" t="s">
        <v>10294</v>
      </c>
      <c r="G1236">
        <v>2.8</v>
      </c>
      <c r="H1236" t="s">
        <v>10310</v>
      </c>
      <c r="I1236" t="s">
        <v>10325</v>
      </c>
      <c r="L1236">
        <v>1969</v>
      </c>
      <c r="N1236">
        <v>46.623444191499999</v>
      </c>
      <c r="P1236">
        <v>10.1932036115</v>
      </c>
      <c r="R1236" t="s">
        <v>11038</v>
      </c>
      <c r="S1236" t="s">
        <v>10310</v>
      </c>
      <c r="W1236" s="2" t="s">
        <v>11198</v>
      </c>
    </row>
    <row r="1237" spans="1:23" hidden="1" x14ac:dyDescent="0.45">
      <c r="A1237" s="1" t="s">
        <v>1228</v>
      </c>
      <c r="E1237" t="s">
        <v>9062</v>
      </c>
      <c r="F1237" t="s">
        <v>10294</v>
      </c>
      <c r="G1237">
        <v>54</v>
      </c>
      <c r="H1237" t="s">
        <v>10310</v>
      </c>
      <c r="I1237" t="s">
        <v>10324</v>
      </c>
      <c r="L1237">
        <v>1970</v>
      </c>
      <c r="N1237">
        <v>46.678258530599997</v>
      </c>
      <c r="P1237">
        <v>10.1444753501</v>
      </c>
      <c r="Q1237" t="s">
        <v>10572</v>
      </c>
      <c r="R1237" t="s">
        <v>11038</v>
      </c>
      <c r="S1237" t="s">
        <v>10310</v>
      </c>
      <c r="V1237" t="s">
        <v>11060</v>
      </c>
      <c r="W1237" s="2" t="s">
        <v>11198</v>
      </c>
    </row>
    <row r="1238" spans="1:23" hidden="1" x14ac:dyDescent="0.45">
      <c r="A1238" s="1" t="s">
        <v>1229</v>
      </c>
      <c r="E1238" t="s">
        <v>9062</v>
      </c>
      <c r="F1238" t="s">
        <v>10294</v>
      </c>
      <c r="G1238">
        <v>0.47</v>
      </c>
      <c r="H1238" t="s">
        <v>10310</v>
      </c>
      <c r="I1238" t="s">
        <v>10325</v>
      </c>
      <c r="L1238">
        <v>1969</v>
      </c>
      <c r="N1238">
        <v>46.678258530599997</v>
      </c>
      <c r="P1238">
        <v>10.1444753501</v>
      </c>
      <c r="Q1238" t="s">
        <v>10572</v>
      </c>
      <c r="R1238" t="s">
        <v>11038</v>
      </c>
      <c r="S1238" t="s">
        <v>10310</v>
      </c>
      <c r="W1238" s="2" t="s">
        <v>11198</v>
      </c>
    </row>
    <row r="1239" spans="1:23" hidden="1" x14ac:dyDescent="0.45">
      <c r="A1239" s="1" t="s">
        <v>1230</v>
      </c>
      <c r="E1239" t="s">
        <v>9050</v>
      </c>
      <c r="F1239" t="s">
        <v>10294</v>
      </c>
      <c r="G1239">
        <v>300</v>
      </c>
      <c r="H1239" t="s">
        <v>10310</v>
      </c>
      <c r="I1239" t="s">
        <v>10326</v>
      </c>
      <c r="L1239">
        <v>1970</v>
      </c>
      <c r="N1239">
        <v>46.804580253199987</v>
      </c>
      <c r="P1239">
        <v>10.3336910022</v>
      </c>
      <c r="Q1239" t="s">
        <v>10572</v>
      </c>
      <c r="R1239" t="s">
        <v>11038</v>
      </c>
      <c r="S1239" t="s">
        <v>10310</v>
      </c>
      <c r="W1239" s="2" t="s">
        <v>11198</v>
      </c>
    </row>
    <row r="1240" spans="1:23" hidden="1" x14ac:dyDescent="0.45">
      <c r="A1240" s="1" t="s">
        <v>1231</v>
      </c>
      <c r="E1240" t="s">
        <v>9063</v>
      </c>
      <c r="F1240" t="s">
        <v>10294</v>
      </c>
      <c r="G1240">
        <v>84</v>
      </c>
      <c r="H1240" t="s">
        <v>10310</v>
      </c>
      <c r="I1240" t="s">
        <v>10326</v>
      </c>
      <c r="L1240">
        <v>1994</v>
      </c>
      <c r="N1240">
        <v>46.882115538800001</v>
      </c>
      <c r="P1240">
        <v>10.4645577137</v>
      </c>
      <c r="Q1240" t="s">
        <v>10572</v>
      </c>
      <c r="R1240" t="s">
        <v>11038</v>
      </c>
      <c r="S1240" t="s">
        <v>10310</v>
      </c>
      <c r="W1240" s="2" t="s">
        <v>11198</v>
      </c>
    </row>
    <row r="1241" spans="1:23" hidden="1" x14ac:dyDescent="0.45">
      <c r="A1241" s="1" t="s">
        <v>1232</v>
      </c>
      <c r="E1241" t="s">
        <v>9064</v>
      </c>
      <c r="F1241" t="s">
        <v>10294</v>
      </c>
      <c r="G1241">
        <v>2</v>
      </c>
      <c r="H1241" t="s">
        <v>10310</v>
      </c>
      <c r="I1241" t="s">
        <v>10325</v>
      </c>
      <c r="L1241">
        <v>1995</v>
      </c>
      <c r="N1241">
        <v>46.596548695600013</v>
      </c>
      <c r="P1241">
        <v>10.427804545200001</v>
      </c>
      <c r="R1241" t="s">
        <v>11038</v>
      </c>
      <c r="S1241" t="s">
        <v>10310</v>
      </c>
      <c r="W1241" s="2" t="s">
        <v>11198</v>
      </c>
    </row>
    <row r="1242" spans="1:23" hidden="1" x14ac:dyDescent="0.45">
      <c r="A1242" s="1" t="s">
        <v>1233</v>
      </c>
      <c r="E1242" t="s">
        <v>9065</v>
      </c>
      <c r="F1242" t="s">
        <v>10294</v>
      </c>
      <c r="G1242">
        <v>1.07</v>
      </c>
      <c r="H1242" t="s">
        <v>10310</v>
      </c>
      <c r="I1242" t="s">
        <v>10325</v>
      </c>
      <c r="L1242">
        <v>1991</v>
      </c>
      <c r="N1242">
        <v>46.614013798000002</v>
      </c>
      <c r="P1242">
        <v>10.441442652799999</v>
      </c>
      <c r="R1242" t="s">
        <v>11038</v>
      </c>
      <c r="S1242" t="s">
        <v>10310</v>
      </c>
      <c r="W1242" s="2" t="s">
        <v>11198</v>
      </c>
    </row>
    <row r="1243" spans="1:23" hidden="1" x14ac:dyDescent="0.45">
      <c r="A1243" s="1" t="s">
        <v>791</v>
      </c>
      <c r="B1243" t="s">
        <v>6055</v>
      </c>
      <c r="E1243" t="s">
        <v>791</v>
      </c>
      <c r="F1243" t="s">
        <v>10294</v>
      </c>
      <c r="G1243">
        <v>390</v>
      </c>
      <c r="H1243" t="s">
        <v>10311</v>
      </c>
      <c r="I1243" t="s">
        <v>10323</v>
      </c>
      <c r="L1243">
        <v>1972</v>
      </c>
      <c r="N1243">
        <v>46.9691475017</v>
      </c>
      <c r="P1243">
        <v>7.2844939737399992</v>
      </c>
      <c r="R1243" t="s">
        <v>10311</v>
      </c>
      <c r="W1243" t="s">
        <v>11199</v>
      </c>
    </row>
    <row r="1244" spans="1:23" hidden="1" x14ac:dyDescent="0.45">
      <c r="A1244" s="1" t="s">
        <v>850</v>
      </c>
      <c r="B1244" t="s">
        <v>6056</v>
      </c>
      <c r="E1244" t="s">
        <v>9066</v>
      </c>
      <c r="F1244" t="s">
        <v>10294</v>
      </c>
      <c r="G1244">
        <v>1035</v>
      </c>
      <c r="H1244" t="s">
        <v>10311</v>
      </c>
      <c r="I1244" t="s">
        <v>10323</v>
      </c>
      <c r="L1244">
        <v>1979</v>
      </c>
      <c r="N1244">
        <v>47.369425142700003</v>
      </c>
      <c r="P1244">
        <v>7.9794546549800014</v>
      </c>
      <c r="R1244" t="s">
        <v>10311</v>
      </c>
      <c r="W1244" t="s">
        <v>11199</v>
      </c>
    </row>
    <row r="1245" spans="1:23" hidden="1" x14ac:dyDescent="0.45">
      <c r="A1245" s="1" t="s">
        <v>1234</v>
      </c>
      <c r="B1245" t="s">
        <v>6057</v>
      </c>
      <c r="E1245" t="s">
        <v>8802</v>
      </c>
      <c r="F1245" t="s">
        <v>10294</v>
      </c>
      <c r="G1245">
        <v>380</v>
      </c>
      <c r="H1245" t="s">
        <v>10311</v>
      </c>
      <c r="I1245" t="s">
        <v>10323</v>
      </c>
      <c r="L1245">
        <v>1969</v>
      </c>
      <c r="R1245" t="s">
        <v>10311</v>
      </c>
      <c r="W1245" t="s">
        <v>11199</v>
      </c>
    </row>
    <row r="1246" spans="1:23" hidden="1" x14ac:dyDescent="0.45">
      <c r="A1246" s="1" t="s">
        <v>1235</v>
      </c>
      <c r="B1246" t="s">
        <v>6057</v>
      </c>
      <c r="E1246" t="s">
        <v>8802</v>
      </c>
      <c r="F1246" t="s">
        <v>10294</v>
      </c>
      <c r="G1246">
        <v>380</v>
      </c>
      <c r="H1246" t="s">
        <v>10311</v>
      </c>
      <c r="I1246" t="s">
        <v>10323</v>
      </c>
      <c r="L1246">
        <v>1971</v>
      </c>
      <c r="R1246" t="s">
        <v>10311</v>
      </c>
      <c r="W1246" t="s">
        <v>11199</v>
      </c>
    </row>
    <row r="1247" spans="1:23" hidden="1" x14ac:dyDescent="0.45">
      <c r="A1247" s="1" t="s">
        <v>1236</v>
      </c>
      <c r="B1247" t="s">
        <v>6058</v>
      </c>
      <c r="E1247" t="s">
        <v>1236</v>
      </c>
      <c r="F1247" t="s">
        <v>10294</v>
      </c>
      <c r="G1247">
        <v>1245</v>
      </c>
      <c r="H1247" t="s">
        <v>10311</v>
      </c>
      <c r="I1247" t="s">
        <v>10323</v>
      </c>
      <c r="L1247">
        <v>1984</v>
      </c>
      <c r="R1247" t="s">
        <v>10311</v>
      </c>
      <c r="W1247" t="s">
        <v>11199</v>
      </c>
    </row>
    <row r="1248" spans="1:23" hidden="1" x14ac:dyDescent="0.45">
      <c r="A1248" s="1" t="s">
        <v>1237</v>
      </c>
      <c r="E1248" t="s">
        <v>9067</v>
      </c>
      <c r="F1248" t="s">
        <v>10295</v>
      </c>
      <c r="G1248">
        <v>395</v>
      </c>
      <c r="H1248" t="s">
        <v>10313</v>
      </c>
      <c r="N1248">
        <v>45.103830000000002</v>
      </c>
      <c r="P1248">
        <v>7.6130800000000001</v>
      </c>
      <c r="Q1248" t="s">
        <v>10573</v>
      </c>
      <c r="R1248" t="s">
        <v>11037</v>
      </c>
      <c r="S1248" t="s">
        <v>10313</v>
      </c>
      <c r="U1248" t="s">
        <v>11040</v>
      </c>
      <c r="W1248" s="2" t="s">
        <v>11200</v>
      </c>
    </row>
    <row r="1249" spans="1:23" hidden="1" x14ac:dyDescent="0.45">
      <c r="A1249" s="1" t="s">
        <v>1238</v>
      </c>
      <c r="E1249" t="s">
        <v>9068</v>
      </c>
      <c r="F1249" t="s">
        <v>10295</v>
      </c>
      <c r="G1249">
        <v>787</v>
      </c>
      <c r="H1249" t="s">
        <v>10313</v>
      </c>
      <c r="N1249">
        <v>45.56156</v>
      </c>
      <c r="P1249">
        <v>12.63364</v>
      </c>
      <c r="Q1249" t="s">
        <v>10574</v>
      </c>
      <c r="R1249" t="s">
        <v>11037</v>
      </c>
      <c r="S1249" t="s">
        <v>10313</v>
      </c>
      <c r="U1249" t="s">
        <v>11041</v>
      </c>
      <c r="W1249" s="2" t="s">
        <v>11200</v>
      </c>
    </row>
    <row r="1250" spans="1:23" hidden="1" x14ac:dyDescent="0.45">
      <c r="A1250" s="1" t="s">
        <v>1239</v>
      </c>
      <c r="E1250" t="s">
        <v>9069</v>
      </c>
      <c r="F1250" t="s">
        <v>10295</v>
      </c>
      <c r="G1250">
        <v>400</v>
      </c>
      <c r="H1250" t="s">
        <v>10313</v>
      </c>
      <c r="N1250">
        <v>40.502009999999999</v>
      </c>
      <c r="P1250">
        <v>17.21321</v>
      </c>
      <c r="Q1250" t="s">
        <v>10575</v>
      </c>
      <c r="R1250" t="s">
        <v>11037</v>
      </c>
      <c r="S1250" t="s">
        <v>10313</v>
      </c>
      <c r="U1250" t="s">
        <v>11042</v>
      </c>
      <c r="W1250" s="2" t="s">
        <v>11200</v>
      </c>
    </row>
    <row r="1251" spans="1:23" hidden="1" x14ac:dyDescent="0.45">
      <c r="A1251" s="1" t="s">
        <v>1240</v>
      </c>
      <c r="E1251" t="s">
        <v>9070</v>
      </c>
      <c r="F1251" t="s">
        <v>10295</v>
      </c>
      <c r="G1251">
        <v>125</v>
      </c>
      <c r="H1251" t="s">
        <v>10310</v>
      </c>
      <c r="N1251">
        <v>44.225729999999999</v>
      </c>
      <c r="P1251">
        <v>7.3901199999999996</v>
      </c>
      <c r="Q1251" t="s">
        <v>10576</v>
      </c>
      <c r="R1251" t="s">
        <v>11038</v>
      </c>
      <c r="S1251" t="s">
        <v>10310</v>
      </c>
      <c r="U1251" t="s">
        <v>11040</v>
      </c>
      <c r="W1251" s="2" t="s">
        <v>11200</v>
      </c>
    </row>
    <row r="1252" spans="1:23" hidden="1" x14ac:dyDescent="0.45">
      <c r="A1252" s="1" t="s">
        <v>1241</v>
      </c>
      <c r="E1252" t="s">
        <v>1241</v>
      </c>
      <c r="F1252" t="s">
        <v>10295</v>
      </c>
      <c r="G1252">
        <v>174.6</v>
      </c>
      <c r="H1252" t="s">
        <v>10313</v>
      </c>
      <c r="R1252" t="s">
        <v>11037</v>
      </c>
      <c r="S1252" t="s">
        <v>10313</v>
      </c>
      <c r="U1252" t="s">
        <v>11040</v>
      </c>
      <c r="W1252" s="2" t="s">
        <v>11200</v>
      </c>
    </row>
    <row r="1253" spans="1:23" hidden="1" x14ac:dyDescent="0.45">
      <c r="A1253" s="1" t="s">
        <v>1242</v>
      </c>
      <c r="E1253" t="s">
        <v>1242</v>
      </c>
      <c r="F1253" t="s">
        <v>10295</v>
      </c>
      <c r="G1253">
        <v>140</v>
      </c>
      <c r="H1253" t="s">
        <v>10313</v>
      </c>
      <c r="N1253">
        <v>44.594580000000001</v>
      </c>
      <c r="P1253">
        <v>7.4861500000000003</v>
      </c>
      <c r="Q1253" t="s">
        <v>10577</v>
      </c>
      <c r="R1253" t="s">
        <v>11037</v>
      </c>
      <c r="S1253" t="s">
        <v>10313</v>
      </c>
      <c r="U1253" t="s">
        <v>11040</v>
      </c>
      <c r="W1253" s="2" t="s">
        <v>11200</v>
      </c>
    </row>
    <row r="1254" spans="1:23" hidden="1" x14ac:dyDescent="0.45">
      <c r="A1254" s="1" t="s">
        <v>1243</v>
      </c>
      <c r="E1254" t="s">
        <v>1243</v>
      </c>
      <c r="F1254" t="s">
        <v>10295</v>
      </c>
      <c r="G1254">
        <v>1123</v>
      </c>
      <c r="H1254" t="s">
        <v>10313</v>
      </c>
      <c r="N1254">
        <v>45.185769999999998</v>
      </c>
      <c r="P1254">
        <v>7.9013800000000014</v>
      </c>
      <c r="Q1254" t="s">
        <v>10578</v>
      </c>
      <c r="R1254" t="s">
        <v>11037</v>
      </c>
      <c r="S1254" t="s">
        <v>10313</v>
      </c>
      <c r="U1254" t="s">
        <v>11040</v>
      </c>
      <c r="W1254" s="2" t="s">
        <v>11200</v>
      </c>
    </row>
    <row r="1255" spans="1:23" hidden="1" x14ac:dyDescent="0.45">
      <c r="A1255" s="1" t="s">
        <v>1244</v>
      </c>
      <c r="E1255" t="s">
        <v>9071</v>
      </c>
      <c r="F1255" t="s">
        <v>10295</v>
      </c>
      <c r="G1255">
        <v>804</v>
      </c>
      <c r="H1255" t="s">
        <v>10313</v>
      </c>
      <c r="N1255">
        <v>45.237540000000003</v>
      </c>
      <c r="P1255">
        <v>8.1924299999999999</v>
      </c>
      <c r="Q1255" t="s">
        <v>10579</v>
      </c>
      <c r="R1255" t="s">
        <v>11037</v>
      </c>
      <c r="S1255" t="s">
        <v>10313</v>
      </c>
      <c r="U1255" t="s">
        <v>11040</v>
      </c>
      <c r="W1255" s="2" t="s">
        <v>11200</v>
      </c>
    </row>
    <row r="1256" spans="1:23" hidden="1" x14ac:dyDescent="0.45">
      <c r="A1256" s="1" t="s">
        <v>1245</v>
      </c>
      <c r="E1256" t="s">
        <v>9070</v>
      </c>
      <c r="F1256" t="s">
        <v>10295</v>
      </c>
      <c r="G1256">
        <v>1064</v>
      </c>
      <c r="H1256" t="s">
        <v>10310</v>
      </c>
      <c r="N1256">
        <v>44.169449999999998</v>
      </c>
      <c r="P1256">
        <v>7.3320399999999992</v>
      </c>
      <c r="Q1256" t="s">
        <v>10580</v>
      </c>
      <c r="R1256" t="s">
        <v>11038</v>
      </c>
      <c r="S1256" t="s">
        <v>10310</v>
      </c>
      <c r="U1256" t="s">
        <v>11040</v>
      </c>
      <c r="W1256" s="2" t="s">
        <v>11200</v>
      </c>
    </row>
    <row r="1257" spans="1:23" hidden="1" x14ac:dyDescent="0.45">
      <c r="A1257" s="1" t="s">
        <v>1246</v>
      </c>
      <c r="E1257" t="s">
        <v>9067</v>
      </c>
      <c r="F1257" t="s">
        <v>10295</v>
      </c>
      <c r="G1257">
        <v>122</v>
      </c>
      <c r="H1257" t="s">
        <v>10313</v>
      </c>
      <c r="N1257">
        <v>45.07564</v>
      </c>
      <c r="P1257">
        <v>7.6110300000000004</v>
      </c>
      <c r="Q1257" t="s">
        <v>10581</v>
      </c>
      <c r="R1257" t="s">
        <v>11037</v>
      </c>
      <c r="S1257" t="s">
        <v>10313</v>
      </c>
      <c r="U1257" t="s">
        <v>11040</v>
      </c>
      <c r="W1257" s="2" t="s">
        <v>11200</v>
      </c>
    </row>
    <row r="1258" spans="1:23" hidden="1" x14ac:dyDescent="0.45">
      <c r="A1258" s="1" t="s">
        <v>1247</v>
      </c>
      <c r="E1258" t="s">
        <v>9072</v>
      </c>
      <c r="F1258" t="s">
        <v>10295</v>
      </c>
      <c r="G1258">
        <v>379.5</v>
      </c>
      <c r="H1258" t="s">
        <v>10313</v>
      </c>
      <c r="N1258">
        <v>45.162689999999998</v>
      </c>
      <c r="P1258">
        <v>7.7504499999999998</v>
      </c>
      <c r="Q1258" t="s">
        <v>10582</v>
      </c>
      <c r="R1258" t="s">
        <v>11037</v>
      </c>
      <c r="S1258" t="s">
        <v>10313</v>
      </c>
      <c r="U1258" t="s">
        <v>11040</v>
      </c>
      <c r="W1258" s="2" t="s">
        <v>11200</v>
      </c>
    </row>
    <row r="1259" spans="1:23" hidden="1" x14ac:dyDescent="0.45">
      <c r="A1259" s="1" t="s">
        <v>1248</v>
      </c>
      <c r="E1259" t="s">
        <v>1248</v>
      </c>
      <c r="F1259" t="s">
        <v>10295</v>
      </c>
      <c r="G1259">
        <v>780</v>
      </c>
      <c r="H1259" t="s">
        <v>10313</v>
      </c>
      <c r="N1259">
        <v>44.992930000000001</v>
      </c>
      <c r="P1259">
        <v>7.6754100000000003</v>
      </c>
      <c r="Q1259" t="s">
        <v>10583</v>
      </c>
      <c r="R1259" t="s">
        <v>11037</v>
      </c>
      <c r="S1259" t="s">
        <v>10313</v>
      </c>
      <c r="U1259" t="s">
        <v>11040</v>
      </c>
      <c r="W1259" s="2" t="s">
        <v>11200</v>
      </c>
    </row>
    <row r="1260" spans="1:23" hidden="1" x14ac:dyDescent="0.45">
      <c r="A1260" s="1" t="s">
        <v>1249</v>
      </c>
      <c r="E1260" t="s">
        <v>1252</v>
      </c>
      <c r="F1260" t="s">
        <v>10295</v>
      </c>
      <c r="G1260">
        <v>150</v>
      </c>
      <c r="H1260" t="s">
        <v>10310</v>
      </c>
      <c r="N1260">
        <v>45.141298999999997</v>
      </c>
      <c r="P1260">
        <v>6.9627860000000004</v>
      </c>
      <c r="Q1260" t="s">
        <v>10584</v>
      </c>
      <c r="R1260" t="s">
        <v>11038</v>
      </c>
      <c r="S1260" t="s">
        <v>10310</v>
      </c>
      <c r="U1260" t="s">
        <v>11040</v>
      </c>
      <c r="W1260" s="2" t="s">
        <v>11200</v>
      </c>
    </row>
    <row r="1261" spans="1:23" hidden="1" x14ac:dyDescent="0.45">
      <c r="A1261" s="1" t="s">
        <v>1250</v>
      </c>
      <c r="E1261" t="s">
        <v>9073</v>
      </c>
      <c r="F1261" t="s">
        <v>10295</v>
      </c>
      <c r="G1261">
        <v>135</v>
      </c>
      <c r="H1261" t="s">
        <v>10310</v>
      </c>
      <c r="N1261">
        <v>45.435347999999998</v>
      </c>
      <c r="P1261">
        <v>7.4184659999999996</v>
      </c>
      <c r="Q1261" t="s">
        <v>10585</v>
      </c>
      <c r="R1261" t="s">
        <v>11038</v>
      </c>
      <c r="S1261" t="s">
        <v>10310</v>
      </c>
      <c r="U1261" t="s">
        <v>11040</v>
      </c>
      <c r="W1261" s="2" t="s">
        <v>11200</v>
      </c>
    </row>
    <row r="1262" spans="1:23" hidden="1" x14ac:dyDescent="0.45">
      <c r="A1262" s="1" t="s">
        <v>1251</v>
      </c>
      <c r="E1262" t="s">
        <v>1251</v>
      </c>
      <c r="F1262" t="s">
        <v>10295</v>
      </c>
      <c r="G1262">
        <v>710.2</v>
      </c>
      <c r="H1262" t="s">
        <v>10313</v>
      </c>
      <c r="R1262" t="s">
        <v>11037</v>
      </c>
      <c r="S1262" t="s">
        <v>10313</v>
      </c>
      <c r="U1262" t="s">
        <v>11040</v>
      </c>
      <c r="W1262" s="2" t="s">
        <v>11200</v>
      </c>
    </row>
    <row r="1263" spans="1:23" hidden="1" x14ac:dyDescent="0.45">
      <c r="A1263" s="1" t="s">
        <v>1252</v>
      </c>
      <c r="E1263" t="s">
        <v>1252</v>
      </c>
      <c r="F1263" t="s">
        <v>10295</v>
      </c>
      <c r="G1263">
        <v>230</v>
      </c>
      <c r="H1263" t="s">
        <v>10310</v>
      </c>
      <c r="N1263">
        <v>45.161887</v>
      </c>
      <c r="P1263">
        <v>7.0083960000000003</v>
      </c>
      <c r="Q1263" t="s">
        <v>10586</v>
      </c>
      <c r="R1263" t="s">
        <v>11038</v>
      </c>
      <c r="S1263" t="s">
        <v>10310</v>
      </c>
      <c r="U1263" t="s">
        <v>11040</v>
      </c>
      <c r="W1263" s="2" t="s">
        <v>11200</v>
      </c>
    </row>
    <row r="1264" spans="1:23" hidden="1" x14ac:dyDescent="0.45">
      <c r="A1264" s="1" t="s">
        <v>1253</v>
      </c>
      <c r="E1264" t="s">
        <v>1253</v>
      </c>
      <c r="F1264" t="s">
        <v>10295</v>
      </c>
      <c r="G1264">
        <v>126</v>
      </c>
      <c r="H1264" t="s">
        <v>10310</v>
      </c>
      <c r="N1264">
        <v>45.700913</v>
      </c>
      <c r="P1264">
        <v>7.1930589999999999</v>
      </c>
      <c r="Q1264" t="s">
        <v>10587</v>
      </c>
      <c r="R1264" t="s">
        <v>11038</v>
      </c>
      <c r="S1264" t="s">
        <v>10310</v>
      </c>
      <c r="U1264" t="s">
        <v>11040</v>
      </c>
      <c r="W1264" s="2" t="s">
        <v>11200</v>
      </c>
    </row>
    <row r="1265" spans="1:23" hidden="1" x14ac:dyDescent="0.45">
      <c r="A1265" s="1" t="s">
        <v>1254</v>
      </c>
      <c r="E1265" t="s">
        <v>1254</v>
      </c>
      <c r="F1265" t="s">
        <v>10295</v>
      </c>
      <c r="G1265">
        <v>130</v>
      </c>
      <c r="H1265" t="s">
        <v>10310</v>
      </c>
      <c r="N1265">
        <v>45.825196000000012</v>
      </c>
      <c r="P1265">
        <v>7.3331630000000008</v>
      </c>
      <c r="Q1265" t="s">
        <v>10588</v>
      </c>
      <c r="R1265" t="s">
        <v>11038</v>
      </c>
      <c r="S1265" t="s">
        <v>10310</v>
      </c>
      <c r="U1265" t="s">
        <v>11040</v>
      </c>
      <c r="W1265" s="2" t="s">
        <v>11200</v>
      </c>
    </row>
    <row r="1266" spans="1:23" hidden="1" x14ac:dyDescent="0.45">
      <c r="A1266" s="1" t="s">
        <v>1255</v>
      </c>
      <c r="E1266" t="s">
        <v>9074</v>
      </c>
      <c r="F1266" t="s">
        <v>10295</v>
      </c>
      <c r="G1266">
        <v>969.06999999999994</v>
      </c>
      <c r="H1266" t="s">
        <v>10313</v>
      </c>
      <c r="N1266">
        <v>45.512340000000002</v>
      </c>
      <c r="P1266">
        <v>9.5097899999999989</v>
      </c>
      <c r="Q1266" t="s">
        <v>10589</v>
      </c>
      <c r="R1266" t="s">
        <v>11037</v>
      </c>
      <c r="S1266" t="s">
        <v>10313</v>
      </c>
      <c r="U1266" t="s">
        <v>11040</v>
      </c>
      <c r="W1266" s="2" t="s">
        <v>11200</v>
      </c>
    </row>
    <row r="1267" spans="1:23" hidden="1" x14ac:dyDescent="0.45">
      <c r="A1267" s="1" t="s">
        <v>1256</v>
      </c>
      <c r="E1267" t="s">
        <v>9075</v>
      </c>
      <c r="F1267" t="s">
        <v>10295</v>
      </c>
      <c r="G1267">
        <v>400</v>
      </c>
      <c r="H1267" t="s">
        <v>10313</v>
      </c>
      <c r="N1267">
        <v>45.399909999999998</v>
      </c>
      <c r="P1267">
        <v>10.71428</v>
      </c>
      <c r="Q1267" t="s">
        <v>10590</v>
      </c>
      <c r="R1267" t="s">
        <v>11037</v>
      </c>
      <c r="S1267" t="s">
        <v>10313</v>
      </c>
      <c r="U1267" t="s">
        <v>11040</v>
      </c>
      <c r="W1267" s="2" t="s">
        <v>11200</v>
      </c>
    </row>
    <row r="1268" spans="1:23" hidden="1" x14ac:dyDescent="0.45">
      <c r="A1268" s="1" t="s">
        <v>1257</v>
      </c>
      <c r="E1268" t="s">
        <v>9076</v>
      </c>
      <c r="F1268" t="s">
        <v>10295</v>
      </c>
      <c r="G1268">
        <v>800</v>
      </c>
      <c r="H1268" t="s">
        <v>10313</v>
      </c>
      <c r="N1268">
        <v>45.226759999999999</v>
      </c>
      <c r="P1268">
        <v>9.6372699999999991</v>
      </c>
      <c r="Q1268" t="s">
        <v>10591</v>
      </c>
      <c r="R1268" t="s">
        <v>11037</v>
      </c>
      <c r="S1268" t="s">
        <v>10313</v>
      </c>
      <c r="U1268" t="s">
        <v>11040</v>
      </c>
      <c r="W1268" s="2" t="s">
        <v>11200</v>
      </c>
    </row>
    <row r="1269" spans="1:23" hidden="1" x14ac:dyDescent="0.45">
      <c r="A1269" s="1" t="s">
        <v>1258</v>
      </c>
      <c r="E1269" t="s">
        <v>9077</v>
      </c>
      <c r="F1269" t="s">
        <v>10295</v>
      </c>
      <c r="G1269">
        <v>116.7</v>
      </c>
      <c r="H1269" t="s">
        <v>10313</v>
      </c>
      <c r="N1269">
        <v>45.516579999999998</v>
      </c>
      <c r="P1269">
        <v>10.211819999999999</v>
      </c>
      <c r="Q1269" t="s">
        <v>10592</v>
      </c>
      <c r="R1269" t="s">
        <v>11037</v>
      </c>
      <c r="S1269" t="s">
        <v>10313</v>
      </c>
      <c r="U1269" t="s">
        <v>11040</v>
      </c>
      <c r="W1269" s="2" t="s">
        <v>11200</v>
      </c>
    </row>
    <row r="1270" spans="1:23" hidden="1" x14ac:dyDescent="0.45">
      <c r="A1270" s="1" t="s">
        <v>1259</v>
      </c>
      <c r="E1270" t="s">
        <v>9078</v>
      </c>
      <c r="F1270" t="s">
        <v>10295</v>
      </c>
      <c r="G1270">
        <v>121.7</v>
      </c>
      <c r="H1270" t="s">
        <v>10313</v>
      </c>
      <c r="N1270">
        <v>45.639189999999999</v>
      </c>
      <c r="P1270">
        <v>9.6048100000000005</v>
      </c>
      <c r="Q1270" t="s">
        <v>10593</v>
      </c>
      <c r="R1270" t="s">
        <v>11037</v>
      </c>
      <c r="S1270" t="s">
        <v>10313</v>
      </c>
      <c r="U1270" t="s">
        <v>11040</v>
      </c>
      <c r="W1270" s="2" t="s">
        <v>11200</v>
      </c>
    </row>
    <row r="1271" spans="1:23" hidden="1" x14ac:dyDescent="0.45">
      <c r="A1271" s="1" t="s">
        <v>1260</v>
      </c>
      <c r="E1271" t="s">
        <v>1260</v>
      </c>
      <c r="F1271" t="s">
        <v>10295</v>
      </c>
      <c r="G1271">
        <v>950</v>
      </c>
      <c r="H1271" t="s">
        <v>10310</v>
      </c>
      <c r="N1271">
        <v>46.172153000000002</v>
      </c>
      <c r="P1271">
        <v>10.344367</v>
      </c>
      <c r="Q1271" t="s">
        <v>10594</v>
      </c>
      <c r="R1271" t="s">
        <v>11038</v>
      </c>
      <c r="S1271" t="s">
        <v>10310</v>
      </c>
      <c r="U1271" t="s">
        <v>11040</v>
      </c>
      <c r="W1271" s="2" t="s">
        <v>11200</v>
      </c>
    </row>
    <row r="1272" spans="1:23" hidden="1" x14ac:dyDescent="0.45">
      <c r="A1272" s="1" t="s">
        <v>1261</v>
      </c>
      <c r="E1272" t="s">
        <v>9079</v>
      </c>
      <c r="F1272" t="s">
        <v>10295</v>
      </c>
      <c r="G1272">
        <v>800</v>
      </c>
      <c r="H1272" t="s">
        <v>10313</v>
      </c>
      <c r="N1272">
        <v>45.150260000000003</v>
      </c>
      <c r="P1272">
        <v>10.834910000000001</v>
      </c>
      <c r="Q1272" t="s">
        <v>10595</v>
      </c>
      <c r="R1272" t="s">
        <v>11037</v>
      </c>
      <c r="S1272" t="s">
        <v>10313</v>
      </c>
      <c r="U1272" t="s">
        <v>11040</v>
      </c>
      <c r="W1272" s="2" t="s">
        <v>11200</v>
      </c>
    </row>
    <row r="1273" spans="1:23" hidden="1" x14ac:dyDescent="0.45">
      <c r="A1273" s="1" t="s">
        <v>1262</v>
      </c>
      <c r="E1273" t="s">
        <v>9080</v>
      </c>
      <c r="F1273" t="s">
        <v>10295</v>
      </c>
      <c r="G1273">
        <v>950</v>
      </c>
      <c r="H1273" t="s">
        <v>10313</v>
      </c>
      <c r="N1273">
        <v>45.099629999999998</v>
      </c>
      <c r="P1273">
        <v>8.86632</v>
      </c>
      <c r="Q1273" t="s">
        <v>10596</v>
      </c>
      <c r="R1273" t="s">
        <v>11037</v>
      </c>
      <c r="S1273" t="s">
        <v>10313</v>
      </c>
      <c r="U1273" t="s">
        <v>11040</v>
      </c>
      <c r="W1273" s="2" t="s">
        <v>11200</v>
      </c>
    </row>
    <row r="1274" spans="1:23" hidden="1" x14ac:dyDescent="0.45">
      <c r="A1274" s="1" t="s">
        <v>1263</v>
      </c>
      <c r="E1274" t="s">
        <v>1263</v>
      </c>
      <c r="F1274" t="s">
        <v>10295</v>
      </c>
      <c r="G1274">
        <v>137.19999999999999</v>
      </c>
      <c r="H1274" t="s">
        <v>10310</v>
      </c>
      <c r="N1274">
        <v>45.703881000000003</v>
      </c>
      <c r="P1274">
        <v>10.686097</v>
      </c>
      <c r="Q1274" t="s">
        <v>10597</v>
      </c>
      <c r="R1274" t="s">
        <v>11038</v>
      </c>
      <c r="S1274" t="s">
        <v>10310</v>
      </c>
      <c r="U1274" t="s">
        <v>11040</v>
      </c>
      <c r="W1274" s="2" t="s">
        <v>11200</v>
      </c>
    </row>
    <row r="1275" spans="1:23" hidden="1" x14ac:dyDescent="0.45">
      <c r="A1275" s="1" t="s">
        <v>1264</v>
      </c>
      <c r="E1275" t="s">
        <v>1264</v>
      </c>
      <c r="F1275" t="s">
        <v>10295</v>
      </c>
      <c r="G1275">
        <v>188</v>
      </c>
      <c r="H1275" t="s">
        <v>10310</v>
      </c>
      <c r="N1275">
        <v>46.268584999999987</v>
      </c>
      <c r="P1275">
        <v>9.8770129999999998</v>
      </c>
      <c r="Q1275" t="s">
        <v>10598</v>
      </c>
      <c r="R1275" t="s">
        <v>11038</v>
      </c>
      <c r="S1275" t="s">
        <v>10310</v>
      </c>
      <c r="U1275" t="s">
        <v>11040</v>
      </c>
      <c r="W1275" s="2" t="s">
        <v>11200</v>
      </c>
    </row>
    <row r="1276" spans="1:23" hidden="1" x14ac:dyDescent="0.45">
      <c r="A1276" s="1" t="s">
        <v>1265</v>
      </c>
      <c r="E1276" t="s">
        <v>1265</v>
      </c>
      <c r="F1276" t="s">
        <v>10295</v>
      </c>
      <c r="G1276">
        <v>1457</v>
      </c>
      <c r="H1276" t="s">
        <v>10313</v>
      </c>
      <c r="N1276">
        <v>45.060319999999997</v>
      </c>
      <c r="P1276">
        <v>11.137420000000001</v>
      </c>
      <c r="Q1276" t="s">
        <v>10599</v>
      </c>
      <c r="R1276" t="s">
        <v>11037</v>
      </c>
      <c r="S1276" t="s">
        <v>10313</v>
      </c>
      <c r="U1276" t="s">
        <v>11040</v>
      </c>
      <c r="W1276" s="2" t="s">
        <v>11200</v>
      </c>
    </row>
    <row r="1277" spans="1:23" hidden="1" x14ac:dyDescent="0.45">
      <c r="A1277" s="1" t="s">
        <v>1266</v>
      </c>
      <c r="E1277" t="s">
        <v>9081</v>
      </c>
      <c r="F1277" t="s">
        <v>10295</v>
      </c>
      <c r="G1277">
        <v>1000</v>
      </c>
      <c r="H1277" t="s">
        <v>10310</v>
      </c>
      <c r="N1277">
        <v>46.067588000000001</v>
      </c>
      <c r="P1277">
        <v>8.7318770000000008</v>
      </c>
      <c r="Q1277" t="s">
        <v>10600</v>
      </c>
      <c r="R1277" t="s">
        <v>11038</v>
      </c>
      <c r="S1277" t="s">
        <v>10310</v>
      </c>
      <c r="U1277" t="s">
        <v>11040</v>
      </c>
      <c r="W1277" s="2" t="s">
        <v>11200</v>
      </c>
    </row>
    <row r="1278" spans="1:23" hidden="1" x14ac:dyDescent="0.45">
      <c r="A1278" s="1" t="s">
        <v>1267</v>
      </c>
      <c r="E1278" t="s">
        <v>9082</v>
      </c>
      <c r="F1278" t="s">
        <v>10295</v>
      </c>
      <c r="G1278">
        <v>568</v>
      </c>
      <c r="H1278" t="s">
        <v>10310</v>
      </c>
      <c r="N1278">
        <v>46.049855999999998</v>
      </c>
      <c r="P1278">
        <v>10.351457</v>
      </c>
      <c r="Q1278" t="s">
        <v>10601</v>
      </c>
      <c r="R1278" t="s">
        <v>11038</v>
      </c>
      <c r="S1278" t="s">
        <v>10310</v>
      </c>
      <c r="U1278" t="s">
        <v>11040</v>
      </c>
      <c r="W1278" s="2" t="s">
        <v>11200</v>
      </c>
    </row>
    <row r="1279" spans="1:23" hidden="1" x14ac:dyDescent="0.45">
      <c r="A1279" s="1" t="s">
        <v>1268</v>
      </c>
      <c r="E1279" t="s">
        <v>1268</v>
      </c>
      <c r="F1279" t="s">
        <v>10295</v>
      </c>
      <c r="G1279">
        <v>144</v>
      </c>
      <c r="H1279" t="s">
        <v>10310</v>
      </c>
      <c r="N1279">
        <v>46.286138000000001</v>
      </c>
      <c r="P1279">
        <v>10.265884</v>
      </c>
      <c r="Q1279" t="s">
        <v>10602</v>
      </c>
      <c r="R1279" t="s">
        <v>11038</v>
      </c>
      <c r="S1279" t="s">
        <v>10310</v>
      </c>
      <c r="U1279" t="s">
        <v>11040</v>
      </c>
      <c r="W1279" s="2" t="s">
        <v>11200</v>
      </c>
    </row>
    <row r="1280" spans="1:23" hidden="1" x14ac:dyDescent="0.45">
      <c r="A1280" s="1" t="s">
        <v>1269</v>
      </c>
      <c r="E1280" t="s">
        <v>1269</v>
      </c>
      <c r="F1280" t="s">
        <v>10295</v>
      </c>
      <c r="G1280">
        <v>1102</v>
      </c>
      <c r="H1280" t="s">
        <v>10313</v>
      </c>
      <c r="N1280">
        <v>45.025390000000002</v>
      </c>
      <c r="P1280">
        <v>11.25398</v>
      </c>
      <c r="Q1280" t="s">
        <v>10603</v>
      </c>
      <c r="R1280" t="s">
        <v>11037</v>
      </c>
      <c r="S1280" t="s">
        <v>10313</v>
      </c>
      <c r="U1280" t="s">
        <v>11040</v>
      </c>
      <c r="W1280" s="2" t="s">
        <v>11200</v>
      </c>
    </row>
    <row r="1281" spans="1:23" hidden="1" x14ac:dyDescent="0.45">
      <c r="A1281" s="1" t="s">
        <v>1270</v>
      </c>
      <c r="E1281" t="s">
        <v>1270</v>
      </c>
      <c r="F1281" t="s">
        <v>10295</v>
      </c>
      <c r="G1281">
        <v>110.6</v>
      </c>
      <c r="H1281" t="s">
        <v>10313</v>
      </c>
      <c r="N1281">
        <v>45.542439999999999</v>
      </c>
      <c r="P1281">
        <v>9.2523900000000001</v>
      </c>
      <c r="Q1281" t="s">
        <v>10604</v>
      </c>
      <c r="R1281" t="s">
        <v>11037</v>
      </c>
      <c r="S1281" t="s">
        <v>10313</v>
      </c>
      <c r="U1281" t="s">
        <v>11040</v>
      </c>
      <c r="W1281" s="2" t="s">
        <v>11200</v>
      </c>
    </row>
    <row r="1282" spans="1:23" hidden="1" x14ac:dyDescent="0.45">
      <c r="A1282" s="1" t="s">
        <v>1271</v>
      </c>
      <c r="E1282" t="s">
        <v>9083</v>
      </c>
      <c r="F1282" t="s">
        <v>10295</v>
      </c>
      <c r="G1282">
        <v>1569</v>
      </c>
      <c r="H1282" t="s">
        <v>10313</v>
      </c>
      <c r="N1282">
        <v>45.520509999999987</v>
      </c>
      <c r="P1282">
        <v>8.7412799999999997</v>
      </c>
      <c r="Q1282" t="s">
        <v>10605</v>
      </c>
      <c r="R1282" t="s">
        <v>11037</v>
      </c>
      <c r="S1282" t="s">
        <v>10313</v>
      </c>
      <c r="U1282" t="s">
        <v>11040</v>
      </c>
      <c r="W1282" s="2" t="s">
        <v>11200</v>
      </c>
    </row>
    <row r="1283" spans="1:23" hidden="1" x14ac:dyDescent="0.45">
      <c r="A1283" s="1" t="s">
        <v>1272</v>
      </c>
      <c r="E1283" t="s">
        <v>9084</v>
      </c>
      <c r="F1283" t="s">
        <v>10295</v>
      </c>
      <c r="G1283">
        <v>1450</v>
      </c>
      <c r="H1283" t="s">
        <v>10313</v>
      </c>
      <c r="N1283">
        <v>45.332479999999997</v>
      </c>
      <c r="P1283">
        <v>9.4362100000000009</v>
      </c>
      <c r="Q1283" t="s">
        <v>10606</v>
      </c>
      <c r="R1283" t="s">
        <v>11037</v>
      </c>
      <c r="S1283" t="s">
        <v>10313</v>
      </c>
      <c r="U1283" t="s">
        <v>11040</v>
      </c>
      <c r="W1283" s="2" t="s">
        <v>11200</v>
      </c>
    </row>
    <row r="1284" spans="1:23" hidden="1" x14ac:dyDescent="0.45">
      <c r="A1284" s="1" t="s">
        <v>1273</v>
      </c>
      <c r="E1284" t="s">
        <v>1273</v>
      </c>
      <c r="F1284" t="s">
        <v>10295</v>
      </c>
      <c r="G1284">
        <v>380.5</v>
      </c>
      <c r="H1284" t="s">
        <v>10313</v>
      </c>
      <c r="N1284">
        <v>45.029589999999999</v>
      </c>
      <c r="P1284">
        <v>8.9724399999999989</v>
      </c>
      <c r="Q1284" t="s">
        <v>10607</v>
      </c>
      <c r="R1284" t="s">
        <v>11037</v>
      </c>
      <c r="S1284" t="s">
        <v>10313</v>
      </c>
      <c r="U1284" t="s">
        <v>11040</v>
      </c>
      <c r="W1284" s="2" t="s">
        <v>11200</v>
      </c>
    </row>
    <row r="1285" spans="1:23" hidden="1" x14ac:dyDescent="0.45">
      <c r="A1285" s="1" t="s">
        <v>1274</v>
      </c>
      <c r="E1285" t="s">
        <v>1274</v>
      </c>
      <c r="F1285" t="s">
        <v>10295</v>
      </c>
      <c r="G1285">
        <v>164.34</v>
      </c>
      <c r="H1285" t="s">
        <v>10310</v>
      </c>
      <c r="N1285">
        <v>46.304613000000003</v>
      </c>
      <c r="P1285">
        <v>9.3765029999999996</v>
      </c>
      <c r="Q1285" t="s">
        <v>10608</v>
      </c>
      <c r="R1285" t="s">
        <v>11038</v>
      </c>
      <c r="S1285" t="s">
        <v>10310</v>
      </c>
      <c r="U1285" t="s">
        <v>11040</v>
      </c>
      <c r="W1285" s="2" t="s">
        <v>11200</v>
      </c>
    </row>
    <row r="1286" spans="1:23" hidden="1" x14ac:dyDescent="0.45">
      <c r="A1286" s="1" t="s">
        <v>1275</v>
      </c>
      <c r="E1286" t="s">
        <v>1275</v>
      </c>
      <c r="F1286" t="s">
        <v>10295</v>
      </c>
      <c r="G1286">
        <v>229.9</v>
      </c>
      <c r="H1286" t="s">
        <v>10310</v>
      </c>
      <c r="N1286">
        <v>45.923108999999997</v>
      </c>
      <c r="P1286">
        <v>10.628413999999999</v>
      </c>
      <c r="Q1286" t="s">
        <v>10609</v>
      </c>
      <c r="R1286" t="s">
        <v>11038</v>
      </c>
      <c r="S1286" t="s">
        <v>10310</v>
      </c>
      <c r="U1286" t="s">
        <v>11040</v>
      </c>
      <c r="W1286" s="2" t="s">
        <v>11200</v>
      </c>
    </row>
    <row r="1287" spans="1:23" hidden="1" x14ac:dyDescent="0.45">
      <c r="A1287" s="1" t="s">
        <v>1276</v>
      </c>
      <c r="E1287" t="s">
        <v>9085</v>
      </c>
      <c r="F1287" t="s">
        <v>10295</v>
      </c>
      <c r="G1287">
        <v>121</v>
      </c>
      <c r="H1287" t="s">
        <v>10310</v>
      </c>
      <c r="N1287">
        <v>46.494973000000002</v>
      </c>
      <c r="P1287">
        <v>11.395485000000001</v>
      </c>
      <c r="Q1287" t="s">
        <v>10610</v>
      </c>
      <c r="R1287" t="s">
        <v>11038</v>
      </c>
      <c r="S1287" t="s">
        <v>10310</v>
      </c>
      <c r="U1287" t="s">
        <v>11040</v>
      </c>
      <c r="W1287" s="2" t="s">
        <v>11200</v>
      </c>
    </row>
    <row r="1288" spans="1:23" hidden="1" x14ac:dyDescent="0.45">
      <c r="A1288" s="1" t="s">
        <v>1277</v>
      </c>
      <c r="E1288" t="s">
        <v>9086</v>
      </c>
      <c r="F1288" t="s">
        <v>10295</v>
      </c>
      <c r="G1288">
        <v>101.6</v>
      </c>
      <c r="H1288" t="s">
        <v>10310</v>
      </c>
      <c r="Q1288" t="s">
        <v>10611</v>
      </c>
      <c r="R1288" t="s">
        <v>11038</v>
      </c>
      <c r="S1288" t="s">
        <v>10310</v>
      </c>
      <c r="U1288" t="s">
        <v>11040</v>
      </c>
      <c r="W1288" s="2" t="s">
        <v>11200</v>
      </c>
    </row>
    <row r="1289" spans="1:23" hidden="1" x14ac:dyDescent="0.45">
      <c r="A1289" s="1" t="s">
        <v>1278</v>
      </c>
      <c r="E1289" t="s">
        <v>1278</v>
      </c>
      <c r="F1289" t="s">
        <v>10295</v>
      </c>
      <c r="G1289">
        <v>120</v>
      </c>
      <c r="H1289" t="s">
        <v>10310</v>
      </c>
      <c r="Q1289" t="s">
        <v>10612</v>
      </c>
      <c r="R1289" t="s">
        <v>11038</v>
      </c>
      <c r="S1289" t="s">
        <v>10310</v>
      </c>
      <c r="U1289" t="s">
        <v>11040</v>
      </c>
      <c r="W1289" s="2" t="s">
        <v>11200</v>
      </c>
    </row>
    <row r="1290" spans="1:23" hidden="1" x14ac:dyDescent="0.45">
      <c r="A1290" s="1" t="s">
        <v>1279</v>
      </c>
      <c r="E1290" t="s">
        <v>9087</v>
      </c>
      <c r="F1290" t="s">
        <v>10295</v>
      </c>
      <c r="G1290">
        <v>175</v>
      </c>
      <c r="H1290" t="s">
        <v>10310</v>
      </c>
      <c r="N1290">
        <v>46.651147999999999</v>
      </c>
      <c r="P1290">
        <v>10.993403000000001</v>
      </c>
      <c r="Q1290" t="s">
        <v>10613</v>
      </c>
      <c r="R1290" t="s">
        <v>11038</v>
      </c>
      <c r="S1290" t="s">
        <v>10310</v>
      </c>
      <c r="U1290" t="s">
        <v>11040</v>
      </c>
      <c r="W1290" s="2" t="s">
        <v>11200</v>
      </c>
    </row>
    <row r="1291" spans="1:23" hidden="1" x14ac:dyDescent="0.45">
      <c r="A1291" s="1" t="s">
        <v>1280</v>
      </c>
      <c r="E1291" t="s">
        <v>9088</v>
      </c>
      <c r="F1291" t="s">
        <v>10295</v>
      </c>
      <c r="G1291">
        <v>117</v>
      </c>
      <c r="H1291" t="s">
        <v>10310</v>
      </c>
      <c r="N1291">
        <v>45.883103000000013</v>
      </c>
      <c r="P1291">
        <v>10.837735</v>
      </c>
      <c r="Q1291" t="s">
        <v>10614</v>
      </c>
      <c r="R1291" t="s">
        <v>11038</v>
      </c>
      <c r="S1291" t="s">
        <v>10310</v>
      </c>
      <c r="U1291" t="s">
        <v>11040</v>
      </c>
      <c r="W1291" s="2" t="s">
        <v>11200</v>
      </c>
    </row>
    <row r="1292" spans="1:23" hidden="1" x14ac:dyDescent="0.45">
      <c r="A1292" s="1" t="s">
        <v>1281</v>
      </c>
      <c r="E1292" t="s">
        <v>9089</v>
      </c>
      <c r="F1292" t="s">
        <v>10295</v>
      </c>
      <c r="G1292">
        <v>180</v>
      </c>
      <c r="H1292" t="s">
        <v>10310</v>
      </c>
      <c r="N1292">
        <v>46.290466000000002</v>
      </c>
      <c r="P1292">
        <v>11.245400999999999</v>
      </c>
      <c r="Q1292" t="s">
        <v>10615</v>
      </c>
      <c r="R1292" t="s">
        <v>11038</v>
      </c>
      <c r="S1292" t="s">
        <v>10310</v>
      </c>
      <c r="U1292" t="s">
        <v>11040</v>
      </c>
      <c r="W1292" s="2" t="s">
        <v>11200</v>
      </c>
    </row>
    <row r="1293" spans="1:23" hidden="1" x14ac:dyDescent="0.45">
      <c r="A1293" s="1" t="s">
        <v>1282</v>
      </c>
      <c r="E1293" t="s">
        <v>9090</v>
      </c>
      <c r="F1293" t="s">
        <v>10295</v>
      </c>
      <c r="G1293">
        <v>110</v>
      </c>
      <c r="H1293" t="s">
        <v>10310</v>
      </c>
      <c r="N1293">
        <v>45.882607999999998</v>
      </c>
      <c r="P1293">
        <v>10.882742</v>
      </c>
      <c r="Q1293" t="s">
        <v>10616</v>
      </c>
      <c r="R1293" t="s">
        <v>11038</v>
      </c>
      <c r="S1293" t="s">
        <v>10310</v>
      </c>
      <c r="U1293" t="s">
        <v>11040</v>
      </c>
      <c r="W1293" s="2" t="s">
        <v>11200</v>
      </c>
    </row>
    <row r="1294" spans="1:23" hidden="1" x14ac:dyDescent="0.45">
      <c r="A1294" s="1" t="s">
        <v>1283</v>
      </c>
      <c r="E1294" t="s">
        <v>9091</v>
      </c>
      <c r="F1294" t="s">
        <v>10295</v>
      </c>
      <c r="G1294">
        <v>236</v>
      </c>
      <c r="H1294" t="s">
        <v>10313</v>
      </c>
      <c r="N1294">
        <v>45.446109999999997</v>
      </c>
      <c r="P1294">
        <v>12.255559999999999</v>
      </c>
      <c r="Q1294" t="s">
        <v>10617</v>
      </c>
      <c r="R1294" t="s">
        <v>11037</v>
      </c>
      <c r="S1294" t="s">
        <v>10313</v>
      </c>
      <c r="U1294" t="s">
        <v>11040</v>
      </c>
      <c r="W1294" s="2" t="s">
        <v>11200</v>
      </c>
    </row>
    <row r="1295" spans="1:23" hidden="1" x14ac:dyDescent="0.45">
      <c r="A1295" s="1" t="s">
        <v>1284</v>
      </c>
      <c r="E1295" t="s">
        <v>1284</v>
      </c>
      <c r="F1295" t="s">
        <v>10295</v>
      </c>
      <c r="G1295">
        <v>134.4</v>
      </c>
      <c r="H1295" t="s">
        <v>10313</v>
      </c>
      <c r="N1295">
        <v>45.018560000000001</v>
      </c>
      <c r="P1295">
        <v>12.24091</v>
      </c>
      <c r="Q1295" t="s">
        <v>10618</v>
      </c>
      <c r="R1295" t="s">
        <v>11037</v>
      </c>
      <c r="S1295" t="s">
        <v>10313</v>
      </c>
      <c r="U1295" t="s">
        <v>11040</v>
      </c>
      <c r="W1295" s="2" t="s">
        <v>11200</v>
      </c>
    </row>
    <row r="1296" spans="1:23" hidden="1" x14ac:dyDescent="0.45">
      <c r="A1296" s="1" t="s">
        <v>1285</v>
      </c>
      <c r="E1296" t="s">
        <v>9092</v>
      </c>
      <c r="F1296" t="s">
        <v>10295</v>
      </c>
      <c r="G1296">
        <v>210</v>
      </c>
      <c r="H1296" t="s">
        <v>10310</v>
      </c>
      <c r="N1296">
        <v>46.028438999999999</v>
      </c>
      <c r="P1296">
        <v>12.300677</v>
      </c>
      <c r="Q1296" t="s">
        <v>10619</v>
      </c>
      <c r="R1296" t="s">
        <v>11038</v>
      </c>
      <c r="S1296" t="s">
        <v>10310</v>
      </c>
      <c r="U1296" t="s">
        <v>11040</v>
      </c>
      <c r="W1296" s="2" t="s">
        <v>11200</v>
      </c>
    </row>
    <row r="1297" spans="1:23" hidden="1" x14ac:dyDescent="0.45">
      <c r="A1297" s="1" t="s">
        <v>1286</v>
      </c>
      <c r="E1297" t="s">
        <v>9091</v>
      </c>
      <c r="F1297" t="s">
        <v>10295</v>
      </c>
      <c r="G1297">
        <v>871</v>
      </c>
      <c r="H1297" t="s">
        <v>10313</v>
      </c>
      <c r="N1297">
        <v>45.431750000000001</v>
      </c>
      <c r="P1297">
        <v>12.24662</v>
      </c>
      <c r="Q1297" t="s">
        <v>10620</v>
      </c>
      <c r="R1297" t="s">
        <v>11037</v>
      </c>
      <c r="S1297" t="s">
        <v>10313</v>
      </c>
      <c r="U1297" t="s">
        <v>11040</v>
      </c>
      <c r="W1297" s="2" t="s">
        <v>11200</v>
      </c>
    </row>
    <row r="1298" spans="1:23" hidden="1" x14ac:dyDescent="0.45">
      <c r="A1298" s="1" t="s">
        <v>1287</v>
      </c>
      <c r="E1298" t="s">
        <v>9091</v>
      </c>
      <c r="F1298" t="s">
        <v>10295</v>
      </c>
      <c r="G1298">
        <v>752.5</v>
      </c>
      <c r="H1298" t="s">
        <v>10313</v>
      </c>
      <c r="N1298">
        <v>45.450620000000001</v>
      </c>
      <c r="P1298">
        <v>12.23063</v>
      </c>
      <c r="Q1298" t="s">
        <v>10621</v>
      </c>
      <c r="R1298" t="s">
        <v>11037</v>
      </c>
      <c r="S1298" t="s">
        <v>10313</v>
      </c>
      <c r="U1298" t="s">
        <v>11040</v>
      </c>
      <c r="W1298" s="2" t="s">
        <v>11200</v>
      </c>
    </row>
    <row r="1299" spans="1:23" hidden="1" x14ac:dyDescent="0.45">
      <c r="A1299" s="1" t="s">
        <v>1288</v>
      </c>
      <c r="E1299" t="s">
        <v>9091</v>
      </c>
      <c r="F1299" t="s">
        <v>10295</v>
      </c>
      <c r="G1299">
        <v>126</v>
      </c>
      <c r="H1299" t="s">
        <v>10313</v>
      </c>
      <c r="R1299" t="s">
        <v>11037</v>
      </c>
      <c r="S1299" t="s">
        <v>10313</v>
      </c>
      <c r="U1299" t="s">
        <v>11040</v>
      </c>
      <c r="W1299" s="2" t="s">
        <v>11200</v>
      </c>
    </row>
    <row r="1300" spans="1:23" hidden="1" x14ac:dyDescent="0.45">
      <c r="A1300" s="1" t="s">
        <v>1289</v>
      </c>
      <c r="E1300" t="s">
        <v>1289</v>
      </c>
      <c r="F1300" t="s">
        <v>10295</v>
      </c>
      <c r="G1300">
        <v>2140</v>
      </c>
      <c r="H1300" t="s">
        <v>10313</v>
      </c>
      <c r="N1300">
        <v>44.956020000000002</v>
      </c>
      <c r="P1300">
        <v>12.486549999999999</v>
      </c>
      <c r="R1300" t="s">
        <v>11037</v>
      </c>
      <c r="S1300" t="s">
        <v>10313</v>
      </c>
      <c r="U1300" t="s">
        <v>11040</v>
      </c>
      <c r="W1300" s="2" t="s">
        <v>11200</v>
      </c>
    </row>
    <row r="1301" spans="1:23" hidden="1" x14ac:dyDescent="0.45">
      <c r="A1301" s="1" t="s">
        <v>1290</v>
      </c>
      <c r="E1301" t="s">
        <v>1290</v>
      </c>
      <c r="F1301" t="s">
        <v>10295</v>
      </c>
      <c r="G1301">
        <v>210</v>
      </c>
      <c r="H1301" t="s">
        <v>10310</v>
      </c>
      <c r="N1301">
        <v>46.201028999999998</v>
      </c>
      <c r="P1301">
        <v>12.302334</v>
      </c>
      <c r="Q1301" t="s">
        <v>10622</v>
      </c>
      <c r="R1301" t="s">
        <v>11038</v>
      </c>
      <c r="S1301" t="s">
        <v>10310</v>
      </c>
      <c r="U1301" t="s">
        <v>11040</v>
      </c>
      <c r="W1301" s="2" t="s">
        <v>11200</v>
      </c>
    </row>
    <row r="1302" spans="1:23" hidden="1" x14ac:dyDescent="0.45">
      <c r="A1302" s="1" t="s">
        <v>1291</v>
      </c>
      <c r="E1302" t="s">
        <v>9093</v>
      </c>
      <c r="F1302" t="s">
        <v>10295</v>
      </c>
      <c r="G1302">
        <v>170</v>
      </c>
      <c r="H1302" t="s">
        <v>10313</v>
      </c>
      <c r="N1302">
        <v>45.619489999999999</v>
      </c>
      <c r="P1302">
        <v>13.78295</v>
      </c>
      <c r="Q1302" t="s">
        <v>10623</v>
      </c>
      <c r="R1302" t="s">
        <v>11037</v>
      </c>
      <c r="S1302" t="s">
        <v>10313</v>
      </c>
      <c r="U1302" t="s">
        <v>11040</v>
      </c>
      <c r="W1302" s="2" t="s">
        <v>11200</v>
      </c>
    </row>
    <row r="1303" spans="1:23" hidden="1" x14ac:dyDescent="0.45">
      <c r="A1303" s="1" t="s">
        <v>1292</v>
      </c>
      <c r="E1303" t="s">
        <v>1292</v>
      </c>
      <c r="F1303" t="s">
        <v>10295</v>
      </c>
      <c r="G1303">
        <v>617</v>
      </c>
      <c r="H1303" t="s">
        <v>10313</v>
      </c>
      <c r="N1303">
        <v>45.79701</v>
      </c>
      <c r="P1303">
        <v>13.547190000000001</v>
      </c>
      <c r="Q1303" t="s">
        <v>10624</v>
      </c>
      <c r="R1303" t="s">
        <v>11037</v>
      </c>
      <c r="S1303" t="s">
        <v>10313</v>
      </c>
      <c r="U1303" t="s">
        <v>11040</v>
      </c>
      <c r="W1303" s="2" t="s">
        <v>11200</v>
      </c>
    </row>
    <row r="1304" spans="1:23" hidden="1" x14ac:dyDescent="0.45">
      <c r="A1304" s="1" t="s">
        <v>1293</v>
      </c>
      <c r="E1304" t="s">
        <v>9094</v>
      </c>
      <c r="F1304" t="s">
        <v>10295</v>
      </c>
      <c r="G1304">
        <v>162.25</v>
      </c>
      <c r="H1304" t="s">
        <v>10310</v>
      </c>
      <c r="N1304">
        <v>46.343237000000002</v>
      </c>
      <c r="P1304">
        <v>13.067161</v>
      </c>
      <c r="Q1304" t="s">
        <v>10625</v>
      </c>
      <c r="R1304" t="s">
        <v>11038</v>
      </c>
      <c r="S1304" t="s">
        <v>10310</v>
      </c>
      <c r="U1304" t="s">
        <v>11040</v>
      </c>
      <c r="W1304" s="2" t="s">
        <v>11200</v>
      </c>
    </row>
    <row r="1305" spans="1:23" hidden="1" x14ac:dyDescent="0.45">
      <c r="A1305" s="1" t="s">
        <v>1294</v>
      </c>
      <c r="E1305" t="s">
        <v>1294</v>
      </c>
      <c r="F1305" t="s">
        <v>10295</v>
      </c>
      <c r="G1305">
        <v>809</v>
      </c>
      <c r="H1305" t="s">
        <v>10313</v>
      </c>
      <c r="N1305">
        <v>45.81709</v>
      </c>
      <c r="P1305">
        <v>13.289149999999999</v>
      </c>
      <c r="Q1305" t="s">
        <v>10626</v>
      </c>
      <c r="R1305" t="s">
        <v>11037</v>
      </c>
      <c r="S1305" t="s">
        <v>10313</v>
      </c>
      <c r="U1305" t="s">
        <v>11040</v>
      </c>
      <c r="W1305" s="2" t="s">
        <v>11200</v>
      </c>
    </row>
    <row r="1306" spans="1:23" hidden="1" x14ac:dyDescent="0.45">
      <c r="A1306" s="1" t="s">
        <v>1295</v>
      </c>
      <c r="E1306" t="s">
        <v>9095</v>
      </c>
      <c r="F1306" t="s">
        <v>10295</v>
      </c>
      <c r="G1306">
        <v>274</v>
      </c>
      <c r="H1306" t="s">
        <v>10313</v>
      </c>
      <c r="N1306">
        <v>44.403179999999999</v>
      </c>
      <c r="P1306">
        <v>8.9040400000000002</v>
      </c>
      <c r="Q1306" t="s">
        <v>10627</v>
      </c>
      <c r="R1306" t="s">
        <v>11037</v>
      </c>
      <c r="S1306" t="s">
        <v>10313</v>
      </c>
      <c r="U1306" t="s">
        <v>11040</v>
      </c>
      <c r="W1306" s="2" t="s">
        <v>11200</v>
      </c>
    </row>
    <row r="1307" spans="1:23" hidden="1" x14ac:dyDescent="0.45">
      <c r="A1307" s="1" t="s">
        <v>1296</v>
      </c>
      <c r="E1307" t="s">
        <v>9096</v>
      </c>
      <c r="F1307" t="s">
        <v>10295</v>
      </c>
      <c r="G1307">
        <v>1169.3</v>
      </c>
      <c r="H1307" t="s">
        <v>10313</v>
      </c>
      <c r="N1307">
        <v>44.111690000000003</v>
      </c>
      <c r="P1307">
        <v>9.8752800000000001</v>
      </c>
      <c r="Q1307" t="s">
        <v>10628</v>
      </c>
      <c r="R1307" t="s">
        <v>11037</v>
      </c>
      <c r="S1307" t="s">
        <v>10313</v>
      </c>
      <c r="U1307" t="s">
        <v>11040</v>
      </c>
      <c r="W1307" s="2" t="s">
        <v>11200</v>
      </c>
    </row>
    <row r="1308" spans="1:23" hidden="1" x14ac:dyDescent="0.45">
      <c r="A1308" s="1" t="s">
        <v>1297</v>
      </c>
      <c r="E1308" t="s">
        <v>9097</v>
      </c>
      <c r="F1308" t="s">
        <v>10295</v>
      </c>
      <c r="G1308">
        <v>1352.5</v>
      </c>
      <c r="H1308" t="s">
        <v>10313</v>
      </c>
      <c r="N1308">
        <v>44.27534</v>
      </c>
      <c r="P1308">
        <v>8.4306800000000006</v>
      </c>
      <c r="Q1308" t="s">
        <v>10629</v>
      </c>
      <c r="R1308" t="s">
        <v>11037</v>
      </c>
      <c r="S1308" t="s">
        <v>10313</v>
      </c>
      <c r="U1308" t="s">
        <v>11040</v>
      </c>
      <c r="W1308" s="2" t="s">
        <v>11200</v>
      </c>
    </row>
    <row r="1309" spans="1:23" hidden="1" x14ac:dyDescent="0.45">
      <c r="A1309" s="1" t="s">
        <v>1298</v>
      </c>
      <c r="E1309" t="s">
        <v>9098</v>
      </c>
      <c r="F1309" t="s">
        <v>10295</v>
      </c>
      <c r="G1309">
        <v>281</v>
      </c>
      <c r="H1309" t="s">
        <v>10310</v>
      </c>
      <c r="N1309">
        <v>44.117038999999998</v>
      </c>
      <c r="P1309">
        <v>11.043380000000001</v>
      </c>
      <c r="Q1309" t="s">
        <v>10630</v>
      </c>
      <c r="R1309" t="s">
        <v>11038</v>
      </c>
      <c r="S1309" t="s">
        <v>10310</v>
      </c>
      <c r="U1309" t="s">
        <v>11040</v>
      </c>
      <c r="W1309" s="2" t="s">
        <v>11200</v>
      </c>
    </row>
    <row r="1310" spans="1:23" hidden="1" x14ac:dyDescent="0.45">
      <c r="A1310" s="1" t="s">
        <v>1299</v>
      </c>
      <c r="E1310" t="s">
        <v>9099</v>
      </c>
      <c r="F1310" t="s">
        <v>10295</v>
      </c>
      <c r="G1310">
        <v>136</v>
      </c>
      <c r="H1310" t="s">
        <v>10313</v>
      </c>
      <c r="N1310">
        <v>44.860619999999997</v>
      </c>
      <c r="P1310">
        <v>11.586360000000001</v>
      </c>
      <c r="R1310" t="s">
        <v>11037</v>
      </c>
      <c r="S1310" t="s">
        <v>10313</v>
      </c>
      <c r="U1310" t="s">
        <v>11040</v>
      </c>
      <c r="W1310" s="2" t="s">
        <v>11200</v>
      </c>
    </row>
    <row r="1311" spans="1:23" hidden="1" x14ac:dyDescent="0.45">
      <c r="A1311" s="1" t="s">
        <v>1300</v>
      </c>
      <c r="E1311" t="s">
        <v>9100</v>
      </c>
      <c r="F1311" t="s">
        <v>10295</v>
      </c>
      <c r="G1311">
        <v>174.6</v>
      </c>
      <c r="H1311" t="s">
        <v>10313</v>
      </c>
      <c r="R1311" t="s">
        <v>11037</v>
      </c>
      <c r="S1311" t="s">
        <v>10313</v>
      </c>
      <c r="U1311" t="s">
        <v>11040</v>
      </c>
      <c r="W1311" s="2" t="s">
        <v>11200</v>
      </c>
    </row>
    <row r="1312" spans="1:23" hidden="1" x14ac:dyDescent="0.45">
      <c r="A1312" s="1" t="s">
        <v>1301</v>
      </c>
      <c r="E1312" t="s">
        <v>9099</v>
      </c>
      <c r="F1312" t="s">
        <v>10295</v>
      </c>
      <c r="G1312">
        <v>700</v>
      </c>
      <c r="H1312" t="s">
        <v>10313</v>
      </c>
      <c r="N1312">
        <v>44.864059999999988</v>
      </c>
      <c r="P1312">
        <v>11.594390000000001</v>
      </c>
      <c r="Q1312" t="s">
        <v>10631</v>
      </c>
      <c r="R1312" t="s">
        <v>11037</v>
      </c>
      <c r="S1312" t="s">
        <v>10313</v>
      </c>
      <c r="U1312" t="s">
        <v>11040</v>
      </c>
      <c r="W1312" s="2" t="s">
        <v>11200</v>
      </c>
    </row>
    <row r="1313" spans="1:23" hidden="1" x14ac:dyDescent="0.45">
      <c r="A1313" s="1" t="s">
        <v>1302</v>
      </c>
      <c r="E1313" t="s">
        <v>9101</v>
      </c>
      <c r="F1313" t="s">
        <v>10295</v>
      </c>
      <c r="G1313">
        <v>963.80000000000007</v>
      </c>
      <c r="H1313" t="s">
        <v>10313</v>
      </c>
      <c r="N1313">
        <v>44.448779999999999</v>
      </c>
      <c r="P1313">
        <v>12.237920000000001</v>
      </c>
      <c r="Q1313" t="s">
        <v>10632</v>
      </c>
      <c r="R1313" t="s">
        <v>11037</v>
      </c>
      <c r="S1313" t="s">
        <v>10313</v>
      </c>
      <c r="U1313" t="s">
        <v>11040</v>
      </c>
      <c r="W1313" s="2" t="s">
        <v>11200</v>
      </c>
    </row>
    <row r="1314" spans="1:23" hidden="1" x14ac:dyDescent="0.45">
      <c r="A1314" s="1" t="s">
        <v>1303</v>
      </c>
      <c r="E1314" t="s">
        <v>9102</v>
      </c>
      <c r="F1314" t="s">
        <v>10295</v>
      </c>
      <c r="G1314">
        <v>137</v>
      </c>
      <c r="H1314" t="s">
        <v>10313</v>
      </c>
      <c r="N1314">
        <v>44.924660000000003</v>
      </c>
      <c r="P1314">
        <v>10.30298</v>
      </c>
      <c r="Q1314" t="s">
        <v>10633</v>
      </c>
      <c r="R1314" t="s">
        <v>11037</v>
      </c>
      <c r="S1314" t="s">
        <v>10313</v>
      </c>
      <c r="U1314" t="s">
        <v>11040</v>
      </c>
      <c r="W1314" s="2" t="s">
        <v>11200</v>
      </c>
    </row>
    <row r="1315" spans="1:23" hidden="1" x14ac:dyDescent="0.45">
      <c r="A1315" s="1" t="s">
        <v>1304</v>
      </c>
      <c r="E1315" t="s">
        <v>9103</v>
      </c>
      <c r="F1315" t="s">
        <v>10295</v>
      </c>
      <c r="G1315">
        <v>1441.59</v>
      </c>
      <c r="H1315" t="s">
        <v>10313</v>
      </c>
      <c r="N1315">
        <v>45.090589999999999</v>
      </c>
      <c r="P1315">
        <v>9.4800899999999988</v>
      </c>
      <c r="Q1315" t="s">
        <v>10634</v>
      </c>
      <c r="R1315" t="s">
        <v>11037</v>
      </c>
      <c r="S1315" t="s">
        <v>10313</v>
      </c>
      <c r="U1315" t="s">
        <v>11040</v>
      </c>
      <c r="W1315" s="2" t="s">
        <v>11200</v>
      </c>
    </row>
    <row r="1316" spans="1:23" hidden="1" x14ac:dyDescent="0.45">
      <c r="A1316" s="1" t="s">
        <v>1305</v>
      </c>
      <c r="E1316" t="s">
        <v>9101</v>
      </c>
      <c r="F1316" t="s">
        <v>10295</v>
      </c>
      <c r="G1316">
        <v>741.2</v>
      </c>
      <c r="H1316" t="s">
        <v>10313</v>
      </c>
      <c r="N1316">
        <v>44.483649999999997</v>
      </c>
      <c r="P1316">
        <v>12.264379999999999</v>
      </c>
      <c r="Q1316" t="s">
        <v>10635</v>
      </c>
      <c r="R1316" t="s">
        <v>11037</v>
      </c>
      <c r="S1316" t="s">
        <v>10313</v>
      </c>
      <c r="U1316" t="s">
        <v>11040</v>
      </c>
      <c r="W1316" s="2" t="s">
        <v>11200</v>
      </c>
    </row>
    <row r="1317" spans="1:23" hidden="1" x14ac:dyDescent="0.45">
      <c r="A1317" s="1" t="s">
        <v>1306</v>
      </c>
      <c r="E1317" t="s">
        <v>1306</v>
      </c>
      <c r="F1317" t="s">
        <v>10295</v>
      </c>
      <c r="G1317">
        <v>806</v>
      </c>
      <c r="H1317" t="s">
        <v>10313</v>
      </c>
      <c r="N1317">
        <v>45.055079999999997</v>
      </c>
      <c r="P1317">
        <v>9.7092399999999994</v>
      </c>
      <c r="Q1317" t="s">
        <v>10636</v>
      </c>
      <c r="R1317" t="s">
        <v>11037</v>
      </c>
      <c r="S1317" t="s">
        <v>10313</v>
      </c>
      <c r="U1317" t="s">
        <v>11040</v>
      </c>
      <c r="W1317" s="2" t="s">
        <v>11200</v>
      </c>
    </row>
    <row r="1318" spans="1:23" hidden="1" x14ac:dyDescent="0.45">
      <c r="A1318" s="1" t="s">
        <v>1307</v>
      </c>
      <c r="E1318" t="s">
        <v>1307</v>
      </c>
      <c r="F1318" t="s">
        <v>10295</v>
      </c>
      <c r="G1318">
        <v>180</v>
      </c>
      <c r="H1318" t="s">
        <v>10313</v>
      </c>
      <c r="N1318">
        <v>45.052070000000001</v>
      </c>
      <c r="P1318">
        <v>9.5062499999999996</v>
      </c>
      <c r="Q1318" t="s">
        <v>10637</v>
      </c>
      <c r="R1318" t="s">
        <v>11037</v>
      </c>
      <c r="S1318" t="s">
        <v>10313</v>
      </c>
      <c r="U1318" t="s">
        <v>11040</v>
      </c>
      <c r="W1318" s="2" t="s">
        <v>11200</v>
      </c>
    </row>
    <row r="1319" spans="1:23" hidden="1" x14ac:dyDescent="0.45">
      <c r="A1319" s="1" t="s">
        <v>1308</v>
      </c>
      <c r="E1319" t="s">
        <v>9104</v>
      </c>
      <c r="F1319" t="s">
        <v>10295</v>
      </c>
      <c r="G1319">
        <v>203.3</v>
      </c>
      <c r="H1319" t="s">
        <v>10313</v>
      </c>
      <c r="Q1319" t="s">
        <v>10638</v>
      </c>
      <c r="R1319" t="s">
        <v>11037</v>
      </c>
      <c r="S1319" t="s">
        <v>10313</v>
      </c>
      <c r="U1319" t="s">
        <v>11043</v>
      </c>
      <c r="W1319" s="2" t="s">
        <v>11200</v>
      </c>
    </row>
    <row r="1320" spans="1:23" hidden="1" x14ac:dyDescent="0.45">
      <c r="A1320" s="1" t="s">
        <v>1309</v>
      </c>
      <c r="E1320" t="s">
        <v>1309</v>
      </c>
      <c r="F1320" t="s">
        <v>10295</v>
      </c>
      <c r="G1320">
        <v>102</v>
      </c>
      <c r="H1320" t="s">
        <v>10313</v>
      </c>
      <c r="N1320">
        <v>43.823419999999999</v>
      </c>
      <c r="P1320">
        <v>10.60201</v>
      </c>
      <c r="Q1320" t="s">
        <v>10639</v>
      </c>
      <c r="R1320" t="s">
        <v>11037</v>
      </c>
      <c r="S1320" t="s">
        <v>10313</v>
      </c>
      <c r="U1320" t="s">
        <v>11043</v>
      </c>
      <c r="W1320" s="2" t="s">
        <v>11200</v>
      </c>
    </row>
    <row r="1321" spans="1:23" hidden="1" x14ac:dyDescent="0.45">
      <c r="A1321" s="1" t="s">
        <v>1310</v>
      </c>
      <c r="E1321" t="s">
        <v>9105</v>
      </c>
      <c r="F1321" t="s">
        <v>10295</v>
      </c>
      <c r="G1321">
        <v>181</v>
      </c>
      <c r="H1321" t="s">
        <v>10313</v>
      </c>
      <c r="N1321">
        <v>42.940629999999999</v>
      </c>
      <c r="P1321">
        <v>10.54524</v>
      </c>
      <c r="Q1321" t="s">
        <v>10640</v>
      </c>
      <c r="R1321" t="s">
        <v>11037</v>
      </c>
      <c r="S1321" t="s">
        <v>10313</v>
      </c>
      <c r="U1321" t="s">
        <v>11043</v>
      </c>
      <c r="W1321" s="2" t="s">
        <v>11200</v>
      </c>
    </row>
    <row r="1322" spans="1:23" hidden="1" x14ac:dyDescent="0.45">
      <c r="A1322" s="1" t="s">
        <v>1311</v>
      </c>
      <c r="E1322" t="s">
        <v>9106</v>
      </c>
      <c r="F1322" t="s">
        <v>10295</v>
      </c>
      <c r="G1322">
        <v>252</v>
      </c>
      <c r="H1322" t="s">
        <v>10313</v>
      </c>
      <c r="N1322">
        <v>43.566969999999998</v>
      </c>
      <c r="P1322">
        <v>10.31049</v>
      </c>
      <c r="R1322" t="s">
        <v>11037</v>
      </c>
      <c r="S1322" t="s">
        <v>10313</v>
      </c>
      <c r="U1322" t="s">
        <v>11043</v>
      </c>
      <c r="W1322" s="2" t="s">
        <v>11200</v>
      </c>
    </row>
    <row r="1323" spans="1:23" hidden="1" x14ac:dyDescent="0.45">
      <c r="A1323" s="1" t="s">
        <v>1312</v>
      </c>
      <c r="E1323" t="s">
        <v>9105</v>
      </c>
      <c r="F1323" t="s">
        <v>10295</v>
      </c>
      <c r="G1323">
        <v>1202</v>
      </c>
      <c r="H1323" t="s">
        <v>10313</v>
      </c>
      <c r="N1323">
        <v>42.957659999999997</v>
      </c>
      <c r="P1323">
        <v>10.603339999999999</v>
      </c>
      <c r="R1323" t="s">
        <v>11037</v>
      </c>
      <c r="S1323" t="s">
        <v>10313</v>
      </c>
      <c r="U1323" t="s">
        <v>11043</v>
      </c>
      <c r="W1323" s="2" t="s">
        <v>11200</v>
      </c>
    </row>
    <row r="1324" spans="1:23" hidden="1" x14ac:dyDescent="0.45">
      <c r="A1324" s="1" t="s">
        <v>1313</v>
      </c>
      <c r="E1324" t="s">
        <v>9107</v>
      </c>
      <c r="F1324" t="s">
        <v>10295</v>
      </c>
      <c r="G1324">
        <v>380</v>
      </c>
      <c r="H1324" t="s">
        <v>10313</v>
      </c>
      <c r="N1324">
        <v>43.384590000000003</v>
      </c>
      <c r="P1324">
        <v>10.44666</v>
      </c>
      <c r="Q1324" t="s">
        <v>10641</v>
      </c>
      <c r="R1324" t="s">
        <v>11037</v>
      </c>
      <c r="S1324" t="s">
        <v>10313</v>
      </c>
      <c r="U1324" t="s">
        <v>11043</v>
      </c>
      <c r="W1324" s="2" t="s">
        <v>11200</v>
      </c>
    </row>
    <row r="1325" spans="1:23" hidden="1" x14ac:dyDescent="0.45">
      <c r="A1325" s="1" t="s">
        <v>1314</v>
      </c>
      <c r="E1325" t="s">
        <v>9107</v>
      </c>
      <c r="F1325" t="s">
        <v>10295</v>
      </c>
      <c r="G1325">
        <v>400</v>
      </c>
      <c r="H1325" t="s">
        <v>10313</v>
      </c>
      <c r="N1325">
        <v>43.381340000000002</v>
      </c>
      <c r="P1325">
        <v>10.448549999999999</v>
      </c>
      <c r="Q1325" t="s">
        <v>10642</v>
      </c>
      <c r="R1325" t="s">
        <v>11037</v>
      </c>
      <c r="S1325" t="s">
        <v>10313</v>
      </c>
      <c r="U1325" t="s">
        <v>11043</v>
      </c>
      <c r="W1325" s="2" t="s">
        <v>11200</v>
      </c>
    </row>
    <row r="1326" spans="1:23" hidden="1" x14ac:dyDescent="0.45">
      <c r="A1326" s="1" t="s">
        <v>1315</v>
      </c>
      <c r="E1326" t="s">
        <v>9108</v>
      </c>
      <c r="F1326" t="s">
        <v>10295</v>
      </c>
      <c r="G1326">
        <v>391.1</v>
      </c>
      <c r="H1326" t="s">
        <v>10313</v>
      </c>
      <c r="N1326">
        <v>43.564190000000004</v>
      </c>
      <c r="P1326">
        <v>11.47714</v>
      </c>
      <c r="Q1326" t="s">
        <v>10643</v>
      </c>
      <c r="R1326" t="s">
        <v>11037</v>
      </c>
      <c r="S1326" t="s">
        <v>10313</v>
      </c>
      <c r="U1326" t="s">
        <v>11043</v>
      </c>
      <c r="W1326" s="2" t="s">
        <v>11200</v>
      </c>
    </row>
    <row r="1327" spans="1:23" hidden="1" x14ac:dyDescent="0.45">
      <c r="A1327" s="1" t="s">
        <v>1316</v>
      </c>
      <c r="E1327" t="s">
        <v>9109</v>
      </c>
      <c r="F1327" t="s">
        <v>10295</v>
      </c>
      <c r="G1327">
        <v>134</v>
      </c>
      <c r="H1327" t="s">
        <v>10313</v>
      </c>
      <c r="N1327">
        <v>42.896590000000003</v>
      </c>
      <c r="P1327">
        <v>12.53886</v>
      </c>
      <c r="Q1327" t="s">
        <v>10644</v>
      </c>
      <c r="R1327" t="s">
        <v>11037</v>
      </c>
      <c r="S1327" t="s">
        <v>10313</v>
      </c>
      <c r="U1327" t="s">
        <v>11043</v>
      </c>
      <c r="W1327" s="2" t="s">
        <v>11200</v>
      </c>
    </row>
    <row r="1328" spans="1:23" hidden="1" x14ac:dyDescent="0.45">
      <c r="A1328" s="1" t="s">
        <v>1317</v>
      </c>
      <c r="E1328" t="s">
        <v>9110</v>
      </c>
      <c r="F1328" t="s">
        <v>10295</v>
      </c>
      <c r="G1328">
        <v>326</v>
      </c>
      <c r="H1328" t="s">
        <v>10310</v>
      </c>
      <c r="Q1328" t="s">
        <v>10645</v>
      </c>
      <c r="R1328" t="s">
        <v>11038</v>
      </c>
      <c r="S1328" t="s">
        <v>10310</v>
      </c>
      <c r="U1328" t="s">
        <v>11043</v>
      </c>
      <c r="W1328" s="2" t="s">
        <v>11200</v>
      </c>
    </row>
    <row r="1329" spans="1:23" hidden="1" x14ac:dyDescent="0.45">
      <c r="A1329" s="1" t="s">
        <v>1318</v>
      </c>
      <c r="E1329" t="s">
        <v>9111</v>
      </c>
      <c r="F1329" t="s">
        <v>10295</v>
      </c>
      <c r="G1329">
        <v>539.6</v>
      </c>
      <c r="H1329" t="s">
        <v>10313</v>
      </c>
      <c r="N1329">
        <v>42.996369999999999</v>
      </c>
      <c r="P1329">
        <v>12.20013</v>
      </c>
      <c r="Q1329" t="s">
        <v>10646</v>
      </c>
      <c r="R1329" t="s">
        <v>11037</v>
      </c>
      <c r="S1329" t="s">
        <v>10313</v>
      </c>
      <c r="U1329" t="s">
        <v>11043</v>
      </c>
      <c r="W1329" s="2" t="s">
        <v>11200</v>
      </c>
    </row>
    <row r="1330" spans="1:23" hidden="1" x14ac:dyDescent="0.45">
      <c r="A1330" s="1" t="s">
        <v>1319</v>
      </c>
      <c r="E1330" t="s">
        <v>9112</v>
      </c>
      <c r="F1330" t="s">
        <v>10295</v>
      </c>
      <c r="G1330">
        <v>297.5</v>
      </c>
      <c r="H1330" t="s">
        <v>10313</v>
      </c>
      <c r="N1330">
        <v>43.641129999999997</v>
      </c>
      <c r="P1330">
        <v>13.37936</v>
      </c>
      <c r="Q1330" t="s">
        <v>10647</v>
      </c>
      <c r="R1330" t="s">
        <v>11037</v>
      </c>
      <c r="S1330" t="s">
        <v>10313</v>
      </c>
      <c r="U1330" t="s">
        <v>11043</v>
      </c>
      <c r="W1330" s="2" t="s">
        <v>11200</v>
      </c>
    </row>
    <row r="1331" spans="1:23" hidden="1" x14ac:dyDescent="0.45">
      <c r="A1331" s="1" t="s">
        <v>1320</v>
      </c>
      <c r="E1331" t="s">
        <v>1320</v>
      </c>
      <c r="F1331" t="s">
        <v>10295</v>
      </c>
      <c r="G1331">
        <v>140</v>
      </c>
      <c r="H1331" t="s">
        <v>10313</v>
      </c>
      <c r="N1331">
        <v>43.553350000000002</v>
      </c>
      <c r="P1331">
        <v>13.28534</v>
      </c>
      <c r="Q1331" t="s">
        <v>10648</v>
      </c>
      <c r="R1331" t="s">
        <v>11037</v>
      </c>
      <c r="S1331" t="s">
        <v>10313</v>
      </c>
      <c r="U1331" t="s">
        <v>11043</v>
      </c>
      <c r="W1331" s="2" t="s">
        <v>11200</v>
      </c>
    </row>
    <row r="1332" spans="1:23" hidden="1" x14ac:dyDescent="0.45">
      <c r="A1332" s="1" t="s">
        <v>1321</v>
      </c>
      <c r="E1332" t="s">
        <v>9113</v>
      </c>
      <c r="F1332" t="s">
        <v>10295</v>
      </c>
      <c r="G1332">
        <v>131.1</v>
      </c>
      <c r="H1332" t="s">
        <v>10313</v>
      </c>
      <c r="N1332">
        <v>41.810290000000002</v>
      </c>
      <c r="P1332">
        <v>12.421049999999999</v>
      </c>
      <c r="Q1332" t="s">
        <v>10649</v>
      </c>
      <c r="R1332" t="s">
        <v>11037</v>
      </c>
      <c r="S1332" t="s">
        <v>10313</v>
      </c>
      <c r="U1332" t="s">
        <v>11041</v>
      </c>
      <c r="W1332" s="2" t="s">
        <v>11200</v>
      </c>
    </row>
    <row r="1333" spans="1:23" hidden="1" x14ac:dyDescent="0.45">
      <c r="A1333" s="1" t="s">
        <v>1322</v>
      </c>
      <c r="E1333" t="s">
        <v>9114</v>
      </c>
      <c r="F1333" t="s">
        <v>10295</v>
      </c>
      <c r="G1333">
        <v>3446</v>
      </c>
      <c r="H1333" t="s">
        <v>10313</v>
      </c>
      <c r="N1333">
        <v>42.35689</v>
      </c>
      <c r="P1333">
        <v>11.53331</v>
      </c>
      <c r="Q1333" t="s">
        <v>10650</v>
      </c>
      <c r="R1333" t="s">
        <v>11037</v>
      </c>
      <c r="S1333" t="s">
        <v>10313</v>
      </c>
      <c r="U1333" t="s">
        <v>11041</v>
      </c>
      <c r="W1333" s="2" t="s">
        <v>11200</v>
      </c>
    </row>
    <row r="1334" spans="1:23" hidden="1" x14ac:dyDescent="0.45">
      <c r="A1334" s="1" t="s">
        <v>1323</v>
      </c>
      <c r="E1334" t="s">
        <v>9115</v>
      </c>
      <c r="F1334" t="s">
        <v>10295</v>
      </c>
      <c r="G1334">
        <v>1845</v>
      </c>
      <c r="H1334" t="s">
        <v>10313</v>
      </c>
      <c r="N1334">
        <v>42.128309999999999</v>
      </c>
      <c r="P1334">
        <v>11.75667</v>
      </c>
      <c r="Q1334" t="s">
        <v>10651</v>
      </c>
      <c r="R1334" t="s">
        <v>11037</v>
      </c>
      <c r="S1334" t="s">
        <v>10313</v>
      </c>
      <c r="U1334" t="s">
        <v>11041</v>
      </c>
      <c r="W1334" s="2" t="s">
        <v>11200</v>
      </c>
    </row>
    <row r="1335" spans="1:23" hidden="1" x14ac:dyDescent="0.45">
      <c r="A1335" s="1" t="s">
        <v>1324</v>
      </c>
      <c r="E1335" t="s">
        <v>9115</v>
      </c>
      <c r="F1335" t="s">
        <v>10295</v>
      </c>
      <c r="G1335">
        <v>1488</v>
      </c>
      <c r="H1335" t="s">
        <v>10313</v>
      </c>
      <c r="N1335">
        <v>42.123259999999988</v>
      </c>
      <c r="P1335">
        <v>11.764480000000001</v>
      </c>
      <c r="Q1335" t="s">
        <v>10652</v>
      </c>
      <c r="R1335" t="s">
        <v>11037</v>
      </c>
      <c r="S1335" t="s">
        <v>10313</v>
      </c>
      <c r="U1335" t="s">
        <v>11041</v>
      </c>
      <c r="W1335" s="2" t="s">
        <v>11200</v>
      </c>
    </row>
    <row r="1336" spans="1:23" hidden="1" x14ac:dyDescent="0.45">
      <c r="A1336" s="1" t="s">
        <v>1325</v>
      </c>
      <c r="E1336" t="s">
        <v>9116</v>
      </c>
      <c r="F1336" t="s">
        <v>10295</v>
      </c>
      <c r="G1336">
        <v>122</v>
      </c>
      <c r="H1336" t="s">
        <v>10313</v>
      </c>
      <c r="N1336">
        <v>42.200130000000001</v>
      </c>
      <c r="P1336">
        <v>13.83976</v>
      </c>
      <c r="Q1336" t="s">
        <v>10653</v>
      </c>
      <c r="R1336" t="s">
        <v>11037</v>
      </c>
      <c r="S1336" t="s">
        <v>10313</v>
      </c>
      <c r="U1336" t="s">
        <v>11041</v>
      </c>
      <c r="W1336" s="2" t="s">
        <v>11200</v>
      </c>
    </row>
    <row r="1337" spans="1:23" hidden="1" x14ac:dyDescent="0.45">
      <c r="A1337" s="1" t="s">
        <v>1326</v>
      </c>
      <c r="E1337" t="s">
        <v>1326</v>
      </c>
      <c r="F1337" t="s">
        <v>10295</v>
      </c>
      <c r="G1337">
        <v>840</v>
      </c>
      <c r="H1337" t="s">
        <v>10313</v>
      </c>
      <c r="N1337">
        <v>42.049950000000003</v>
      </c>
      <c r="P1337">
        <v>14.56371</v>
      </c>
      <c r="Q1337" t="s">
        <v>10654</v>
      </c>
      <c r="R1337" t="s">
        <v>11037</v>
      </c>
      <c r="S1337" t="s">
        <v>10313</v>
      </c>
      <c r="U1337" t="s">
        <v>11041</v>
      </c>
      <c r="W1337" s="2" t="s">
        <v>11200</v>
      </c>
    </row>
    <row r="1338" spans="1:23" hidden="1" x14ac:dyDescent="0.45">
      <c r="A1338" s="1" t="s">
        <v>1327</v>
      </c>
      <c r="E1338" t="s">
        <v>9117</v>
      </c>
      <c r="F1338" t="s">
        <v>10295</v>
      </c>
      <c r="G1338">
        <v>110</v>
      </c>
      <c r="H1338" t="s">
        <v>10313</v>
      </c>
      <c r="N1338">
        <v>42.323250000000002</v>
      </c>
      <c r="P1338">
        <v>14.377549999999999</v>
      </c>
      <c r="Q1338" t="s">
        <v>10655</v>
      </c>
      <c r="R1338" t="s">
        <v>11037</v>
      </c>
      <c r="S1338" t="s">
        <v>10313</v>
      </c>
      <c r="U1338" t="s">
        <v>11041</v>
      </c>
      <c r="W1338" s="2" t="s">
        <v>11200</v>
      </c>
    </row>
    <row r="1339" spans="1:23" hidden="1" x14ac:dyDescent="0.45">
      <c r="A1339" s="1" t="s">
        <v>1328</v>
      </c>
      <c r="E1339" t="s">
        <v>9118</v>
      </c>
      <c r="F1339" t="s">
        <v>10295</v>
      </c>
      <c r="G1339">
        <v>110</v>
      </c>
      <c r="H1339" t="s">
        <v>10310</v>
      </c>
      <c r="Q1339" t="s">
        <v>10656</v>
      </c>
      <c r="R1339" t="s">
        <v>11038</v>
      </c>
      <c r="S1339" t="s">
        <v>10310</v>
      </c>
      <c r="U1339" t="s">
        <v>11041</v>
      </c>
      <c r="W1339" s="2" t="s">
        <v>11200</v>
      </c>
    </row>
    <row r="1340" spans="1:23" hidden="1" x14ac:dyDescent="0.45">
      <c r="A1340" s="1" t="s">
        <v>1329</v>
      </c>
      <c r="E1340" t="s">
        <v>9119</v>
      </c>
      <c r="F1340" t="s">
        <v>10295</v>
      </c>
      <c r="G1340">
        <v>139</v>
      </c>
      <c r="H1340" t="s">
        <v>10310</v>
      </c>
      <c r="N1340">
        <v>42.511133000000001</v>
      </c>
      <c r="P1340">
        <v>13.410606</v>
      </c>
      <c r="Q1340" t="s">
        <v>10657</v>
      </c>
      <c r="R1340" t="s">
        <v>11038</v>
      </c>
      <c r="S1340" t="s">
        <v>10310</v>
      </c>
      <c r="U1340" t="s">
        <v>11041</v>
      </c>
      <c r="W1340" s="2" t="s">
        <v>11200</v>
      </c>
    </row>
    <row r="1341" spans="1:23" hidden="1" x14ac:dyDescent="0.45">
      <c r="A1341" s="1" t="s">
        <v>1330</v>
      </c>
      <c r="E1341" t="s">
        <v>9120</v>
      </c>
      <c r="F1341" t="s">
        <v>10295</v>
      </c>
      <c r="G1341">
        <v>495</v>
      </c>
      <c r="H1341" t="s">
        <v>10310</v>
      </c>
      <c r="N1341">
        <v>42.53754</v>
      </c>
      <c r="P1341">
        <v>13.555650999999999</v>
      </c>
      <c r="Q1341" t="s">
        <v>10658</v>
      </c>
      <c r="R1341" t="s">
        <v>11038</v>
      </c>
      <c r="S1341" t="s">
        <v>10310</v>
      </c>
      <c r="U1341" t="s">
        <v>11041</v>
      </c>
      <c r="W1341" s="2" t="s">
        <v>11200</v>
      </c>
    </row>
    <row r="1342" spans="1:23" hidden="1" x14ac:dyDescent="0.45">
      <c r="A1342" s="1" t="s">
        <v>1331</v>
      </c>
      <c r="E1342" t="s">
        <v>1331</v>
      </c>
      <c r="F1342" t="s">
        <v>10295</v>
      </c>
      <c r="G1342">
        <v>175</v>
      </c>
      <c r="H1342" t="s">
        <v>10313</v>
      </c>
      <c r="N1342">
        <v>42.04813</v>
      </c>
      <c r="P1342">
        <v>13.53618</v>
      </c>
      <c r="Q1342" t="s">
        <v>10659</v>
      </c>
      <c r="R1342" t="s">
        <v>11037</v>
      </c>
      <c r="S1342" t="s">
        <v>10313</v>
      </c>
      <c r="U1342" t="s">
        <v>11041</v>
      </c>
      <c r="W1342" s="2" t="s">
        <v>11200</v>
      </c>
    </row>
    <row r="1343" spans="1:23" hidden="1" x14ac:dyDescent="0.45">
      <c r="A1343" s="1" t="s">
        <v>1332</v>
      </c>
      <c r="E1343" t="s">
        <v>9121</v>
      </c>
      <c r="F1343" t="s">
        <v>10295</v>
      </c>
      <c r="G1343">
        <v>248</v>
      </c>
      <c r="H1343" t="s">
        <v>10313</v>
      </c>
      <c r="N1343">
        <v>41.819490000000002</v>
      </c>
      <c r="P1343">
        <v>14.96602</v>
      </c>
      <c r="Q1343" t="s">
        <v>10660</v>
      </c>
      <c r="R1343" t="s">
        <v>11037</v>
      </c>
      <c r="S1343" t="s">
        <v>10313</v>
      </c>
      <c r="U1343" t="s">
        <v>11042</v>
      </c>
      <c r="W1343" s="2" t="s">
        <v>11200</v>
      </c>
    </row>
    <row r="1344" spans="1:23" hidden="1" x14ac:dyDescent="0.45">
      <c r="A1344" s="1" t="s">
        <v>1333</v>
      </c>
      <c r="E1344" t="s">
        <v>9122</v>
      </c>
      <c r="F1344" t="s">
        <v>10295</v>
      </c>
      <c r="G1344">
        <v>769</v>
      </c>
      <c r="H1344" t="s">
        <v>10313</v>
      </c>
      <c r="N1344">
        <v>41.937089999999998</v>
      </c>
      <c r="P1344">
        <v>15.00047</v>
      </c>
      <c r="Q1344" t="s">
        <v>10661</v>
      </c>
      <c r="R1344" t="s">
        <v>11037</v>
      </c>
      <c r="S1344" t="s">
        <v>10313</v>
      </c>
      <c r="U1344" t="s">
        <v>11042</v>
      </c>
      <c r="W1344" s="2" t="s">
        <v>11200</v>
      </c>
    </row>
    <row r="1345" spans="1:23" hidden="1" x14ac:dyDescent="0.45">
      <c r="A1345" s="1" t="s">
        <v>1334</v>
      </c>
      <c r="E1345" t="s">
        <v>9123</v>
      </c>
      <c r="F1345" t="s">
        <v>10295</v>
      </c>
      <c r="G1345">
        <v>113</v>
      </c>
      <c r="H1345" t="s">
        <v>10310</v>
      </c>
      <c r="N1345">
        <v>41.476824000000001</v>
      </c>
      <c r="P1345">
        <v>14.128278999999999</v>
      </c>
      <c r="Q1345" t="s">
        <v>10662</v>
      </c>
      <c r="R1345" t="s">
        <v>11038</v>
      </c>
      <c r="S1345" t="s">
        <v>10310</v>
      </c>
      <c r="U1345" t="s">
        <v>11041</v>
      </c>
      <c r="W1345" s="2" t="s">
        <v>11200</v>
      </c>
    </row>
    <row r="1346" spans="1:23" hidden="1" x14ac:dyDescent="0.45">
      <c r="A1346" s="1" t="s">
        <v>1335</v>
      </c>
      <c r="E1346" t="s">
        <v>9124</v>
      </c>
      <c r="F1346" t="s">
        <v>10295</v>
      </c>
      <c r="G1346">
        <v>349.2</v>
      </c>
      <c r="H1346" t="s">
        <v>10313</v>
      </c>
      <c r="R1346" t="s">
        <v>11037</v>
      </c>
      <c r="S1346" t="s">
        <v>10313</v>
      </c>
      <c r="U1346" t="s">
        <v>11041</v>
      </c>
      <c r="W1346" s="2" t="s">
        <v>11200</v>
      </c>
    </row>
    <row r="1347" spans="1:23" hidden="1" x14ac:dyDescent="0.45">
      <c r="A1347" s="1" t="s">
        <v>1336</v>
      </c>
      <c r="E1347" t="s">
        <v>9125</v>
      </c>
      <c r="F1347" t="s">
        <v>10295</v>
      </c>
      <c r="G1347">
        <v>350</v>
      </c>
      <c r="H1347" t="s">
        <v>10313</v>
      </c>
      <c r="N1347">
        <v>41.019840000000002</v>
      </c>
      <c r="P1347">
        <v>14.370329999999999</v>
      </c>
      <c r="Q1347" t="s">
        <v>10663</v>
      </c>
      <c r="R1347" t="s">
        <v>11037</v>
      </c>
      <c r="S1347" t="s">
        <v>10313</v>
      </c>
      <c r="U1347" t="s">
        <v>11041</v>
      </c>
      <c r="W1347" s="2" t="s">
        <v>11200</v>
      </c>
    </row>
    <row r="1348" spans="1:23" hidden="1" x14ac:dyDescent="0.45">
      <c r="A1348" s="1" t="s">
        <v>1337</v>
      </c>
      <c r="E1348" t="s">
        <v>9126</v>
      </c>
      <c r="F1348" t="s">
        <v>10295</v>
      </c>
      <c r="G1348">
        <v>380</v>
      </c>
      <c r="H1348" t="s">
        <v>10313</v>
      </c>
      <c r="N1348">
        <v>40.833970000000001</v>
      </c>
      <c r="P1348">
        <v>14.30076</v>
      </c>
      <c r="Q1348" t="s">
        <v>10664</v>
      </c>
      <c r="R1348" t="s">
        <v>11037</v>
      </c>
      <c r="S1348" t="s">
        <v>10313</v>
      </c>
      <c r="U1348" t="s">
        <v>11041</v>
      </c>
      <c r="W1348" s="2" t="s">
        <v>11200</v>
      </c>
    </row>
    <row r="1349" spans="1:23" hidden="1" x14ac:dyDescent="0.45">
      <c r="A1349" s="1" t="s">
        <v>1338</v>
      </c>
      <c r="E1349" t="s">
        <v>1338</v>
      </c>
      <c r="F1349" t="s">
        <v>10295</v>
      </c>
      <c r="G1349">
        <v>1005</v>
      </c>
      <c r="H1349" t="s">
        <v>10310</v>
      </c>
      <c r="N1349">
        <v>41.380906000000003</v>
      </c>
      <c r="P1349">
        <v>14.09146</v>
      </c>
      <c r="Q1349" t="s">
        <v>10665</v>
      </c>
      <c r="R1349" t="s">
        <v>11038</v>
      </c>
      <c r="S1349" t="s">
        <v>10310</v>
      </c>
      <c r="U1349" t="s">
        <v>11041</v>
      </c>
      <c r="W1349" s="2" t="s">
        <v>11200</v>
      </c>
    </row>
    <row r="1350" spans="1:23" hidden="1" x14ac:dyDescent="0.45">
      <c r="A1350" s="1" t="s">
        <v>1339</v>
      </c>
      <c r="E1350" t="s">
        <v>9127</v>
      </c>
      <c r="F1350" t="s">
        <v>10295</v>
      </c>
      <c r="G1350">
        <v>768.4</v>
      </c>
      <c r="H1350" t="s">
        <v>10313</v>
      </c>
      <c r="N1350">
        <v>41.177669999999999</v>
      </c>
      <c r="P1350">
        <v>14.11289</v>
      </c>
      <c r="Q1350" t="s">
        <v>10666</v>
      </c>
      <c r="R1350" t="s">
        <v>11037</v>
      </c>
      <c r="S1350" t="s">
        <v>10313</v>
      </c>
      <c r="U1350" t="s">
        <v>11041</v>
      </c>
      <c r="W1350" s="2" t="s">
        <v>11200</v>
      </c>
    </row>
    <row r="1351" spans="1:23" hidden="1" x14ac:dyDescent="0.45">
      <c r="A1351" s="1" t="s">
        <v>1340</v>
      </c>
      <c r="E1351" t="s">
        <v>1340</v>
      </c>
      <c r="F1351" t="s">
        <v>10295</v>
      </c>
      <c r="G1351">
        <v>105</v>
      </c>
      <c r="H1351" t="s">
        <v>10313</v>
      </c>
      <c r="N1351">
        <v>40.931939999999997</v>
      </c>
      <c r="P1351">
        <v>14.384919999999999</v>
      </c>
      <c r="Q1351" t="s">
        <v>10667</v>
      </c>
      <c r="R1351" t="s">
        <v>11037</v>
      </c>
      <c r="S1351" t="s">
        <v>10313</v>
      </c>
      <c r="U1351" t="s">
        <v>11041</v>
      </c>
      <c r="W1351" s="2" t="s">
        <v>11200</v>
      </c>
    </row>
    <row r="1352" spans="1:23" hidden="1" x14ac:dyDescent="0.45">
      <c r="A1352" s="1" t="s">
        <v>1341</v>
      </c>
      <c r="E1352" t="s">
        <v>9128</v>
      </c>
      <c r="F1352" t="s">
        <v>10295</v>
      </c>
      <c r="G1352">
        <v>404</v>
      </c>
      <c r="H1352" t="s">
        <v>10313</v>
      </c>
      <c r="N1352">
        <v>41.009149999999998</v>
      </c>
      <c r="P1352">
        <v>14.2286</v>
      </c>
      <c r="Q1352" t="s">
        <v>10668</v>
      </c>
      <c r="R1352" t="s">
        <v>11037</v>
      </c>
      <c r="S1352" t="s">
        <v>10313</v>
      </c>
      <c r="U1352" t="s">
        <v>11041</v>
      </c>
      <c r="W1352" s="2" t="s">
        <v>11200</v>
      </c>
    </row>
    <row r="1353" spans="1:23" hidden="1" x14ac:dyDescent="0.45">
      <c r="A1353" s="1" t="s">
        <v>1342</v>
      </c>
      <c r="E1353" t="s">
        <v>9129</v>
      </c>
      <c r="F1353" t="s">
        <v>10295</v>
      </c>
      <c r="G1353">
        <v>500</v>
      </c>
      <c r="H1353" t="s">
        <v>10313</v>
      </c>
      <c r="N1353">
        <v>40.643979999999999</v>
      </c>
      <c r="P1353">
        <v>17.98039</v>
      </c>
      <c r="Q1353" t="s">
        <v>10669</v>
      </c>
      <c r="R1353" t="s">
        <v>11037</v>
      </c>
      <c r="S1353" t="s">
        <v>10313</v>
      </c>
      <c r="U1353" t="s">
        <v>11042</v>
      </c>
      <c r="W1353" s="2" t="s">
        <v>11200</v>
      </c>
    </row>
    <row r="1354" spans="1:23" hidden="1" x14ac:dyDescent="0.45">
      <c r="A1354" s="1" t="s">
        <v>1343</v>
      </c>
      <c r="E1354" t="s">
        <v>9129</v>
      </c>
      <c r="F1354" t="s">
        <v>10295</v>
      </c>
      <c r="G1354">
        <v>2446.8000000000002</v>
      </c>
      <c r="H1354" t="s">
        <v>10313</v>
      </c>
      <c r="N1354">
        <v>40.562480000000001</v>
      </c>
      <c r="P1354">
        <v>18.03191</v>
      </c>
      <c r="Q1354" t="s">
        <v>10670</v>
      </c>
      <c r="R1354" t="s">
        <v>11037</v>
      </c>
      <c r="S1354" t="s">
        <v>10313</v>
      </c>
      <c r="U1354" t="s">
        <v>11042</v>
      </c>
      <c r="W1354" s="2" t="s">
        <v>11200</v>
      </c>
    </row>
    <row r="1355" spans="1:23" hidden="1" x14ac:dyDescent="0.45">
      <c r="A1355" s="1" t="s">
        <v>1344</v>
      </c>
      <c r="E1355" t="s">
        <v>1344</v>
      </c>
      <c r="F1355" t="s">
        <v>10295</v>
      </c>
      <c r="G1355">
        <v>194.1</v>
      </c>
      <c r="H1355" t="s">
        <v>10313</v>
      </c>
      <c r="R1355" t="s">
        <v>11037</v>
      </c>
      <c r="S1355" t="s">
        <v>10313</v>
      </c>
      <c r="U1355" t="s">
        <v>11042</v>
      </c>
      <c r="W1355" s="2" t="s">
        <v>11200</v>
      </c>
    </row>
    <row r="1356" spans="1:23" hidden="1" x14ac:dyDescent="0.45">
      <c r="A1356" s="1" t="s">
        <v>1345</v>
      </c>
      <c r="E1356" t="s">
        <v>9130</v>
      </c>
      <c r="F1356" t="s">
        <v>10295</v>
      </c>
      <c r="G1356">
        <v>810</v>
      </c>
      <c r="H1356" t="s">
        <v>10313</v>
      </c>
      <c r="N1356">
        <v>41.102679999999999</v>
      </c>
      <c r="P1356">
        <v>16.755669999999999</v>
      </c>
      <c r="Q1356" t="s">
        <v>10671</v>
      </c>
      <c r="R1356" t="s">
        <v>11037</v>
      </c>
      <c r="S1356" t="s">
        <v>10313</v>
      </c>
      <c r="U1356" t="s">
        <v>11042</v>
      </c>
      <c r="W1356" s="2" t="s">
        <v>11200</v>
      </c>
    </row>
    <row r="1357" spans="1:23" hidden="1" x14ac:dyDescent="0.45">
      <c r="A1357" s="1" t="s">
        <v>1346</v>
      </c>
      <c r="E1357" t="s">
        <v>1346</v>
      </c>
      <c r="F1357" t="s">
        <v>10295</v>
      </c>
      <c r="G1357">
        <v>400.5</v>
      </c>
      <c r="H1357" t="s">
        <v>10313</v>
      </c>
      <c r="N1357">
        <v>41.20185</v>
      </c>
      <c r="P1357">
        <v>15.476129999999999</v>
      </c>
      <c r="Q1357" t="s">
        <v>10672</v>
      </c>
      <c r="R1357" t="s">
        <v>11037</v>
      </c>
      <c r="S1357" t="s">
        <v>10313</v>
      </c>
      <c r="U1357" t="s">
        <v>11042</v>
      </c>
      <c r="W1357" s="2" t="s">
        <v>11200</v>
      </c>
    </row>
    <row r="1358" spans="1:23" hidden="1" x14ac:dyDescent="0.45">
      <c r="A1358" s="1" t="s">
        <v>1347</v>
      </c>
      <c r="E1358" t="s">
        <v>9131</v>
      </c>
      <c r="F1358" t="s">
        <v>10295</v>
      </c>
      <c r="G1358">
        <v>420.53800000000001</v>
      </c>
      <c r="H1358" t="s">
        <v>10313</v>
      </c>
      <c r="N1358">
        <v>41.626669999999997</v>
      </c>
      <c r="P1358">
        <v>15.42375</v>
      </c>
      <c r="Q1358" t="s">
        <v>10673</v>
      </c>
      <c r="R1358" t="s">
        <v>11037</v>
      </c>
      <c r="S1358" t="s">
        <v>10313</v>
      </c>
      <c r="U1358" t="s">
        <v>11042</v>
      </c>
      <c r="W1358" s="2" t="s">
        <v>11200</v>
      </c>
    </row>
    <row r="1359" spans="1:23" hidden="1" x14ac:dyDescent="0.45">
      <c r="A1359" s="1" t="s">
        <v>1348</v>
      </c>
      <c r="E1359" t="s">
        <v>9129</v>
      </c>
      <c r="F1359" t="s">
        <v>10295</v>
      </c>
      <c r="G1359">
        <v>1260</v>
      </c>
      <c r="H1359" t="s">
        <v>10313</v>
      </c>
      <c r="N1359">
        <v>40.643977999999997</v>
      </c>
      <c r="P1359">
        <v>17.980304</v>
      </c>
      <c r="Q1359" t="s">
        <v>10674</v>
      </c>
      <c r="R1359" t="s">
        <v>11037</v>
      </c>
      <c r="S1359" t="s">
        <v>10313</v>
      </c>
      <c r="U1359" t="s">
        <v>11042</v>
      </c>
      <c r="W1359" s="2" t="s">
        <v>11200</v>
      </c>
    </row>
    <row r="1360" spans="1:23" hidden="1" x14ac:dyDescent="0.45">
      <c r="A1360" s="1" t="s">
        <v>1349</v>
      </c>
      <c r="E1360" t="s">
        <v>9132</v>
      </c>
      <c r="F1360" t="s">
        <v>10295</v>
      </c>
      <c r="G1360">
        <v>149.6</v>
      </c>
      <c r="H1360" t="s">
        <v>10313</v>
      </c>
      <c r="N1360">
        <v>40.957675000000002</v>
      </c>
      <c r="P1360">
        <v>17.266559000000001</v>
      </c>
      <c r="Q1360" t="s">
        <v>10675</v>
      </c>
      <c r="R1360" t="s">
        <v>11037</v>
      </c>
      <c r="S1360" t="s">
        <v>10313</v>
      </c>
      <c r="U1360" t="s">
        <v>11042</v>
      </c>
      <c r="W1360" s="2" t="s">
        <v>11200</v>
      </c>
    </row>
    <row r="1361" spans="1:23" hidden="1" x14ac:dyDescent="0.45">
      <c r="A1361" s="1" t="s">
        <v>1350</v>
      </c>
      <c r="E1361" t="s">
        <v>9133</v>
      </c>
      <c r="F1361" t="s">
        <v>10295</v>
      </c>
      <c r="G1361">
        <v>808</v>
      </c>
      <c r="H1361" t="s">
        <v>10313</v>
      </c>
      <c r="N1361">
        <v>39.711908000000001</v>
      </c>
      <c r="P1361">
        <v>16.215591</v>
      </c>
      <c r="Q1361" t="s">
        <v>10676</v>
      </c>
      <c r="R1361" t="s">
        <v>11037</v>
      </c>
      <c r="S1361" t="s">
        <v>10313</v>
      </c>
      <c r="U1361" t="s">
        <v>11042</v>
      </c>
      <c r="W1361" s="2" t="s">
        <v>11200</v>
      </c>
    </row>
    <row r="1362" spans="1:23" hidden="1" x14ac:dyDescent="0.45">
      <c r="A1362" s="1" t="s">
        <v>1351</v>
      </c>
      <c r="E1362" t="s">
        <v>9134</v>
      </c>
      <c r="F1362" t="s">
        <v>10295</v>
      </c>
      <c r="G1362">
        <v>101.44</v>
      </c>
      <c r="H1362" t="s">
        <v>10310</v>
      </c>
      <c r="N1362">
        <v>39.476646000000002</v>
      </c>
      <c r="P1362">
        <v>16.290828000000001</v>
      </c>
      <c r="Q1362" t="s">
        <v>10677</v>
      </c>
      <c r="R1362" t="s">
        <v>11038</v>
      </c>
      <c r="S1362" t="s">
        <v>10310</v>
      </c>
      <c r="U1362" t="s">
        <v>11042</v>
      </c>
      <c r="W1362" s="2" t="s">
        <v>11200</v>
      </c>
    </row>
    <row r="1363" spans="1:23" hidden="1" x14ac:dyDescent="0.45">
      <c r="A1363" s="1" t="s">
        <v>1352</v>
      </c>
      <c r="E1363" t="s">
        <v>9135</v>
      </c>
      <c r="F1363" t="s">
        <v>10295</v>
      </c>
      <c r="G1363">
        <v>129</v>
      </c>
      <c r="H1363" t="s">
        <v>10310</v>
      </c>
      <c r="R1363" t="s">
        <v>11038</v>
      </c>
      <c r="S1363" t="s">
        <v>10310</v>
      </c>
      <c r="U1363" t="s">
        <v>11042</v>
      </c>
      <c r="W1363" s="2" t="s">
        <v>11200</v>
      </c>
    </row>
    <row r="1364" spans="1:23" hidden="1" x14ac:dyDescent="0.45">
      <c r="A1364" s="1" t="s">
        <v>1353</v>
      </c>
      <c r="E1364" t="s">
        <v>1353</v>
      </c>
      <c r="F1364" t="s">
        <v>10295</v>
      </c>
      <c r="G1364">
        <v>768.4</v>
      </c>
      <c r="H1364" t="s">
        <v>10313</v>
      </c>
      <c r="N1364">
        <v>38.444837999999997</v>
      </c>
      <c r="P1364">
        <v>15.989969</v>
      </c>
      <c r="Q1364" t="s">
        <v>10678</v>
      </c>
      <c r="R1364" t="s">
        <v>11037</v>
      </c>
      <c r="S1364" t="s">
        <v>10313</v>
      </c>
      <c r="U1364" t="s">
        <v>11042</v>
      </c>
      <c r="W1364" s="2" t="s">
        <v>11200</v>
      </c>
    </row>
    <row r="1365" spans="1:23" hidden="1" x14ac:dyDescent="0.45">
      <c r="A1365" s="1" t="s">
        <v>1354</v>
      </c>
      <c r="E1365" t="s">
        <v>9136</v>
      </c>
      <c r="F1365" t="s">
        <v>10295</v>
      </c>
      <c r="G1365">
        <v>1600</v>
      </c>
      <c r="H1365" t="s">
        <v>10313</v>
      </c>
      <c r="N1365">
        <v>39.621831999999998</v>
      </c>
      <c r="P1365">
        <v>16.607702</v>
      </c>
      <c r="Q1365" t="s">
        <v>10679</v>
      </c>
      <c r="R1365" t="s">
        <v>11037</v>
      </c>
      <c r="S1365" t="s">
        <v>10313</v>
      </c>
      <c r="U1365" t="s">
        <v>11042</v>
      </c>
      <c r="W1365" s="2" t="s">
        <v>11200</v>
      </c>
    </row>
    <row r="1366" spans="1:23" hidden="1" x14ac:dyDescent="0.45">
      <c r="A1366" s="1" t="s">
        <v>1355</v>
      </c>
      <c r="E1366" t="s">
        <v>1355</v>
      </c>
      <c r="F1366" t="s">
        <v>10295</v>
      </c>
      <c r="G1366">
        <v>885</v>
      </c>
      <c r="H1366" t="s">
        <v>10313</v>
      </c>
      <c r="N1366">
        <v>38.875446999999987</v>
      </c>
      <c r="P1366">
        <v>16.656396999999998</v>
      </c>
      <c r="Q1366" t="s">
        <v>10680</v>
      </c>
      <c r="R1366" t="s">
        <v>11037</v>
      </c>
      <c r="S1366" t="s">
        <v>10313</v>
      </c>
      <c r="U1366" t="s">
        <v>11042</v>
      </c>
      <c r="W1366" s="2" t="s">
        <v>11200</v>
      </c>
    </row>
    <row r="1367" spans="1:23" hidden="1" x14ac:dyDescent="0.45">
      <c r="A1367" s="1" t="s">
        <v>1356</v>
      </c>
      <c r="E1367" t="s">
        <v>9137</v>
      </c>
      <c r="F1367" t="s">
        <v>10295</v>
      </c>
      <c r="G1367">
        <v>826</v>
      </c>
      <c r="H1367" t="s">
        <v>10313</v>
      </c>
      <c r="N1367">
        <v>39.102319000000001</v>
      </c>
      <c r="P1367">
        <v>17.032491</v>
      </c>
      <c r="Q1367" t="s">
        <v>10681</v>
      </c>
      <c r="R1367" t="s">
        <v>11037</v>
      </c>
      <c r="S1367" t="s">
        <v>10313</v>
      </c>
      <c r="U1367" t="s">
        <v>11042</v>
      </c>
      <c r="W1367" s="2" t="s">
        <v>11200</v>
      </c>
    </row>
    <row r="1368" spans="1:23" hidden="1" x14ac:dyDescent="0.45">
      <c r="A1368" s="1" t="s">
        <v>1357</v>
      </c>
      <c r="E1368" t="s">
        <v>9138</v>
      </c>
      <c r="F1368" t="s">
        <v>10295</v>
      </c>
      <c r="G1368">
        <v>190</v>
      </c>
      <c r="H1368" t="s">
        <v>10310</v>
      </c>
      <c r="N1368">
        <v>39.175530000000002</v>
      </c>
      <c r="P1368">
        <v>16.780345000000001</v>
      </c>
      <c r="Q1368" t="s">
        <v>10682</v>
      </c>
      <c r="R1368" t="s">
        <v>11038</v>
      </c>
      <c r="S1368" t="s">
        <v>10310</v>
      </c>
      <c r="U1368" t="s">
        <v>11042</v>
      </c>
      <c r="W1368" s="2" t="s">
        <v>11200</v>
      </c>
    </row>
    <row r="1369" spans="1:23" hidden="1" x14ac:dyDescent="0.45">
      <c r="A1369" s="1" t="s">
        <v>1358</v>
      </c>
      <c r="E1369" t="s">
        <v>9139</v>
      </c>
      <c r="F1369" t="s">
        <v>10295</v>
      </c>
      <c r="G1369">
        <v>144</v>
      </c>
      <c r="H1369" t="s">
        <v>10313</v>
      </c>
      <c r="N1369">
        <v>37.208703</v>
      </c>
      <c r="P1369">
        <v>15.176906000000001</v>
      </c>
      <c r="Q1369" t="s">
        <v>10683</v>
      </c>
      <c r="R1369" t="s">
        <v>11037</v>
      </c>
      <c r="S1369" t="s">
        <v>10313</v>
      </c>
      <c r="U1369" t="s">
        <v>11044</v>
      </c>
      <c r="W1369" s="2" t="s">
        <v>11200</v>
      </c>
    </row>
    <row r="1370" spans="1:23" hidden="1" x14ac:dyDescent="0.45">
      <c r="A1370" s="1" t="s">
        <v>1359</v>
      </c>
      <c r="E1370" t="s">
        <v>9140</v>
      </c>
      <c r="F1370" t="s">
        <v>10295</v>
      </c>
      <c r="G1370">
        <v>100</v>
      </c>
      <c r="H1370" t="s">
        <v>10313</v>
      </c>
      <c r="N1370">
        <v>37.057979000000003</v>
      </c>
      <c r="P1370">
        <v>14.267740999999999</v>
      </c>
      <c r="R1370" t="s">
        <v>11037</v>
      </c>
      <c r="S1370" t="s">
        <v>10313</v>
      </c>
      <c r="U1370" t="s">
        <v>11044</v>
      </c>
      <c r="W1370" s="2" t="s">
        <v>11200</v>
      </c>
    </row>
    <row r="1371" spans="1:23" hidden="1" x14ac:dyDescent="0.45">
      <c r="A1371" s="1" t="s">
        <v>1360</v>
      </c>
      <c r="E1371" t="s">
        <v>9141</v>
      </c>
      <c r="F1371" t="s">
        <v>10295</v>
      </c>
      <c r="G1371">
        <v>500</v>
      </c>
      <c r="H1371" t="s">
        <v>10310</v>
      </c>
      <c r="N1371">
        <v>37.115760999999999</v>
      </c>
      <c r="P1371">
        <v>15.137157</v>
      </c>
      <c r="Q1371" t="s">
        <v>10684</v>
      </c>
      <c r="R1371" t="s">
        <v>11038</v>
      </c>
      <c r="S1371" t="s">
        <v>10310</v>
      </c>
      <c r="U1371" t="s">
        <v>11044</v>
      </c>
      <c r="W1371" s="2" t="s">
        <v>11200</v>
      </c>
    </row>
    <row r="1372" spans="1:23" hidden="1" x14ac:dyDescent="0.45">
      <c r="A1372" s="1" t="s">
        <v>1361</v>
      </c>
      <c r="E1372" t="s">
        <v>9142</v>
      </c>
      <c r="F1372" t="s">
        <v>10295</v>
      </c>
      <c r="G1372">
        <v>409.596</v>
      </c>
      <c r="H1372" t="s">
        <v>10313</v>
      </c>
      <c r="N1372">
        <v>37.179493000000001</v>
      </c>
      <c r="P1372">
        <v>15.196323</v>
      </c>
      <c r="Q1372" t="s">
        <v>10685</v>
      </c>
      <c r="R1372" t="s">
        <v>11037</v>
      </c>
      <c r="S1372" t="s">
        <v>10313</v>
      </c>
      <c r="U1372" t="s">
        <v>11044</v>
      </c>
      <c r="W1372" s="2" t="s">
        <v>11200</v>
      </c>
    </row>
    <row r="1373" spans="1:23" hidden="1" x14ac:dyDescent="0.45">
      <c r="A1373" s="1" t="s">
        <v>1362</v>
      </c>
      <c r="E1373" t="s">
        <v>9141</v>
      </c>
      <c r="F1373" t="s">
        <v>10295</v>
      </c>
      <c r="G1373">
        <v>556</v>
      </c>
      <c r="H1373" t="s">
        <v>10313</v>
      </c>
      <c r="N1373">
        <v>37.122093</v>
      </c>
      <c r="P1373">
        <v>15.219585</v>
      </c>
      <c r="Q1373" t="s">
        <v>10686</v>
      </c>
      <c r="R1373" t="s">
        <v>11037</v>
      </c>
      <c r="S1373" t="s">
        <v>10313</v>
      </c>
      <c r="U1373" t="s">
        <v>11044</v>
      </c>
      <c r="W1373" s="2" t="s">
        <v>11200</v>
      </c>
    </row>
    <row r="1374" spans="1:23" hidden="1" x14ac:dyDescent="0.45">
      <c r="A1374" s="1" t="s">
        <v>1363</v>
      </c>
      <c r="E1374" t="s">
        <v>9141</v>
      </c>
      <c r="F1374" t="s">
        <v>10295</v>
      </c>
      <c r="G1374">
        <v>747.68000000000006</v>
      </c>
      <c r="H1374" t="s">
        <v>10313</v>
      </c>
      <c r="N1374">
        <v>37.13158</v>
      </c>
      <c r="P1374">
        <v>15.201043</v>
      </c>
      <c r="Q1374" t="s">
        <v>10687</v>
      </c>
      <c r="R1374" t="s">
        <v>11037</v>
      </c>
      <c r="S1374" t="s">
        <v>10313</v>
      </c>
      <c r="U1374" t="s">
        <v>11044</v>
      </c>
      <c r="W1374" s="2" t="s">
        <v>11200</v>
      </c>
    </row>
    <row r="1375" spans="1:23" hidden="1" x14ac:dyDescent="0.45">
      <c r="A1375" s="1" t="s">
        <v>1364</v>
      </c>
      <c r="E1375" t="s">
        <v>9143</v>
      </c>
      <c r="F1375" t="s">
        <v>10295</v>
      </c>
      <c r="G1375">
        <v>128</v>
      </c>
      <c r="H1375" t="s">
        <v>10313</v>
      </c>
      <c r="N1375">
        <v>37.287309</v>
      </c>
      <c r="P1375">
        <v>13.521969</v>
      </c>
      <c r="Q1375" t="s">
        <v>10688</v>
      </c>
      <c r="R1375" t="s">
        <v>11037</v>
      </c>
      <c r="S1375" t="s">
        <v>10313</v>
      </c>
      <c r="U1375" t="s">
        <v>11044</v>
      </c>
      <c r="W1375" s="2" t="s">
        <v>11200</v>
      </c>
    </row>
    <row r="1376" spans="1:23" hidden="1" x14ac:dyDescent="0.45">
      <c r="A1376" s="1" t="s">
        <v>1365</v>
      </c>
      <c r="E1376" t="s">
        <v>9144</v>
      </c>
      <c r="F1376" t="s">
        <v>10295</v>
      </c>
      <c r="G1376">
        <v>1176</v>
      </c>
      <c r="H1376" t="s">
        <v>10313</v>
      </c>
      <c r="N1376">
        <v>38.203761</v>
      </c>
      <c r="P1376">
        <v>15.285385</v>
      </c>
      <c r="Q1376" t="s">
        <v>10689</v>
      </c>
      <c r="R1376" t="s">
        <v>11037</v>
      </c>
      <c r="S1376" t="s">
        <v>10313</v>
      </c>
      <c r="U1376" t="s">
        <v>11044</v>
      </c>
      <c r="W1376" s="2" t="s">
        <v>11200</v>
      </c>
    </row>
    <row r="1377" spans="1:23" hidden="1" x14ac:dyDescent="0.45">
      <c r="A1377" s="1" t="s">
        <v>1366</v>
      </c>
      <c r="E1377" t="s">
        <v>9145</v>
      </c>
      <c r="F1377" t="s">
        <v>10295</v>
      </c>
      <c r="G1377">
        <v>1235</v>
      </c>
      <c r="H1377" t="s">
        <v>10313</v>
      </c>
      <c r="N1377">
        <v>37.968628000000002</v>
      </c>
      <c r="P1377">
        <v>13.751201</v>
      </c>
      <c r="Q1377" t="s">
        <v>10690</v>
      </c>
      <c r="R1377" t="s">
        <v>11037</v>
      </c>
      <c r="S1377" t="s">
        <v>10313</v>
      </c>
      <c r="U1377" t="s">
        <v>11044</v>
      </c>
      <c r="W1377" s="2" t="s">
        <v>11200</v>
      </c>
    </row>
    <row r="1378" spans="1:23" hidden="1" x14ac:dyDescent="0.45">
      <c r="A1378" s="1" t="s">
        <v>1367</v>
      </c>
      <c r="E1378" t="s">
        <v>9146</v>
      </c>
      <c r="F1378" t="s">
        <v>10295</v>
      </c>
      <c r="G1378">
        <v>170</v>
      </c>
      <c r="H1378" t="s">
        <v>10313</v>
      </c>
      <c r="N1378">
        <v>37.876736000000001</v>
      </c>
      <c r="P1378">
        <v>12.589223</v>
      </c>
      <c r="Q1378" t="s">
        <v>10691</v>
      </c>
      <c r="R1378" t="s">
        <v>11037</v>
      </c>
      <c r="S1378" t="s">
        <v>10313</v>
      </c>
      <c r="U1378" t="s">
        <v>11044</v>
      </c>
      <c r="W1378" s="2" t="s">
        <v>11200</v>
      </c>
    </row>
    <row r="1379" spans="1:23" hidden="1" x14ac:dyDescent="0.45">
      <c r="A1379" s="1" t="s">
        <v>1368</v>
      </c>
      <c r="E1379" t="s">
        <v>1368</v>
      </c>
      <c r="F1379" t="s">
        <v>10295</v>
      </c>
      <c r="G1379">
        <v>162.9</v>
      </c>
      <c r="H1379" t="s">
        <v>10313</v>
      </c>
      <c r="N1379">
        <v>38.197792</v>
      </c>
      <c r="P1379">
        <v>15.267587000000001</v>
      </c>
      <c r="Q1379" t="s">
        <v>10692</v>
      </c>
      <c r="R1379" t="s">
        <v>11037</v>
      </c>
      <c r="S1379" t="s">
        <v>10313</v>
      </c>
      <c r="U1379" t="s">
        <v>11044</v>
      </c>
      <c r="W1379" s="2" t="s">
        <v>11200</v>
      </c>
    </row>
    <row r="1380" spans="1:23" hidden="1" x14ac:dyDescent="0.45">
      <c r="A1380" s="1" t="s">
        <v>1369</v>
      </c>
      <c r="E1380" t="s">
        <v>1369</v>
      </c>
      <c r="F1380" t="s">
        <v>10295</v>
      </c>
      <c r="G1380">
        <v>176</v>
      </c>
      <c r="H1380" t="s">
        <v>10313</v>
      </c>
      <c r="N1380">
        <v>39.227232000000001</v>
      </c>
      <c r="P1380">
        <v>8.9969460000000012</v>
      </c>
      <c r="Q1380" t="s">
        <v>10693</v>
      </c>
      <c r="R1380" t="s">
        <v>11037</v>
      </c>
      <c r="S1380" t="s">
        <v>10313</v>
      </c>
      <c r="U1380" t="s">
        <v>11045</v>
      </c>
      <c r="W1380" s="2" t="s">
        <v>11200</v>
      </c>
    </row>
    <row r="1381" spans="1:23" hidden="1" x14ac:dyDescent="0.45">
      <c r="A1381" s="1" t="s">
        <v>1370</v>
      </c>
      <c r="E1381" t="s">
        <v>9147</v>
      </c>
      <c r="F1381" t="s">
        <v>10295</v>
      </c>
      <c r="G1381">
        <v>836</v>
      </c>
      <c r="H1381" t="s">
        <v>10313</v>
      </c>
      <c r="N1381">
        <v>40.846294999999998</v>
      </c>
      <c r="P1381">
        <v>8.3067349999999998</v>
      </c>
      <c r="Q1381" t="s">
        <v>10694</v>
      </c>
      <c r="R1381" t="s">
        <v>11037</v>
      </c>
      <c r="S1381" t="s">
        <v>10313</v>
      </c>
      <c r="U1381" t="s">
        <v>11045</v>
      </c>
      <c r="W1381" s="2" t="s">
        <v>11200</v>
      </c>
    </row>
    <row r="1382" spans="1:23" hidden="1" x14ac:dyDescent="0.45">
      <c r="A1382" s="1" t="s">
        <v>1371</v>
      </c>
      <c r="E1382" t="s">
        <v>9148</v>
      </c>
      <c r="F1382" t="s">
        <v>10295</v>
      </c>
      <c r="G1382">
        <v>240</v>
      </c>
      <c r="H1382" t="s">
        <v>10313</v>
      </c>
      <c r="N1382">
        <v>39.196024999999999</v>
      </c>
      <c r="P1382">
        <v>8.4004700000000003</v>
      </c>
      <c r="Q1382" t="s">
        <v>10695</v>
      </c>
      <c r="R1382" t="s">
        <v>11037</v>
      </c>
      <c r="S1382" t="s">
        <v>10313</v>
      </c>
      <c r="U1382" t="s">
        <v>11045</v>
      </c>
      <c r="W1382" s="2" t="s">
        <v>11200</v>
      </c>
    </row>
    <row r="1383" spans="1:23" hidden="1" x14ac:dyDescent="0.45">
      <c r="A1383" s="1" t="s">
        <v>1372</v>
      </c>
      <c r="E1383" t="s">
        <v>9148</v>
      </c>
      <c r="F1383" t="s">
        <v>10295</v>
      </c>
      <c r="G1383">
        <v>432</v>
      </c>
      <c r="H1383" t="s">
        <v>10313</v>
      </c>
      <c r="N1383">
        <v>39.195549</v>
      </c>
      <c r="P1383">
        <v>8.4050910000000005</v>
      </c>
      <c r="Q1383" t="s">
        <v>10696</v>
      </c>
      <c r="R1383" t="s">
        <v>11037</v>
      </c>
      <c r="S1383" t="s">
        <v>10313</v>
      </c>
      <c r="U1383" t="s">
        <v>11045</v>
      </c>
      <c r="W1383" s="2" t="s">
        <v>11200</v>
      </c>
    </row>
    <row r="1384" spans="1:23" hidden="1" x14ac:dyDescent="0.45">
      <c r="A1384" s="1" t="s">
        <v>1373</v>
      </c>
      <c r="E1384" t="s">
        <v>9149</v>
      </c>
      <c r="F1384" t="s">
        <v>10295</v>
      </c>
      <c r="G1384">
        <v>630</v>
      </c>
      <c r="H1384" t="s">
        <v>10313</v>
      </c>
      <c r="N1384">
        <v>39.103312000000003</v>
      </c>
      <c r="P1384">
        <v>9.0063259999999996</v>
      </c>
      <c r="Q1384" t="s">
        <v>10697</v>
      </c>
      <c r="R1384" t="s">
        <v>11037</v>
      </c>
      <c r="S1384" t="s">
        <v>10313</v>
      </c>
      <c r="U1384" t="s">
        <v>11045</v>
      </c>
      <c r="W1384" s="2" t="s">
        <v>11200</v>
      </c>
    </row>
    <row r="1385" spans="1:23" hidden="1" x14ac:dyDescent="0.45">
      <c r="A1385" s="1" t="s">
        <v>1374</v>
      </c>
      <c r="E1385" t="s">
        <v>9150</v>
      </c>
      <c r="F1385" t="s">
        <v>10295</v>
      </c>
      <c r="G1385">
        <v>240</v>
      </c>
      <c r="H1385" t="s">
        <v>10310</v>
      </c>
      <c r="N1385">
        <v>40.127147999999998</v>
      </c>
      <c r="P1385">
        <v>9.140644</v>
      </c>
      <c r="Q1385" t="s">
        <v>10698</v>
      </c>
      <c r="R1385" t="s">
        <v>11038</v>
      </c>
      <c r="S1385" t="s">
        <v>10310</v>
      </c>
      <c r="U1385" t="s">
        <v>11045</v>
      </c>
      <c r="W1385" s="2" t="s">
        <v>11200</v>
      </c>
    </row>
    <row r="1386" spans="1:23" hidden="1" x14ac:dyDescent="0.45">
      <c r="A1386" s="1" t="s">
        <v>1375</v>
      </c>
      <c r="E1386" t="s">
        <v>9151</v>
      </c>
      <c r="F1386" t="s">
        <v>10295</v>
      </c>
      <c r="G1386">
        <v>327.10000000000002</v>
      </c>
      <c r="H1386" t="s">
        <v>10310</v>
      </c>
      <c r="Q1386" t="s">
        <v>10699</v>
      </c>
      <c r="R1386" t="s">
        <v>11038</v>
      </c>
      <c r="S1386" t="s">
        <v>10310</v>
      </c>
      <c r="U1386" t="s">
        <v>11040</v>
      </c>
      <c r="W1386" s="2" t="s">
        <v>11200</v>
      </c>
    </row>
    <row r="1387" spans="1:23" hidden="1" x14ac:dyDescent="0.45">
      <c r="A1387" s="1" t="s">
        <v>1376</v>
      </c>
      <c r="E1387" t="s">
        <v>9151</v>
      </c>
      <c r="F1387" t="s">
        <v>10295</v>
      </c>
      <c r="G1387">
        <v>117.6</v>
      </c>
      <c r="H1387" t="s">
        <v>10310</v>
      </c>
      <c r="N1387">
        <v>46.443064</v>
      </c>
      <c r="P1387">
        <v>9.3346130000000009</v>
      </c>
      <c r="Q1387" t="s">
        <v>10700</v>
      </c>
      <c r="R1387" t="s">
        <v>11038</v>
      </c>
      <c r="S1387" t="s">
        <v>10310</v>
      </c>
      <c r="U1387" t="s">
        <v>11040</v>
      </c>
      <c r="W1387" s="2" t="s">
        <v>11200</v>
      </c>
    </row>
    <row r="1388" spans="1:23" hidden="1" x14ac:dyDescent="0.45">
      <c r="A1388" s="1" t="s">
        <v>1377</v>
      </c>
      <c r="E1388" t="s">
        <v>9151</v>
      </c>
      <c r="F1388" t="s">
        <v>10295</v>
      </c>
      <c r="G1388">
        <v>161</v>
      </c>
      <c r="H1388" t="s">
        <v>10310</v>
      </c>
      <c r="N1388">
        <v>46.326132000000001</v>
      </c>
      <c r="P1388">
        <v>11.063243999999999</v>
      </c>
      <c r="Q1388" t="s">
        <v>10701</v>
      </c>
      <c r="R1388" t="s">
        <v>11038</v>
      </c>
      <c r="S1388" t="s">
        <v>10310</v>
      </c>
      <c r="U1388" t="s">
        <v>11040</v>
      </c>
      <c r="W1388" s="2" t="s">
        <v>11200</v>
      </c>
    </row>
    <row r="1389" spans="1:23" hidden="1" x14ac:dyDescent="0.45">
      <c r="A1389" s="1" t="s">
        <v>1378</v>
      </c>
      <c r="E1389" t="s">
        <v>9151</v>
      </c>
      <c r="F1389" t="s">
        <v>10295</v>
      </c>
      <c r="G1389">
        <v>655</v>
      </c>
      <c r="H1389" t="s">
        <v>10310</v>
      </c>
      <c r="Q1389" t="s">
        <v>10702</v>
      </c>
      <c r="R1389" t="s">
        <v>11038</v>
      </c>
      <c r="S1389" t="s">
        <v>10310</v>
      </c>
      <c r="U1389" t="s">
        <v>11040</v>
      </c>
      <c r="W1389" s="2" t="s">
        <v>11200</v>
      </c>
    </row>
    <row r="1390" spans="1:23" hidden="1" x14ac:dyDescent="0.45">
      <c r="A1390" s="1" t="s">
        <v>1379</v>
      </c>
      <c r="E1390" t="s">
        <v>9151</v>
      </c>
      <c r="F1390" t="s">
        <v>10295</v>
      </c>
      <c r="G1390">
        <v>377</v>
      </c>
      <c r="H1390" t="s">
        <v>10310</v>
      </c>
      <c r="N1390">
        <v>46.067653</v>
      </c>
      <c r="P1390">
        <v>10.983605000000001</v>
      </c>
      <c r="Q1390" t="s">
        <v>10703</v>
      </c>
      <c r="R1390" t="s">
        <v>11038</v>
      </c>
      <c r="S1390" t="s">
        <v>10310</v>
      </c>
      <c r="U1390" t="s">
        <v>11040</v>
      </c>
      <c r="W1390" s="2" t="s">
        <v>11200</v>
      </c>
    </row>
    <row r="1391" spans="1:23" hidden="1" x14ac:dyDescent="0.45">
      <c r="A1391" s="1" t="s">
        <v>1380</v>
      </c>
      <c r="E1391" t="s">
        <v>9151</v>
      </c>
      <c r="F1391" t="s">
        <v>10295</v>
      </c>
      <c r="G1391">
        <v>130</v>
      </c>
      <c r="H1391" t="s">
        <v>10310</v>
      </c>
      <c r="N1391">
        <v>46.243788000000002</v>
      </c>
      <c r="P1391">
        <v>10.457248999999999</v>
      </c>
      <c r="Q1391" t="s">
        <v>10704</v>
      </c>
      <c r="R1391" t="s">
        <v>11038</v>
      </c>
      <c r="S1391" t="s">
        <v>10310</v>
      </c>
      <c r="U1391" t="s">
        <v>11040</v>
      </c>
      <c r="W1391" s="2" t="s">
        <v>11200</v>
      </c>
    </row>
    <row r="1392" spans="1:23" hidden="1" x14ac:dyDescent="0.45">
      <c r="A1392" s="1" t="s">
        <v>1381</v>
      </c>
      <c r="B1392" t="s">
        <v>6059</v>
      </c>
      <c r="C1392" t="s">
        <v>7362</v>
      </c>
      <c r="D1392" t="s">
        <v>7882</v>
      </c>
      <c r="E1392" t="s">
        <v>9152</v>
      </c>
      <c r="F1392" t="s">
        <v>10296</v>
      </c>
      <c r="G1392">
        <v>24</v>
      </c>
      <c r="H1392" t="s">
        <v>10310</v>
      </c>
      <c r="R1392" t="s">
        <v>11038</v>
      </c>
      <c r="S1392" t="s">
        <v>10310</v>
      </c>
      <c r="W1392" s="2" t="s">
        <v>11201</v>
      </c>
    </row>
    <row r="1393" spans="1:23" hidden="1" x14ac:dyDescent="0.45">
      <c r="A1393" s="1" t="s">
        <v>1382</v>
      </c>
      <c r="B1393" t="s">
        <v>6060</v>
      </c>
      <c r="C1393" t="s">
        <v>7363</v>
      </c>
      <c r="D1393" t="s">
        <v>7883</v>
      </c>
      <c r="E1393" t="s">
        <v>9153</v>
      </c>
      <c r="F1393" t="s">
        <v>10296</v>
      </c>
      <c r="G1393">
        <v>20.8</v>
      </c>
      <c r="H1393" t="s">
        <v>10309</v>
      </c>
      <c r="K1393" t="s">
        <v>10331</v>
      </c>
      <c r="M1393" t="s">
        <v>10335</v>
      </c>
      <c r="R1393" t="s">
        <v>11038</v>
      </c>
      <c r="S1393" t="s">
        <v>10317</v>
      </c>
      <c r="T1393" t="s">
        <v>10309</v>
      </c>
      <c r="W1393" s="2" t="s">
        <v>11201</v>
      </c>
    </row>
    <row r="1394" spans="1:23" hidden="1" x14ac:dyDescent="0.45">
      <c r="A1394" s="1" t="s">
        <v>1383</v>
      </c>
      <c r="B1394" t="s">
        <v>6060</v>
      </c>
      <c r="C1394" t="s">
        <v>7363</v>
      </c>
      <c r="D1394" t="s">
        <v>7883</v>
      </c>
      <c r="E1394" t="s">
        <v>9153</v>
      </c>
      <c r="F1394" t="s">
        <v>10296</v>
      </c>
      <c r="G1394">
        <v>36</v>
      </c>
      <c r="H1394" t="s">
        <v>10309</v>
      </c>
      <c r="K1394" t="s">
        <v>10331</v>
      </c>
      <c r="M1394" t="s">
        <v>10336</v>
      </c>
      <c r="R1394" t="s">
        <v>11038</v>
      </c>
      <c r="S1394" t="s">
        <v>10317</v>
      </c>
      <c r="T1394" t="s">
        <v>10309</v>
      </c>
      <c r="W1394" s="2" t="s">
        <v>11201</v>
      </c>
    </row>
    <row r="1395" spans="1:23" hidden="1" x14ac:dyDescent="0.45">
      <c r="A1395" s="1" t="s">
        <v>1384</v>
      </c>
      <c r="B1395" t="s">
        <v>6061</v>
      </c>
      <c r="C1395" t="s">
        <v>7364</v>
      </c>
      <c r="D1395" t="s">
        <v>7884</v>
      </c>
      <c r="E1395" t="s">
        <v>7398</v>
      </c>
      <c r="F1395" t="s">
        <v>10296</v>
      </c>
      <c r="G1395">
        <v>44.8</v>
      </c>
      <c r="H1395" t="s">
        <v>10310</v>
      </c>
      <c r="R1395" t="s">
        <v>11038</v>
      </c>
      <c r="S1395" t="s">
        <v>10310</v>
      </c>
      <c r="W1395" s="2" t="s">
        <v>11201</v>
      </c>
    </row>
    <row r="1396" spans="1:23" hidden="1" x14ac:dyDescent="0.45">
      <c r="A1396" s="1" t="s">
        <v>1385</v>
      </c>
      <c r="B1396" t="s">
        <v>6062</v>
      </c>
      <c r="C1396" t="s">
        <v>7365</v>
      </c>
      <c r="D1396" t="s">
        <v>7885</v>
      </c>
      <c r="E1396" t="s">
        <v>9154</v>
      </c>
      <c r="F1396" t="s">
        <v>10296</v>
      </c>
      <c r="G1396">
        <v>4.5999999999999996</v>
      </c>
      <c r="H1396" t="s">
        <v>10310</v>
      </c>
      <c r="R1396" t="s">
        <v>11038</v>
      </c>
      <c r="S1396" t="s">
        <v>10310</v>
      </c>
      <c r="W1396" s="2" t="s">
        <v>11201</v>
      </c>
    </row>
    <row r="1397" spans="1:23" hidden="1" x14ac:dyDescent="0.45">
      <c r="A1397" s="1" t="s">
        <v>1386</v>
      </c>
      <c r="B1397" t="s">
        <v>6063</v>
      </c>
      <c r="C1397" t="s">
        <v>7366</v>
      </c>
      <c r="D1397" t="s">
        <v>7886</v>
      </c>
      <c r="E1397" t="s">
        <v>9155</v>
      </c>
      <c r="F1397" t="s">
        <v>10296</v>
      </c>
      <c r="G1397">
        <v>30</v>
      </c>
      <c r="H1397" t="s">
        <v>10309</v>
      </c>
      <c r="K1397" t="s">
        <v>10331</v>
      </c>
      <c r="M1397" t="s">
        <v>10335</v>
      </c>
      <c r="N1397">
        <v>63.704653</v>
      </c>
      <c r="P1397">
        <v>22.705767000000002</v>
      </c>
      <c r="R1397" t="s">
        <v>11038</v>
      </c>
      <c r="S1397" t="s">
        <v>10317</v>
      </c>
      <c r="T1397" t="s">
        <v>10309</v>
      </c>
      <c r="W1397" s="2" t="s">
        <v>11201</v>
      </c>
    </row>
    <row r="1398" spans="1:23" hidden="1" x14ac:dyDescent="0.45">
      <c r="A1398" s="1" t="s">
        <v>1387</v>
      </c>
      <c r="B1398" t="s">
        <v>6063</v>
      </c>
      <c r="C1398" t="s">
        <v>7366</v>
      </c>
      <c r="D1398" t="s">
        <v>7886</v>
      </c>
      <c r="E1398" t="s">
        <v>9155</v>
      </c>
      <c r="F1398" t="s">
        <v>10296</v>
      </c>
      <c r="G1398">
        <v>240</v>
      </c>
      <c r="H1398" t="s">
        <v>10309</v>
      </c>
      <c r="K1398" t="s">
        <v>10331</v>
      </c>
      <c r="M1398" t="s">
        <v>10335</v>
      </c>
      <c r="N1398">
        <v>63.704653</v>
      </c>
      <c r="P1398">
        <v>22.705767000000002</v>
      </c>
      <c r="Q1398" t="s">
        <v>10705</v>
      </c>
      <c r="R1398" t="s">
        <v>11038</v>
      </c>
      <c r="S1398" t="s">
        <v>10317</v>
      </c>
      <c r="T1398" t="s">
        <v>10309</v>
      </c>
      <c r="W1398" s="2" t="s">
        <v>11201</v>
      </c>
    </row>
    <row r="1399" spans="1:23" hidden="1" x14ac:dyDescent="0.45">
      <c r="A1399" s="1" t="s">
        <v>1388</v>
      </c>
      <c r="B1399" t="s">
        <v>6064</v>
      </c>
      <c r="C1399" t="s">
        <v>7367</v>
      </c>
      <c r="D1399" t="s">
        <v>7887</v>
      </c>
      <c r="E1399" t="s">
        <v>9156</v>
      </c>
      <c r="F1399" t="s">
        <v>10296</v>
      </c>
      <c r="G1399">
        <v>160.5</v>
      </c>
      <c r="H1399" t="s">
        <v>10309</v>
      </c>
      <c r="K1399" t="s">
        <v>10331</v>
      </c>
      <c r="M1399" t="s">
        <v>10335</v>
      </c>
      <c r="N1399">
        <v>60.709215999999998</v>
      </c>
      <c r="P1399">
        <v>26.819436</v>
      </c>
      <c r="R1399" t="s">
        <v>11038</v>
      </c>
      <c r="S1399" t="s">
        <v>10317</v>
      </c>
      <c r="T1399" t="s">
        <v>10309</v>
      </c>
      <c r="W1399" s="2" t="s">
        <v>11201</v>
      </c>
    </row>
    <row r="1400" spans="1:23" hidden="1" x14ac:dyDescent="0.45">
      <c r="A1400" s="1" t="s">
        <v>1389</v>
      </c>
      <c r="B1400" t="s">
        <v>6065</v>
      </c>
      <c r="C1400" t="s">
        <v>7368</v>
      </c>
      <c r="D1400" t="s">
        <v>7888</v>
      </c>
      <c r="E1400" t="s">
        <v>9157</v>
      </c>
      <c r="F1400" t="s">
        <v>10296</v>
      </c>
      <c r="G1400">
        <v>20</v>
      </c>
      <c r="H1400" t="s">
        <v>10310</v>
      </c>
      <c r="R1400" t="s">
        <v>11038</v>
      </c>
      <c r="S1400" t="s">
        <v>10310</v>
      </c>
      <c r="W1400" s="2" t="s">
        <v>11201</v>
      </c>
    </row>
    <row r="1401" spans="1:23" hidden="1" x14ac:dyDescent="0.45">
      <c r="A1401" s="1" t="s">
        <v>1390</v>
      </c>
      <c r="B1401" t="s">
        <v>6066</v>
      </c>
      <c r="C1401" t="s">
        <v>7369</v>
      </c>
      <c r="D1401" t="s">
        <v>7889</v>
      </c>
      <c r="E1401" t="s">
        <v>9158</v>
      </c>
      <c r="F1401" t="s">
        <v>10296</v>
      </c>
      <c r="G1401">
        <v>1.3</v>
      </c>
      <c r="H1401" t="s">
        <v>10310</v>
      </c>
      <c r="R1401" t="s">
        <v>11038</v>
      </c>
      <c r="S1401" t="s">
        <v>10310</v>
      </c>
      <c r="W1401" s="2" t="s">
        <v>11201</v>
      </c>
    </row>
    <row r="1402" spans="1:23" hidden="1" x14ac:dyDescent="0.45">
      <c r="A1402" s="1" t="s">
        <v>1391</v>
      </c>
      <c r="B1402" t="s">
        <v>6067</v>
      </c>
      <c r="C1402" t="s">
        <v>7370</v>
      </c>
      <c r="D1402" t="s">
        <v>7890</v>
      </c>
      <c r="E1402" t="s">
        <v>9159</v>
      </c>
      <c r="F1402" t="s">
        <v>10296</v>
      </c>
      <c r="G1402">
        <v>6.5</v>
      </c>
      <c r="H1402" t="s">
        <v>10310</v>
      </c>
      <c r="R1402" t="s">
        <v>11038</v>
      </c>
      <c r="S1402" t="s">
        <v>10310</v>
      </c>
      <c r="W1402" s="2" t="s">
        <v>11201</v>
      </c>
    </row>
    <row r="1403" spans="1:23" hidden="1" x14ac:dyDescent="0.45">
      <c r="A1403" s="1" t="s">
        <v>1392</v>
      </c>
      <c r="B1403" t="s">
        <v>6066</v>
      </c>
      <c r="C1403" t="s">
        <v>7369</v>
      </c>
      <c r="D1403" t="s">
        <v>7889</v>
      </c>
      <c r="E1403" t="s">
        <v>9158</v>
      </c>
      <c r="F1403" t="s">
        <v>10296</v>
      </c>
      <c r="G1403">
        <v>1.8</v>
      </c>
      <c r="H1403" t="s">
        <v>10310</v>
      </c>
      <c r="R1403" t="s">
        <v>11038</v>
      </c>
      <c r="S1403" t="s">
        <v>10310</v>
      </c>
      <c r="W1403" s="2" t="s">
        <v>11201</v>
      </c>
    </row>
    <row r="1404" spans="1:23" hidden="1" x14ac:dyDescent="0.45">
      <c r="A1404" s="1" t="s">
        <v>1393</v>
      </c>
      <c r="B1404" t="s">
        <v>6068</v>
      </c>
      <c r="C1404" t="s">
        <v>7371</v>
      </c>
      <c r="E1404" t="s">
        <v>9160</v>
      </c>
      <c r="F1404" t="s">
        <v>10296</v>
      </c>
      <c r="G1404">
        <v>1.2</v>
      </c>
      <c r="H1404" t="s">
        <v>10310</v>
      </c>
      <c r="R1404" t="s">
        <v>11038</v>
      </c>
      <c r="S1404" t="s">
        <v>10310</v>
      </c>
      <c r="W1404" s="2" t="s">
        <v>11201</v>
      </c>
    </row>
    <row r="1405" spans="1:23" hidden="1" x14ac:dyDescent="0.45">
      <c r="A1405" s="1" t="s">
        <v>1394</v>
      </c>
      <c r="B1405" t="s">
        <v>6069</v>
      </c>
      <c r="C1405" t="s">
        <v>7372</v>
      </c>
      <c r="D1405" t="s">
        <v>7891</v>
      </c>
      <c r="E1405" t="s">
        <v>9161</v>
      </c>
      <c r="F1405" t="s">
        <v>10296</v>
      </c>
      <c r="G1405">
        <v>3.7</v>
      </c>
      <c r="H1405" t="s">
        <v>10309</v>
      </c>
      <c r="K1405" t="s">
        <v>10331</v>
      </c>
      <c r="M1405" t="s">
        <v>10336</v>
      </c>
      <c r="R1405" t="s">
        <v>11038</v>
      </c>
      <c r="S1405" t="s">
        <v>10317</v>
      </c>
      <c r="T1405" t="s">
        <v>10309</v>
      </c>
      <c r="W1405" s="2" t="s">
        <v>11201</v>
      </c>
    </row>
    <row r="1406" spans="1:23" hidden="1" x14ac:dyDescent="0.45">
      <c r="A1406" s="1" t="s">
        <v>1395</v>
      </c>
      <c r="B1406" t="s">
        <v>6070</v>
      </c>
      <c r="C1406" t="s">
        <v>7373</v>
      </c>
      <c r="D1406" t="s">
        <v>7892</v>
      </c>
      <c r="E1406" t="s">
        <v>9162</v>
      </c>
      <c r="F1406" t="s">
        <v>10296</v>
      </c>
      <c r="G1406">
        <v>11.6</v>
      </c>
      <c r="H1406" t="s">
        <v>10307</v>
      </c>
      <c r="K1406" t="s">
        <v>10331</v>
      </c>
      <c r="M1406" t="s">
        <v>10336</v>
      </c>
      <c r="R1406" t="s">
        <v>11037</v>
      </c>
      <c r="S1406" t="s">
        <v>10307</v>
      </c>
      <c r="W1406" s="2" t="s">
        <v>11201</v>
      </c>
    </row>
    <row r="1407" spans="1:23" hidden="1" x14ac:dyDescent="0.45">
      <c r="A1407" s="1" t="s">
        <v>1396</v>
      </c>
      <c r="B1407" t="s">
        <v>6071</v>
      </c>
      <c r="C1407" t="s">
        <v>7374</v>
      </c>
      <c r="D1407" t="s">
        <v>7893</v>
      </c>
      <c r="E1407" t="s">
        <v>9163</v>
      </c>
      <c r="F1407" t="s">
        <v>10296</v>
      </c>
      <c r="G1407">
        <v>4.1900000000000004</v>
      </c>
      <c r="H1407" t="s">
        <v>10310</v>
      </c>
      <c r="R1407" t="s">
        <v>11038</v>
      </c>
      <c r="S1407" t="s">
        <v>10310</v>
      </c>
      <c r="W1407" s="2" t="s">
        <v>11201</v>
      </c>
    </row>
    <row r="1408" spans="1:23" hidden="1" x14ac:dyDescent="0.45">
      <c r="A1408" s="1" t="s">
        <v>1397</v>
      </c>
      <c r="B1408" t="s">
        <v>6072</v>
      </c>
      <c r="C1408" t="s">
        <v>7375</v>
      </c>
      <c r="D1408" t="s">
        <v>7894</v>
      </c>
      <c r="E1408" t="s">
        <v>9164</v>
      </c>
      <c r="F1408" t="s">
        <v>10296</v>
      </c>
      <c r="G1408">
        <v>352</v>
      </c>
      <c r="H1408" t="s">
        <v>10308</v>
      </c>
      <c r="N1408">
        <v>60.790028999999997</v>
      </c>
      <c r="P1408">
        <v>23.586670999999999</v>
      </c>
      <c r="Q1408" t="s">
        <v>10706</v>
      </c>
      <c r="R1408" t="s">
        <v>11037</v>
      </c>
      <c r="S1408" t="s">
        <v>10308</v>
      </c>
      <c r="W1408" s="2" t="s">
        <v>11201</v>
      </c>
    </row>
    <row r="1409" spans="1:23" hidden="1" x14ac:dyDescent="0.45">
      <c r="A1409" s="1" t="s">
        <v>1398</v>
      </c>
      <c r="B1409" t="s">
        <v>6073</v>
      </c>
      <c r="C1409" t="s">
        <v>7376</v>
      </c>
      <c r="D1409" t="s">
        <v>7895</v>
      </c>
      <c r="E1409" t="s">
        <v>9165</v>
      </c>
      <c r="F1409" t="s">
        <v>10296</v>
      </c>
      <c r="G1409">
        <v>32.5</v>
      </c>
      <c r="H1409" t="s">
        <v>10310</v>
      </c>
      <c r="R1409" t="s">
        <v>11038</v>
      </c>
      <c r="S1409" t="s">
        <v>10310</v>
      </c>
      <c r="W1409" s="2" t="s">
        <v>11201</v>
      </c>
    </row>
    <row r="1410" spans="1:23" hidden="1" x14ac:dyDescent="0.45">
      <c r="A1410" s="1" t="s">
        <v>1399</v>
      </c>
      <c r="B1410" t="s">
        <v>6074</v>
      </c>
      <c r="C1410" t="s">
        <v>7377</v>
      </c>
      <c r="D1410" t="s">
        <v>7896</v>
      </c>
      <c r="E1410" t="s">
        <v>7896</v>
      </c>
      <c r="F1410" t="s">
        <v>10296</v>
      </c>
      <c r="G1410">
        <v>118.1</v>
      </c>
      <c r="H1410" t="s">
        <v>10309</v>
      </c>
      <c r="K1410" t="s">
        <v>10331</v>
      </c>
      <c r="M1410" t="s">
        <v>10336</v>
      </c>
      <c r="N1410">
        <v>62.879020999999987</v>
      </c>
      <c r="P1410">
        <v>27.673490000000001</v>
      </c>
      <c r="R1410" t="s">
        <v>11038</v>
      </c>
      <c r="S1410" t="s">
        <v>10317</v>
      </c>
      <c r="T1410" t="s">
        <v>10309</v>
      </c>
      <c r="W1410" s="2" t="s">
        <v>11201</v>
      </c>
    </row>
    <row r="1411" spans="1:23" hidden="1" x14ac:dyDescent="0.45">
      <c r="A1411" s="1" t="s">
        <v>1400</v>
      </c>
      <c r="B1411" t="s">
        <v>6075</v>
      </c>
      <c r="C1411" t="s">
        <v>7378</v>
      </c>
      <c r="D1411" t="s">
        <v>7897</v>
      </c>
      <c r="E1411" t="s">
        <v>1400</v>
      </c>
      <c r="F1411" t="s">
        <v>10296</v>
      </c>
      <c r="G1411">
        <v>154</v>
      </c>
      <c r="H1411" t="s">
        <v>10309</v>
      </c>
      <c r="N1411">
        <v>64.121943999999999</v>
      </c>
      <c r="P1411">
        <v>25.413056000000001</v>
      </c>
      <c r="Q1411" t="s">
        <v>10707</v>
      </c>
      <c r="R1411" t="s">
        <v>11038</v>
      </c>
      <c r="S1411" t="s">
        <v>10317</v>
      </c>
      <c r="T1411" t="s">
        <v>10309</v>
      </c>
      <c r="W1411" s="2" t="s">
        <v>11201</v>
      </c>
    </row>
    <row r="1412" spans="1:23" hidden="1" x14ac:dyDescent="0.45">
      <c r="A1412" s="1" t="s">
        <v>1400</v>
      </c>
      <c r="B1412" t="s">
        <v>6076</v>
      </c>
      <c r="C1412" t="s">
        <v>7379</v>
      </c>
      <c r="D1412" t="s">
        <v>7898</v>
      </c>
      <c r="E1412" t="s">
        <v>9166</v>
      </c>
      <c r="F1412" t="s">
        <v>10296</v>
      </c>
      <c r="G1412">
        <v>2.7</v>
      </c>
      <c r="H1412" t="s">
        <v>10309</v>
      </c>
      <c r="K1412" t="s">
        <v>10331</v>
      </c>
      <c r="M1412" t="s">
        <v>10335</v>
      </c>
      <c r="N1412">
        <v>64.121943999999999</v>
      </c>
      <c r="P1412">
        <v>25.413056000000001</v>
      </c>
      <c r="Q1412" t="s">
        <v>10707</v>
      </c>
      <c r="R1412" t="s">
        <v>11038</v>
      </c>
      <c r="S1412" t="s">
        <v>10317</v>
      </c>
      <c r="T1412" t="s">
        <v>10309</v>
      </c>
      <c r="W1412" s="2" t="s">
        <v>11201</v>
      </c>
    </row>
    <row r="1413" spans="1:23" hidden="1" x14ac:dyDescent="0.45">
      <c r="A1413" s="1" t="s">
        <v>1401</v>
      </c>
      <c r="B1413" t="s">
        <v>6077</v>
      </c>
      <c r="C1413" t="s">
        <v>7380</v>
      </c>
      <c r="D1413" t="s">
        <v>7899</v>
      </c>
      <c r="E1413" t="s">
        <v>9167</v>
      </c>
      <c r="F1413" t="s">
        <v>10296</v>
      </c>
      <c r="G1413">
        <v>2.5</v>
      </c>
      <c r="H1413" t="s">
        <v>10310</v>
      </c>
      <c r="R1413" t="s">
        <v>11038</v>
      </c>
      <c r="S1413" t="s">
        <v>10310</v>
      </c>
      <c r="W1413" s="2" t="s">
        <v>11201</v>
      </c>
    </row>
    <row r="1414" spans="1:23" hidden="1" x14ac:dyDescent="0.45">
      <c r="A1414" s="1" t="s">
        <v>1402</v>
      </c>
      <c r="B1414" t="s">
        <v>6078</v>
      </c>
      <c r="C1414" t="s">
        <v>7381</v>
      </c>
      <c r="D1414" t="s">
        <v>7900</v>
      </c>
      <c r="E1414" t="s">
        <v>9168</v>
      </c>
      <c r="F1414" t="s">
        <v>10296</v>
      </c>
      <c r="G1414">
        <v>1.5</v>
      </c>
      <c r="H1414" t="s">
        <v>10307</v>
      </c>
      <c r="K1414" t="s">
        <v>10331</v>
      </c>
      <c r="M1414" t="s">
        <v>10335</v>
      </c>
      <c r="R1414" t="s">
        <v>11037</v>
      </c>
      <c r="S1414" t="s">
        <v>10307</v>
      </c>
      <c r="W1414" s="2" t="s">
        <v>11201</v>
      </c>
    </row>
    <row r="1415" spans="1:23" hidden="1" x14ac:dyDescent="0.45">
      <c r="A1415" s="1" t="s">
        <v>1403</v>
      </c>
      <c r="B1415" t="s">
        <v>6079</v>
      </c>
      <c r="C1415" t="s">
        <v>7382</v>
      </c>
      <c r="D1415" t="s">
        <v>7901</v>
      </c>
      <c r="E1415" t="s">
        <v>9169</v>
      </c>
      <c r="F1415" t="s">
        <v>10296</v>
      </c>
      <c r="G1415">
        <v>212</v>
      </c>
      <c r="H1415" t="s">
        <v>10314</v>
      </c>
      <c r="I1415" t="s">
        <v>10323</v>
      </c>
      <c r="K1415" t="s">
        <v>10331</v>
      </c>
      <c r="M1415" t="s">
        <v>10336</v>
      </c>
      <c r="N1415">
        <v>60.182557000000003</v>
      </c>
      <c r="P1415">
        <v>24.969298999999999</v>
      </c>
      <c r="Q1415" t="s">
        <v>10708</v>
      </c>
      <c r="R1415" t="s">
        <v>11037</v>
      </c>
      <c r="S1415" t="s">
        <v>10314</v>
      </c>
      <c r="W1415" s="2" t="s">
        <v>11201</v>
      </c>
    </row>
    <row r="1416" spans="1:23" hidden="1" x14ac:dyDescent="0.45">
      <c r="A1416" s="1" t="s">
        <v>1404</v>
      </c>
      <c r="B1416" t="s">
        <v>6080</v>
      </c>
      <c r="C1416" t="s">
        <v>7383</v>
      </c>
      <c r="D1416" t="s">
        <v>7902</v>
      </c>
      <c r="E1416" t="s">
        <v>9164</v>
      </c>
      <c r="F1416" t="s">
        <v>10296</v>
      </c>
      <c r="G1416">
        <v>1.5</v>
      </c>
      <c r="H1416" t="s">
        <v>10310</v>
      </c>
      <c r="R1416" t="s">
        <v>11038</v>
      </c>
      <c r="S1416" t="s">
        <v>10310</v>
      </c>
      <c r="W1416" s="2" t="s">
        <v>11201</v>
      </c>
    </row>
    <row r="1417" spans="1:23" hidden="1" x14ac:dyDescent="0.45">
      <c r="A1417" s="1" t="s">
        <v>1405</v>
      </c>
      <c r="D1417" t="s">
        <v>7903</v>
      </c>
      <c r="F1417" t="s">
        <v>10296</v>
      </c>
      <c r="G1417">
        <v>9.6</v>
      </c>
      <c r="H1417" t="s">
        <v>10307</v>
      </c>
      <c r="K1417" t="s">
        <v>10331</v>
      </c>
      <c r="M1417" t="s">
        <v>10336</v>
      </c>
      <c r="R1417" t="s">
        <v>11037</v>
      </c>
      <c r="S1417" t="s">
        <v>10307</v>
      </c>
      <c r="W1417" s="2" t="s">
        <v>11201</v>
      </c>
    </row>
    <row r="1418" spans="1:23" hidden="1" x14ac:dyDescent="0.45">
      <c r="A1418" s="1" t="s">
        <v>1406</v>
      </c>
      <c r="B1418" t="s">
        <v>6081</v>
      </c>
      <c r="C1418" t="s">
        <v>7384</v>
      </c>
      <c r="D1418" t="s">
        <v>7904</v>
      </c>
      <c r="E1418" t="s">
        <v>1406</v>
      </c>
      <c r="F1418" t="s">
        <v>10296</v>
      </c>
      <c r="G1418">
        <v>105</v>
      </c>
      <c r="H1418" t="s">
        <v>10310</v>
      </c>
      <c r="N1418">
        <v>61.337963000000002</v>
      </c>
      <c r="P1418">
        <v>22.114235999999998</v>
      </c>
      <c r="R1418" t="s">
        <v>11038</v>
      </c>
      <c r="S1418" t="s">
        <v>10310</v>
      </c>
      <c r="W1418" s="2" t="s">
        <v>11201</v>
      </c>
    </row>
    <row r="1419" spans="1:23" hidden="1" x14ac:dyDescent="0.45">
      <c r="A1419" s="1" t="s">
        <v>1406</v>
      </c>
      <c r="B1419" t="s">
        <v>6082</v>
      </c>
      <c r="C1419" t="s">
        <v>7363</v>
      </c>
      <c r="D1419" t="s">
        <v>7883</v>
      </c>
      <c r="E1419" t="s">
        <v>1568</v>
      </c>
      <c r="F1419" t="s">
        <v>10296</v>
      </c>
      <c r="G1419">
        <v>6.3</v>
      </c>
      <c r="H1419" t="s">
        <v>10308</v>
      </c>
      <c r="N1419">
        <v>61.337963000000002</v>
      </c>
      <c r="P1419">
        <v>22.114235999999998</v>
      </c>
      <c r="R1419" t="s">
        <v>11037</v>
      </c>
      <c r="S1419" t="s">
        <v>10308</v>
      </c>
      <c r="W1419" s="2" t="s">
        <v>11201</v>
      </c>
    </row>
    <row r="1420" spans="1:23" hidden="1" x14ac:dyDescent="0.45">
      <c r="A1420" s="1" t="s">
        <v>1407</v>
      </c>
      <c r="B1420" t="s">
        <v>6083</v>
      </c>
      <c r="C1420" t="s">
        <v>7385</v>
      </c>
      <c r="D1420" t="s">
        <v>7905</v>
      </c>
      <c r="E1420" t="s">
        <v>9170</v>
      </c>
      <c r="F1420" t="s">
        <v>10296</v>
      </c>
      <c r="G1420">
        <v>1.1000000000000001</v>
      </c>
      <c r="H1420" t="s">
        <v>10310</v>
      </c>
      <c r="R1420" t="s">
        <v>11038</v>
      </c>
      <c r="S1420" t="s">
        <v>10310</v>
      </c>
      <c r="W1420" s="2" t="s">
        <v>11201</v>
      </c>
    </row>
    <row r="1421" spans="1:23" hidden="1" x14ac:dyDescent="0.45">
      <c r="A1421" s="1" t="s">
        <v>1408</v>
      </c>
      <c r="B1421" t="s">
        <v>6084</v>
      </c>
      <c r="C1421" t="s">
        <v>7386</v>
      </c>
      <c r="D1421" t="s">
        <v>7906</v>
      </c>
      <c r="E1421" t="s">
        <v>1647</v>
      </c>
      <c r="F1421" t="s">
        <v>10296</v>
      </c>
      <c r="G1421">
        <v>79</v>
      </c>
      <c r="H1421" t="s">
        <v>10315</v>
      </c>
      <c r="R1421" t="s">
        <v>10315</v>
      </c>
      <c r="W1421" s="2" t="s">
        <v>11201</v>
      </c>
    </row>
    <row r="1422" spans="1:23" hidden="1" x14ac:dyDescent="0.45">
      <c r="A1422" s="1" t="s">
        <v>1409</v>
      </c>
      <c r="B1422" t="s">
        <v>6085</v>
      </c>
      <c r="C1422" t="s">
        <v>7387</v>
      </c>
      <c r="D1422" t="s">
        <v>7907</v>
      </c>
      <c r="E1422" t="s">
        <v>9171</v>
      </c>
      <c r="F1422" t="s">
        <v>10296</v>
      </c>
      <c r="G1422">
        <v>0</v>
      </c>
      <c r="H1422" t="s">
        <v>10309</v>
      </c>
      <c r="M1422" t="s">
        <v>10335</v>
      </c>
      <c r="R1422" t="s">
        <v>11038</v>
      </c>
      <c r="S1422" t="s">
        <v>10317</v>
      </c>
      <c r="T1422" t="s">
        <v>10309</v>
      </c>
      <c r="W1422" s="2" t="s">
        <v>11201</v>
      </c>
    </row>
    <row r="1423" spans="1:23" hidden="1" x14ac:dyDescent="0.45">
      <c r="A1423" s="1" t="s">
        <v>1410</v>
      </c>
      <c r="B1423" t="s">
        <v>6086</v>
      </c>
      <c r="C1423" t="s">
        <v>7388</v>
      </c>
      <c r="D1423" t="s">
        <v>7908</v>
      </c>
      <c r="E1423" t="s">
        <v>1409</v>
      </c>
      <c r="F1423" t="s">
        <v>10296</v>
      </c>
      <c r="G1423">
        <v>19</v>
      </c>
      <c r="H1423" t="s">
        <v>10309</v>
      </c>
      <c r="K1423" t="s">
        <v>10331</v>
      </c>
      <c r="M1423" t="s">
        <v>10335</v>
      </c>
      <c r="R1423" t="s">
        <v>11038</v>
      </c>
      <c r="S1423" t="s">
        <v>10317</v>
      </c>
      <c r="T1423" t="s">
        <v>10309</v>
      </c>
      <c r="W1423" s="2" t="s">
        <v>11201</v>
      </c>
    </row>
    <row r="1424" spans="1:23" hidden="1" x14ac:dyDescent="0.45">
      <c r="A1424" s="1" t="s">
        <v>1411</v>
      </c>
      <c r="B1424" t="s">
        <v>6080</v>
      </c>
      <c r="C1424" t="s">
        <v>7383</v>
      </c>
      <c r="D1424" t="s">
        <v>7902</v>
      </c>
      <c r="E1424" t="s">
        <v>9164</v>
      </c>
      <c r="F1424" t="s">
        <v>10296</v>
      </c>
      <c r="G1424">
        <v>6.7</v>
      </c>
      <c r="H1424" t="s">
        <v>10310</v>
      </c>
      <c r="R1424" t="s">
        <v>11038</v>
      </c>
      <c r="S1424" t="s">
        <v>10310</v>
      </c>
      <c r="W1424" s="2" t="s">
        <v>11201</v>
      </c>
    </row>
    <row r="1425" spans="1:23" hidden="1" x14ac:dyDescent="0.45">
      <c r="A1425" s="1" t="s">
        <v>1412</v>
      </c>
      <c r="B1425" t="s">
        <v>6080</v>
      </c>
      <c r="C1425" t="s">
        <v>7383</v>
      </c>
      <c r="D1425" t="s">
        <v>7902</v>
      </c>
      <c r="E1425" t="s">
        <v>9164</v>
      </c>
      <c r="F1425" t="s">
        <v>10296</v>
      </c>
      <c r="G1425">
        <v>6.8</v>
      </c>
      <c r="H1425" t="s">
        <v>10310</v>
      </c>
      <c r="R1425" t="s">
        <v>11038</v>
      </c>
      <c r="S1425" t="s">
        <v>10310</v>
      </c>
      <c r="W1425" s="2" t="s">
        <v>11201</v>
      </c>
    </row>
    <row r="1426" spans="1:23" hidden="1" x14ac:dyDescent="0.45">
      <c r="A1426" s="1" t="s">
        <v>1413</v>
      </c>
      <c r="B1426" t="s">
        <v>6087</v>
      </c>
      <c r="C1426" t="s">
        <v>7389</v>
      </c>
      <c r="D1426" t="s">
        <v>7909</v>
      </c>
      <c r="E1426" t="s">
        <v>9172</v>
      </c>
      <c r="F1426" t="s">
        <v>10296</v>
      </c>
      <c r="G1426">
        <v>45</v>
      </c>
      <c r="H1426" t="s">
        <v>10307</v>
      </c>
      <c r="K1426" t="s">
        <v>10331</v>
      </c>
      <c r="M1426" t="s">
        <v>10335</v>
      </c>
      <c r="R1426" t="s">
        <v>11037</v>
      </c>
      <c r="S1426" t="s">
        <v>10307</v>
      </c>
      <c r="W1426" s="2" t="s">
        <v>11201</v>
      </c>
    </row>
    <row r="1427" spans="1:23" hidden="1" x14ac:dyDescent="0.45">
      <c r="A1427" s="1" t="s">
        <v>1414</v>
      </c>
      <c r="B1427" t="s">
        <v>6080</v>
      </c>
      <c r="C1427" t="s">
        <v>7383</v>
      </c>
      <c r="D1427" t="s">
        <v>7902</v>
      </c>
      <c r="E1427" t="s">
        <v>9164</v>
      </c>
      <c r="F1427" t="s">
        <v>10296</v>
      </c>
      <c r="G1427">
        <v>6.3</v>
      </c>
      <c r="H1427" t="s">
        <v>10310</v>
      </c>
      <c r="R1427" t="s">
        <v>11038</v>
      </c>
      <c r="S1427" t="s">
        <v>10310</v>
      </c>
      <c r="W1427" s="2" t="s">
        <v>11201</v>
      </c>
    </row>
    <row r="1428" spans="1:23" hidden="1" x14ac:dyDescent="0.45">
      <c r="A1428" s="1" t="s">
        <v>1415</v>
      </c>
      <c r="B1428" t="s">
        <v>6080</v>
      </c>
      <c r="C1428" t="s">
        <v>7383</v>
      </c>
      <c r="D1428" t="s">
        <v>7902</v>
      </c>
      <c r="E1428" t="s">
        <v>9164</v>
      </c>
      <c r="F1428" t="s">
        <v>10296</v>
      </c>
      <c r="G1428">
        <v>8.5</v>
      </c>
      <c r="H1428" t="s">
        <v>10310</v>
      </c>
      <c r="R1428" t="s">
        <v>11038</v>
      </c>
      <c r="S1428" t="s">
        <v>10310</v>
      </c>
      <c r="W1428" s="2" t="s">
        <v>11201</v>
      </c>
    </row>
    <row r="1429" spans="1:23" hidden="1" x14ac:dyDescent="0.45">
      <c r="A1429" s="1" t="s">
        <v>1416</v>
      </c>
      <c r="B1429" t="s">
        <v>6088</v>
      </c>
      <c r="C1429" t="s">
        <v>7390</v>
      </c>
      <c r="D1429" t="s">
        <v>7910</v>
      </c>
      <c r="E1429" t="s">
        <v>9164</v>
      </c>
      <c r="F1429" t="s">
        <v>10296</v>
      </c>
      <c r="G1429">
        <v>1.5</v>
      </c>
      <c r="H1429" t="s">
        <v>10308</v>
      </c>
      <c r="R1429" t="s">
        <v>11037</v>
      </c>
      <c r="S1429" t="s">
        <v>10308</v>
      </c>
      <c r="W1429" s="2" t="s">
        <v>11201</v>
      </c>
    </row>
    <row r="1430" spans="1:23" hidden="1" x14ac:dyDescent="0.45">
      <c r="A1430" s="1" t="s">
        <v>1417</v>
      </c>
      <c r="B1430" t="s">
        <v>6089</v>
      </c>
      <c r="C1430" t="s">
        <v>7391</v>
      </c>
      <c r="D1430" t="s">
        <v>7911</v>
      </c>
      <c r="E1430" t="s">
        <v>1486</v>
      </c>
      <c r="F1430" t="s">
        <v>10296</v>
      </c>
      <c r="G1430">
        <v>51</v>
      </c>
      <c r="H1430" t="s">
        <v>10309</v>
      </c>
      <c r="K1430" t="s">
        <v>10331</v>
      </c>
      <c r="M1430" t="s">
        <v>10336</v>
      </c>
      <c r="N1430">
        <v>60.471093000000003</v>
      </c>
      <c r="P1430">
        <v>26.915272000000002</v>
      </c>
      <c r="R1430" t="s">
        <v>11038</v>
      </c>
      <c r="S1430" t="s">
        <v>10317</v>
      </c>
      <c r="T1430" t="s">
        <v>10309</v>
      </c>
      <c r="W1430" s="2" t="s">
        <v>11201</v>
      </c>
    </row>
    <row r="1431" spans="1:23" hidden="1" x14ac:dyDescent="0.45">
      <c r="A1431" s="1" t="s">
        <v>1418</v>
      </c>
      <c r="B1431" t="s">
        <v>6072</v>
      </c>
      <c r="C1431" t="s">
        <v>7392</v>
      </c>
      <c r="D1431" t="s">
        <v>7912</v>
      </c>
      <c r="E1431" t="s">
        <v>9164</v>
      </c>
      <c r="F1431" t="s">
        <v>10296</v>
      </c>
      <c r="G1431">
        <v>180</v>
      </c>
      <c r="H1431" t="s">
        <v>10308</v>
      </c>
      <c r="N1431">
        <v>62.211993000000007</v>
      </c>
      <c r="P1431">
        <v>27.673672</v>
      </c>
      <c r="Q1431" t="s">
        <v>10709</v>
      </c>
      <c r="R1431" t="s">
        <v>11037</v>
      </c>
      <c r="S1431" t="s">
        <v>10308</v>
      </c>
      <c r="W1431" s="2" t="s">
        <v>11201</v>
      </c>
    </row>
    <row r="1432" spans="1:23" hidden="1" x14ac:dyDescent="0.45">
      <c r="A1432" s="1" t="s">
        <v>1419</v>
      </c>
      <c r="B1432" t="s">
        <v>6089</v>
      </c>
      <c r="C1432" t="s">
        <v>7391</v>
      </c>
      <c r="D1432" t="s">
        <v>7911</v>
      </c>
      <c r="E1432" t="s">
        <v>1486</v>
      </c>
      <c r="F1432" t="s">
        <v>10296</v>
      </c>
      <c r="G1432">
        <v>7</v>
      </c>
      <c r="H1432" t="s">
        <v>10318</v>
      </c>
      <c r="K1432" t="s">
        <v>10331</v>
      </c>
      <c r="M1432" t="s">
        <v>10335</v>
      </c>
      <c r="R1432" t="s">
        <v>11037</v>
      </c>
      <c r="S1432" t="s">
        <v>10318</v>
      </c>
      <c r="W1432" s="2" t="s">
        <v>11201</v>
      </c>
    </row>
    <row r="1433" spans="1:23" hidden="1" x14ac:dyDescent="0.45">
      <c r="A1433" s="1" t="s">
        <v>1420</v>
      </c>
      <c r="B1433" t="s">
        <v>6090</v>
      </c>
      <c r="C1433" t="s">
        <v>7393</v>
      </c>
      <c r="D1433" t="s">
        <v>7912</v>
      </c>
      <c r="E1433" t="s">
        <v>9164</v>
      </c>
      <c r="F1433" t="s">
        <v>10296</v>
      </c>
      <c r="G1433">
        <v>20</v>
      </c>
      <c r="H1433" t="s">
        <v>10309</v>
      </c>
      <c r="K1433" t="s">
        <v>10331</v>
      </c>
      <c r="M1433" t="s">
        <v>10335</v>
      </c>
      <c r="R1433" t="s">
        <v>11038</v>
      </c>
      <c r="S1433" t="s">
        <v>10317</v>
      </c>
      <c r="T1433" t="s">
        <v>10309</v>
      </c>
      <c r="W1433" s="2" t="s">
        <v>11201</v>
      </c>
    </row>
    <row r="1434" spans="1:23" hidden="1" x14ac:dyDescent="0.45">
      <c r="A1434" s="1" t="s">
        <v>1421</v>
      </c>
      <c r="B1434" t="s">
        <v>6091</v>
      </c>
      <c r="C1434" t="s">
        <v>7394</v>
      </c>
      <c r="D1434" t="s">
        <v>7913</v>
      </c>
      <c r="E1434" t="s">
        <v>1451</v>
      </c>
      <c r="F1434" t="s">
        <v>10296</v>
      </c>
      <c r="G1434">
        <v>12.9</v>
      </c>
      <c r="H1434" t="s">
        <v>10310</v>
      </c>
      <c r="R1434" t="s">
        <v>11038</v>
      </c>
      <c r="S1434" t="s">
        <v>10310</v>
      </c>
      <c r="W1434" s="2" t="s">
        <v>11201</v>
      </c>
    </row>
    <row r="1435" spans="1:23" hidden="1" x14ac:dyDescent="0.45">
      <c r="A1435" s="1" t="s">
        <v>1422</v>
      </c>
      <c r="B1435" t="s">
        <v>6092</v>
      </c>
      <c r="C1435" t="s">
        <v>7395</v>
      </c>
      <c r="D1435" t="s">
        <v>7914</v>
      </c>
      <c r="E1435" t="s">
        <v>1422</v>
      </c>
      <c r="F1435" t="s">
        <v>10296</v>
      </c>
      <c r="G1435">
        <v>65</v>
      </c>
      <c r="H1435" t="s">
        <v>10307</v>
      </c>
      <c r="K1435" t="s">
        <v>10331</v>
      </c>
      <c r="M1435" t="s">
        <v>10336</v>
      </c>
      <c r="N1435">
        <v>60.975160000000002</v>
      </c>
      <c r="P1435">
        <v>24.505534999999998</v>
      </c>
      <c r="R1435" t="s">
        <v>11037</v>
      </c>
      <c r="S1435" t="s">
        <v>10307</v>
      </c>
      <c r="W1435" s="2" t="s">
        <v>11201</v>
      </c>
    </row>
    <row r="1436" spans="1:23" hidden="1" x14ac:dyDescent="0.45">
      <c r="A1436" s="1" t="s">
        <v>1423</v>
      </c>
      <c r="B1436" t="s">
        <v>6067</v>
      </c>
      <c r="C1436" t="s">
        <v>7370</v>
      </c>
      <c r="D1436" t="s">
        <v>7890</v>
      </c>
      <c r="E1436" t="s">
        <v>9159</v>
      </c>
      <c r="F1436" t="s">
        <v>10296</v>
      </c>
      <c r="G1436">
        <v>15</v>
      </c>
      <c r="H1436" t="s">
        <v>10309</v>
      </c>
      <c r="K1436" t="s">
        <v>10331</v>
      </c>
      <c r="M1436" t="s">
        <v>10336</v>
      </c>
      <c r="R1436" t="s">
        <v>11038</v>
      </c>
      <c r="S1436" t="s">
        <v>10317</v>
      </c>
      <c r="T1436" t="s">
        <v>10309</v>
      </c>
      <c r="W1436" s="2" t="s">
        <v>11201</v>
      </c>
    </row>
    <row r="1437" spans="1:23" hidden="1" x14ac:dyDescent="0.45">
      <c r="A1437" s="1" t="s">
        <v>1424</v>
      </c>
      <c r="B1437" t="s">
        <v>6093</v>
      </c>
      <c r="C1437" t="s">
        <v>7396</v>
      </c>
      <c r="D1437" t="s">
        <v>7915</v>
      </c>
      <c r="E1437" t="s">
        <v>1424</v>
      </c>
      <c r="F1437" t="s">
        <v>10296</v>
      </c>
      <c r="G1437">
        <v>6</v>
      </c>
      <c r="H1437" t="s">
        <v>10307</v>
      </c>
      <c r="K1437" t="s">
        <v>10331</v>
      </c>
      <c r="M1437" t="s">
        <v>10335</v>
      </c>
      <c r="R1437" t="s">
        <v>11037</v>
      </c>
      <c r="S1437" t="s">
        <v>10307</v>
      </c>
      <c r="W1437" s="2" t="s">
        <v>11201</v>
      </c>
    </row>
    <row r="1438" spans="1:23" hidden="1" x14ac:dyDescent="0.45">
      <c r="A1438" s="1" t="s">
        <v>1425</v>
      </c>
      <c r="B1438" t="s">
        <v>6076</v>
      </c>
      <c r="C1438" t="s">
        <v>7379</v>
      </c>
      <c r="D1438" t="s">
        <v>7898</v>
      </c>
      <c r="E1438" t="s">
        <v>9166</v>
      </c>
      <c r="F1438" t="s">
        <v>10296</v>
      </c>
      <c r="G1438">
        <v>2.8</v>
      </c>
      <c r="H1438" t="s">
        <v>10309</v>
      </c>
      <c r="K1438" t="s">
        <v>10331</v>
      </c>
      <c r="M1438" t="s">
        <v>10335</v>
      </c>
      <c r="R1438" t="s">
        <v>11038</v>
      </c>
      <c r="S1438" t="s">
        <v>10317</v>
      </c>
      <c r="T1438" t="s">
        <v>10309</v>
      </c>
      <c r="W1438" s="2" t="s">
        <v>11201</v>
      </c>
    </row>
    <row r="1439" spans="1:23" hidden="1" x14ac:dyDescent="0.45">
      <c r="A1439" s="1" t="s">
        <v>1426</v>
      </c>
      <c r="B1439" t="s">
        <v>6094</v>
      </c>
      <c r="C1439" t="s">
        <v>7364</v>
      </c>
      <c r="D1439" t="s">
        <v>7884</v>
      </c>
      <c r="E1439" t="s">
        <v>7398</v>
      </c>
      <c r="F1439" t="s">
        <v>10296</v>
      </c>
      <c r="G1439">
        <v>192</v>
      </c>
      <c r="H1439" t="s">
        <v>10310</v>
      </c>
      <c r="N1439">
        <v>61.166797000000003</v>
      </c>
      <c r="P1439">
        <v>28.774695000000001</v>
      </c>
      <c r="Q1439" t="s">
        <v>10710</v>
      </c>
      <c r="R1439" t="s">
        <v>11038</v>
      </c>
      <c r="S1439" t="s">
        <v>10310</v>
      </c>
      <c r="W1439" s="2" t="s">
        <v>11201</v>
      </c>
    </row>
    <row r="1440" spans="1:23" hidden="1" x14ac:dyDescent="0.45">
      <c r="A1440" s="1" t="s">
        <v>1427</v>
      </c>
      <c r="B1440" t="s">
        <v>6095</v>
      </c>
      <c r="C1440" t="s">
        <v>7397</v>
      </c>
      <c r="D1440" t="s">
        <v>7916</v>
      </c>
      <c r="E1440" t="s">
        <v>1426</v>
      </c>
      <c r="F1440" t="s">
        <v>10296</v>
      </c>
      <c r="G1440">
        <v>10</v>
      </c>
      <c r="H1440" t="s">
        <v>10307</v>
      </c>
      <c r="K1440" t="s">
        <v>10331</v>
      </c>
      <c r="M1440" t="s">
        <v>10336</v>
      </c>
      <c r="R1440" t="s">
        <v>11037</v>
      </c>
      <c r="S1440" t="s">
        <v>10307</v>
      </c>
      <c r="W1440" s="2" t="s">
        <v>11201</v>
      </c>
    </row>
    <row r="1441" spans="1:23" hidden="1" x14ac:dyDescent="0.45">
      <c r="A1441" s="1" t="s">
        <v>1428</v>
      </c>
      <c r="B1441" t="s">
        <v>6065</v>
      </c>
      <c r="C1441" t="s">
        <v>7368</v>
      </c>
      <c r="D1441" t="s">
        <v>7888</v>
      </c>
      <c r="E1441" t="s">
        <v>9157</v>
      </c>
      <c r="F1441" t="s">
        <v>10296</v>
      </c>
      <c r="G1441">
        <v>17</v>
      </c>
      <c r="H1441" t="s">
        <v>10310</v>
      </c>
      <c r="R1441" t="s">
        <v>11038</v>
      </c>
      <c r="S1441" t="s">
        <v>10310</v>
      </c>
      <c r="W1441" s="2" t="s">
        <v>11201</v>
      </c>
    </row>
    <row r="1442" spans="1:23" hidden="1" x14ac:dyDescent="0.45">
      <c r="A1442" s="1" t="s">
        <v>1429</v>
      </c>
      <c r="B1442" t="s">
        <v>6073</v>
      </c>
      <c r="C1442" t="s">
        <v>7376</v>
      </c>
      <c r="D1442" t="s">
        <v>7895</v>
      </c>
      <c r="E1442" t="s">
        <v>9165</v>
      </c>
      <c r="F1442" t="s">
        <v>10296</v>
      </c>
      <c r="G1442">
        <v>106</v>
      </c>
      <c r="H1442" t="s">
        <v>10310</v>
      </c>
      <c r="N1442">
        <v>65.79290300000001</v>
      </c>
      <c r="P1442">
        <v>24.544698</v>
      </c>
      <c r="R1442" t="s">
        <v>11038</v>
      </c>
      <c r="S1442" t="s">
        <v>10310</v>
      </c>
      <c r="W1442" s="2" t="s">
        <v>11201</v>
      </c>
    </row>
    <row r="1443" spans="1:23" hidden="1" x14ac:dyDescent="0.45">
      <c r="A1443" s="1" t="s">
        <v>1430</v>
      </c>
      <c r="B1443" t="s">
        <v>6066</v>
      </c>
      <c r="C1443" t="s">
        <v>7369</v>
      </c>
      <c r="D1443" t="s">
        <v>7889</v>
      </c>
      <c r="E1443" t="s">
        <v>9158</v>
      </c>
      <c r="F1443" t="s">
        <v>10296</v>
      </c>
      <c r="G1443">
        <v>1</v>
      </c>
      <c r="H1443" t="s">
        <v>10310</v>
      </c>
      <c r="R1443" t="s">
        <v>11038</v>
      </c>
      <c r="S1443" t="s">
        <v>10310</v>
      </c>
      <c r="W1443" s="2" t="s">
        <v>11201</v>
      </c>
    </row>
    <row r="1444" spans="1:23" hidden="1" x14ac:dyDescent="0.45">
      <c r="A1444" s="1" t="s">
        <v>1431</v>
      </c>
      <c r="B1444" t="s">
        <v>6096</v>
      </c>
      <c r="C1444" t="s">
        <v>7398</v>
      </c>
      <c r="D1444" t="s">
        <v>7917</v>
      </c>
      <c r="E1444" t="s">
        <v>9173</v>
      </c>
      <c r="F1444" t="s">
        <v>10296</v>
      </c>
      <c r="G1444">
        <v>68</v>
      </c>
      <c r="H1444" t="s">
        <v>10309</v>
      </c>
      <c r="K1444" t="s">
        <v>10331</v>
      </c>
      <c r="M1444" t="s">
        <v>10336</v>
      </c>
      <c r="R1444" t="s">
        <v>11038</v>
      </c>
      <c r="S1444" t="s">
        <v>10317</v>
      </c>
      <c r="T1444" t="s">
        <v>10309</v>
      </c>
      <c r="W1444" s="2" t="s">
        <v>11201</v>
      </c>
    </row>
    <row r="1445" spans="1:23" hidden="1" x14ac:dyDescent="0.45">
      <c r="A1445" s="1" t="s">
        <v>1432</v>
      </c>
      <c r="B1445" t="s">
        <v>6097</v>
      </c>
      <c r="C1445" t="s">
        <v>7399</v>
      </c>
      <c r="D1445" t="s">
        <v>7918</v>
      </c>
      <c r="E1445" t="s">
        <v>9174</v>
      </c>
      <c r="F1445" t="s">
        <v>10296</v>
      </c>
      <c r="G1445">
        <v>85</v>
      </c>
      <c r="H1445" t="s">
        <v>10309</v>
      </c>
      <c r="K1445" t="s">
        <v>10331</v>
      </c>
      <c r="M1445" t="s">
        <v>10335</v>
      </c>
      <c r="N1445">
        <v>61.130618000000013</v>
      </c>
      <c r="P1445">
        <v>28.45412</v>
      </c>
      <c r="R1445" t="s">
        <v>11038</v>
      </c>
      <c r="S1445" t="s">
        <v>10317</v>
      </c>
      <c r="T1445" t="s">
        <v>10309</v>
      </c>
      <c r="W1445" s="2" t="s">
        <v>11201</v>
      </c>
    </row>
    <row r="1446" spans="1:23" hidden="1" x14ac:dyDescent="0.45">
      <c r="A1446" s="1" t="s">
        <v>1432</v>
      </c>
      <c r="B1446" t="s">
        <v>6098</v>
      </c>
      <c r="C1446" t="s">
        <v>7396</v>
      </c>
      <c r="D1446" t="s">
        <v>7915</v>
      </c>
      <c r="E1446" t="s">
        <v>1424</v>
      </c>
      <c r="F1446" t="s">
        <v>10296</v>
      </c>
      <c r="G1446">
        <v>3.9</v>
      </c>
      <c r="H1446" t="s">
        <v>10315</v>
      </c>
      <c r="K1446" t="s">
        <v>10331</v>
      </c>
      <c r="M1446" t="s">
        <v>10335</v>
      </c>
      <c r="N1446">
        <v>61.130618000000013</v>
      </c>
      <c r="P1446">
        <v>28.45412</v>
      </c>
      <c r="R1446" t="s">
        <v>10315</v>
      </c>
      <c r="W1446" s="2" t="s">
        <v>11201</v>
      </c>
    </row>
    <row r="1447" spans="1:23" hidden="1" x14ac:dyDescent="0.45">
      <c r="A1447" s="1" t="s">
        <v>1433</v>
      </c>
      <c r="B1447" t="s">
        <v>6080</v>
      </c>
      <c r="C1447" t="s">
        <v>7383</v>
      </c>
      <c r="D1447" t="s">
        <v>7902</v>
      </c>
      <c r="E1447" t="s">
        <v>9164</v>
      </c>
      <c r="F1447" t="s">
        <v>10296</v>
      </c>
      <c r="G1447">
        <v>3.1</v>
      </c>
      <c r="H1447" t="s">
        <v>10308</v>
      </c>
      <c r="R1447" t="s">
        <v>11037</v>
      </c>
      <c r="S1447" t="s">
        <v>10308</v>
      </c>
      <c r="W1447" s="2" t="s">
        <v>11201</v>
      </c>
    </row>
    <row r="1448" spans="1:23" hidden="1" x14ac:dyDescent="0.45">
      <c r="A1448" s="1" t="s">
        <v>1434</v>
      </c>
      <c r="B1448" t="s">
        <v>6067</v>
      </c>
      <c r="C1448" t="s">
        <v>7370</v>
      </c>
      <c r="D1448" t="s">
        <v>7890</v>
      </c>
      <c r="E1448" t="s">
        <v>9159</v>
      </c>
      <c r="F1448" t="s">
        <v>10296</v>
      </c>
      <c r="G1448">
        <v>5.5</v>
      </c>
      <c r="H1448" t="s">
        <v>10310</v>
      </c>
      <c r="R1448" t="s">
        <v>11038</v>
      </c>
      <c r="S1448" t="s">
        <v>10310</v>
      </c>
      <c r="W1448" s="2" t="s">
        <v>11201</v>
      </c>
    </row>
    <row r="1449" spans="1:23" hidden="1" x14ac:dyDescent="0.45">
      <c r="A1449" s="1" t="s">
        <v>1435</v>
      </c>
      <c r="B1449" t="s">
        <v>6073</v>
      </c>
      <c r="C1449" t="s">
        <v>7376</v>
      </c>
      <c r="D1449" t="s">
        <v>7895</v>
      </c>
      <c r="E1449" t="s">
        <v>9165</v>
      </c>
      <c r="F1449" t="s">
        <v>10296</v>
      </c>
      <c r="G1449">
        <v>26</v>
      </c>
      <c r="H1449" t="s">
        <v>10310</v>
      </c>
      <c r="R1449" t="s">
        <v>11038</v>
      </c>
      <c r="S1449" t="s">
        <v>10310</v>
      </c>
      <c r="W1449" s="2" t="s">
        <v>11201</v>
      </c>
    </row>
    <row r="1450" spans="1:23" hidden="1" x14ac:dyDescent="0.45">
      <c r="A1450" s="1" t="s">
        <v>1436</v>
      </c>
      <c r="B1450" t="s">
        <v>6066</v>
      </c>
      <c r="C1450" t="s">
        <v>7369</v>
      </c>
      <c r="D1450" t="s">
        <v>7889</v>
      </c>
      <c r="E1450" t="s">
        <v>9158</v>
      </c>
      <c r="F1450" t="s">
        <v>10296</v>
      </c>
      <c r="G1450">
        <v>1.8</v>
      </c>
      <c r="H1450" t="s">
        <v>10310</v>
      </c>
      <c r="R1450" t="s">
        <v>11038</v>
      </c>
      <c r="S1450" t="s">
        <v>10310</v>
      </c>
      <c r="W1450" s="2" t="s">
        <v>11201</v>
      </c>
    </row>
    <row r="1451" spans="1:23" hidden="1" x14ac:dyDescent="0.45">
      <c r="A1451" s="1" t="s">
        <v>1437</v>
      </c>
      <c r="B1451" t="s">
        <v>6099</v>
      </c>
      <c r="C1451" t="s">
        <v>7400</v>
      </c>
      <c r="D1451" t="s">
        <v>7919</v>
      </c>
      <c r="E1451" t="s">
        <v>1466</v>
      </c>
      <c r="F1451" t="s">
        <v>10296</v>
      </c>
      <c r="G1451">
        <v>3.7</v>
      </c>
      <c r="H1451" t="s">
        <v>10310</v>
      </c>
      <c r="R1451" t="s">
        <v>11038</v>
      </c>
      <c r="S1451" t="s">
        <v>10310</v>
      </c>
      <c r="W1451" s="2" t="s">
        <v>11201</v>
      </c>
    </row>
    <row r="1452" spans="1:23" hidden="1" x14ac:dyDescent="0.45">
      <c r="A1452" s="1" t="s">
        <v>1438</v>
      </c>
      <c r="B1452" t="s">
        <v>6066</v>
      </c>
      <c r="C1452" t="s">
        <v>7369</v>
      </c>
      <c r="D1452" t="s">
        <v>7889</v>
      </c>
      <c r="E1452" t="s">
        <v>9158</v>
      </c>
      <c r="F1452" t="s">
        <v>10296</v>
      </c>
      <c r="G1452">
        <v>1.4</v>
      </c>
      <c r="H1452" t="s">
        <v>10310</v>
      </c>
      <c r="R1452" t="s">
        <v>11038</v>
      </c>
      <c r="S1452" t="s">
        <v>10310</v>
      </c>
      <c r="W1452" s="2" t="s">
        <v>11201</v>
      </c>
    </row>
    <row r="1453" spans="1:23" hidden="1" x14ac:dyDescent="0.45">
      <c r="A1453" s="1" t="s">
        <v>1439</v>
      </c>
      <c r="B1453" t="s">
        <v>6061</v>
      </c>
      <c r="C1453" t="s">
        <v>7364</v>
      </c>
      <c r="D1453" t="s">
        <v>7884</v>
      </c>
      <c r="E1453" t="s">
        <v>7398</v>
      </c>
      <c r="F1453" t="s">
        <v>10296</v>
      </c>
      <c r="G1453">
        <v>55</v>
      </c>
      <c r="H1453" t="s">
        <v>10310</v>
      </c>
      <c r="N1453">
        <v>64.572306000000012</v>
      </c>
      <c r="P1453">
        <v>26.781237999999998</v>
      </c>
      <c r="R1453" t="s">
        <v>11038</v>
      </c>
      <c r="S1453" t="s">
        <v>10310</v>
      </c>
      <c r="W1453" s="2" t="s">
        <v>11201</v>
      </c>
    </row>
    <row r="1454" spans="1:23" hidden="1" x14ac:dyDescent="0.45">
      <c r="A1454" s="1" t="s">
        <v>1440</v>
      </c>
      <c r="B1454" t="s">
        <v>6100</v>
      </c>
      <c r="C1454" t="s">
        <v>7401</v>
      </c>
      <c r="D1454" t="s">
        <v>7920</v>
      </c>
      <c r="E1454" t="s">
        <v>9175</v>
      </c>
      <c r="F1454" t="s">
        <v>10296</v>
      </c>
      <c r="G1454">
        <v>43</v>
      </c>
      <c r="H1454" t="s">
        <v>10309</v>
      </c>
      <c r="K1454" t="s">
        <v>10331</v>
      </c>
      <c r="M1454" t="s">
        <v>10335</v>
      </c>
      <c r="R1454" t="s">
        <v>11038</v>
      </c>
      <c r="S1454" t="s">
        <v>10317</v>
      </c>
      <c r="T1454" t="s">
        <v>10309</v>
      </c>
      <c r="W1454" s="2" t="s">
        <v>11201</v>
      </c>
    </row>
    <row r="1455" spans="1:23" hidden="1" x14ac:dyDescent="0.45">
      <c r="A1455" s="1" t="s">
        <v>1441</v>
      </c>
      <c r="B1455" t="s">
        <v>6101</v>
      </c>
      <c r="C1455" t="s">
        <v>7402</v>
      </c>
      <c r="D1455" t="s">
        <v>7921</v>
      </c>
      <c r="E1455" t="s">
        <v>9176</v>
      </c>
      <c r="F1455" t="s">
        <v>10296</v>
      </c>
      <c r="G1455">
        <v>1.6</v>
      </c>
      <c r="H1455" t="s">
        <v>10309</v>
      </c>
      <c r="K1455" t="s">
        <v>10331</v>
      </c>
      <c r="M1455" t="s">
        <v>10335</v>
      </c>
      <c r="R1455" t="s">
        <v>11038</v>
      </c>
      <c r="S1455" t="s">
        <v>10317</v>
      </c>
      <c r="T1455" t="s">
        <v>10309</v>
      </c>
      <c r="W1455" s="2" t="s">
        <v>11201</v>
      </c>
    </row>
    <row r="1456" spans="1:23" hidden="1" x14ac:dyDescent="0.45">
      <c r="A1456" s="1" t="s">
        <v>1442</v>
      </c>
      <c r="B1456" t="s">
        <v>6096</v>
      </c>
      <c r="C1456" t="s">
        <v>7398</v>
      </c>
      <c r="D1456" t="s">
        <v>7917</v>
      </c>
      <c r="E1456" t="s">
        <v>9177</v>
      </c>
      <c r="F1456" t="s">
        <v>10296</v>
      </c>
      <c r="G1456">
        <v>23.8</v>
      </c>
      <c r="H1456" t="s">
        <v>10309</v>
      </c>
      <c r="K1456" t="s">
        <v>10331</v>
      </c>
      <c r="M1456" t="s">
        <v>10336</v>
      </c>
      <c r="R1456" t="s">
        <v>11038</v>
      </c>
      <c r="S1456" t="s">
        <v>10317</v>
      </c>
      <c r="T1456" t="s">
        <v>10309</v>
      </c>
      <c r="W1456" s="2" t="s">
        <v>11201</v>
      </c>
    </row>
    <row r="1457" spans="1:23" hidden="1" x14ac:dyDescent="0.45">
      <c r="A1457" s="1" t="s">
        <v>1443</v>
      </c>
      <c r="B1457" t="s">
        <v>6102</v>
      </c>
      <c r="C1457" t="s">
        <v>7403</v>
      </c>
      <c r="D1457" t="s">
        <v>7922</v>
      </c>
      <c r="E1457" t="s">
        <v>9178</v>
      </c>
      <c r="F1457" t="s">
        <v>10296</v>
      </c>
      <c r="G1457">
        <v>2.8</v>
      </c>
      <c r="H1457" t="s">
        <v>10310</v>
      </c>
      <c r="R1457" t="s">
        <v>11038</v>
      </c>
      <c r="S1457" t="s">
        <v>10310</v>
      </c>
      <c r="W1457" s="2" t="s">
        <v>11201</v>
      </c>
    </row>
    <row r="1458" spans="1:23" hidden="1" x14ac:dyDescent="0.45">
      <c r="A1458" s="1" t="s">
        <v>1444</v>
      </c>
      <c r="B1458" t="s">
        <v>6103</v>
      </c>
      <c r="C1458" t="s">
        <v>7404</v>
      </c>
      <c r="D1458" t="s">
        <v>7888</v>
      </c>
      <c r="E1458" t="s">
        <v>9179</v>
      </c>
      <c r="F1458" t="s">
        <v>10296</v>
      </c>
      <c r="G1458">
        <v>1.2</v>
      </c>
      <c r="H1458" t="s">
        <v>10310</v>
      </c>
      <c r="R1458" t="s">
        <v>11038</v>
      </c>
      <c r="S1458" t="s">
        <v>10310</v>
      </c>
      <c r="W1458" s="2" t="s">
        <v>11201</v>
      </c>
    </row>
    <row r="1459" spans="1:23" hidden="1" x14ac:dyDescent="0.45">
      <c r="A1459" s="1" t="s">
        <v>1445</v>
      </c>
      <c r="B1459" t="s">
        <v>6103</v>
      </c>
      <c r="C1459" t="s">
        <v>7404</v>
      </c>
      <c r="D1459" t="s">
        <v>7888</v>
      </c>
      <c r="E1459" t="s">
        <v>9179</v>
      </c>
      <c r="F1459" t="s">
        <v>10296</v>
      </c>
      <c r="G1459">
        <v>5.4</v>
      </c>
      <c r="H1459" t="s">
        <v>10310</v>
      </c>
      <c r="R1459" t="s">
        <v>11038</v>
      </c>
      <c r="S1459" t="s">
        <v>10310</v>
      </c>
      <c r="W1459" s="2" t="s">
        <v>11201</v>
      </c>
    </row>
    <row r="1460" spans="1:23" hidden="1" x14ac:dyDescent="0.45">
      <c r="A1460" s="1" t="s">
        <v>1446</v>
      </c>
      <c r="B1460" t="s">
        <v>6100</v>
      </c>
      <c r="C1460" t="s">
        <v>7405</v>
      </c>
      <c r="D1460" t="s">
        <v>7923</v>
      </c>
      <c r="E1460" t="s">
        <v>9180</v>
      </c>
      <c r="F1460" t="s">
        <v>10296</v>
      </c>
      <c r="G1460">
        <v>25</v>
      </c>
      <c r="H1460" t="s">
        <v>10309</v>
      </c>
      <c r="K1460" t="s">
        <v>10331</v>
      </c>
      <c r="M1460" t="s">
        <v>10335</v>
      </c>
      <c r="R1460" t="s">
        <v>11038</v>
      </c>
      <c r="S1460" t="s">
        <v>10317</v>
      </c>
      <c r="T1460" t="s">
        <v>10309</v>
      </c>
      <c r="W1460" s="2" t="s">
        <v>11201</v>
      </c>
    </row>
    <row r="1461" spans="1:23" hidden="1" x14ac:dyDescent="0.45">
      <c r="A1461" s="1" t="s">
        <v>1447</v>
      </c>
      <c r="B1461" t="s">
        <v>6104</v>
      </c>
      <c r="C1461" t="s">
        <v>7371</v>
      </c>
      <c r="E1461" t="s">
        <v>9160</v>
      </c>
      <c r="F1461" t="s">
        <v>10296</v>
      </c>
      <c r="G1461">
        <v>7.6</v>
      </c>
      <c r="H1461" t="s">
        <v>10310</v>
      </c>
      <c r="R1461" t="s">
        <v>11038</v>
      </c>
      <c r="S1461" t="s">
        <v>10310</v>
      </c>
      <c r="W1461" s="2" t="s">
        <v>11201</v>
      </c>
    </row>
    <row r="1462" spans="1:23" hidden="1" x14ac:dyDescent="0.45">
      <c r="A1462" s="1" t="s">
        <v>1448</v>
      </c>
      <c r="B1462" t="s">
        <v>6105</v>
      </c>
      <c r="C1462" t="s">
        <v>7406</v>
      </c>
      <c r="D1462" t="s">
        <v>7924</v>
      </c>
      <c r="E1462" t="s">
        <v>9181</v>
      </c>
      <c r="F1462" t="s">
        <v>10296</v>
      </c>
      <c r="G1462">
        <v>1.8</v>
      </c>
      <c r="H1462" t="s">
        <v>10310</v>
      </c>
      <c r="R1462" t="s">
        <v>11038</v>
      </c>
      <c r="S1462" t="s">
        <v>10310</v>
      </c>
      <c r="W1462" s="2" t="s">
        <v>11201</v>
      </c>
    </row>
    <row r="1463" spans="1:23" hidden="1" x14ac:dyDescent="0.45">
      <c r="A1463" s="1" t="s">
        <v>1449</v>
      </c>
      <c r="B1463" t="s">
        <v>6106</v>
      </c>
      <c r="C1463" t="s">
        <v>7405</v>
      </c>
      <c r="D1463" t="s">
        <v>7923</v>
      </c>
      <c r="E1463" t="s">
        <v>9180</v>
      </c>
      <c r="F1463" t="s">
        <v>10296</v>
      </c>
      <c r="G1463">
        <v>12</v>
      </c>
      <c r="H1463" t="s">
        <v>10310</v>
      </c>
      <c r="R1463" t="s">
        <v>11038</v>
      </c>
      <c r="S1463" t="s">
        <v>10310</v>
      </c>
      <c r="W1463" s="2" t="s">
        <v>11201</v>
      </c>
    </row>
    <row r="1464" spans="1:23" hidden="1" x14ac:dyDescent="0.45">
      <c r="A1464" s="1" t="s">
        <v>1450</v>
      </c>
      <c r="B1464" t="s">
        <v>6106</v>
      </c>
      <c r="C1464" t="s">
        <v>7407</v>
      </c>
      <c r="D1464" t="s">
        <v>7923</v>
      </c>
      <c r="E1464" t="s">
        <v>9180</v>
      </c>
      <c r="F1464" t="s">
        <v>10296</v>
      </c>
      <c r="G1464">
        <v>32</v>
      </c>
      <c r="H1464" t="s">
        <v>10310</v>
      </c>
      <c r="R1464" t="s">
        <v>11038</v>
      </c>
      <c r="S1464" t="s">
        <v>10310</v>
      </c>
      <c r="W1464" s="2" t="s">
        <v>11201</v>
      </c>
    </row>
    <row r="1465" spans="1:23" hidden="1" x14ac:dyDescent="0.45">
      <c r="A1465" s="1" t="s">
        <v>1451</v>
      </c>
      <c r="B1465" t="s">
        <v>6107</v>
      </c>
      <c r="C1465" t="s">
        <v>7408</v>
      </c>
      <c r="E1465" t="s">
        <v>1451</v>
      </c>
      <c r="F1465" t="s">
        <v>10296</v>
      </c>
      <c r="G1465">
        <v>7</v>
      </c>
      <c r="H1465" t="s">
        <v>10308</v>
      </c>
      <c r="K1465" t="s">
        <v>10331</v>
      </c>
      <c r="R1465" t="s">
        <v>11037</v>
      </c>
      <c r="S1465" t="s">
        <v>10308</v>
      </c>
      <c r="W1465" s="2" t="s">
        <v>11201</v>
      </c>
    </row>
    <row r="1466" spans="1:23" hidden="1" x14ac:dyDescent="0.45">
      <c r="A1466" s="1" t="s">
        <v>1452</v>
      </c>
      <c r="B1466" t="s">
        <v>6108</v>
      </c>
      <c r="C1466" t="s">
        <v>7379</v>
      </c>
      <c r="D1466" t="s">
        <v>7898</v>
      </c>
      <c r="E1466" t="s">
        <v>9166</v>
      </c>
      <c r="F1466" t="s">
        <v>10296</v>
      </c>
      <c r="G1466">
        <v>4.2</v>
      </c>
      <c r="H1466" t="s">
        <v>10314</v>
      </c>
      <c r="I1466" t="s">
        <v>10323</v>
      </c>
      <c r="K1466" t="s">
        <v>10331</v>
      </c>
      <c r="M1466" t="s">
        <v>10335</v>
      </c>
      <c r="R1466" t="s">
        <v>11037</v>
      </c>
      <c r="S1466" t="s">
        <v>10314</v>
      </c>
      <c r="W1466" s="2" t="s">
        <v>11201</v>
      </c>
    </row>
    <row r="1467" spans="1:23" hidden="1" x14ac:dyDescent="0.45">
      <c r="A1467" s="1" t="s">
        <v>1453</v>
      </c>
      <c r="B1467" t="s">
        <v>6067</v>
      </c>
      <c r="C1467" t="s">
        <v>7370</v>
      </c>
      <c r="D1467" t="s">
        <v>7890</v>
      </c>
      <c r="E1467" t="s">
        <v>9159</v>
      </c>
      <c r="F1467" t="s">
        <v>10296</v>
      </c>
      <c r="G1467">
        <v>4.5</v>
      </c>
      <c r="H1467" t="s">
        <v>10310</v>
      </c>
      <c r="R1467" t="s">
        <v>11038</v>
      </c>
      <c r="S1467" t="s">
        <v>10310</v>
      </c>
      <c r="W1467" s="2" t="s">
        <v>11201</v>
      </c>
    </row>
    <row r="1468" spans="1:23" hidden="1" x14ac:dyDescent="0.45">
      <c r="A1468" s="1" t="s">
        <v>1454</v>
      </c>
      <c r="B1468" t="s">
        <v>6109</v>
      </c>
      <c r="C1468" t="s">
        <v>7409</v>
      </c>
      <c r="D1468" t="s">
        <v>7925</v>
      </c>
      <c r="E1468" t="s">
        <v>1537</v>
      </c>
      <c r="F1468" t="s">
        <v>10296</v>
      </c>
      <c r="G1468">
        <v>1.1000000000000001</v>
      </c>
      <c r="H1468" t="s">
        <v>10308</v>
      </c>
      <c r="R1468" t="s">
        <v>11037</v>
      </c>
      <c r="S1468" t="s">
        <v>10308</v>
      </c>
      <c r="W1468" s="2" t="s">
        <v>11201</v>
      </c>
    </row>
    <row r="1469" spans="1:23" hidden="1" x14ac:dyDescent="0.45">
      <c r="A1469" s="1" t="s">
        <v>1455</v>
      </c>
      <c r="B1469" t="s">
        <v>6097</v>
      </c>
      <c r="C1469" t="s">
        <v>7399</v>
      </c>
      <c r="D1469" t="s">
        <v>7918</v>
      </c>
      <c r="E1469" t="s">
        <v>9174</v>
      </c>
      <c r="F1469" t="s">
        <v>10296</v>
      </c>
      <c r="G1469">
        <v>0</v>
      </c>
      <c r="H1469" t="s">
        <v>10309</v>
      </c>
      <c r="M1469" t="s">
        <v>10335</v>
      </c>
      <c r="R1469" t="s">
        <v>11038</v>
      </c>
      <c r="S1469" t="s">
        <v>10317</v>
      </c>
      <c r="T1469" t="s">
        <v>10309</v>
      </c>
      <c r="W1469" s="2" t="s">
        <v>11201</v>
      </c>
    </row>
    <row r="1470" spans="1:23" hidden="1" x14ac:dyDescent="0.45">
      <c r="A1470" s="1" t="s">
        <v>1456</v>
      </c>
      <c r="B1470" t="s">
        <v>6106</v>
      </c>
      <c r="C1470" t="s">
        <v>7405</v>
      </c>
      <c r="D1470" t="s">
        <v>7923</v>
      </c>
      <c r="E1470" t="s">
        <v>9180</v>
      </c>
      <c r="F1470" t="s">
        <v>10296</v>
      </c>
      <c r="G1470">
        <v>11.5</v>
      </c>
      <c r="H1470" t="s">
        <v>10310</v>
      </c>
      <c r="R1470" t="s">
        <v>11038</v>
      </c>
      <c r="S1470" t="s">
        <v>10310</v>
      </c>
      <c r="W1470" s="2" t="s">
        <v>11201</v>
      </c>
    </row>
    <row r="1471" spans="1:23" hidden="1" x14ac:dyDescent="0.45">
      <c r="A1471" s="1" t="s">
        <v>1457</v>
      </c>
      <c r="B1471" t="s">
        <v>6068</v>
      </c>
      <c r="C1471" t="s">
        <v>7371</v>
      </c>
      <c r="E1471" t="s">
        <v>9160</v>
      </c>
      <c r="F1471" t="s">
        <v>10296</v>
      </c>
      <c r="G1471">
        <v>2.1</v>
      </c>
      <c r="H1471" t="s">
        <v>10310</v>
      </c>
      <c r="R1471" t="s">
        <v>11038</v>
      </c>
      <c r="S1471" t="s">
        <v>10310</v>
      </c>
      <c r="W1471" s="2" t="s">
        <v>11201</v>
      </c>
    </row>
    <row r="1472" spans="1:23" hidden="1" x14ac:dyDescent="0.45">
      <c r="A1472" s="1" t="s">
        <v>1458</v>
      </c>
      <c r="B1472" t="s">
        <v>6110</v>
      </c>
      <c r="C1472" t="s">
        <v>7410</v>
      </c>
      <c r="D1472" t="s">
        <v>7926</v>
      </c>
      <c r="E1472" t="s">
        <v>1426</v>
      </c>
      <c r="F1472" t="s">
        <v>10296</v>
      </c>
      <c r="G1472">
        <v>134</v>
      </c>
      <c r="H1472" t="s">
        <v>10309</v>
      </c>
      <c r="K1472" t="s">
        <v>10331</v>
      </c>
      <c r="M1472" t="s">
        <v>10335</v>
      </c>
      <c r="N1472">
        <v>61.249623999999997</v>
      </c>
      <c r="P1472">
        <v>28.861259</v>
      </c>
      <c r="R1472" t="s">
        <v>11038</v>
      </c>
      <c r="S1472" t="s">
        <v>10317</v>
      </c>
      <c r="T1472" t="s">
        <v>10309</v>
      </c>
      <c r="W1472" s="2" t="s">
        <v>11201</v>
      </c>
    </row>
    <row r="1473" spans="1:23" hidden="1" x14ac:dyDescent="0.45">
      <c r="A1473" s="1" t="s">
        <v>1459</v>
      </c>
      <c r="B1473" t="s">
        <v>6085</v>
      </c>
      <c r="C1473" t="s">
        <v>7411</v>
      </c>
      <c r="D1473" t="s">
        <v>7927</v>
      </c>
      <c r="E1473" t="s">
        <v>9171</v>
      </c>
      <c r="F1473" t="s">
        <v>10296</v>
      </c>
      <c r="G1473">
        <v>19</v>
      </c>
      <c r="H1473" t="s">
        <v>10309</v>
      </c>
      <c r="K1473" t="s">
        <v>10331</v>
      </c>
      <c r="M1473" t="s">
        <v>10335</v>
      </c>
      <c r="R1473" t="s">
        <v>11038</v>
      </c>
      <c r="S1473" t="s">
        <v>10317</v>
      </c>
      <c r="T1473" t="s">
        <v>10309</v>
      </c>
      <c r="W1473" s="2" t="s">
        <v>11201</v>
      </c>
    </row>
    <row r="1474" spans="1:23" hidden="1" x14ac:dyDescent="0.45">
      <c r="A1474" s="1" t="s">
        <v>1460</v>
      </c>
      <c r="B1474" t="s">
        <v>6111</v>
      </c>
      <c r="C1474" t="s">
        <v>7412</v>
      </c>
      <c r="D1474" t="s">
        <v>7928</v>
      </c>
      <c r="E1474" t="s">
        <v>9182</v>
      </c>
      <c r="F1474" t="s">
        <v>10296</v>
      </c>
      <c r="G1474">
        <v>79.2</v>
      </c>
      <c r="H1474" t="s">
        <v>10309</v>
      </c>
      <c r="K1474" t="s">
        <v>10331</v>
      </c>
      <c r="M1474" t="s">
        <v>10335</v>
      </c>
      <c r="N1474">
        <v>64.232717000000008</v>
      </c>
      <c r="P1474">
        <v>27.687006</v>
      </c>
      <c r="R1474" t="s">
        <v>11038</v>
      </c>
      <c r="S1474" t="s">
        <v>10317</v>
      </c>
      <c r="T1474" t="s">
        <v>10309</v>
      </c>
      <c r="W1474" s="2" t="s">
        <v>11201</v>
      </c>
    </row>
    <row r="1475" spans="1:23" hidden="1" x14ac:dyDescent="0.45">
      <c r="A1475" s="1" t="s">
        <v>1461</v>
      </c>
      <c r="B1475" t="s">
        <v>6112</v>
      </c>
      <c r="C1475" t="s">
        <v>7413</v>
      </c>
      <c r="D1475" t="s">
        <v>7898</v>
      </c>
      <c r="E1475" t="s">
        <v>9166</v>
      </c>
      <c r="F1475" t="s">
        <v>10296</v>
      </c>
      <c r="G1475">
        <v>190</v>
      </c>
      <c r="H1475" t="s">
        <v>10309</v>
      </c>
      <c r="K1475" t="s">
        <v>10331</v>
      </c>
      <c r="M1475" t="s">
        <v>10336</v>
      </c>
      <c r="N1475">
        <v>62.192431000000013</v>
      </c>
      <c r="P1475">
        <v>25.738150999999998</v>
      </c>
      <c r="Q1475" t="s">
        <v>10711</v>
      </c>
      <c r="R1475" t="s">
        <v>11038</v>
      </c>
      <c r="S1475" t="s">
        <v>10317</v>
      </c>
      <c r="T1475" t="s">
        <v>10309</v>
      </c>
      <c r="W1475" s="2" t="s">
        <v>11201</v>
      </c>
    </row>
    <row r="1476" spans="1:23" hidden="1" x14ac:dyDescent="0.45">
      <c r="A1476" s="1" t="s">
        <v>1462</v>
      </c>
      <c r="B1476" t="s">
        <v>6079</v>
      </c>
      <c r="C1476" t="s">
        <v>7382</v>
      </c>
      <c r="D1476" t="s">
        <v>7901</v>
      </c>
      <c r="E1476" t="s">
        <v>9169</v>
      </c>
      <c r="F1476" t="s">
        <v>10296</v>
      </c>
      <c r="G1476">
        <v>118</v>
      </c>
      <c r="H1476" t="s">
        <v>10308</v>
      </c>
      <c r="N1476">
        <v>60.161893000000013</v>
      </c>
      <c r="P1476">
        <v>24.908344</v>
      </c>
      <c r="R1476" t="s">
        <v>11037</v>
      </c>
      <c r="S1476" t="s">
        <v>10308</v>
      </c>
      <c r="W1476" s="2" t="s">
        <v>11201</v>
      </c>
    </row>
    <row r="1477" spans="1:23" hidden="1" x14ac:dyDescent="0.45">
      <c r="A1477" s="1" t="s">
        <v>1463</v>
      </c>
      <c r="B1477" t="s">
        <v>6106</v>
      </c>
      <c r="C1477" t="s">
        <v>7414</v>
      </c>
      <c r="D1477" t="s">
        <v>7923</v>
      </c>
      <c r="E1477" t="s">
        <v>9180</v>
      </c>
      <c r="F1477" t="s">
        <v>10296</v>
      </c>
      <c r="G1477">
        <v>19.100000000000001</v>
      </c>
      <c r="H1477" t="s">
        <v>10310</v>
      </c>
      <c r="R1477" t="s">
        <v>11038</v>
      </c>
      <c r="S1477" t="s">
        <v>10310</v>
      </c>
      <c r="W1477" s="2" t="s">
        <v>11201</v>
      </c>
    </row>
    <row r="1478" spans="1:23" hidden="1" x14ac:dyDescent="0.45">
      <c r="A1478" s="1" t="s">
        <v>1464</v>
      </c>
      <c r="B1478" t="s">
        <v>6065</v>
      </c>
      <c r="C1478" t="s">
        <v>7368</v>
      </c>
      <c r="D1478" t="s">
        <v>7888</v>
      </c>
      <c r="E1478" t="s">
        <v>9157</v>
      </c>
      <c r="F1478" t="s">
        <v>10296</v>
      </c>
      <c r="G1478">
        <v>9.8000000000000007</v>
      </c>
      <c r="H1478" t="s">
        <v>10310</v>
      </c>
      <c r="R1478" t="s">
        <v>11038</v>
      </c>
      <c r="S1478" t="s">
        <v>10310</v>
      </c>
      <c r="W1478" s="2" t="s">
        <v>11201</v>
      </c>
    </row>
    <row r="1479" spans="1:23" hidden="1" x14ac:dyDescent="0.45">
      <c r="A1479" s="1" t="s">
        <v>1465</v>
      </c>
      <c r="B1479" t="s">
        <v>6097</v>
      </c>
      <c r="C1479" t="s">
        <v>7399</v>
      </c>
      <c r="D1479" t="s">
        <v>7918</v>
      </c>
      <c r="E1479" t="s">
        <v>9174</v>
      </c>
      <c r="F1479" t="s">
        <v>10296</v>
      </c>
      <c r="G1479">
        <v>75</v>
      </c>
      <c r="H1479" t="s">
        <v>10309</v>
      </c>
      <c r="K1479" t="s">
        <v>10331</v>
      </c>
      <c r="M1479" t="s">
        <v>10335</v>
      </c>
      <c r="N1479">
        <v>65.755324000000002</v>
      </c>
      <c r="P1479">
        <v>24.523489000000001</v>
      </c>
      <c r="R1479" t="s">
        <v>11038</v>
      </c>
      <c r="S1479" t="s">
        <v>10317</v>
      </c>
      <c r="T1479" t="s">
        <v>10309</v>
      </c>
      <c r="W1479" s="2" t="s">
        <v>11201</v>
      </c>
    </row>
    <row r="1480" spans="1:23" hidden="1" x14ac:dyDescent="0.45">
      <c r="A1480" s="1" t="s">
        <v>1466</v>
      </c>
      <c r="B1480" t="s">
        <v>6113</v>
      </c>
      <c r="C1480" t="s">
        <v>7415</v>
      </c>
      <c r="D1480" t="s">
        <v>7929</v>
      </c>
      <c r="E1480" t="s">
        <v>1466</v>
      </c>
      <c r="F1480" t="s">
        <v>10296</v>
      </c>
      <c r="G1480">
        <v>4</v>
      </c>
      <c r="H1480" t="s">
        <v>10309</v>
      </c>
      <c r="K1480" t="s">
        <v>10331</v>
      </c>
      <c r="M1480" t="s">
        <v>10336</v>
      </c>
      <c r="R1480" t="s">
        <v>11038</v>
      </c>
      <c r="S1480" t="s">
        <v>10317</v>
      </c>
      <c r="T1480" t="s">
        <v>10309</v>
      </c>
      <c r="W1480" s="2" t="s">
        <v>11201</v>
      </c>
    </row>
    <row r="1481" spans="1:23" hidden="1" x14ac:dyDescent="0.45">
      <c r="A1481" s="1" t="s">
        <v>1467</v>
      </c>
      <c r="B1481" t="s">
        <v>6114</v>
      </c>
      <c r="C1481" t="s">
        <v>7416</v>
      </c>
      <c r="D1481" t="s">
        <v>7930</v>
      </c>
      <c r="E1481" t="s">
        <v>1467</v>
      </c>
      <c r="F1481" t="s">
        <v>10296</v>
      </c>
      <c r="G1481">
        <v>3.7</v>
      </c>
      <c r="H1481" t="s">
        <v>10307</v>
      </c>
      <c r="K1481" t="s">
        <v>10331</v>
      </c>
      <c r="M1481" t="s">
        <v>10336</v>
      </c>
      <c r="R1481" t="s">
        <v>11037</v>
      </c>
      <c r="S1481" t="s">
        <v>10307</v>
      </c>
      <c r="W1481" s="2" t="s">
        <v>11201</v>
      </c>
    </row>
    <row r="1482" spans="1:23" hidden="1" x14ac:dyDescent="0.45">
      <c r="A1482" s="1" t="s">
        <v>1467</v>
      </c>
      <c r="B1482" t="s">
        <v>6115</v>
      </c>
      <c r="C1482" t="s">
        <v>7417</v>
      </c>
      <c r="D1482" t="s">
        <v>7930</v>
      </c>
      <c r="E1482" t="s">
        <v>1467</v>
      </c>
      <c r="F1482" t="s">
        <v>10296</v>
      </c>
      <c r="G1482">
        <v>19.04</v>
      </c>
      <c r="H1482" t="s">
        <v>10309</v>
      </c>
      <c r="K1482" t="s">
        <v>10331</v>
      </c>
      <c r="M1482" t="s">
        <v>10336</v>
      </c>
      <c r="R1482" t="s">
        <v>11038</v>
      </c>
      <c r="S1482" t="s">
        <v>10317</v>
      </c>
      <c r="T1482" t="s">
        <v>10309</v>
      </c>
      <c r="W1482" s="2" t="s">
        <v>11201</v>
      </c>
    </row>
    <row r="1483" spans="1:23" hidden="1" x14ac:dyDescent="0.45">
      <c r="A1483" s="1" t="s">
        <v>1468</v>
      </c>
      <c r="B1483" t="s">
        <v>6073</v>
      </c>
      <c r="C1483" t="s">
        <v>7376</v>
      </c>
      <c r="D1483" t="s">
        <v>7895</v>
      </c>
      <c r="E1483" t="s">
        <v>9165</v>
      </c>
      <c r="F1483" t="s">
        <v>10296</v>
      </c>
      <c r="G1483">
        <v>38</v>
      </c>
      <c r="H1483" t="s">
        <v>10310</v>
      </c>
      <c r="R1483" t="s">
        <v>11038</v>
      </c>
      <c r="S1483" t="s">
        <v>10310</v>
      </c>
      <c r="W1483" s="2" t="s">
        <v>11201</v>
      </c>
    </row>
    <row r="1484" spans="1:23" hidden="1" x14ac:dyDescent="0.45">
      <c r="A1484" s="1" t="s">
        <v>1469</v>
      </c>
      <c r="B1484" t="s">
        <v>6076</v>
      </c>
      <c r="C1484" t="s">
        <v>7379</v>
      </c>
      <c r="D1484" t="s">
        <v>7898</v>
      </c>
      <c r="E1484" t="s">
        <v>9166</v>
      </c>
      <c r="F1484" t="s">
        <v>10296</v>
      </c>
      <c r="G1484">
        <v>13.5</v>
      </c>
      <c r="H1484" t="s">
        <v>10309</v>
      </c>
      <c r="K1484" t="s">
        <v>10331</v>
      </c>
      <c r="M1484" t="s">
        <v>10335</v>
      </c>
      <c r="R1484" t="s">
        <v>11038</v>
      </c>
      <c r="S1484" t="s">
        <v>10317</v>
      </c>
      <c r="T1484" t="s">
        <v>10309</v>
      </c>
      <c r="W1484" s="2" t="s">
        <v>11201</v>
      </c>
    </row>
    <row r="1485" spans="1:23" hidden="1" x14ac:dyDescent="0.45">
      <c r="A1485" s="1" t="s">
        <v>1470</v>
      </c>
      <c r="B1485" t="s">
        <v>6116</v>
      </c>
      <c r="C1485" t="s">
        <v>7418</v>
      </c>
      <c r="D1485" t="s">
        <v>7931</v>
      </c>
      <c r="E1485" t="s">
        <v>9183</v>
      </c>
      <c r="F1485" t="s">
        <v>10296</v>
      </c>
      <c r="G1485">
        <v>4.5</v>
      </c>
      <c r="H1485" t="s">
        <v>10310</v>
      </c>
      <c r="R1485" t="s">
        <v>11038</v>
      </c>
      <c r="S1485" t="s">
        <v>10310</v>
      </c>
      <c r="W1485" s="2" t="s">
        <v>11201</v>
      </c>
    </row>
    <row r="1486" spans="1:23" hidden="1" x14ac:dyDescent="0.45">
      <c r="A1486" s="1" t="s">
        <v>1471</v>
      </c>
      <c r="B1486" t="s">
        <v>6067</v>
      </c>
      <c r="C1486" t="s">
        <v>7370</v>
      </c>
      <c r="D1486" t="s">
        <v>7890</v>
      </c>
      <c r="E1486" t="s">
        <v>9159</v>
      </c>
      <c r="F1486" t="s">
        <v>10296</v>
      </c>
      <c r="G1486">
        <v>5.6</v>
      </c>
      <c r="H1486" t="s">
        <v>10310</v>
      </c>
      <c r="R1486" t="s">
        <v>11038</v>
      </c>
      <c r="S1486" t="s">
        <v>10310</v>
      </c>
      <c r="W1486" s="2" t="s">
        <v>11201</v>
      </c>
    </row>
    <row r="1487" spans="1:23" hidden="1" x14ac:dyDescent="0.45">
      <c r="A1487" s="1" t="s">
        <v>1472</v>
      </c>
      <c r="B1487" t="s">
        <v>6117</v>
      </c>
      <c r="C1487" t="s">
        <v>7419</v>
      </c>
      <c r="D1487" t="s">
        <v>7932</v>
      </c>
      <c r="E1487" t="s">
        <v>9184</v>
      </c>
      <c r="F1487" t="s">
        <v>10296</v>
      </c>
      <c r="G1487">
        <v>1</v>
      </c>
      <c r="H1487" t="s">
        <v>10310</v>
      </c>
      <c r="R1487" t="s">
        <v>11038</v>
      </c>
      <c r="S1487" t="s">
        <v>10310</v>
      </c>
      <c r="W1487" s="2" t="s">
        <v>11201</v>
      </c>
    </row>
    <row r="1488" spans="1:23" hidden="1" x14ac:dyDescent="0.45">
      <c r="A1488" s="1" t="s">
        <v>1473</v>
      </c>
      <c r="B1488" t="s">
        <v>6118</v>
      </c>
      <c r="D1488" t="s">
        <v>7933</v>
      </c>
      <c r="E1488" t="s">
        <v>9185</v>
      </c>
      <c r="F1488" t="s">
        <v>10296</v>
      </c>
      <c r="G1488">
        <v>128</v>
      </c>
      <c r="H1488" t="s">
        <v>10307</v>
      </c>
      <c r="K1488" t="s">
        <v>10331</v>
      </c>
      <c r="M1488" t="s">
        <v>10335</v>
      </c>
      <c r="N1488">
        <v>60.190917000000013</v>
      </c>
      <c r="P1488">
        <v>23.943650999999999</v>
      </c>
      <c r="R1488" t="s">
        <v>11037</v>
      </c>
      <c r="S1488" t="s">
        <v>10307</v>
      </c>
      <c r="W1488" s="2" t="s">
        <v>11201</v>
      </c>
    </row>
    <row r="1489" spans="1:23" hidden="1" x14ac:dyDescent="0.45">
      <c r="A1489" s="1" t="s">
        <v>1474</v>
      </c>
      <c r="B1489" t="s">
        <v>6119</v>
      </c>
      <c r="C1489" t="s">
        <v>7420</v>
      </c>
      <c r="D1489" t="s">
        <v>7885</v>
      </c>
      <c r="E1489" t="s">
        <v>9186</v>
      </c>
      <c r="F1489" t="s">
        <v>10296</v>
      </c>
      <c r="G1489">
        <v>1.6</v>
      </c>
      <c r="H1489" t="s">
        <v>10310</v>
      </c>
      <c r="R1489" t="s">
        <v>11038</v>
      </c>
      <c r="S1489" t="s">
        <v>10310</v>
      </c>
      <c r="W1489" s="2" t="s">
        <v>11201</v>
      </c>
    </row>
    <row r="1490" spans="1:23" hidden="1" x14ac:dyDescent="0.45">
      <c r="A1490" s="1" t="s">
        <v>1475</v>
      </c>
      <c r="B1490" t="s">
        <v>6059</v>
      </c>
      <c r="C1490" t="s">
        <v>7362</v>
      </c>
      <c r="D1490" t="s">
        <v>7882</v>
      </c>
      <c r="E1490" t="s">
        <v>9152</v>
      </c>
      <c r="F1490" t="s">
        <v>10296</v>
      </c>
      <c r="G1490">
        <v>4.5</v>
      </c>
      <c r="H1490" t="s">
        <v>10310</v>
      </c>
      <c r="R1490" t="s">
        <v>11038</v>
      </c>
      <c r="S1490" t="s">
        <v>10310</v>
      </c>
      <c r="W1490" s="2" t="s">
        <v>11201</v>
      </c>
    </row>
    <row r="1491" spans="1:23" hidden="1" x14ac:dyDescent="0.45">
      <c r="A1491" s="1" t="s">
        <v>1476</v>
      </c>
      <c r="B1491" t="s">
        <v>6120</v>
      </c>
      <c r="C1491" t="s">
        <v>7421</v>
      </c>
      <c r="D1491" t="s">
        <v>7934</v>
      </c>
      <c r="E1491" t="s">
        <v>9187</v>
      </c>
      <c r="F1491" t="s">
        <v>10296</v>
      </c>
      <c r="G1491">
        <v>1.8</v>
      </c>
      <c r="H1491" t="s">
        <v>10310</v>
      </c>
      <c r="R1491" t="s">
        <v>11038</v>
      </c>
      <c r="S1491" t="s">
        <v>10310</v>
      </c>
      <c r="W1491" s="2" t="s">
        <v>11201</v>
      </c>
    </row>
    <row r="1492" spans="1:23" hidden="1" x14ac:dyDescent="0.45">
      <c r="A1492" s="1" t="s">
        <v>1477</v>
      </c>
      <c r="B1492" t="s">
        <v>6111</v>
      </c>
      <c r="C1492" t="s">
        <v>7412</v>
      </c>
      <c r="D1492" t="s">
        <v>7928</v>
      </c>
      <c r="E1492" t="s">
        <v>9182</v>
      </c>
      <c r="F1492" t="s">
        <v>10296</v>
      </c>
      <c r="G1492">
        <v>2.63</v>
      </c>
      <c r="H1492" t="s">
        <v>10310</v>
      </c>
      <c r="R1492" t="s">
        <v>11038</v>
      </c>
      <c r="S1492" t="s">
        <v>10310</v>
      </c>
      <c r="W1492" s="2" t="s">
        <v>11201</v>
      </c>
    </row>
    <row r="1493" spans="1:23" hidden="1" x14ac:dyDescent="0.45">
      <c r="A1493" s="1" t="s">
        <v>1478</v>
      </c>
      <c r="B1493" t="s">
        <v>6111</v>
      </c>
      <c r="C1493" t="s">
        <v>7412</v>
      </c>
      <c r="D1493" t="s">
        <v>7928</v>
      </c>
      <c r="E1493" t="s">
        <v>9182</v>
      </c>
      <c r="F1493" t="s">
        <v>10296</v>
      </c>
      <c r="G1493">
        <v>24.3</v>
      </c>
      <c r="H1493" t="s">
        <v>10310</v>
      </c>
      <c r="R1493" t="s">
        <v>11038</v>
      </c>
      <c r="S1493" t="s">
        <v>10310</v>
      </c>
      <c r="W1493" s="2" t="s">
        <v>11201</v>
      </c>
    </row>
    <row r="1494" spans="1:23" hidden="1" x14ac:dyDescent="0.45">
      <c r="A1494" s="1" t="s">
        <v>1479</v>
      </c>
      <c r="B1494" t="s">
        <v>6121</v>
      </c>
      <c r="C1494" t="s">
        <v>7422</v>
      </c>
      <c r="D1494" t="s">
        <v>7935</v>
      </c>
      <c r="E1494" t="s">
        <v>1479</v>
      </c>
      <c r="F1494" t="s">
        <v>10296</v>
      </c>
      <c r="G1494">
        <v>30</v>
      </c>
      <c r="H1494" t="s">
        <v>10309</v>
      </c>
      <c r="K1494" t="s">
        <v>10331</v>
      </c>
      <c r="M1494" t="s">
        <v>10335</v>
      </c>
      <c r="R1494" t="s">
        <v>11038</v>
      </c>
      <c r="S1494" t="s">
        <v>10317</v>
      </c>
      <c r="T1494" t="s">
        <v>10309</v>
      </c>
      <c r="W1494" s="2" t="s">
        <v>11201</v>
      </c>
    </row>
    <row r="1495" spans="1:23" hidden="1" x14ac:dyDescent="0.45">
      <c r="A1495" s="1" t="s">
        <v>1479</v>
      </c>
      <c r="B1495" t="s">
        <v>6122</v>
      </c>
      <c r="C1495" t="s">
        <v>7423</v>
      </c>
      <c r="D1495" t="s">
        <v>7936</v>
      </c>
      <c r="E1495" t="s">
        <v>1479</v>
      </c>
      <c r="F1495" t="s">
        <v>10296</v>
      </c>
      <c r="G1495">
        <v>19.5</v>
      </c>
      <c r="H1495" t="s">
        <v>10309</v>
      </c>
      <c r="K1495" t="s">
        <v>10331</v>
      </c>
      <c r="M1495" t="s">
        <v>10336</v>
      </c>
      <c r="R1495" t="s">
        <v>11038</v>
      </c>
      <c r="S1495" t="s">
        <v>10317</v>
      </c>
      <c r="T1495" t="s">
        <v>10309</v>
      </c>
      <c r="W1495" s="2" t="s">
        <v>11201</v>
      </c>
    </row>
    <row r="1496" spans="1:23" hidden="1" x14ac:dyDescent="0.45">
      <c r="A1496" s="1" t="s">
        <v>1480</v>
      </c>
      <c r="B1496" t="s">
        <v>6065</v>
      </c>
      <c r="C1496" t="s">
        <v>7368</v>
      </c>
      <c r="D1496" t="s">
        <v>7888</v>
      </c>
      <c r="E1496" t="s">
        <v>9157</v>
      </c>
      <c r="F1496" t="s">
        <v>10296</v>
      </c>
      <c r="G1496">
        <v>25</v>
      </c>
      <c r="H1496" t="s">
        <v>10310</v>
      </c>
      <c r="R1496" t="s">
        <v>11038</v>
      </c>
      <c r="S1496" t="s">
        <v>10310</v>
      </c>
      <c r="W1496" s="2" t="s">
        <v>11201</v>
      </c>
    </row>
    <row r="1497" spans="1:23" hidden="1" x14ac:dyDescent="0.45">
      <c r="A1497" s="1" t="s">
        <v>1481</v>
      </c>
      <c r="B1497" t="s">
        <v>6120</v>
      </c>
      <c r="C1497" t="s">
        <v>7421</v>
      </c>
      <c r="D1497" t="s">
        <v>7934</v>
      </c>
      <c r="E1497" t="s">
        <v>9187</v>
      </c>
      <c r="F1497" t="s">
        <v>10296</v>
      </c>
      <c r="G1497">
        <v>45</v>
      </c>
      <c r="H1497" t="s">
        <v>10310</v>
      </c>
      <c r="R1497" t="s">
        <v>11038</v>
      </c>
      <c r="S1497" t="s">
        <v>10310</v>
      </c>
      <c r="W1497" s="2" t="s">
        <v>11201</v>
      </c>
    </row>
    <row r="1498" spans="1:23" hidden="1" x14ac:dyDescent="0.45">
      <c r="A1498" s="1" t="s">
        <v>1482</v>
      </c>
      <c r="B1498" t="s">
        <v>6123</v>
      </c>
      <c r="D1498" t="s">
        <v>7937</v>
      </c>
      <c r="F1498" t="s">
        <v>10296</v>
      </c>
      <c r="G1498">
        <v>4.5999999999999996</v>
      </c>
      <c r="H1498" t="s">
        <v>10307</v>
      </c>
      <c r="K1498" t="s">
        <v>10331</v>
      </c>
      <c r="M1498" t="s">
        <v>10336</v>
      </c>
      <c r="R1498" t="s">
        <v>11037</v>
      </c>
      <c r="S1498" t="s">
        <v>10307</v>
      </c>
      <c r="W1498" s="2" t="s">
        <v>11201</v>
      </c>
    </row>
    <row r="1499" spans="1:23" hidden="1" x14ac:dyDescent="0.45">
      <c r="A1499" s="1" t="s">
        <v>1483</v>
      </c>
      <c r="B1499" t="s">
        <v>6120</v>
      </c>
      <c r="C1499" t="s">
        <v>7421</v>
      </c>
      <c r="D1499" t="s">
        <v>7934</v>
      </c>
      <c r="E1499" t="s">
        <v>9187</v>
      </c>
      <c r="F1499" t="s">
        <v>10296</v>
      </c>
      <c r="G1499">
        <v>8.5</v>
      </c>
      <c r="H1499" t="s">
        <v>10310</v>
      </c>
      <c r="R1499" t="s">
        <v>11038</v>
      </c>
      <c r="S1499" t="s">
        <v>10310</v>
      </c>
      <c r="W1499" s="2" t="s">
        <v>11201</v>
      </c>
    </row>
    <row r="1500" spans="1:23" hidden="1" x14ac:dyDescent="0.45">
      <c r="A1500" s="1" t="s">
        <v>1484</v>
      </c>
      <c r="B1500" t="s">
        <v>6124</v>
      </c>
      <c r="C1500" t="s">
        <v>7424</v>
      </c>
      <c r="D1500" t="s">
        <v>7938</v>
      </c>
      <c r="E1500" t="s">
        <v>9188</v>
      </c>
      <c r="F1500" t="s">
        <v>10296</v>
      </c>
      <c r="G1500">
        <v>1.2</v>
      </c>
      <c r="H1500" t="s">
        <v>10308</v>
      </c>
      <c r="R1500" t="s">
        <v>11037</v>
      </c>
      <c r="S1500" t="s">
        <v>10308</v>
      </c>
      <c r="W1500" s="2" t="s">
        <v>11201</v>
      </c>
    </row>
    <row r="1501" spans="1:23" hidden="1" x14ac:dyDescent="0.45">
      <c r="A1501" s="1" t="s">
        <v>1485</v>
      </c>
      <c r="B1501" t="s">
        <v>6125</v>
      </c>
      <c r="C1501" t="s">
        <v>7425</v>
      </c>
      <c r="D1501" t="s">
        <v>7939</v>
      </c>
      <c r="E1501" t="s">
        <v>9189</v>
      </c>
      <c r="F1501" t="s">
        <v>10296</v>
      </c>
      <c r="G1501">
        <v>0.9</v>
      </c>
      <c r="H1501" t="s">
        <v>10310</v>
      </c>
      <c r="R1501" t="s">
        <v>11038</v>
      </c>
      <c r="S1501" t="s">
        <v>10310</v>
      </c>
      <c r="W1501" s="2" t="s">
        <v>11201</v>
      </c>
    </row>
    <row r="1502" spans="1:23" hidden="1" x14ac:dyDescent="0.45">
      <c r="A1502" s="1" t="s">
        <v>1486</v>
      </c>
      <c r="B1502" t="s">
        <v>6126</v>
      </c>
      <c r="C1502" t="s">
        <v>7426</v>
      </c>
      <c r="D1502" t="s">
        <v>7940</v>
      </c>
      <c r="E1502" t="s">
        <v>1486</v>
      </c>
      <c r="F1502" t="s">
        <v>10296</v>
      </c>
      <c r="G1502">
        <v>72</v>
      </c>
      <c r="H1502" t="s">
        <v>10309</v>
      </c>
      <c r="K1502" t="s">
        <v>10331</v>
      </c>
      <c r="M1502" t="s">
        <v>10335</v>
      </c>
      <c r="N1502">
        <v>60.467787000000001</v>
      </c>
      <c r="P1502">
        <v>26.957370000000001</v>
      </c>
      <c r="R1502" t="s">
        <v>11038</v>
      </c>
      <c r="S1502" t="s">
        <v>10317</v>
      </c>
      <c r="T1502" t="s">
        <v>10309</v>
      </c>
      <c r="W1502" s="2" t="s">
        <v>11201</v>
      </c>
    </row>
    <row r="1503" spans="1:23" hidden="1" x14ac:dyDescent="0.45">
      <c r="A1503" s="1" t="s">
        <v>1487</v>
      </c>
      <c r="B1503" t="s">
        <v>6127</v>
      </c>
      <c r="C1503" t="s">
        <v>7427</v>
      </c>
      <c r="D1503" t="s">
        <v>7941</v>
      </c>
      <c r="E1503" t="s">
        <v>1647</v>
      </c>
      <c r="F1503" t="s">
        <v>10296</v>
      </c>
      <c r="G1503">
        <v>0</v>
      </c>
      <c r="H1503" t="s">
        <v>10308</v>
      </c>
      <c r="R1503" t="s">
        <v>11037</v>
      </c>
      <c r="S1503" t="s">
        <v>10308</v>
      </c>
      <c r="W1503" s="2" t="s">
        <v>11201</v>
      </c>
    </row>
    <row r="1504" spans="1:23" hidden="1" x14ac:dyDescent="0.45">
      <c r="A1504" s="1" t="s">
        <v>1488</v>
      </c>
      <c r="B1504" t="s">
        <v>6127</v>
      </c>
      <c r="C1504" t="s">
        <v>7427</v>
      </c>
      <c r="D1504" t="s">
        <v>7941</v>
      </c>
      <c r="E1504" t="s">
        <v>1647</v>
      </c>
      <c r="F1504" t="s">
        <v>10296</v>
      </c>
      <c r="G1504">
        <v>0</v>
      </c>
      <c r="H1504" t="s">
        <v>10314</v>
      </c>
      <c r="I1504" t="s">
        <v>10323</v>
      </c>
      <c r="R1504" t="s">
        <v>11037</v>
      </c>
      <c r="S1504" t="s">
        <v>10314</v>
      </c>
      <c r="W1504" s="2" t="s">
        <v>11201</v>
      </c>
    </row>
    <row r="1505" spans="1:23" hidden="1" x14ac:dyDescent="0.45">
      <c r="A1505" s="1" t="s">
        <v>1489</v>
      </c>
      <c r="B1505" t="s">
        <v>6072</v>
      </c>
      <c r="C1505" t="s">
        <v>7392</v>
      </c>
      <c r="D1505" t="s">
        <v>7912</v>
      </c>
      <c r="E1505" t="s">
        <v>9164</v>
      </c>
      <c r="F1505" t="s">
        <v>10296</v>
      </c>
      <c r="G1505">
        <v>60</v>
      </c>
      <c r="H1505" t="s">
        <v>10308</v>
      </c>
      <c r="N1505">
        <v>62.256193999999986</v>
      </c>
      <c r="P1505">
        <v>21.329263000000001</v>
      </c>
      <c r="R1505" t="s">
        <v>11037</v>
      </c>
      <c r="S1505" t="s">
        <v>10308</v>
      </c>
      <c r="W1505" s="2" t="s">
        <v>11201</v>
      </c>
    </row>
    <row r="1506" spans="1:23" hidden="1" x14ac:dyDescent="0.45">
      <c r="A1506" s="1" t="s">
        <v>1490</v>
      </c>
      <c r="B1506" t="s">
        <v>6128</v>
      </c>
      <c r="C1506" t="s">
        <v>7365</v>
      </c>
      <c r="D1506" t="s">
        <v>7885</v>
      </c>
      <c r="E1506" t="s">
        <v>9154</v>
      </c>
      <c r="F1506" t="s">
        <v>10296</v>
      </c>
      <c r="G1506">
        <v>3.2</v>
      </c>
      <c r="H1506" t="s">
        <v>10310</v>
      </c>
      <c r="R1506" t="s">
        <v>11038</v>
      </c>
      <c r="S1506" t="s">
        <v>10310</v>
      </c>
      <c r="W1506" s="2" t="s">
        <v>11201</v>
      </c>
    </row>
    <row r="1507" spans="1:23" hidden="1" x14ac:dyDescent="0.45">
      <c r="A1507" s="1" t="s">
        <v>1491</v>
      </c>
      <c r="B1507" t="s">
        <v>6129</v>
      </c>
      <c r="C1507" t="s">
        <v>7428</v>
      </c>
      <c r="D1507" t="s">
        <v>7942</v>
      </c>
      <c r="E1507" t="s">
        <v>9190</v>
      </c>
      <c r="F1507" t="s">
        <v>10296</v>
      </c>
      <c r="G1507">
        <v>4</v>
      </c>
      <c r="H1507" t="s">
        <v>10309</v>
      </c>
      <c r="K1507" t="s">
        <v>10331</v>
      </c>
      <c r="M1507" t="s">
        <v>10335</v>
      </c>
      <c r="R1507" t="s">
        <v>11038</v>
      </c>
      <c r="S1507" t="s">
        <v>10317</v>
      </c>
      <c r="T1507" t="s">
        <v>10309</v>
      </c>
      <c r="W1507" s="2" t="s">
        <v>11201</v>
      </c>
    </row>
    <row r="1508" spans="1:23" hidden="1" x14ac:dyDescent="0.45">
      <c r="A1508" s="1" t="s">
        <v>1492</v>
      </c>
      <c r="B1508" t="s">
        <v>6130</v>
      </c>
      <c r="C1508" t="s">
        <v>7429</v>
      </c>
      <c r="D1508" t="s">
        <v>7943</v>
      </c>
      <c r="E1508" t="s">
        <v>9191</v>
      </c>
      <c r="F1508" t="s">
        <v>10296</v>
      </c>
      <c r="G1508">
        <v>2.5</v>
      </c>
      <c r="H1508" t="s">
        <v>10309</v>
      </c>
      <c r="K1508" t="s">
        <v>10331</v>
      </c>
      <c r="M1508" t="s">
        <v>10335</v>
      </c>
      <c r="R1508" t="s">
        <v>11038</v>
      </c>
      <c r="S1508" t="s">
        <v>10317</v>
      </c>
      <c r="T1508" t="s">
        <v>10309</v>
      </c>
      <c r="W1508" s="2" t="s">
        <v>11201</v>
      </c>
    </row>
    <row r="1509" spans="1:23" hidden="1" x14ac:dyDescent="0.45">
      <c r="A1509" s="1" t="s">
        <v>1493</v>
      </c>
      <c r="B1509" t="s">
        <v>6131</v>
      </c>
      <c r="C1509" t="s">
        <v>7430</v>
      </c>
      <c r="D1509" t="s">
        <v>7944</v>
      </c>
      <c r="E1509" t="s">
        <v>1431</v>
      </c>
      <c r="F1509" t="s">
        <v>10296</v>
      </c>
      <c r="G1509">
        <v>2</v>
      </c>
      <c r="H1509" t="s">
        <v>10310</v>
      </c>
      <c r="R1509" t="s">
        <v>11038</v>
      </c>
      <c r="S1509" t="s">
        <v>10310</v>
      </c>
      <c r="W1509" s="2" t="s">
        <v>11201</v>
      </c>
    </row>
    <row r="1510" spans="1:23" hidden="1" x14ac:dyDescent="0.45">
      <c r="A1510" s="1" t="s">
        <v>1494</v>
      </c>
      <c r="B1510" t="s">
        <v>6132</v>
      </c>
      <c r="C1510" t="s">
        <v>7431</v>
      </c>
      <c r="D1510" t="s">
        <v>7945</v>
      </c>
      <c r="E1510" t="s">
        <v>9192</v>
      </c>
      <c r="F1510" t="s">
        <v>10296</v>
      </c>
      <c r="G1510">
        <v>20.5</v>
      </c>
      <c r="H1510" t="s">
        <v>10309</v>
      </c>
      <c r="K1510" t="s">
        <v>10331</v>
      </c>
      <c r="M1510" t="s">
        <v>10335</v>
      </c>
      <c r="R1510" t="s">
        <v>11038</v>
      </c>
      <c r="S1510" t="s">
        <v>10317</v>
      </c>
      <c r="T1510" t="s">
        <v>10309</v>
      </c>
      <c r="W1510" s="2" t="s">
        <v>11201</v>
      </c>
    </row>
    <row r="1511" spans="1:23" hidden="1" x14ac:dyDescent="0.45">
      <c r="A1511" s="1" t="s">
        <v>1495</v>
      </c>
      <c r="B1511" t="s">
        <v>6065</v>
      </c>
      <c r="C1511" t="s">
        <v>7368</v>
      </c>
      <c r="D1511" t="s">
        <v>7888</v>
      </c>
      <c r="E1511" t="s">
        <v>9157</v>
      </c>
      <c r="F1511" t="s">
        <v>10296</v>
      </c>
      <c r="G1511">
        <v>15</v>
      </c>
      <c r="H1511" t="s">
        <v>10310</v>
      </c>
      <c r="R1511" t="s">
        <v>11038</v>
      </c>
      <c r="S1511" t="s">
        <v>10310</v>
      </c>
      <c r="W1511" s="2" t="s">
        <v>11201</v>
      </c>
    </row>
    <row r="1512" spans="1:23" hidden="1" x14ac:dyDescent="0.45">
      <c r="A1512" s="1" t="s">
        <v>1496</v>
      </c>
      <c r="B1512" t="s">
        <v>6065</v>
      </c>
      <c r="C1512" t="s">
        <v>7368</v>
      </c>
      <c r="D1512" t="s">
        <v>7888</v>
      </c>
      <c r="E1512" t="s">
        <v>9157</v>
      </c>
      <c r="F1512" t="s">
        <v>10296</v>
      </c>
      <c r="G1512">
        <v>27</v>
      </c>
      <c r="H1512" t="s">
        <v>10310</v>
      </c>
      <c r="R1512" t="s">
        <v>11038</v>
      </c>
      <c r="S1512" t="s">
        <v>10310</v>
      </c>
      <c r="W1512" s="2" t="s">
        <v>11201</v>
      </c>
    </row>
    <row r="1513" spans="1:23" hidden="1" x14ac:dyDescent="0.45">
      <c r="A1513" s="1" t="s">
        <v>1497</v>
      </c>
      <c r="B1513" t="s">
        <v>6133</v>
      </c>
      <c r="C1513" t="s">
        <v>7432</v>
      </c>
      <c r="D1513" t="s">
        <v>7944</v>
      </c>
      <c r="E1513" t="s">
        <v>1431</v>
      </c>
      <c r="F1513" t="s">
        <v>10296</v>
      </c>
      <c r="G1513">
        <v>21.2</v>
      </c>
      <c r="H1513" t="s">
        <v>10310</v>
      </c>
      <c r="R1513" t="s">
        <v>11038</v>
      </c>
      <c r="S1513" t="s">
        <v>10310</v>
      </c>
      <c r="W1513" s="2" t="s">
        <v>11201</v>
      </c>
    </row>
    <row r="1514" spans="1:23" hidden="1" x14ac:dyDescent="0.45">
      <c r="A1514" s="1" t="s">
        <v>1498</v>
      </c>
      <c r="B1514" t="s">
        <v>6100</v>
      </c>
      <c r="C1514" t="s">
        <v>7405</v>
      </c>
      <c r="D1514" t="s">
        <v>7923</v>
      </c>
      <c r="E1514" t="s">
        <v>9180</v>
      </c>
      <c r="F1514" t="s">
        <v>10296</v>
      </c>
      <c r="G1514">
        <v>64</v>
      </c>
      <c r="H1514" t="s">
        <v>10309</v>
      </c>
      <c r="K1514" t="s">
        <v>10331</v>
      </c>
      <c r="M1514" t="s">
        <v>10335</v>
      </c>
      <c r="N1514">
        <v>60.908516000000013</v>
      </c>
      <c r="P1514">
        <v>26.664840000000002</v>
      </c>
      <c r="Q1514" t="s">
        <v>10712</v>
      </c>
      <c r="R1514" t="s">
        <v>11038</v>
      </c>
      <c r="S1514" t="s">
        <v>10317</v>
      </c>
      <c r="T1514" t="s">
        <v>10309</v>
      </c>
      <c r="W1514" s="2" t="s">
        <v>11201</v>
      </c>
    </row>
    <row r="1515" spans="1:23" hidden="1" x14ac:dyDescent="0.45">
      <c r="A1515" s="1" t="s">
        <v>1499</v>
      </c>
      <c r="B1515" t="s">
        <v>6085</v>
      </c>
      <c r="C1515" t="s">
        <v>7411</v>
      </c>
      <c r="D1515" t="s">
        <v>7927</v>
      </c>
      <c r="E1515" t="s">
        <v>9171</v>
      </c>
      <c r="F1515" t="s">
        <v>10296</v>
      </c>
      <c r="G1515">
        <v>6</v>
      </c>
      <c r="H1515" t="s">
        <v>10309</v>
      </c>
      <c r="K1515" t="s">
        <v>10331</v>
      </c>
      <c r="M1515" t="s">
        <v>10336</v>
      </c>
      <c r="R1515" t="s">
        <v>11038</v>
      </c>
      <c r="S1515" t="s">
        <v>10317</v>
      </c>
      <c r="T1515" t="s">
        <v>10309</v>
      </c>
      <c r="W1515" s="2" t="s">
        <v>11201</v>
      </c>
    </row>
    <row r="1516" spans="1:23" hidden="1" x14ac:dyDescent="0.45">
      <c r="A1516" s="1" t="s">
        <v>1500</v>
      </c>
      <c r="B1516" t="s">
        <v>6134</v>
      </c>
      <c r="C1516" t="s">
        <v>7433</v>
      </c>
      <c r="D1516" t="s">
        <v>7923</v>
      </c>
      <c r="E1516" t="s">
        <v>9180</v>
      </c>
      <c r="F1516" t="s">
        <v>10296</v>
      </c>
      <c r="G1516">
        <v>76</v>
      </c>
      <c r="H1516" t="s">
        <v>10309</v>
      </c>
      <c r="K1516" t="s">
        <v>10331</v>
      </c>
      <c r="M1516" t="s">
        <v>10335</v>
      </c>
      <c r="N1516">
        <v>60.908516000000013</v>
      </c>
      <c r="P1516">
        <v>26.664840000000002</v>
      </c>
      <c r="R1516" t="s">
        <v>11038</v>
      </c>
      <c r="S1516" t="s">
        <v>10317</v>
      </c>
      <c r="T1516" t="s">
        <v>10309</v>
      </c>
      <c r="W1516" s="2" t="s">
        <v>11201</v>
      </c>
    </row>
    <row r="1517" spans="1:23" hidden="1" x14ac:dyDescent="0.45">
      <c r="A1517" s="1" t="s">
        <v>1501</v>
      </c>
      <c r="B1517" t="s">
        <v>6106</v>
      </c>
      <c r="C1517" t="s">
        <v>7405</v>
      </c>
      <c r="D1517" t="s">
        <v>7923</v>
      </c>
      <c r="E1517" t="s">
        <v>9180</v>
      </c>
      <c r="F1517" t="s">
        <v>10296</v>
      </c>
      <c r="G1517">
        <v>30</v>
      </c>
      <c r="H1517" t="s">
        <v>10310</v>
      </c>
      <c r="R1517" t="s">
        <v>11038</v>
      </c>
      <c r="S1517" t="s">
        <v>10310</v>
      </c>
      <c r="W1517" s="2" t="s">
        <v>11201</v>
      </c>
    </row>
    <row r="1518" spans="1:23" hidden="1" x14ac:dyDescent="0.45">
      <c r="A1518" s="1" t="s">
        <v>1502</v>
      </c>
      <c r="B1518" t="s">
        <v>6123</v>
      </c>
      <c r="D1518" t="s">
        <v>7937</v>
      </c>
      <c r="F1518" t="s">
        <v>10296</v>
      </c>
      <c r="G1518">
        <v>45</v>
      </c>
      <c r="H1518" t="s">
        <v>10314</v>
      </c>
      <c r="I1518" t="s">
        <v>10323</v>
      </c>
      <c r="K1518" t="s">
        <v>10331</v>
      </c>
      <c r="M1518" t="s">
        <v>10336</v>
      </c>
      <c r="N1518">
        <v>60.992482999999993</v>
      </c>
      <c r="P1518">
        <v>25.719201000000002</v>
      </c>
      <c r="Q1518" t="s">
        <v>10713</v>
      </c>
      <c r="R1518" t="s">
        <v>11037</v>
      </c>
      <c r="S1518" t="s">
        <v>10314</v>
      </c>
      <c r="W1518" s="2" t="s">
        <v>11201</v>
      </c>
    </row>
    <row r="1519" spans="1:23" hidden="1" x14ac:dyDescent="0.45">
      <c r="A1519" s="1" t="s">
        <v>1503</v>
      </c>
      <c r="B1519" t="s">
        <v>6123</v>
      </c>
      <c r="D1519" t="s">
        <v>7937</v>
      </c>
      <c r="F1519" t="s">
        <v>10296</v>
      </c>
      <c r="G1519">
        <v>40</v>
      </c>
      <c r="H1519" t="s">
        <v>10312</v>
      </c>
      <c r="K1519" t="s">
        <v>10331</v>
      </c>
      <c r="M1519" t="s">
        <v>10336</v>
      </c>
      <c r="R1519" t="s">
        <v>11037</v>
      </c>
      <c r="S1519" t="s">
        <v>10312</v>
      </c>
      <c r="W1519" s="2" t="s">
        <v>11201</v>
      </c>
    </row>
    <row r="1520" spans="1:23" hidden="1" x14ac:dyDescent="0.45">
      <c r="A1520" s="1" t="s">
        <v>1504</v>
      </c>
      <c r="B1520" t="s">
        <v>6105</v>
      </c>
      <c r="C1520" t="s">
        <v>7406</v>
      </c>
      <c r="D1520" t="s">
        <v>7924</v>
      </c>
      <c r="E1520" t="s">
        <v>9181</v>
      </c>
      <c r="F1520" t="s">
        <v>10296</v>
      </c>
      <c r="G1520">
        <v>7.8</v>
      </c>
      <c r="H1520" t="s">
        <v>10310</v>
      </c>
      <c r="R1520" t="s">
        <v>11038</v>
      </c>
      <c r="S1520" t="s">
        <v>10310</v>
      </c>
      <c r="W1520" s="2" t="s">
        <v>11201</v>
      </c>
    </row>
    <row r="1521" spans="1:23" hidden="1" x14ac:dyDescent="0.45">
      <c r="A1521" s="1" t="s">
        <v>1505</v>
      </c>
      <c r="B1521" t="s">
        <v>6116</v>
      </c>
      <c r="C1521" t="s">
        <v>7418</v>
      </c>
      <c r="D1521" t="s">
        <v>7931</v>
      </c>
      <c r="E1521" t="s">
        <v>9183</v>
      </c>
      <c r="F1521" t="s">
        <v>10296</v>
      </c>
      <c r="G1521">
        <v>2</v>
      </c>
      <c r="H1521" t="s">
        <v>10310</v>
      </c>
      <c r="R1521" t="s">
        <v>11038</v>
      </c>
      <c r="S1521" t="s">
        <v>10310</v>
      </c>
      <c r="W1521" s="2" t="s">
        <v>11201</v>
      </c>
    </row>
    <row r="1522" spans="1:23" hidden="1" x14ac:dyDescent="0.45">
      <c r="A1522" s="1" t="s">
        <v>1506</v>
      </c>
      <c r="B1522" t="s">
        <v>6100</v>
      </c>
      <c r="C1522" t="s">
        <v>7405</v>
      </c>
      <c r="D1522" t="s">
        <v>7923</v>
      </c>
      <c r="E1522" t="s">
        <v>9180</v>
      </c>
      <c r="F1522" t="s">
        <v>10296</v>
      </c>
      <c r="G1522">
        <v>67.3</v>
      </c>
      <c r="H1522" t="s">
        <v>10309</v>
      </c>
      <c r="K1522" t="s">
        <v>10331</v>
      </c>
      <c r="M1522" t="s">
        <v>10335</v>
      </c>
      <c r="N1522">
        <v>61.065147000000003</v>
      </c>
      <c r="P1522">
        <v>28.243317000000001</v>
      </c>
      <c r="R1522" t="s">
        <v>11038</v>
      </c>
      <c r="S1522" t="s">
        <v>10317</v>
      </c>
      <c r="T1522" t="s">
        <v>10309</v>
      </c>
      <c r="W1522" s="2" t="s">
        <v>11201</v>
      </c>
    </row>
    <row r="1523" spans="1:23" hidden="1" x14ac:dyDescent="0.45">
      <c r="A1523" s="1" t="s">
        <v>1507</v>
      </c>
      <c r="B1523" t="s">
        <v>6135</v>
      </c>
      <c r="C1523" t="s">
        <v>7434</v>
      </c>
      <c r="D1523" t="s">
        <v>7946</v>
      </c>
      <c r="E1523" t="s">
        <v>9193</v>
      </c>
      <c r="F1523" t="s">
        <v>10296</v>
      </c>
      <c r="G1523">
        <v>119</v>
      </c>
      <c r="H1523" t="s">
        <v>10309</v>
      </c>
      <c r="K1523" t="s">
        <v>10331</v>
      </c>
      <c r="M1523" t="s">
        <v>10336</v>
      </c>
      <c r="N1523">
        <v>61.066667000000002</v>
      </c>
      <c r="P1523">
        <v>28.244444000000001</v>
      </c>
      <c r="Q1523" t="s">
        <v>10714</v>
      </c>
      <c r="R1523" t="s">
        <v>11038</v>
      </c>
      <c r="S1523" t="s">
        <v>10317</v>
      </c>
      <c r="T1523" t="s">
        <v>10309</v>
      </c>
      <c r="W1523" s="2" t="s">
        <v>11201</v>
      </c>
    </row>
    <row r="1524" spans="1:23" hidden="1" x14ac:dyDescent="0.45">
      <c r="A1524" s="1" t="s">
        <v>1508</v>
      </c>
      <c r="B1524" t="s">
        <v>6136</v>
      </c>
      <c r="C1524" t="s">
        <v>7435</v>
      </c>
      <c r="D1524" t="s">
        <v>7947</v>
      </c>
      <c r="E1524" t="s">
        <v>1508</v>
      </c>
      <c r="F1524" t="s">
        <v>10296</v>
      </c>
      <c r="G1524">
        <v>4</v>
      </c>
      <c r="H1524" t="s">
        <v>10309</v>
      </c>
      <c r="K1524" t="s">
        <v>10331</v>
      </c>
      <c r="M1524" t="s">
        <v>10336</v>
      </c>
      <c r="R1524" t="s">
        <v>11038</v>
      </c>
      <c r="S1524" t="s">
        <v>10317</v>
      </c>
      <c r="T1524" t="s">
        <v>10309</v>
      </c>
      <c r="W1524" s="2" t="s">
        <v>11201</v>
      </c>
    </row>
    <row r="1525" spans="1:23" hidden="1" x14ac:dyDescent="0.45">
      <c r="A1525" s="1" t="s">
        <v>1509</v>
      </c>
      <c r="B1525" t="s">
        <v>6061</v>
      </c>
      <c r="C1525" t="s">
        <v>7364</v>
      </c>
      <c r="D1525" t="s">
        <v>7884</v>
      </c>
      <c r="E1525" t="s">
        <v>7398</v>
      </c>
      <c r="F1525" t="s">
        <v>10296</v>
      </c>
      <c r="G1525">
        <v>24</v>
      </c>
      <c r="H1525" t="s">
        <v>10310</v>
      </c>
      <c r="R1525" t="s">
        <v>11038</v>
      </c>
      <c r="S1525" t="s">
        <v>10310</v>
      </c>
      <c r="W1525" s="2" t="s">
        <v>11201</v>
      </c>
    </row>
    <row r="1526" spans="1:23" hidden="1" x14ac:dyDescent="0.45">
      <c r="A1526" s="1" t="s">
        <v>1510</v>
      </c>
      <c r="B1526" t="s">
        <v>6137</v>
      </c>
      <c r="C1526" t="s">
        <v>7380</v>
      </c>
      <c r="D1526" t="s">
        <v>7899</v>
      </c>
      <c r="E1526" t="s">
        <v>9167</v>
      </c>
      <c r="F1526" t="s">
        <v>10296</v>
      </c>
      <c r="G1526">
        <v>1.3</v>
      </c>
      <c r="H1526" t="s">
        <v>10315</v>
      </c>
      <c r="R1526" t="s">
        <v>10315</v>
      </c>
      <c r="W1526" s="2" t="s">
        <v>11201</v>
      </c>
    </row>
    <row r="1527" spans="1:23" hidden="1" x14ac:dyDescent="0.45">
      <c r="A1527" s="1" t="s">
        <v>1511</v>
      </c>
      <c r="B1527" t="s">
        <v>6080</v>
      </c>
      <c r="C1527" t="s">
        <v>7383</v>
      </c>
      <c r="D1527" t="s">
        <v>7902</v>
      </c>
      <c r="E1527" t="s">
        <v>9164</v>
      </c>
      <c r="F1527" t="s">
        <v>10296</v>
      </c>
      <c r="G1527">
        <v>3.2</v>
      </c>
      <c r="H1527" t="s">
        <v>10310</v>
      </c>
      <c r="R1527" t="s">
        <v>11038</v>
      </c>
      <c r="S1527" t="s">
        <v>10310</v>
      </c>
      <c r="W1527" s="2" t="s">
        <v>11201</v>
      </c>
    </row>
    <row r="1528" spans="1:23" hidden="1" x14ac:dyDescent="0.45">
      <c r="A1528" s="1" t="s">
        <v>1512</v>
      </c>
      <c r="B1528" t="s">
        <v>6076</v>
      </c>
      <c r="C1528" t="s">
        <v>7379</v>
      </c>
      <c r="D1528" t="s">
        <v>7898</v>
      </c>
      <c r="E1528" t="s">
        <v>9166</v>
      </c>
      <c r="F1528" t="s">
        <v>10296</v>
      </c>
      <c r="G1528">
        <v>7</v>
      </c>
      <c r="H1528" t="s">
        <v>10309</v>
      </c>
      <c r="K1528" t="s">
        <v>10331</v>
      </c>
      <c r="M1528" t="s">
        <v>10335</v>
      </c>
      <c r="R1528" t="s">
        <v>11038</v>
      </c>
      <c r="S1528" t="s">
        <v>10317</v>
      </c>
      <c r="T1528" t="s">
        <v>10309</v>
      </c>
      <c r="W1528" s="2" t="s">
        <v>11201</v>
      </c>
    </row>
    <row r="1529" spans="1:23" hidden="1" x14ac:dyDescent="0.45">
      <c r="A1529" s="1" t="s">
        <v>1513</v>
      </c>
      <c r="B1529" t="s">
        <v>6065</v>
      </c>
      <c r="C1529" t="s">
        <v>7368</v>
      </c>
      <c r="D1529" t="s">
        <v>7888</v>
      </c>
      <c r="E1529" t="s">
        <v>9157</v>
      </c>
      <c r="F1529" t="s">
        <v>10296</v>
      </c>
      <c r="G1529">
        <v>18</v>
      </c>
      <c r="H1529" t="s">
        <v>10310</v>
      </c>
      <c r="R1529" t="s">
        <v>11038</v>
      </c>
      <c r="S1529" t="s">
        <v>10310</v>
      </c>
      <c r="W1529" s="2" t="s">
        <v>11201</v>
      </c>
    </row>
    <row r="1530" spans="1:23" hidden="1" x14ac:dyDescent="0.45">
      <c r="A1530" s="1" t="s">
        <v>1514</v>
      </c>
      <c r="B1530" t="s">
        <v>6071</v>
      </c>
      <c r="C1530" t="s">
        <v>7374</v>
      </c>
      <c r="D1530" t="s">
        <v>7893</v>
      </c>
      <c r="E1530" t="s">
        <v>9163</v>
      </c>
      <c r="F1530" t="s">
        <v>10296</v>
      </c>
      <c r="G1530">
        <v>142</v>
      </c>
      <c r="H1530" t="s">
        <v>10307</v>
      </c>
      <c r="K1530" t="s">
        <v>10331</v>
      </c>
      <c r="M1530" t="s">
        <v>10336</v>
      </c>
      <c r="N1530">
        <v>61.510416999999997</v>
      </c>
      <c r="P1530">
        <v>23.675232999999999</v>
      </c>
      <c r="Q1530" t="s">
        <v>10715</v>
      </c>
      <c r="R1530" t="s">
        <v>11037</v>
      </c>
      <c r="S1530" t="s">
        <v>10307</v>
      </c>
      <c r="W1530" s="2" t="s">
        <v>11201</v>
      </c>
    </row>
    <row r="1531" spans="1:23" hidden="1" x14ac:dyDescent="0.45">
      <c r="A1531" s="1" t="s">
        <v>1515</v>
      </c>
      <c r="B1531" t="s">
        <v>6067</v>
      </c>
      <c r="C1531" t="s">
        <v>7370</v>
      </c>
      <c r="D1531" t="s">
        <v>7890</v>
      </c>
      <c r="E1531" t="s">
        <v>9159</v>
      </c>
      <c r="F1531" t="s">
        <v>10296</v>
      </c>
      <c r="G1531">
        <v>1.2</v>
      </c>
      <c r="H1531" t="s">
        <v>10310</v>
      </c>
      <c r="R1531" t="s">
        <v>11038</v>
      </c>
      <c r="S1531" t="s">
        <v>10310</v>
      </c>
      <c r="W1531" s="2" t="s">
        <v>11201</v>
      </c>
    </row>
    <row r="1532" spans="1:23" hidden="1" x14ac:dyDescent="0.45">
      <c r="A1532" s="1" t="s">
        <v>1516</v>
      </c>
      <c r="B1532" t="s">
        <v>6072</v>
      </c>
      <c r="C1532" t="s">
        <v>7392</v>
      </c>
      <c r="D1532" t="s">
        <v>7912</v>
      </c>
      <c r="E1532" t="s">
        <v>9164</v>
      </c>
      <c r="F1532" t="s">
        <v>10296</v>
      </c>
      <c r="G1532">
        <v>40</v>
      </c>
      <c r="H1532" t="s">
        <v>10308</v>
      </c>
      <c r="R1532" t="s">
        <v>11037</v>
      </c>
      <c r="S1532" t="s">
        <v>10308</v>
      </c>
      <c r="W1532" s="2" t="s">
        <v>11201</v>
      </c>
    </row>
    <row r="1533" spans="1:23" hidden="1" x14ac:dyDescent="0.45">
      <c r="A1533" s="1" t="s">
        <v>1517</v>
      </c>
      <c r="B1533" t="s">
        <v>6138</v>
      </c>
      <c r="C1533" t="s">
        <v>7364</v>
      </c>
      <c r="D1533" t="s">
        <v>7917</v>
      </c>
      <c r="E1533" t="s">
        <v>7398</v>
      </c>
      <c r="F1533" t="s">
        <v>10296</v>
      </c>
      <c r="G1533">
        <v>507</v>
      </c>
      <c r="H1533" t="s">
        <v>10311</v>
      </c>
      <c r="I1533" t="s">
        <v>10323</v>
      </c>
      <c r="N1533">
        <v>60.371234999999999</v>
      </c>
      <c r="P1533">
        <v>26.347092</v>
      </c>
      <c r="Q1533" t="s">
        <v>10716</v>
      </c>
      <c r="R1533" t="s">
        <v>10311</v>
      </c>
      <c r="W1533" s="2" t="s">
        <v>11201</v>
      </c>
    </row>
    <row r="1534" spans="1:23" hidden="1" x14ac:dyDescent="0.45">
      <c r="A1534" s="1" t="s">
        <v>1518</v>
      </c>
      <c r="B1534" t="s">
        <v>6138</v>
      </c>
      <c r="C1534" t="s">
        <v>7436</v>
      </c>
      <c r="D1534" t="s">
        <v>7884</v>
      </c>
      <c r="E1534" t="s">
        <v>7398</v>
      </c>
      <c r="F1534" t="s">
        <v>10296</v>
      </c>
      <c r="G1534">
        <v>507</v>
      </c>
      <c r="H1534" t="s">
        <v>10311</v>
      </c>
      <c r="I1534" t="s">
        <v>10323</v>
      </c>
      <c r="N1534">
        <v>60.371234999999999</v>
      </c>
      <c r="P1534">
        <v>26.347092</v>
      </c>
      <c r="Q1534" t="s">
        <v>10717</v>
      </c>
      <c r="R1534" t="s">
        <v>10311</v>
      </c>
      <c r="W1534" s="2" t="s">
        <v>11201</v>
      </c>
    </row>
    <row r="1535" spans="1:23" hidden="1" x14ac:dyDescent="0.45">
      <c r="A1535" s="1" t="s">
        <v>1519</v>
      </c>
      <c r="B1535" t="s">
        <v>6068</v>
      </c>
      <c r="C1535" t="s">
        <v>7371</v>
      </c>
      <c r="E1535" t="s">
        <v>9160</v>
      </c>
      <c r="F1535" t="s">
        <v>10296</v>
      </c>
      <c r="G1535">
        <v>1.2</v>
      </c>
      <c r="H1535" t="s">
        <v>10310</v>
      </c>
      <c r="R1535" t="s">
        <v>11038</v>
      </c>
      <c r="S1535" t="s">
        <v>10310</v>
      </c>
      <c r="W1535" s="2" t="s">
        <v>11201</v>
      </c>
    </row>
    <row r="1536" spans="1:23" hidden="1" x14ac:dyDescent="0.45">
      <c r="A1536" s="1" t="s">
        <v>1520</v>
      </c>
      <c r="B1536" t="s">
        <v>6073</v>
      </c>
      <c r="C1536" t="s">
        <v>7376</v>
      </c>
      <c r="D1536" t="s">
        <v>7895</v>
      </c>
      <c r="E1536" t="s">
        <v>9165</v>
      </c>
      <c r="F1536" t="s">
        <v>10296</v>
      </c>
      <c r="G1536">
        <v>38.5</v>
      </c>
      <c r="H1536" t="s">
        <v>10310</v>
      </c>
      <c r="R1536" t="s">
        <v>11038</v>
      </c>
      <c r="S1536" t="s">
        <v>10310</v>
      </c>
      <c r="W1536" s="2" t="s">
        <v>11201</v>
      </c>
    </row>
    <row r="1537" spans="1:23" hidden="1" x14ac:dyDescent="0.45">
      <c r="A1537" s="1" t="s">
        <v>1521</v>
      </c>
      <c r="B1537" t="s">
        <v>6067</v>
      </c>
      <c r="C1537" t="s">
        <v>7370</v>
      </c>
      <c r="D1537" t="s">
        <v>7890</v>
      </c>
      <c r="E1537" t="s">
        <v>9159</v>
      </c>
      <c r="F1537" t="s">
        <v>10296</v>
      </c>
      <c r="G1537">
        <v>1.9</v>
      </c>
      <c r="H1537" t="s">
        <v>10310</v>
      </c>
      <c r="R1537" t="s">
        <v>11038</v>
      </c>
      <c r="S1537" t="s">
        <v>10310</v>
      </c>
      <c r="W1537" s="2" t="s">
        <v>11201</v>
      </c>
    </row>
    <row r="1538" spans="1:23" hidden="1" x14ac:dyDescent="0.45">
      <c r="A1538" s="1" t="s">
        <v>1522</v>
      </c>
      <c r="B1538" t="s">
        <v>6059</v>
      </c>
      <c r="C1538" t="s">
        <v>7362</v>
      </c>
      <c r="D1538" t="s">
        <v>7882</v>
      </c>
      <c r="E1538" t="s">
        <v>9152</v>
      </c>
      <c r="F1538" t="s">
        <v>10296</v>
      </c>
      <c r="G1538">
        <v>30</v>
      </c>
      <c r="H1538" t="s">
        <v>10310</v>
      </c>
      <c r="R1538" t="s">
        <v>11038</v>
      </c>
      <c r="S1538" t="s">
        <v>10310</v>
      </c>
      <c r="W1538" s="2" t="s">
        <v>11201</v>
      </c>
    </row>
    <row r="1539" spans="1:23" hidden="1" x14ac:dyDescent="0.45">
      <c r="A1539" s="1" t="s">
        <v>1523</v>
      </c>
      <c r="B1539" t="s">
        <v>6139</v>
      </c>
      <c r="C1539" t="s">
        <v>7437</v>
      </c>
      <c r="D1539" t="s">
        <v>7948</v>
      </c>
      <c r="E1539" t="s">
        <v>9171</v>
      </c>
      <c r="F1539" t="s">
        <v>10296</v>
      </c>
      <c r="G1539">
        <v>199.1</v>
      </c>
      <c r="H1539" t="s">
        <v>10309</v>
      </c>
      <c r="K1539" t="s">
        <v>10331</v>
      </c>
      <c r="M1539" t="s">
        <v>10336</v>
      </c>
      <c r="N1539">
        <v>60.283332999999999</v>
      </c>
      <c r="P1539">
        <v>24.836389</v>
      </c>
      <c r="R1539" t="s">
        <v>11038</v>
      </c>
      <c r="S1539" t="s">
        <v>10317</v>
      </c>
      <c r="T1539" t="s">
        <v>10309</v>
      </c>
      <c r="W1539" s="2" t="s">
        <v>11201</v>
      </c>
    </row>
    <row r="1540" spans="1:23" hidden="1" x14ac:dyDescent="0.45">
      <c r="A1540" s="1" t="s">
        <v>1524</v>
      </c>
      <c r="B1540" t="s">
        <v>6065</v>
      </c>
      <c r="C1540" t="s">
        <v>7368</v>
      </c>
      <c r="D1540" t="s">
        <v>7888</v>
      </c>
      <c r="E1540" t="s">
        <v>9157</v>
      </c>
      <c r="F1540" t="s">
        <v>10296</v>
      </c>
      <c r="G1540">
        <v>11</v>
      </c>
      <c r="H1540" t="s">
        <v>10310</v>
      </c>
      <c r="R1540" t="s">
        <v>11038</v>
      </c>
      <c r="S1540" t="s">
        <v>10310</v>
      </c>
      <c r="W1540" s="2" t="s">
        <v>11201</v>
      </c>
    </row>
    <row r="1541" spans="1:23" hidden="1" x14ac:dyDescent="0.45">
      <c r="A1541" s="1" t="s">
        <v>1525</v>
      </c>
      <c r="B1541" t="s">
        <v>6073</v>
      </c>
      <c r="C1541" t="s">
        <v>7376</v>
      </c>
      <c r="D1541" t="s">
        <v>7895</v>
      </c>
      <c r="E1541" t="s">
        <v>9165</v>
      </c>
      <c r="F1541" t="s">
        <v>10296</v>
      </c>
      <c r="G1541">
        <v>70</v>
      </c>
      <c r="H1541" t="s">
        <v>10310</v>
      </c>
      <c r="N1541">
        <v>61.463693999999997</v>
      </c>
      <c r="P1541">
        <v>23.43675</v>
      </c>
      <c r="R1541" t="s">
        <v>11038</v>
      </c>
      <c r="S1541" t="s">
        <v>10310</v>
      </c>
      <c r="W1541" s="2" t="s">
        <v>11201</v>
      </c>
    </row>
    <row r="1542" spans="1:23" hidden="1" x14ac:dyDescent="0.45">
      <c r="A1542" s="1" t="s">
        <v>1526</v>
      </c>
      <c r="B1542" t="s">
        <v>6140</v>
      </c>
      <c r="C1542" t="s">
        <v>7438</v>
      </c>
      <c r="D1542" t="s">
        <v>7949</v>
      </c>
      <c r="E1542" t="s">
        <v>9194</v>
      </c>
      <c r="F1542" t="s">
        <v>10296</v>
      </c>
      <c r="G1542">
        <v>42</v>
      </c>
      <c r="H1542" t="s">
        <v>10310</v>
      </c>
      <c r="R1542" t="s">
        <v>11038</v>
      </c>
      <c r="S1542" t="s">
        <v>10310</v>
      </c>
      <c r="W1542" s="2" t="s">
        <v>11201</v>
      </c>
    </row>
    <row r="1543" spans="1:23" hidden="1" x14ac:dyDescent="0.45">
      <c r="A1543" s="1" t="s">
        <v>1527</v>
      </c>
      <c r="B1543" t="s">
        <v>6061</v>
      </c>
      <c r="C1543" t="s">
        <v>7364</v>
      </c>
      <c r="D1543" t="s">
        <v>7884</v>
      </c>
      <c r="E1543" t="s">
        <v>7398</v>
      </c>
      <c r="F1543" t="s">
        <v>10296</v>
      </c>
      <c r="G1543">
        <v>565</v>
      </c>
      <c r="H1543" t="s">
        <v>10314</v>
      </c>
      <c r="I1543" t="s">
        <v>10323</v>
      </c>
      <c r="N1543">
        <v>61.632584999999999</v>
      </c>
      <c r="P1543">
        <v>21.406459999999999</v>
      </c>
      <c r="Q1543" t="s">
        <v>10718</v>
      </c>
      <c r="R1543" t="s">
        <v>11037</v>
      </c>
      <c r="S1543" t="s">
        <v>10314</v>
      </c>
      <c r="W1543" s="2" t="s">
        <v>11201</v>
      </c>
    </row>
    <row r="1544" spans="1:23" hidden="1" x14ac:dyDescent="0.45">
      <c r="A1544" s="1" t="s">
        <v>1528</v>
      </c>
      <c r="B1544" t="s">
        <v>6141</v>
      </c>
      <c r="C1544" t="s">
        <v>7439</v>
      </c>
      <c r="D1544" t="s">
        <v>7950</v>
      </c>
      <c r="E1544" t="s">
        <v>9193</v>
      </c>
      <c r="F1544" t="s">
        <v>10296</v>
      </c>
      <c r="G1544">
        <v>102</v>
      </c>
      <c r="H1544" t="s">
        <v>10308</v>
      </c>
      <c r="N1544">
        <v>61.081336</v>
      </c>
      <c r="P1544">
        <v>28.170780000000001</v>
      </c>
      <c r="R1544" t="s">
        <v>11037</v>
      </c>
      <c r="S1544" t="s">
        <v>10308</v>
      </c>
      <c r="W1544" s="2" t="s">
        <v>11201</v>
      </c>
    </row>
    <row r="1545" spans="1:23" hidden="1" x14ac:dyDescent="0.45">
      <c r="A1545" s="1" t="s">
        <v>1529</v>
      </c>
      <c r="B1545" t="s">
        <v>6061</v>
      </c>
      <c r="C1545" t="s">
        <v>7364</v>
      </c>
      <c r="D1545" t="s">
        <v>7884</v>
      </c>
      <c r="E1545" t="s">
        <v>7398</v>
      </c>
      <c r="F1545" t="s">
        <v>10296</v>
      </c>
      <c r="G1545">
        <v>47.3</v>
      </c>
      <c r="H1545" t="s">
        <v>10310</v>
      </c>
      <c r="N1545">
        <v>64.820750000000004</v>
      </c>
      <c r="P1545">
        <v>26.015535</v>
      </c>
      <c r="R1545" t="s">
        <v>11038</v>
      </c>
      <c r="S1545" t="s">
        <v>10310</v>
      </c>
      <c r="W1545" s="2" t="s">
        <v>11201</v>
      </c>
    </row>
    <row r="1546" spans="1:23" hidden="1" x14ac:dyDescent="0.45">
      <c r="A1546" s="1" t="s">
        <v>1530</v>
      </c>
      <c r="B1546" t="s">
        <v>6066</v>
      </c>
      <c r="C1546" t="s">
        <v>7369</v>
      </c>
      <c r="D1546" t="s">
        <v>7889</v>
      </c>
      <c r="E1546" t="s">
        <v>9158</v>
      </c>
      <c r="F1546" t="s">
        <v>10296</v>
      </c>
      <c r="G1546">
        <v>1.8</v>
      </c>
      <c r="H1546" t="s">
        <v>10310</v>
      </c>
      <c r="R1546" t="s">
        <v>11038</v>
      </c>
      <c r="S1546" t="s">
        <v>10310</v>
      </c>
      <c r="W1546" s="2" t="s">
        <v>11201</v>
      </c>
    </row>
    <row r="1547" spans="1:23" hidden="1" x14ac:dyDescent="0.45">
      <c r="A1547" s="1" t="s">
        <v>1531</v>
      </c>
      <c r="B1547" t="s">
        <v>6066</v>
      </c>
      <c r="C1547" t="s">
        <v>7369</v>
      </c>
      <c r="D1547" t="s">
        <v>7889</v>
      </c>
      <c r="E1547" t="s">
        <v>9158</v>
      </c>
      <c r="F1547" t="s">
        <v>10296</v>
      </c>
      <c r="G1547">
        <v>1.3</v>
      </c>
      <c r="H1547" t="s">
        <v>10310</v>
      </c>
      <c r="R1547" t="s">
        <v>11038</v>
      </c>
      <c r="S1547" t="s">
        <v>10310</v>
      </c>
      <c r="W1547" s="2" t="s">
        <v>11201</v>
      </c>
    </row>
    <row r="1548" spans="1:23" hidden="1" x14ac:dyDescent="0.45">
      <c r="A1548" s="1" t="s">
        <v>1532</v>
      </c>
      <c r="B1548" t="s">
        <v>6142</v>
      </c>
      <c r="C1548" t="s">
        <v>7440</v>
      </c>
      <c r="D1548" t="s">
        <v>7951</v>
      </c>
      <c r="E1548" t="s">
        <v>1388</v>
      </c>
      <c r="F1548" t="s">
        <v>10296</v>
      </c>
      <c r="G1548">
        <v>25</v>
      </c>
      <c r="H1548" t="s">
        <v>10310</v>
      </c>
      <c r="R1548" t="s">
        <v>11038</v>
      </c>
      <c r="S1548" t="s">
        <v>10310</v>
      </c>
      <c r="W1548" s="2" t="s">
        <v>11201</v>
      </c>
    </row>
    <row r="1549" spans="1:23" hidden="1" x14ac:dyDescent="0.45">
      <c r="A1549" s="1" t="s">
        <v>1533</v>
      </c>
      <c r="B1549" t="s">
        <v>6143</v>
      </c>
      <c r="C1549" t="s">
        <v>7441</v>
      </c>
      <c r="D1549" t="s">
        <v>7902</v>
      </c>
      <c r="E1549" t="s">
        <v>9195</v>
      </c>
      <c r="F1549" t="s">
        <v>10296</v>
      </c>
      <c r="G1549">
        <v>32.799999999999997</v>
      </c>
      <c r="H1549" t="s">
        <v>10309</v>
      </c>
      <c r="K1549" t="s">
        <v>10331</v>
      </c>
      <c r="M1549" t="s">
        <v>10335</v>
      </c>
      <c r="R1549" t="s">
        <v>11038</v>
      </c>
      <c r="S1549" t="s">
        <v>10317</v>
      </c>
      <c r="T1549" t="s">
        <v>10309</v>
      </c>
      <c r="W1549" s="2" t="s">
        <v>11201</v>
      </c>
    </row>
    <row r="1550" spans="1:23" hidden="1" x14ac:dyDescent="0.45">
      <c r="A1550" s="1" t="s">
        <v>1534</v>
      </c>
      <c r="B1550" t="s">
        <v>6144</v>
      </c>
      <c r="C1550" t="s">
        <v>7442</v>
      </c>
      <c r="D1550" t="s">
        <v>7952</v>
      </c>
      <c r="E1550" t="s">
        <v>1647</v>
      </c>
      <c r="F1550" t="s">
        <v>10296</v>
      </c>
      <c r="G1550">
        <v>1</v>
      </c>
      <c r="H1550" t="s">
        <v>10308</v>
      </c>
      <c r="R1550" t="s">
        <v>11037</v>
      </c>
      <c r="S1550" t="s">
        <v>10308</v>
      </c>
      <c r="W1550" s="2" t="s">
        <v>11201</v>
      </c>
    </row>
    <row r="1551" spans="1:23" hidden="1" x14ac:dyDescent="0.45">
      <c r="A1551" s="1" t="s">
        <v>1535</v>
      </c>
      <c r="B1551" t="s">
        <v>6145</v>
      </c>
      <c r="C1551" t="s">
        <v>7443</v>
      </c>
      <c r="D1551" t="s">
        <v>7953</v>
      </c>
      <c r="E1551" t="s">
        <v>9196</v>
      </c>
      <c r="F1551" t="s">
        <v>10296</v>
      </c>
      <c r="G1551">
        <v>12</v>
      </c>
      <c r="H1551" t="s">
        <v>10309</v>
      </c>
      <c r="K1551" t="s">
        <v>10331</v>
      </c>
      <c r="M1551" t="s">
        <v>10335</v>
      </c>
      <c r="R1551" t="s">
        <v>11038</v>
      </c>
      <c r="S1551" t="s">
        <v>10317</v>
      </c>
      <c r="T1551" t="s">
        <v>10309</v>
      </c>
      <c r="W1551" s="2" t="s">
        <v>11201</v>
      </c>
    </row>
    <row r="1552" spans="1:23" hidden="1" x14ac:dyDescent="0.45">
      <c r="A1552" s="1" t="s">
        <v>1536</v>
      </c>
      <c r="B1552" t="s">
        <v>6145</v>
      </c>
      <c r="C1552" t="s">
        <v>7443</v>
      </c>
      <c r="D1552" t="s">
        <v>7953</v>
      </c>
      <c r="E1552" t="s">
        <v>9196</v>
      </c>
      <c r="F1552" t="s">
        <v>10296</v>
      </c>
      <c r="G1552">
        <v>1.5</v>
      </c>
      <c r="H1552" t="s">
        <v>10310</v>
      </c>
      <c r="R1552" t="s">
        <v>11038</v>
      </c>
      <c r="S1552" t="s">
        <v>10310</v>
      </c>
      <c r="W1552" s="2" t="s">
        <v>11201</v>
      </c>
    </row>
    <row r="1553" spans="1:23" hidden="1" x14ac:dyDescent="0.45">
      <c r="A1553" s="1" t="s">
        <v>1537</v>
      </c>
      <c r="B1553" t="s">
        <v>6146</v>
      </c>
      <c r="C1553" t="s">
        <v>7444</v>
      </c>
      <c r="D1553" t="s">
        <v>7917</v>
      </c>
      <c r="E1553" t="s">
        <v>9173</v>
      </c>
      <c r="F1553" t="s">
        <v>10296</v>
      </c>
      <c r="G1553">
        <v>450</v>
      </c>
      <c r="H1553" t="s">
        <v>10314</v>
      </c>
      <c r="I1553" t="s">
        <v>10323</v>
      </c>
      <c r="K1553" t="s">
        <v>10331</v>
      </c>
      <c r="M1553" t="s">
        <v>10336</v>
      </c>
      <c r="R1553" t="s">
        <v>11037</v>
      </c>
      <c r="S1553" t="s">
        <v>10314</v>
      </c>
      <c r="W1553" s="2" t="s">
        <v>11201</v>
      </c>
    </row>
    <row r="1554" spans="1:23" hidden="1" x14ac:dyDescent="0.45">
      <c r="A1554" s="1" t="s">
        <v>1538</v>
      </c>
      <c r="B1554" t="s">
        <v>6072</v>
      </c>
      <c r="C1554" t="s">
        <v>7392</v>
      </c>
      <c r="D1554" t="s">
        <v>7912</v>
      </c>
      <c r="E1554" t="s">
        <v>9164</v>
      </c>
      <c r="F1554" t="s">
        <v>10296</v>
      </c>
      <c r="G1554">
        <v>40</v>
      </c>
      <c r="H1554" t="s">
        <v>10308</v>
      </c>
      <c r="R1554" t="s">
        <v>11037</v>
      </c>
      <c r="S1554" t="s">
        <v>10308</v>
      </c>
      <c r="W1554" s="2" t="s">
        <v>11201</v>
      </c>
    </row>
    <row r="1555" spans="1:23" hidden="1" x14ac:dyDescent="0.45">
      <c r="A1555" s="1" t="s">
        <v>1539</v>
      </c>
      <c r="B1555" t="s">
        <v>6071</v>
      </c>
      <c r="C1555" t="s">
        <v>7374</v>
      </c>
      <c r="D1555" t="s">
        <v>7893</v>
      </c>
      <c r="E1555" t="s">
        <v>9163</v>
      </c>
      <c r="F1555" t="s">
        <v>10296</v>
      </c>
      <c r="G1555">
        <v>129</v>
      </c>
      <c r="H1555" t="s">
        <v>10307</v>
      </c>
      <c r="K1555" t="s">
        <v>10331</v>
      </c>
      <c r="M1555" t="s">
        <v>10336</v>
      </c>
      <c r="N1555">
        <v>61.509751000000001</v>
      </c>
      <c r="P1555">
        <v>23.777522999999999</v>
      </c>
      <c r="Q1555" t="s">
        <v>10719</v>
      </c>
      <c r="R1555" t="s">
        <v>11037</v>
      </c>
      <c r="S1555" t="s">
        <v>10307</v>
      </c>
      <c r="W1555" s="2" t="s">
        <v>11201</v>
      </c>
    </row>
    <row r="1556" spans="1:23" hidden="1" x14ac:dyDescent="0.45">
      <c r="A1556" s="1" t="s">
        <v>1540</v>
      </c>
      <c r="B1556" t="s">
        <v>6071</v>
      </c>
      <c r="C1556" t="s">
        <v>7374</v>
      </c>
      <c r="D1556" t="s">
        <v>7893</v>
      </c>
      <c r="E1556" t="s">
        <v>9163</v>
      </c>
      <c r="F1556" t="s">
        <v>10296</v>
      </c>
      <c r="G1556">
        <v>62.2</v>
      </c>
      <c r="H1556" t="s">
        <v>10309</v>
      </c>
      <c r="K1556" t="s">
        <v>10331</v>
      </c>
      <c r="M1556" t="s">
        <v>10336</v>
      </c>
      <c r="N1556">
        <v>61.509751000000001</v>
      </c>
      <c r="P1556">
        <v>23.777522999999999</v>
      </c>
      <c r="R1556" t="s">
        <v>11038</v>
      </c>
      <c r="S1556" t="s">
        <v>10317</v>
      </c>
      <c r="T1556" t="s">
        <v>10309</v>
      </c>
      <c r="W1556" s="2" t="s">
        <v>11201</v>
      </c>
    </row>
    <row r="1557" spans="1:23" hidden="1" x14ac:dyDescent="0.45">
      <c r="A1557" s="1" t="s">
        <v>1541</v>
      </c>
      <c r="B1557" t="s">
        <v>6123</v>
      </c>
      <c r="D1557" t="s">
        <v>7937</v>
      </c>
      <c r="F1557" t="s">
        <v>10296</v>
      </c>
      <c r="G1557">
        <v>4.5999999999999996</v>
      </c>
      <c r="H1557" t="s">
        <v>10307</v>
      </c>
      <c r="K1557" t="s">
        <v>10331</v>
      </c>
      <c r="M1557" t="s">
        <v>10336</v>
      </c>
      <c r="R1557" t="s">
        <v>11037</v>
      </c>
      <c r="S1557" t="s">
        <v>10307</v>
      </c>
      <c r="W1557" s="2" t="s">
        <v>11201</v>
      </c>
    </row>
    <row r="1558" spans="1:23" hidden="1" x14ac:dyDescent="0.45">
      <c r="A1558" s="1" t="s">
        <v>1542</v>
      </c>
      <c r="B1558" t="s">
        <v>6114</v>
      </c>
      <c r="C1558" t="s">
        <v>7416</v>
      </c>
      <c r="D1558" t="s">
        <v>7930</v>
      </c>
      <c r="E1558" t="s">
        <v>1467</v>
      </c>
      <c r="F1558" t="s">
        <v>10296</v>
      </c>
      <c r="G1558">
        <v>5.4</v>
      </c>
      <c r="H1558" t="s">
        <v>10307</v>
      </c>
      <c r="K1558" t="s">
        <v>10331</v>
      </c>
      <c r="M1558" t="s">
        <v>10336</v>
      </c>
      <c r="R1558" t="s">
        <v>11037</v>
      </c>
      <c r="S1558" t="s">
        <v>10307</v>
      </c>
      <c r="W1558" s="2" t="s">
        <v>11201</v>
      </c>
    </row>
    <row r="1559" spans="1:23" hidden="1" x14ac:dyDescent="0.45">
      <c r="A1559" s="1" t="s">
        <v>1543</v>
      </c>
      <c r="B1559" t="s">
        <v>6147</v>
      </c>
      <c r="C1559" t="s">
        <v>7445</v>
      </c>
      <c r="D1559" t="s">
        <v>7954</v>
      </c>
      <c r="E1559" t="s">
        <v>9197</v>
      </c>
      <c r="F1559" t="s">
        <v>10296</v>
      </c>
      <c r="G1559">
        <v>5.3</v>
      </c>
      <c r="H1559" t="s">
        <v>10309</v>
      </c>
      <c r="K1559" t="s">
        <v>10331</v>
      </c>
      <c r="M1559" t="s">
        <v>10336</v>
      </c>
      <c r="R1559" t="s">
        <v>11038</v>
      </c>
      <c r="S1559" t="s">
        <v>10317</v>
      </c>
      <c r="T1559" t="s">
        <v>10309</v>
      </c>
      <c r="W1559" s="2" t="s">
        <v>11201</v>
      </c>
    </row>
    <row r="1560" spans="1:23" hidden="1" x14ac:dyDescent="0.45">
      <c r="A1560" s="1" t="s">
        <v>1544</v>
      </c>
      <c r="B1560" t="s">
        <v>6093</v>
      </c>
      <c r="C1560" t="s">
        <v>7446</v>
      </c>
      <c r="D1560" t="s">
        <v>7915</v>
      </c>
      <c r="E1560" t="s">
        <v>1424</v>
      </c>
      <c r="F1560" t="s">
        <v>10296</v>
      </c>
      <c r="G1560">
        <v>72</v>
      </c>
      <c r="H1560" t="s">
        <v>10307</v>
      </c>
      <c r="K1560" t="s">
        <v>10331</v>
      </c>
      <c r="M1560" t="s">
        <v>10335</v>
      </c>
      <c r="N1560">
        <v>61.474321000000003</v>
      </c>
      <c r="P1560">
        <v>23.496597000000001</v>
      </c>
      <c r="R1560" t="s">
        <v>11037</v>
      </c>
      <c r="S1560" t="s">
        <v>10307</v>
      </c>
      <c r="W1560" s="2" t="s">
        <v>11201</v>
      </c>
    </row>
    <row r="1561" spans="1:23" hidden="1" x14ac:dyDescent="0.45">
      <c r="A1561" s="1" t="s">
        <v>1545</v>
      </c>
      <c r="B1561" t="s">
        <v>6061</v>
      </c>
      <c r="C1561" t="s">
        <v>7364</v>
      </c>
      <c r="D1561" t="s">
        <v>7884</v>
      </c>
      <c r="E1561" t="s">
        <v>7398</v>
      </c>
      <c r="F1561" t="s">
        <v>10296</v>
      </c>
      <c r="G1561">
        <v>85.2</v>
      </c>
      <c r="H1561" t="s">
        <v>10310</v>
      </c>
      <c r="N1561">
        <v>64.577562</v>
      </c>
      <c r="P1561">
        <v>26.713643999999999</v>
      </c>
      <c r="R1561" t="s">
        <v>11038</v>
      </c>
      <c r="S1561" t="s">
        <v>10310</v>
      </c>
      <c r="W1561" s="2" t="s">
        <v>11201</v>
      </c>
    </row>
    <row r="1562" spans="1:23" hidden="1" x14ac:dyDescent="0.45">
      <c r="A1562" s="1" t="s">
        <v>1546</v>
      </c>
      <c r="B1562" t="s">
        <v>6080</v>
      </c>
      <c r="C1562" t="s">
        <v>7383</v>
      </c>
      <c r="D1562" t="s">
        <v>7902</v>
      </c>
      <c r="E1562" t="s">
        <v>9164</v>
      </c>
      <c r="F1562" t="s">
        <v>10296</v>
      </c>
      <c r="G1562">
        <v>3</v>
      </c>
      <c r="H1562" t="s">
        <v>10310</v>
      </c>
      <c r="R1562" t="s">
        <v>11038</v>
      </c>
      <c r="S1562" t="s">
        <v>10310</v>
      </c>
      <c r="W1562" s="2" t="s">
        <v>11201</v>
      </c>
    </row>
    <row r="1563" spans="1:23" hidden="1" x14ac:dyDescent="0.45">
      <c r="A1563" s="1" t="s">
        <v>1547</v>
      </c>
      <c r="B1563" t="s">
        <v>6148</v>
      </c>
      <c r="C1563" t="s">
        <v>7447</v>
      </c>
      <c r="D1563" t="s">
        <v>7955</v>
      </c>
      <c r="E1563" t="s">
        <v>7447</v>
      </c>
      <c r="F1563" t="s">
        <v>10296</v>
      </c>
      <c r="G1563">
        <v>890</v>
      </c>
      <c r="H1563" t="s">
        <v>10311</v>
      </c>
      <c r="I1563" t="s">
        <v>10323</v>
      </c>
      <c r="N1563">
        <v>61.237293000000008</v>
      </c>
      <c r="P1563">
        <v>21.438690000000001</v>
      </c>
      <c r="Q1563" t="s">
        <v>10720</v>
      </c>
      <c r="R1563" t="s">
        <v>10311</v>
      </c>
      <c r="W1563" s="2" t="s">
        <v>11201</v>
      </c>
    </row>
    <row r="1564" spans="1:23" hidden="1" x14ac:dyDescent="0.45">
      <c r="A1564" s="1" t="s">
        <v>1548</v>
      </c>
      <c r="B1564" t="s">
        <v>6149</v>
      </c>
      <c r="C1564" t="s">
        <v>7447</v>
      </c>
      <c r="D1564" t="s">
        <v>7955</v>
      </c>
      <c r="E1564" t="s">
        <v>7447</v>
      </c>
      <c r="F1564" t="s">
        <v>10296</v>
      </c>
      <c r="G1564">
        <v>890</v>
      </c>
      <c r="H1564" t="s">
        <v>10311</v>
      </c>
      <c r="I1564" t="s">
        <v>10323</v>
      </c>
      <c r="N1564">
        <v>61.237293000000008</v>
      </c>
      <c r="P1564">
        <v>21.438690000000001</v>
      </c>
      <c r="Q1564" t="s">
        <v>10721</v>
      </c>
      <c r="R1564" t="s">
        <v>10311</v>
      </c>
      <c r="W1564" s="2" t="s">
        <v>11201</v>
      </c>
    </row>
    <row r="1565" spans="1:23" hidden="1" x14ac:dyDescent="0.45">
      <c r="A1565" s="1" t="s">
        <v>1549</v>
      </c>
      <c r="B1565" t="s">
        <v>6072</v>
      </c>
      <c r="C1565" t="s">
        <v>7448</v>
      </c>
      <c r="D1565" t="s">
        <v>7912</v>
      </c>
      <c r="E1565" t="s">
        <v>9164</v>
      </c>
      <c r="F1565" t="s">
        <v>10296</v>
      </c>
      <c r="G1565">
        <v>100.5</v>
      </c>
      <c r="H1565" t="s">
        <v>10308</v>
      </c>
      <c r="N1565">
        <v>61.239621999999997</v>
      </c>
      <c r="P1565">
        <v>21.448376</v>
      </c>
      <c r="R1565" t="s">
        <v>11037</v>
      </c>
      <c r="S1565" t="s">
        <v>10308</v>
      </c>
      <c r="W1565" s="2" t="s">
        <v>11201</v>
      </c>
    </row>
    <row r="1566" spans="1:23" hidden="1" x14ac:dyDescent="0.45">
      <c r="A1566" s="1" t="s">
        <v>1550</v>
      </c>
      <c r="B1566" t="s">
        <v>6065</v>
      </c>
      <c r="C1566" t="s">
        <v>7368</v>
      </c>
      <c r="D1566" t="s">
        <v>7888</v>
      </c>
      <c r="E1566" t="s">
        <v>9157</v>
      </c>
      <c r="F1566" t="s">
        <v>10296</v>
      </c>
      <c r="G1566">
        <v>124</v>
      </c>
      <c r="H1566" t="s">
        <v>10310</v>
      </c>
      <c r="N1566">
        <v>66.155660999999995</v>
      </c>
      <c r="P1566">
        <v>25.123996000000002</v>
      </c>
      <c r="R1566" t="s">
        <v>11038</v>
      </c>
      <c r="S1566" t="s">
        <v>10310</v>
      </c>
      <c r="W1566" s="2" t="s">
        <v>11201</v>
      </c>
    </row>
    <row r="1567" spans="1:23" hidden="1" x14ac:dyDescent="0.45">
      <c r="A1567" s="1" t="s">
        <v>1551</v>
      </c>
      <c r="B1567" t="s">
        <v>6150</v>
      </c>
      <c r="C1567" t="s">
        <v>7449</v>
      </c>
      <c r="D1567" t="s">
        <v>7949</v>
      </c>
      <c r="E1567" t="s">
        <v>1551</v>
      </c>
      <c r="F1567" t="s">
        <v>10296</v>
      </c>
      <c r="G1567">
        <v>105</v>
      </c>
      <c r="H1567" t="s">
        <v>10309</v>
      </c>
      <c r="K1567" t="s">
        <v>10331</v>
      </c>
      <c r="M1567" t="s">
        <v>10335</v>
      </c>
      <c r="N1567">
        <v>65.006027000000003</v>
      </c>
      <c r="P1567">
        <v>25.437086000000001</v>
      </c>
      <c r="R1567" t="s">
        <v>11038</v>
      </c>
      <c r="S1567" t="s">
        <v>10317</v>
      </c>
      <c r="T1567" t="s">
        <v>10309</v>
      </c>
      <c r="W1567" s="2" t="s">
        <v>11201</v>
      </c>
    </row>
    <row r="1568" spans="1:23" hidden="1" x14ac:dyDescent="0.45">
      <c r="A1568" s="1" t="s">
        <v>1552</v>
      </c>
      <c r="B1568" t="s">
        <v>6151</v>
      </c>
      <c r="C1568" t="s">
        <v>7450</v>
      </c>
      <c r="D1568" t="s">
        <v>7949</v>
      </c>
      <c r="E1568" t="s">
        <v>1551</v>
      </c>
      <c r="F1568" t="s">
        <v>10296</v>
      </c>
      <c r="G1568">
        <v>28</v>
      </c>
      <c r="H1568" t="s">
        <v>10309</v>
      </c>
      <c r="K1568" t="s">
        <v>10331</v>
      </c>
      <c r="M1568" t="s">
        <v>10335</v>
      </c>
      <c r="R1568" t="s">
        <v>11038</v>
      </c>
      <c r="S1568" t="s">
        <v>10317</v>
      </c>
      <c r="T1568" t="s">
        <v>10309</v>
      </c>
      <c r="W1568" s="2" t="s">
        <v>11201</v>
      </c>
    </row>
    <row r="1569" spans="1:23" hidden="1" x14ac:dyDescent="0.45">
      <c r="A1569" s="1" t="s">
        <v>1553</v>
      </c>
      <c r="B1569" t="s">
        <v>6077</v>
      </c>
      <c r="C1569" t="s">
        <v>7380</v>
      </c>
      <c r="D1569" t="s">
        <v>7899</v>
      </c>
      <c r="E1569" t="s">
        <v>9167</v>
      </c>
      <c r="F1569" t="s">
        <v>10296</v>
      </c>
      <c r="G1569">
        <v>1</v>
      </c>
      <c r="H1569" t="s">
        <v>10310</v>
      </c>
      <c r="R1569" t="s">
        <v>11038</v>
      </c>
      <c r="S1569" t="s">
        <v>10310</v>
      </c>
      <c r="W1569" s="2" t="s">
        <v>11201</v>
      </c>
    </row>
    <row r="1570" spans="1:23" hidden="1" x14ac:dyDescent="0.45">
      <c r="A1570" s="1" t="s">
        <v>1554</v>
      </c>
      <c r="B1570" t="s">
        <v>6073</v>
      </c>
      <c r="C1570" t="s">
        <v>7376</v>
      </c>
      <c r="D1570" t="s">
        <v>7895</v>
      </c>
      <c r="E1570" t="s">
        <v>9165</v>
      </c>
      <c r="F1570" t="s">
        <v>10296</v>
      </c>
      <c r="G1570">
        <v>42.1</v>
      </c>
      <c r="H1570" t="s">
        <v>10310</v>
      </c>
      <c r="R1570" t="s">
        <v>11038</v>
      </c>
      <c r="S1570" t="s">
        <v>10310</v>
      </c>
      <c r="W1570" s="2" t="s">
        <v>11201</v>
      </c>
    </row>
    <row r="1571" spans="1:23" hidden="1" x14ac:dyDescent="0.45">
      <c r="A1571" s="1" t="s">
        <v>1555</v>
      </c>
      <c r="B1571" t="s">
        <v>6131</v>
      </c>
      <c r="C1571" t="s">
        <v>7430</v>
      </c>
      <c r="D1571" t="s">
        <v>7944</v>
      </c>
      <c r="E1571" t="s">
        <v>1431</v>
      </c>
      <c r="F1571" t="s">
        <v>10296</v>
      </c>
      <c r="G1571">
        <v>6.8</v>
      </c>
      <c r="H1571" t="s">
        <v>10310</v>
      </c>
      <c r="R1571" t="s">
        <v>11038</v>
      </c>
      <c r="S1571" t="s">
        <v>10310</v>
      </c>
      <c r="W1571" s="2" t="s">
        <v>11201</v>
      </c>
    </row>
    <row r="1572" spans="1:23" hidden="1" x14ac:dyDescent="0.45">
      <c r="A1572" s="1" t="s">
        <v>1556</v>
      </c>
      <c r="B1572" t="s">
        <v>6152</v>
      </c>
      <c r="C1572" t="s">
        <v>7451</v>
      </c>
      <c r="D1572" t="s">
        <v>7956</v>
      </c>
      <c r="E1572" t="s">
        <v>9198</v>
      </c>
      <c r="F1572" t="s">
        <v>10296</v>
      </c>
      <c r="G1572">
        <v>85</v>
      </c>
      <c r="H1572" t="s">
        <v>10310</v>
      </c>
      <c r="N1572">
        <v>62.801178</v>
      </c>
      <c r="P1572">
        <v>30.426259000000002</v>
      </c>
      <c r="R1572" t="s">
        <v>11038</v>
      </c>
      <c r="S1572" t="s">
        <v>10310</v>
      </c>
      <c r="W1572" s="2" t="s">
        <v>11201</v>
      </c>
    </row>
    <row r="1573" spans="1:23" hidden="1" x14ac:dyDescent="0.45">
      <c r="A1573" s="1" t="s">
        <v>1557</v>
      </c>
      <c r="B1573" t="s">
        <v>6065</v>
      </c>
      <c r="C1573" t="s">
        <v>7368</v>
      </c>
      <c r="D1573" t="s">
        <v>7888</v>
      </c>
      <c r="E1573" t="s">
        <v>9157</v>
      </c>
      <c r="F1573" t="s">
        <v>10296</v>
      </c>
      <c r="G1573">
        <v>15.6</v>
      </c>
      <c r="H1573" t="s">
        <v>10310</v>
      </c>
      <c r="R1573" t="s">
        <v>11038</v>
      </c>
      <c r="S1573" t="s">
        <v>10310</v>
      </c>
      <c r="W1573" s="2" t="s">
        <v>11201</v>
      </c>
    </row>
    <row r="1574" spans="1:23" hidden="1" x14ac:dyDescent="0.45">
      <c r="A1574" s="1" t="s">
        <v>1558</v>
      </c>
      <c r="B1574" t="s">
        <v>6128</v>
      </c>
      <c r="C1574" t="s">
        <v>7365</v>
      </c>
      <c r="D1574" t="s">
        <v>7885</v>
      </c>
      <c r="E1574" t="s">
        <v>9154</v>
      </c>
      <c r="F1574" t="s">
        <v>10296</v>
      </c>
      <c r="G1574">
        <v>0.9</v>
      </c>
      <c r="H1574" t="s">
        <v>10310</v>
      </c>
      <c r="R1574" t="s">
        <v>11038</v>
      </c>
      <c r="S1574" t="s">
        <v>10310</v>
      </c>
      <c r="W1574" s="2" t="s">
        <v>11201</v>
      </c>
    </row>
    <row r="1575" spans="1:23" hidden="1" x14ac:dyDescent="0.45">
      <c r="A1575" s="1" t="s">
        <v>1559</v>
      </c>
      <c r="B1575" t="s">
        <v>6100</v>
      </c>
      <c r="C1575" t="s">
        <v>7405</v>
      </c>
      <c r="D1575" t="s">
        <v>7923</v>
      </c>
      <c r="E1575" t="s">
        <v>9180</v>
      </c>
      <c r="F1575" t="s">
        <v>10296</v>
      </c>
      <c r="G1575">
        <v>2.4</v>
      </c>
      <c r="H1575" t="s">
        <v>10310</v>
      </c>
      <c r="R1575" t="s">
        <v>11038</v>
      </c>
      <c r="S1575" t="s">
        <v>10310</v>
      </c>
      <c r="W1575" s="2" t="s">
        <v>11201</v>
      </c>
    </row>
    <row r="1576" spans="1:23" hidden="1" x14ac:dyDescent="0.45">
      <c r="A1576" s="1" t="s">
        <v>1560</v>
      </c>
      <c r="B1576" t="s">
        <v>6066</v>
      </c>
      <c r="C1576" t="s">
        <v>7369</v>
      </c>
      <c r="D1576" t="s">
        <v>7889</v>
      </c>
      <c r="E1576" t="s">
        <v>9158</v>
      </c>
      <c r="F1576" t="s">
        <v>10296</v>
      </c>
      <c r="G1576">
        <v>2.2999999999999998</v>
      </c>
      <c r="H1576" t="s">
        <v>10310</v>
      </c>
      <c r="R1576" t="s">
        <v>11038</v>
      </c>
      <c r="S1576" t="s">
        <v>10310</v>
      </c>
      <c r="W1576" s="2" t="s">
        <v>11201</v>
      </c>
    </row>
    <row r="1577" spans="1:23" hidden="1" x14ac:dyDescent="0.45">
      <c r="A1577" s="1" t="s">
        <v>1561</v>
      </c>
      <c r="B1577" t="s">
        <v>6065</v>
      </c>
      <c r="C1577" t="s">
        <v>7368</v>
      </c>
      <c r="D1577" t="s">
        <v>7888</v>
      </c>
      <c r="E1577" t="s">
        <v>9157</v>
      </c>
      <c r="F1577" t="s">
        <v>10296</v>
      </c>
      <c r="G1577">
        <v>13</v>
      </c>
      <c r="H1577" t="s">
        <v>10310</v>
      </c>
      <c r="R1577" t="s">
        <v>11038</v>
      </c>
      <c r="S1577" t="s">
        <v>10310</v>
      </c>
      <c r="W1577" s="2" t="s">
        <v>11201</v>
      </c>
    </row>
    <row r="1578" spans="1:23" hidden="1" x14ac:dyDescent="0.45">
      <c r="A1578" s="1" t="s">
        <v>1562</v>
      </c>
      <c r="B1578" t="s">
        <v>6065</v>
      </c>
      <c r="C1578" t="s">
        <v>7368</v>
      </c>
      <c r="D1578" t="s">
        <v>7888</v>
      </c>
      <c r="E1578" t="s">
        <v>9157</v>
      </c>
      <c r="F1578" t="s">
        <v>10296</v>
      </c>
      <c r="G1578">
        <v>182</v>
      </c>
      <c r="H1578" t="s">
        <v>10310</v>
      </c>
      <c r="N1578">
        <v>66.272076999999996</v>
      </c>
      <c r="P1578">
        <v>25.337247000000001</v>
      </c>
      <c r="R1578" t="s">
        <v>11038</v>
      </c>
      <c r="S1578" t="s">
        <v>10310</v>
      </c>
      <c r="W1578" s="2" t="s">
        <v>11201</v>
      </c>
    </row>
    <row r="1579" spans="1:23" hidden="1" x14ac:dyDescent="0.45">
      <c r="A1579" s="1" t="s">
        <v>1563</v>
      </c>
      <c r="B1579" t="s">
        <v>6067</v>
      </c>
      <c r="C1579" t="s">
        <v>7370</v>
      </c>
      <c r="D1579" t="s">
        <v>7890</v>
      </c>
      <c r="E1579" t="s">
        <v>9159</v>
      </c>
      <c r="F1579" t="s">
        <v>10296</v>
      </c>
      <c r="G1579">
        <v>10</v>
      </c>
      <c r="H1579" t="s">
        <v>10309</v>
      </c>
      <c r="K1579" t="s">
        <v>10331</v>
      </c>
      <c r="M1579" t="s">
        <v>10336</v>
      </c>
      <c r="R1579" t="s">
        <v>11038</v>
      </c>
      <c r="S1579" t="s">
        <v>10317</v>
      </c>
      <c r="T1579" t="s">
        <v>10309</v>
      </c>
      <c r="W1579" s="2" t="s">
        <v>11201</v>
      </c>
    </row>
    <row r="1580" spans="1:23" hidden="1" x14ac:dyDescent="0.45">
      <c r="A1580" s="1" t="s">
        <v>1564</v>
      </c>
      <c r="B1580" t="s">
        <v>6153</v>
      </c>
      <c r="C1580" t="s">
        <v>7405</v>
      </c>
      <c r="D1580" t="s">
        <v>7923</v>
      </c>
      <c r="E1580" t="s">
        <v>9180</v>
      </c>
      <c r="F1580" t="s">
        <v>10296</v>
      </c>
      <c r="G1580">
        <v>116</v>
      </c>
      <c r="H1580" t="s">
        <v>10309</v>
      </c>
      <c r="K1580" t="s">
        <v>10331</v>
      </c>
      <c r="M1580" t="s">
        <v>10335</v>
      </c>
      <c r="N1580">
        <v>63.701279000000007</v>
      </c>
      <c r="P1580">
        <v>22.712430000000001</v>
      </c>
      <c r="R1580" t="s">
        <v>11038</v>
      </c>
      <c r="S1580" t="s">
        <v>10317</v>
      </c>
      <c r="T1580" t="s">
        <v>10309</v>
      </c>
      <c r="W1580" s="2" t="s">
        <v>11201</v>
      </c>
    </row>
    <row r="1581" spans="1:23" hidden="1" x14ac:dyDescent="0.45">
      <c r="A1581" s="1" t="s">
        <v>1565</v>
      </c>
      <c r="B1581" t="s">
        <v>6060</v>
      </c>
      <c r="C1581" t="s">
        <v>7363</v>
      </c>
      <c r="D1581" t="s">
        <v>7883</v>
      </c>
      <c r="E1581" t="s">
        <v>9153</v>
      </c>
      <c r="F1581" t="s">
        <v>10296</v>
      </c>
      <c r="G1581">
        <v>0</v>
      </c>
      <c r="H1581" t="s">
        <v>10309</v>
      </c>
      <c r="M1581" t="s">
        <v>10335</v>
      </c>
      <c r="R1581" t="s">
        <v>11038</v>
      </c>
      <c r="S1581" t="s">
        <v>10317</v>
      </c>
      <c r="T1581" t="s">
        <v>10309</v>
      </c>
      <c r="W1581" s="2" t="s">
        <v>11201</v>
      </c>
    </row>
    <row r="1582" spans="1:23" hidden="1" x14ac:dyDescent="0.45">
      <c r="A1582" s="1" t="s">
        <v>1566</v>
      </c>
      <c r="B1582" t="s">
        <v>6065</v>
      </c>
      <c r="C1582" t="s">
        <v>7368</v>
      </c>
      <c r="D1582" t="s">
        <v>7888</v>
      </c>
      <c r="E1582" t="s">
        <v>9157</v>
      </c>
      <c r="F1582" t="s">
        <v>10296</v>
      </c>
      <c r="G1582">
        <v>152</v>
      </c>
      <c r="H1582" t="s">
        <v>10310</v>
      </c>
      <c r="N1582">
        <v>66.340106000000006</v>
      </c>
      <c r="P1582">
        <v>27.154136999999999</v>
      </c>
      <c r="R1582" t="s">
        <v>11038</v>
      </c>
      <c r="S1582" t="s">
        <v>10310</v>
      </c>
      <c r="W1582" s="2" t="s">
        <v>11201</v>
      </c>
    </row>
    <row r="1583" spans="1:23" hidden="1" x14ac:dyDescent="0.45">
      <c r="A1583" s="1" t="s">
        <v>1567</v>
      </c>
      <c r="B1583" t="s">
        <v>6066</v>
      </c>
      <c r="C1583" t="s">
        <v>7369</v>
      </c>
      <c r="D1583" t="s">
        <v>7889</v>
      </c>
      <c r="E1583" t="s">
        <v>9158</v>
      </c>
      <c r="F1583" t="s">
        <v>10296</v>
      </c>
      <c r="G1583">
        <v>6.3</v>
      </c>
      <c r="H1583" t="s">
        <v>10310</v>
      </c>
      <c r="R1583" t="s">
        <v>11038</v>
      </c>
      <c r="S1583" t="s">
        <v>10310</v>
      </c>
      <c r="W1583" s="2" t="s">
        <v>11201</v>
      </c>
    </row>
    <row r="1584" spans="1:23" hidden="1" x14ac:dyDescent="0.45">
      <c r="A1584" s="1" t="s">
        <v>1568</v>
      </c>
      <c r="B1584" t="s">
        <v>6154</v>
      </c>
      <c r="C1584" t="s">
        <v>7393</v>
      </c>
      <c r="E1584" t="s">
        <v>9199</v>
      </c>
      <c r="F1584" t="s">
        <v>10296</v>
      </c>
      <c r="G1584">
        <v>81.400000000000006</v>
      </c>
      <c r="H1584" t="s">
        <v>10309</v>
      </c>
      <c r="K1584" t="s">
        <v>10331</v>
      </c>
      <c r="M1584" t="s">
        <v>10335</v>
      </c>
      <c r="N1584">
        <v>61.575905000000013</v>
      </c>
      <c r="P1584">
        <v>21.556560000000001</v>
      </c>
      <c r="R1584" t="s">
        <v>11038</v>
      </c>
      <c r="S1584" t="s">
        <v>10317</v>
      </c>
      <c r="T1584" t="s">
        <v>10309</v>
      </c>
      <c r="W1584" s="2" t="s">
        <v>11201</v>
      </c>
    </row>
    <row r="1585" spans="1:23" hidden="1" x14ac:dyDescent="0.45">
      <c r="A1585" s="1" t="s">
        <v>1569</v>
      </c>
      <c r="B1585" t="s">
        <v>6102</v>
      </c>
      <c r="C1585" t="s">
        <v>7403</v>
      </c>
      <c r="D1585" t="s">
        <v>7922</v>
      </c>
      <c r="E1585" t="s">
        <v>9178</v>
      </c>
      <c r="F1585" t="s">
        <v>10296</v>
      </c>
      <c r="G1585">
        <v>11</v>
      </c>
      <c r="H1585" t="s">
        <v>10310</v>
      </c>
      <c r="R1585" t="s">
        <v>11038</v>
      </c>
      <c r="S1585" t="s">
        <v>10310</v>
      </c>
      <c r="W1585" s="2" t="s">
        <v>11201</v>
      </c>
    </row>
    <row r="1586" spans="1:23" hidden="1" x14ac:dyDescent="0.45">
      <c r="A1586" s="1" t="s">
        <v>1570</v>
      </c>
      <c r="B1586" t="s">
        <v>6065</v>
      </c>
      <c r="C1586" t="s">
        <v>7368</v>
      </c>
      <c r="D1586" t="s">
        <v>7888</v>
      </c>
      <c r="E1586" t="s">
        <v>9157</v>
      </c>
      <c r="F1586" t="s">
        <v>10296</v>
      </c>
      <c r="G1586">
        <v>35</v>
      </c>
      <c r="H1586" t="s">
        <v>10310</v>
      </c>
      <c r="R1586" t="s">
        <v>11038</v>
      </c>
      <c r="S1586" t="s">
        <v>10310</v>
      </c>
      <c r="W1586" s="2" t="s">
        <v>11201</v>
      </c>
    </row>
    <row r="1587" spans="1:23" hidden="1" x14ac:dyDescent="0.45">
      <c r="A1587" s="1" t="s">
        <v>1571</v>
      </c>
      <c r="B1587" t="s">
        <v>6155</v>
      </c>
      <c r="C1587" t="s">
        <v>7452</v>
      </c>
      <c r="D1587" t="s">
        <v>7957</v>
      </c>
      <c r="E1587" t="s">
        <v>1571</v>
      </c>
      <c r="F1587" t="s">
        <v>10296</v>
      </c>
      <c r="G1587">
        <v>31</v>
      </c>
      <c r="H1587" t="s">
        <v>10308</v>
      </c>
      <c r="N1587">
        <v>60.310397999999999</v>
      </c>
      <c r="P1587">
        <v>25.523361000000001</v>
      </c>
      <c r="R1587" t="s">
        <v>11037</v>
      </c>
      <c r="S1587" t="s">
        <v>10308</v>
      </c>
      <c r="W1587" s="2" t="s">
        <v>11201</v>
      </c>
    </row>
    <row r="1588" spans="1:23" hidden="1" x14ac:dyDescent="0.45">
      <c r="A1588" s="1" t="s">
        <v>1572</v>
      </c>
      <c r="B1588" t="s">
        <v>6072</v>
      </c>
      <c r="C1588" t="s">
        <v>7392</v>
      </c>
      <c r="D1588" t="s">
        <v>7912</v>
      </c>
      <c r="E1588" t="s">
        <v>9164</v>
      </c>
      <c r="F1588" t="s">
        <v>10296</v>
      </c>
      <c r="G1588">
        <v>27</v>
      </c>
      <c r="H1588" t="s">
        <v>10308</v>
      </c>
      <c r="N1588">
        <v>60.310397999999999</v>
      </c>
      <c r="P1588">
        <v>25.523361000000001</v>
      </c>
      <c r="R1588" t="s">
        <v>11037</v>
      </c>
      <c r="S1588" t="s">
        <v>10308</v>
      </c>
      <c r="W1588" s="2" t="s">
        <v>11201</v>
      </c>
    </row>
    <row r="1589" spans="1:23" hidden="1" x14ac:dyDescent="0.45">
      <c r="A1589" s="1" t="s">
        <v>1573</v>
      </c>
      <c r="B1589" t="s">
        <v>6155</v>
      </c>
      <c r="C1589" t="s">
        <v>7452</v>
      </c>
      <c r="D1589" t="s">
        <v>7957</v>
      </c>
      <c r="E1589" t="s">
        <v>1571</v>
      </c>
      <c r="F1589" t="s">
        <v>10296</v>
      </c>
      <c r="G1589">
        <v>48</v>
      </c>
      <c r="H1589" t="s">
        <v>10307</v>
      </c>
      <c r="K1589" t="s">
        <v>10331</v>
      </c>
      <c r="M1589" t="s">
        <v>10335</v>
      </c>
      <c r="N1589">
        <v>60.310397999999999</v>
      </c>
      <c r="P1589">
        <v>25.523361000000001</v>
      </c>
      <c r="R1589" t="s">
        <v>11037</v>
      </c>
      <c r="S1589" t="s">
        <v>10307</v>
      </c>
      <c r="W1589" s="2" t="s">
        <v>11201</v>
      </c>
    </row>
    <row r="1590" spans="1:23" hidden="1" x14ac:dyDescent="0.45">
      <c r="A1590" s="1" t="s">
        <v>1574</v>
      </c>
      <c r="B1590" t="s">
        <v>6155</v>
      </c>
      <c r="C1590" t="s">
        <v>7452</v>
      </c>
      <c r="D1590" t="s">
        <v>7957</v>
      </c>
      <c r="E1590" t="s">
        <v>1571</v>
      </c>
      <c r="F1590" t="s">
        <v>10296</v>
      </c>
      <c r="G1590">
        <v>72.599999999999994</v>
      </c>
      <c r="H1590" t="s">
        <v>10307</v>
      </c>
      <c r="K1590" t="s">
        <v>10331</v>
      </c>
      <c r="M1590" t="s">
        <v>10335</v>
      </c>
      <c r="N1590">
        <v>60.310397999999999</v>
      </c>
      <c r="P1590">
        <v>25.523361000000001</v>
      </c>
      <c r="R1590" t="s">
        <v>11037</v>
      </c>
      <c r="S1590" t="s">
        <v>10307</v>
      </c>
      <c r="W1590" s="2" t="s">
        <v>11201</v>
      </c>
    </row>
    <row r="1591" spans="1:23" hidden="1" x14ac:dyDescent="0.45">
      <c r="A1591" s="1" t="s">
        <v>1575</v>
      </c>
      <c r="B1591" t="s">
        <v>6072</v>
      </c>
      <c r="C1591" t="s">
        <v>7392</v>
      </c>
      <c r="D1591" t="s">
        <v>7912</v>
      </c>
      <c r="E1591" t="s">
        <v>9164</v>
      </c>
      <c r="F1591" t="s">
        <v>10296</v>
      </c>
      <c r="G1591">
        <v>40</v>
      </c>
      <c r="H1591" t="s">
        <v>10308</v>
      </c>
      <c r="N1591">
        <v>60.310397999999999</v>
      </c>
      <c r="P1591">
        <v>25.523361000000001</v>
      </c>
      <c r="R1591" t="s">
        <v>11037</v>
      </c>
      <c r="S1591" t="s">
        <v>10308</v>
      </c>
      <c r="W1591" s="2" t="s">
        <v>11201</v>
      </c>
    </row>
    <row r="1592" spans="1:23" hidden="1" x14ac:dyDescent="0.45">
      <c r="A1592" s="1" t="s">
        <v>1576</v>
      </c>
      <c r="B1592" t="s">
        <v>6156</v>
      </c>
      <c r="C1592" t="s">
        <v>7453</v>
      </c>
      <c r="D1592" t="s">
        <v>7958</v>
      </c>
      <c r="E1592" t="s">
        <v>9200</v>
      </c>
      <c r="F1592" t="s">
        <v>10296</v>
      </c>
      <c r="G1592">
        <v>0.6</v>
      </c>
      <c r="H1592" t="s">
        <v>10309</v>
      </c>
      <c r="K1592" t="s">
        <v>10331</v>
      </c>
      <c r="M1592" t="s">
        <v>10336</v>
      </c>
      <c r="R1592" t="s">
        <v>11038</v>
      </c>
      <c r="S1592" t="s">
        <v>10317</v>
      </c>
      <c r="T1592" t="s">
        <v>10309</v>
      </c>
      <c r="W1592" s="2" t="s">
        <v>11201</v>
      </c>
    </row>
    <row r="1593" spans="1:23" hidden="1" x14ac:dyDescent="0.45">
      <c r="A1593" s="1" t="s">
        <v>1577</v>
      </c>
      <c r="B1593" t="s">
        <v>6131</v>
      </c>
      <c r="C1593" t="s">
        <v>7430</v>
      </c>
      <c r="D1593" t="s">
        <v>7944</v>
      </c>
      <c r="E1593" t="s">
        <v>1431</v>
      </c>
      <c r="F1593" t="s">
        <v>10296</v>
      </c>
      <c r="G1593">
        <v>6.9</v>
      </c>
      <c r="H1593" t="s">
        <v>10310</v>
      </c>
      <c r="R1593" t="s">
        <v>11038</v>
      </c>
      <c r="S1593" t="s">
        <v>10310</v>
      </c>
      <c r="W1593" s="2" t="s">
        <v>11201</v>
      </c>
    </row>
    <row r="1594" spans="1:23" hidden="1" x14ac:dyDescent="0.45">
      <c r="A1594" s="1" t="s">
        <v>1578</v>
      </c>
      <c r="B1594" t="s">
        <v>6157</v>
      </c>
      <c r="C1594" t="s">
        <v>7454</v>
      </c>
      <c r="D1594" t="s">
        <v>7959</v>
      </c>
      <c r="E1594" t="s">
        <v>9201</v>
      </c>
      <c r="F1594" t="s">
        <v>10296</v>
      </c>
      <c r="G1594">
        <v>27</v>
      </c>
      <c r="H1594" t="s">
        <v>10309</v>
      </c>
      <c r="K1594" t="s">
        <v>10331</v>
      </c>
      <c r="M1594" t="s">
        <v>10336</v>
      </c>
      <c r="R1594" t="s">
        <v>11038</v>
      </c>
      <c r="S1594" t="s">
        <v>10317</v>
      </c>
      <c r="T1594" t="s">
        <v>10309</v>
      </c>
      <c r="W1594" s="2" t="s">
        <v>11201</v>
      </c>
    </row>
    <row r="1595" spans="1:23" hidden="1" x14ac:dyDescent="0.45">
      <c r="A1595" s="1" t="s">
        <v>1579</v>
      </c>
      <c r="B1595" t="s">
        <v>6157</v>
      </c>
      <c r="C1595" t="s">
        <v>7455</v>
      </c>
      <c r="D1595" t="s">
        <v>7959</v>
      </c>
      <c r="E1595" t="s">
        <v>9201</v>
      </c>
      <c r="F1595" t="s">
        <v>10296</v>
      </c>
      <c r="G1595">
        <v>32</v>
      </c>
      <c r="H1595" t="s">
        <v>10309</v>
      </c>
      <c r="K1595" t="s">
        <v>10331</v>
      </c>
      <c r="M1595" t="s">
        <v>10336</v>
      </c>
      <c r="R1595" t="s">
        <v>11038</v>
      </c>
      <c r="S1595" t="s">
        <v>10317</v>
      </c>
      <c r="T1595" t="s">
        <v>10309</v>
      </c>
      <c r="W1595" s="2" t="s">
        <v>11201</v>
      </c>
    </row>
    <row r="1596" spans="1:23" hidden="1" x14ac:dyDescent="0.45">
      <c r="A1596" s="1" t="s">
        <v>1580</v>
      </c>
      <c r="B1596" t="s">
        <v>6158</v>
      </c>
      <c r="C1596" t="s">
        <v>7456</v>
      </c>
      <c r="D1596" t="s">
        <v>7902</v>
      </c>
      <c r="E1596" t="s">
        <v>9164</v>
      </c>
      <c r="F1596" t="s">
        <v>10296</v>
      </c>
      <c r="G1596">
        <v>0.9</v>
      </c>
      <c r="H1596" t="s">
        <v>10309</v>
      </c>
      <c r="K1596" t="s">
        <v>10331</v>
      </c>
      <c r="M1596" t="s">
        <v>10335</v>
      </c>
      <c r="R1596" t="s">
        <v>11038</v>
      </c>
      <c r="S1596" t="s">
        <v>10317</v>
      </c>
      <c r="T1596" t="s">
        <v>10309</v>
      </c>
      <c r="W1596" s="2" t="s">
        <v>11201</v>
      </c>
    </row>
    <row r="1597" spans="1:23" hidden="1" x14ac:dyDescent="0.45">
      <c r="A1597" s="1" t="s">
        <v>1581</v>
      </c>
      <c r="B1597" t="s">
        <v>6061</v>
      </c>
      <c r="C1597" t="s">
        <v>7364</v>
      </c>
      <c r="D1597" t="s">
        <v>7884</v>
      </c>
      <c r="E1597" t="s">
        <v>7398</v>
      </c>
      <c r="F1597" t="s">
        <v>10296</v>
      </c>
      <c r="G1597">
        <v>146</v>
      </c>
      <c r="H1597" t="s">
        <v>10310</v>
      </c>
      <c r="N1597">
        <v>64.846215999999998</v>
      </c>
      <c r="P1597">
        <v>26.039947000000002</v>
      </c>
      <c r="R1597" t="s">
        <v>11038</v>
      </c>
      <c r="S1597" t="s">
        <v>10310</v>
      </c>
      <c r="W1597" s="2" t="s">
        <v>11201</v>
      </c>
    </row>
    <row r="1598" spans="1:23" hidden="1" x14ac:dyDescent="0.45">
      <c r="A1598" s="1" t="s">
        <v>1582</v>
      </c>
      <c r="B1598" t="s">
        <v>6159</v>
      </c>
      <c r="C1598" t="s">
        <v>7457</v>
      </c>
      <c r="D1598" t="s">
        <v>7960</v>
      </c>
      <c r="E1598" t="s">
        <v>9202</v>
      </c>
      <c r="F1598" t="s">
        <v>10296</v>
      </c>
      <c r="G1598">
        <v>2.9</v>
      </c>
      <c r="H1598" t="s">
        <v>10310</v>
      </c>
      <c r="R1598" t="s">
        <v>11038</v>
      </c>
      <c r="S1598" t="s">
        <v>10310</v>
      </c>
      <c r="W1598" s="2" t="s">
        <v>11201</v>
      </c>
    </row>
    <row r="1599" spans="1:23" hidden="1" x14ac:dyDescent="0.45">
      <c r="A1599" s="1" t="s">
        <v>1583</v>
      </c>
      <c r="B1599" t="s">
        <v>6061</v>
      </c>
      <c r="C1599" t="s">
        <v>7364</v>
      </c>
      <c r="D1599" t="s">
        <v>7884</v>
      </c>
      <c r="E1599" t="s">
        <v>7398</v>
      </c>
      <c r="F1599" t="s">
        <v>10296</v>
      </c>
      <c r="G1599">
        <v>50.7</v>
      </c>
      <c r="H1599" t="s">
        <v>10310</v>
      </c>
      <c r="N1599">
        <v>64.843919</v>
      </c>
      <c r="P1599">
        <v>26.195556</v>
      </c>
      <c r="R1599" t="s">
        <v>11038</v>
      </c>
      <c r="S1599" t="s">
        <v>10310</v>
      </c>
      <c r="W1599" s="2" t="s">
        <v>11201</v>
      </c>
    </row>
    <row r="1600" spans="1:23" hidden="1" x14ac:dyDescent="0.45">
      <c r="A1600" s="1" t="s">
        <v>1584</v>
      </c>
      <c r="B1600" t="s">
        <v>6160</v>
      </c>
      <c r="C1600" t="s">
        <v>7458</v>
      </c>
      <c r="D1600" t="s">
        <v>7961</v>
      </c>
      <c r="E1600" t="s">
        <v>6160</v>
      </c>
      <c r="F1600" t="s">
        <v>10296</v>
      </c>
      <c r="G1600">
        <v>94</v>
      </c>
      <c r="H1600" t="s">
        <v>10318</v>
      </c>
      <c r="K1600" t="s">
        <v>10331</v>
      </c>
      <c r="M1600" t="s">
        <v>10335</v>
      </c>
      <c r="R1600" t="s">
        <v>11037</v>
      </c>
      <c r="S1600" t="s">
        <v>10318</v>
      </c>
      <c r="W1600" s="2" t="s">
        <v>11201</v>
      </c>
    </row>
    <row r="1601" spans="1:23" hidden="1" x14ac:dyDescent="0.45">
      <c r="A1601" s="1" t="s">
        <v>1585</v>
      </c>
      <c r="B1601" t="s">
        <v>6073</v>
      </c>
      <c r="C1601" t="s">
        <v>7376</v>
      </c>
      <c r="D1601" t="s">
        <v>7895</v>
      </c>
      <c r="E1601" t="s">
        <v>9165</v>
      </c>
      <c r="F1601" t="s">
        <v>10296</v>
      </c>
      <c r="G1601">
        <v>60</v>
      </c>
      <c r="H1601" t="s">
        <v>10310</v>
      </c>
      <c r="N1601">
        <v>65.334764000000007</v>
      </c>
      <c r="P1601">
        <v>25.411123</v>
      </c>
      <c r="R1601" t="s">
        <v>11038</v>
      </c>
      <c r="S1601" t="s">
        <v>10310</v>
      </c>
      <c r="W1601" s="2" t="s">
        <v>11201</v>
      </c>
    </row>
    <row r="1602" spans="1:23" hidden="1" x14ac:dyDescent="0.45">
      <c r="A1602" s="1" t="s">
        <v>1586</v>
      </c>
      <c r="B1602" t="s">
        <v>6161</v>
      </c>
      <c r="C1602" t="s">
        <v>7459</v>
      </c>
      <c r="D1602" t="s">
        <v>7962</v>
      </c>
      <c r="E1602" t="s">
        <v>9203</v>
      </c>
      <c r="F1602" t="s">
        <v>10296</v>
      </c>
      <c r="G1602">
        <v>0</v>
      </c>
      <c r="H1602" t="s">
        <v>10308</v>
      </c>
      <c r="M1602" t="s">
        <v>10335</v>
      </c>
      <c r="R1602" t="s">
        <v>11037</v>
      </c>
      <c r="S1602" t="s">
        <v>10308</v>
      </c>
      <c r="W1602" s="2" t="s">
        <v>11201</v>
      </c>
    </row>
    <row r="1603" spans="1:23" hidden="1" x14ac:dyDescent="0.45">
      <c r="A1603" s="1" t="s">
        <v>1587</v>
      </c>
      <c r="B1603" t="s">
        <v>6162</v>
      </c>
      <c r="C1603" t="s">
        <v>7413</v>
      </c>
      <c r="D1603" t="s">
        <v>7898</v>
      </c>
      <c r="E1603" t="s">
        <v>9166</v>
      </c>
      <c r="F1603" t="s">
        <v>10296</v>
      </c>
      <c r="G1603">
        <v>80</v>
      </c>
      <c r="H1603" t="s">
        <v>10309</v>
      </c>
      <c r="K1603" t="s">
        <v>10331</v>
      </c>
      <c r="M1603" t="s">
        <v>10336</v>
      </c>
      <c r="N1603">
        <v>62.237712999999999</v>
      </c>
      <c r="P1603">
        <v>25.809424</v>
      </c>
      <c r="R1603" t="s">
        <v>11038</v>
      </c>
      <c r="S1603" t="s">
        <v>10317</v>
      </c>
      <c r="T1603" t="s">
        <v>10309</v>
      </c>
      <c r="W1603" s="2" t="s">
        <v>11201</v>
      </c>
    </row>
    <row r="1604" spans="1:23" hidden="1" x14ac:dyDescent="0.45">
      <c r="A1604" s="1" t="s">
        <v>1588</v>
      </c>
      <c r="B1604" t="s">
        <v>6097</v>
      </c>
      <c r="C1604" t="s">
        <v>7399</v>
      </c>
      <c r="D1604" t="s">
        <v>7918</v>
      </c>
      <c r="E1604" t="s">
        <v>9174</v>
      </c>
      <c r="F1604" t="s">
        <v>10296</v>
      </c>
      <c r="G1604">
        <v>75</v>
      </c>
      <c r="H1604" t="s">
        <v>10309</v>
      </c>
      <c r="K1604" t="s">
        <v>10331</v>
      </c>
      <c r="M1604" t="s">
        <v>10335</v>
      </c>
      <c r="N1604">
        <v>61.111362</v>
      </c>
      <c r="P1604">
        <v>21.466712000000001</v>
      </c>
      <c r="R1604" t="s">
        <v>11038</v>
      </c>
      <c r="S1604" t="s">
        <v>10317</v>
      </c>
      <c r="T1604" t="s">
        <v>10309</v>
      </c>
      <c r="W1604" s="2" t="s">
        <v>11201</v>
      </c>
    </row>
    <row r="1605" spans="1:23" hidden="1" x14ac:dyDescent="0.45">
      <c r="A1605" s="1" t="s">
        <v>1588</v>
      </c>
      <c r="B1605" t="s">
        <v>6163</v>
      </c>
      <c r="C1605" t="s">
        <v>7460</v>
      </c>
      <c r="D1605" t="s">
        <v>7963</v>
      </c>
      <c r="E1605" t="s">
        <v>9204</v>
      </c>
      <c r="F1605" t="s">
        <v>10296</v>
      </c>
      <c r="G1605">
        <v>71.5</v>
      </c>
      <c r="H1605" t="s">
        <v>10309</v>
      </c>
      <c r="K1605" t="s">
        <v>10331</v>
      </c>
      <c r="M1605" t="s">
        <v>10335</v>
      </c>
      <c r="N1605">
        <v>61.111362</v>
      </c>
      <c r="P1605">
        <v>21.466712000000001</v>
      </c>
      <c r="R1605" t="s">
        <v>11038</v>
      </c>
      <c r="S1605" t="s">
        <v>10317</v>
      </c>
      <c r="T1605" t="s">
        <v>10309</v>
      </c>
      <c r="W1605" s="2" t="s">
        <v>11201</v>
      </c>
    </row>
    <row r="1606" spans="1:23" hidden="1" x14ac:dyDescent="0.45">
      <c r="A1606" s="1" t="s">
        <v>1589</v>
      </c>
      <c r="B1606" t="s">
        <v>6164</v>
      </c>
      <c r="C1606" t="s">
        <v>7461</v>
      </c>
      <c r="D1606" t="s">
        <v>7898</v>
      </c>
      <c r="E1606" t="s">
        <v>7379</v>
      </c>
      <c r="F1606" t="s">
        <v>10296</v>
      </c>
      <c r="G1606">
        <v>1.3</v>
      </c>
      <c r="H1606" t="s">
        <v>10309</v>
      </c>
      <c r="K1606" t="s">
        <v>10331</v>
      </c>
      <c r="M1606" t="s">
        <v>10335</v>
      </c>
      <c r="R1606" t="s">
        <v>11038</v>
      </c>
      <c r="S1606" t="s">
        <v>10317</v>
      </c>
      <c r="T1606" t="s">
        <v>10309</v>
      </c>
      <c r="W1606" s="2" t="s">
        <v>11201</v>
      </c>
    </row>
    <row r="1607" spans="1:23" hidden="1" x14ac:dyDescent="0.45">
      <c r="A1607" s="1" t="s">
        <v>1590</v>
      </c>
      <c r="B1607" t="s">
        <v>6165</v>
      </c>
      <c r="C1607" t="s">
        <v>7462</v>
      </c>
      <c r="D1607" t="s">
        <v>7964</v>
      </c>
      <c r="E1607" t="s">
        <v>9205</v>
      </c>
      <c r="F1607" t="s">
        <v>10296</v>
      </c>
      <c r="G1607">
        <v>19.600000000000001</v>
      </c>
      <c r="H1607" t="s">
        <v>10318</v>
      </c>
      <c r="K1607" t="s">
        <v>10331</v>
      </c>
      <c r="M1607" t="s">
        <v>10336</v>
      </c>
      <c r="R1607" t="s">
        <v>11037</v>
      </c>
      <c r="S1607" t="s">
        <v>10318</v>
      </c>
      <c r="W1607" s="2" t="s">
        <v>11201</v>
      </c>
    </row>
    <row r="1608" spans="1:23" hidden="1" x14ac:dyDescent="0.45">
      <c r="A1608" s="1" t="s">
        <v>1591</v>
      </c>
      <c r="B1608" t="s">
        <v>6166</v>
      </c>
      <c r="C1608" t="s">
        <v>7463</v>
      </c>
      <c r="D1608" t="s">
        <v>7965</v>
      </c>
      <c r="E1608" t="s">
        <v>9206</v>
      </c>
      <c r="F1608" t="s">
        <v>10296</v>
      </c>
      <c r="G1608">
        <v>11.8</v>
      </c>
      <c r="H1608" t="s">
        <v>10313</v>
      </c>
      <c r="K1608" t="s">
        <v>10331</v>
      </c>
      <c r="M1608" t="s">
        <v>10336</v>
      </c>
      <c r="R1608" t="s">
        <v>11037</v>
      </c>
      <c r="S1608" t="s">
        <v>10313</v>
      </c>
      <c r="W1608" s="2" t="s">
        <v>11201</v>
      </c>
    </row>
    <row r="1609" spans="1:23" hidden="1" x14ac:dyDescent="0.45">
      <c r="A1609" s="1" t="s">
        <v>1592</v>
      </c>
      <c r="B1609" t="s">
        <v>6167</v>
      </c>
      <c r="C1609" t="s">
        <v>7393</v>
      </c>
      <c r="D1609" t="s">
        <v>7912</v>
      </c>
      <c r="E1609" t="s">
        <v>9164</v>
      </c>
      <c r="F1609" t="s">
        <v>10296</v>
      </c>
      <c r="G1609">
        <v>8.5</v>
      </c>
      <c r="H1609" t="s">
        <v>10309</v>
      </c>
      <c r="K1609" t="s">
        <v>10331</v>
      </c>
      <c r="M1609" t="s">
        <v>10335</v>
      </c>
      <c r="R1609" t="s">
        <v>11038</v>
      </c>
      <c r="S1609" t="s">
        <v>10317</v>
      </c>
      <c r="T1609" t="s">
        <v>10309</v>
      </c>
      <c r="W1609" s="2" t="s">
        <v>11201</v>
      </c>
    </row>
    <row r="1610" spans="1:23" hidden="1" x14ac:dyDescent="0.45">
      <c r="A1610" s="1" t="s">
        <v>1593</v>
      </c>
      <c r="B1610" t="s">
        <v>6131</v>
      </c>
      <c r="C1610" t="s">
        <v>7430</v>
      </c>
      <c r="D1610" t="s">
        <v>7944</v>
      </c>
      <c r="E1610" t="s">
        <v>1431</v>
      </c>
      <c r="F1610" t="s">
        <v>10296</v>
      </c>
      <c r="G1610">
        <v>3.3</v>
      </c>
      <c r="H1610" t="s">
        <v>10310</v>
      </c>
      <c r="R1610" t="s">
        <v>11038</v>
      </c>
      <c r="S1610" t="s">
        <v>10310</v>
      </c>
      <c r="W1610" s="2" t="s">
        <v>11201</v>
      </c>
    </row>
    <row r="1611" spans="1:23" hidden="1" x14ac:dyDescent="0.45">
      <c r="A1611" s="1" t="s">
        <v>1594</v>
      </c>
      <c r="B1611" t="s">
        <v>6168</v>
      </c>
      <c r="C1611" t="s">
        <v>7464</v>
      </c>
      <c r="D1611" t="s">
        <v>7909</v>
      </c>
      <c r="E1611" t="s">
        <v>9207</v>
      </c>
      <c r="F1611" t="s">
        <v>10296</v>
      </c>
      <c r="G1611">
        <v>2.7</v>
      </c>
      <c r="H1611" t="s">
        <v>10307</v>
      </c>
      <c r="K1611" t="s">
        <v>10331</v>
      </c>
      <c r="R1611" t="s">
        <v>11037</v>
      </c>
      <c r="S1611" t="s">
        <v>10307</v>
      </c>
      <c r="W1611" s="2" t="s">
        <v>11201</v>
      </c>
    </row>
    <row r="1612" spans="1:23" hidden="1" x14ac:dyDescent="0.45">
      <c r="A1612" s="1" t="s">
        <v>1595</v>
      </c>
      <c r="B1612" t="s">
        <v>6169</v>
      </c>
      <c r="C1612" t="s">
        <v>7465</v>
      </c>
      <c r="D1612" t="s">
        <v>7966</v>
      </c>
      <c r="E1612" t="s">
        <v>7966</v>
      </c>
      <c r="F1612" t="s">
        <v>10296</v>
      </c>
      <c r="G1612">
        <v>16</v>
      </c>
      <c r="H1612" t="s">
        <v>10308</v>
      </c>
      <c r="R1612" t="s">
        <v>11037</v>
      </c>
      <c r="S1612" t="s">
        <v>10308</v>
      </c>
      <c r="W1612" s="2" t="s">
        <v>11201</v>
      </c>
    </row>
    <row r="1613" spans="1:23" hidden="1" x14ac:dyDescent="0.45">
      <c r="A1613" s="1" t="s">
        <v>1596</v>
      </c>
      <c r="B1613" t="s">
        <v>6131</v>
      </c>
      <c r="C1613" t="s">
        <v>7430</v>
      </c>
      <c r="D1613" t="s">
        <v>7944</v>
      </c>
      <c r="E1613" t="s">
        <v>1431</v>
      </c>
      <c r="F1613" t="s">
        <v>10296</v>
      </c>
      <c r="G1613">
        <v>1.6</v>
      </c>
      <c r="H1613" t="s">
        <v>10310</v>
      </c>
      <c r="R1613" t="s">
        <v>11038</v>
      </c>
      <c r="S1613" t="s">
        <v>10310</v>
      </c>
      <c r="W1613" s="2" t="s">
        <v>11201</v>
      </c>
    </row>
    <row r="1614" spans="1:23" hidden="1" x14ac:dyDescent="0.45">
      <c r="A1614" s="1" t="s">
        <v>1597</v>
      </c>
      <c r="B1614" t="s">
        <v>6170</v>
      </c>
      <c r="C1614" t="s">
        <v>7466</v>
      </c>
      <c r="D1614" t="s">
        <v>7967</v>
      </c>
      <c r="E1614" t="s">
        <v>9208</v>
      </c>
      <c r="F1614" t="s">
        <v>10296</v>
      </c>
      <c r="G1614">
        <v>1.2</v>
      </c>
      <c r="H1614" t="s">
        <v>10310</v>
      </c>
      <c r="R1614" t="s">
        <v>11038</v>
      </c>
      <c r="S1614" t="s">
        <v>10310</v>
      </c>
      <c r="W1614" s="2" t="s">
        <v>11201</v>
      </c>
    </row>
    <row r="1615" spans="1:23" hidden="1" x14ac:dyDescent="0.45">
      <c r="A1615" s="1" t="s">
        <v>1598</v>
      </c>
      <c r="B1615" t="s">
        <v>6079</v>
      </c>
      <c r="C1615" t="s">
        <v>7382</v>
      </c>
      <c r="D1615" t="s">
        <v>7901</v>
      </c>
      <c r="E1615" t="s">
        <v>9169</v>
      </c>
      <c r="F1615" t="s">
        <v>10296</v>
      </c>
      <c r="G1615">
        <v>163</v>
      </c>
      <c r="H1615" t="s">
        <v>10314</v>
      </c>
      <c r="I1615" t="s">
        <v>10323</v>
      </c>
      <c r="K1615" t="s">
        <v>10331</v>
      </c>
      <c r="M1615" t="s">
        <v>10336</v>
      </c>
      <c r="N1615">
        <v>60.164648999999997</v>
      </c>
      <c r="P1615">
        <v>24.904001000000001</v>
      </c>
      <c r="Q1615" t="s">
        <v>10722</v>
      </c>
      <c r="R1615" t="s">
        <v>11037</v>
      </c>
      <c r="S1615" t="s">
        <v>10314</v>
      </c>
      <c r="W1615" s="2" t="s">
        <v>11201</v>
      </c>
    </row>
    <row r="1616" spans="1:23" hidden="1" x14ac:dyDescent="0.45">
      <c r="A1616" s="1" t="s">
        <v>1599</v>
      </c>
      <c r="B1616" t="s">
        <v>6108</v>
      </c>
      <c r="C1616" t="s">
        <v>7379</v>
      </c>
      <c r="D1616" t="s">
        <v>7898</v>
      </c>
      <c r="E1616" t="s">
        <v>9166</v>
      </c>
      <c r="F1616" t="s">
        <v>10296</v>
      </c>
      <c r="G1616">
        <v>13.5</v>
      </c>
      <c r="H1616" t="s">
        <v>10309</v>
      </c>
      <c r="K1616" t="s">
        <v>10331</v>
      </c>
      <c r="M1616" t="s">
        <v>10336</v>
      </c>
      <c r="R1616" t="s">
        <v>11038</v>
      </c>
      <c r="S1616" t="s">
        <v>10317</v>
      </c>
      <c r="T1616" t="s">
        <v>10309</v>
      </c>
      <c r="W1616" s="2" t="s">
        <v>11201</v>
      </c>
    </row>
    <row r="1617" spans="1:23" hidden="1" x14ac:dyDescent="0.45">
      <c r="A1617" s="1" t="s">
        <v>1600</v>
      </c>
      <c r="B1617" t="s">
        <v>6162</v>
      </c>
      <c r="C1617" t="s">
        <v>7413</v>
      </c>
      <c r="D1617" t="s">
        <v>7898</v>
      </c>
      <c r="E1617" t="s">
        <v>9166</v>
      </c>
      <c r="F1617" t="s">
        <v>10296</v>
      </c>
      <c r="G1617">
        <v>0</v>
      </c>
      <c r="H1617" t="s">
        <v>10308</v>
      </c>
      <c r="R1617" t="s">
        <v>11037</v>
      </c>
      <c r="S1617" t="s">
        <v>10308</v>
      </c>
      <c r="W1617" s="2" t="s">
        <v>11201</v>
      </c>
    </row>
    <row r="1618" spans="1:23" hidden="1" x14ac:dyDescent="0.45">
      <c r="A1618" s="1" t="s">
        <v>1601</v>
      </c>
      <c r="B1618" t="s">
        <v>6114</v>
      </c>
      <c r="C1618" t="s">
        <v>7416</v>
      </c>
      <c r="D1618" t="s">
        <v>7930</v>
      </c>
      <c r="E1618" t="s">
        <v>1467</v>
      </c>
      <c r="F1618" t="s">
        <v>10296</v>
      </c>
      <c r="G1618">
        <v>3.9</v>
      </c>
      <c r="H1618" t="s">
        <v>10307</v>
      </c>
      <c r="K1618" t="s">
        <v>10331</v>
      </c>
      <c r="M1618" t="s">
        <v>10336</v>
      </c>
      <c r="R1618" t="s">
        <v>11037</v>
      </c>
      <c r="S1618" t="s">
        <v>10307</v>
      </c>
      <c r="W1618" s="2" t="s">
        <v>11201</v>
      </c>
    </row>
    <row r="1619" spans="1:23" hidden="1" x14ac:dyDescent="0.45">
      <c r="A1619" s="1" t="s">
        <v>1602</v>
      </c>
      <c r="B1619" t="s">
        <v>6167</v>
      </c>
      <c r="C1619" t="s">
        <v>7393</v>
      </c>
      <c r="D1619" t="s">
        <v>7912</v>
      </c>
      <c r="E1619" t="s">
        <v>9164</v>
      </c>
      <c r="F1619" t="s">
        <v>10296</v>
      </c>
      <c r="G1619">
        <v>17.5</v>
      </c>
      <c r="H1619" t="s">
        <v>10309</v>
      </c>
      <c r="K1619" t="s">
        <v>10331</v>
      </c>
      <c r="M1619" t="s">
        <v>10336</v>
      </c>
      <c r="R1619" t="s">
        <v>11038</v>
      </c>
      <c r="S1619" t="s">
        <v>10317</v>
      </c>
      <c r="T1619" t="s">
        <v>10309</v>
      </c>
      <c r="W1619" s="2" t="s">
        <v>11201</v>
      </c>
    </row>
    <row r="1620" spans="1:23" hidden="1" x14ac:dyDescent="0.45">
      <c r="A1620" s="1" t="s">
        <v>1603</v>
      </c>
      <c r="B1620" t="s">
        <v>6171</v>
      </c>
      <c r="C1620" t="s">
        <v>7467</v>
      </c>
      <c r="D1620" t="s">
        <v>7968</v>
      </c>
      <c r="E1620" t="s">
        <v>1647</v>
      </c>
      <c r="F1620" t="s">
        <v>10296</v>
      </c>
      <c r="G1620">
        <v>120</v>
      </c>
      <c r="H1620" t="s">
        <v>10309</v>
      </c>
      <c r="K1620" t="s">
        <v>10331</v>
      </c>
      <c r="N1620">
        <v>62.741443999999987</v>
      </c>
      <c r="P1620">
        <v>22.815655</v>
      </c>
      <c r="Q1620" t="s">
        <v>10723</v>
      </c>
      <c r="R1620" t="s">
        <v>11038</v>
      </c>
      <c r="S1620" t="s">
        <v>10317</v>
      </c>
      <c r="T1620" t="s">
        <v>10309</v>
      </c>
      <c r="W1620" s="2" t="s">
        <v>11201</v>
      </c>
    </row>
    <row r="1621" spans="1:23" hidden="1" x14ac:dyDescent="0.45">
      <c r="A1621" s="1" t="s">
        <v>1604</v>
      </c>
      <c r="B1621" t="s">
        <v>6065</v>
      </c>
      <c r="C1621" t="s">
        <v>7368</v>
      </c>
      <c r="D1621" t="s">
        <v>7888</v>
      </c>
      <c r="E1621" t="s">
        <v>9157</v>
      </c>
      <c r="F1621" t="s">
        <v>10296</v>
      </c>
      <c r="G1621">
        <v>144</v>
      </c>
      <c r="H1621" t="s">
        <v>10310</v>
      </c>
      <c r="N1621">
        <v>66.405622999999991</v>
      </c>
      <c r="P1621">
        <v>27.328094</v>
      </c>
      <c r="R1621" t="s">
        <v>11038</v>
      </c>
      <c r="S1621" t="s">
        <v>10310</v>
      </c>
      <c r="W1621" s="2" t="s">
        <v>11201</v>
      </c>
    </row>
    <row r="1622" spans="1:23" hidden="1" x14ac:dyDescent="0.45">
      <c r="A1622" s="1" t="s">
        <v>1605</v>
      </c>
      <c r="B1622" t="s">
        <v>6061</v>
      </c>
      <c r="C1622" t="s">
        <v>7364</v>
      </c>
      <c r="D1622" t="s">
        <v>7884</v>
      </c>
      <c r="E1622" t="s">
        <v>7398</v>
      </c>
      <c r="F1622" t="s">
        <v>10296</v>
      </c>
      <c r="G1622">
        <v>37.9</v>
      </c>
      <c r="H1622" t="s">
        <v>10310</v>
      </c>
      <c r="R1622" t="s">
        <v>11038</v>
      </c>
      <c r="S1622" t="s">
        <v>10310</v>
      </c>
      <c r="W1622" s="2" t="s">
        <v>11201</v>
      </c>
    </row>
    <row r="1623" spans="1:23" hidden="1" x14ac:dyDescent="0.45">
      <c r="A1623" s="1" t="s">
        <v>1606</v>
      </c>
      <c r="B1623" t="s">
        <v>6087</v>
      </c>
      <c r="C1623" t="s">
        <v>7389</v>
      </c>
      <c r="D1623" t="s">
        <v>7909</v>
      </c>
      <c r="E1623" t="s">
        <v>9172</v>
      </c>
      <c r="F1623" t="s">
        <v>10296</v>
      </c>
      <c r="G1623">
        <v>1.8</v>
      </c>
      <c r="H1623" t="s">
        <v>10310</v>
      </c>
      <c r="R1623" t="s">
        <v>11038</v>
      </c>
      <c r="S1623" t="s">
        <v>10310</v>
      </c>
      <c r="W1623" s="2" t="s">
        <v>11201</v>
      </c>
    </row>
    <row r="1624" spans="1:23" hidden="1" x14ac:dyDescent="0.45">
      <c r="A1624" s="1" t="s">
        <v>1607</v>
      </c>
      <c r="B1624" t="s">
        <v>6172</v>
      </c>
      <c r="C1624" t="s">
        <v>7468</v>
      </c>
      <c r="D1624" t="s">
        <v>7969</v>
      </c>
      <c r="E1624" t="s">
        <v>9209</v>
      </c>
      <c r="F1624" t="s">
        <v>10296</v>
      </c>
      <c r="G1624">
        <v>25.1</v>
      </c>
      <c r="H1624" t="s">
        <v>10315</v>
      </c>
      <c r="K1624" t="s">
        <v>10331</v>
      </c>
      <c r="M1624" t="s">
        <v>10335</v>
      </c>
      <c r="R1624" t="s">
        <v>10315</v>
      </c>
      <c r="W1624" s="2" t="s">
        <v>11201</v>
      </c>
    </row>
    <row r="1625" spans="1:23" hidden="1" x14ac:dyDescent="0.45">
      <c r="A1625" s="1" t="s">
        <v>1608</v>
      </c>
      <c r="B1625" t="s">
        <v>6173</v>
      </c>
      <c r="C1625" t="s">
        <v>7399</v>
      </c>
      <c r="D1625" t="s">
        <v>7918</v>
      </c>
      <c r="E1625" t="s">
        <v>9174</v>
      </c>
      <c r="F1625" t="s">
        <v>10296</v>
      </c>
      <c r="G1625">
        <v>34.5</v>
      </c>
      <c r="H1625" t="s">
        <v>10309</v>
      </c>
      <c r="K1625" t="s">
        <v>10331</v>
      </c>
      <c r="M1625" t="s">
        <v>10335</v>
      </c>
      <c r="R1625" t="s">
        <v>11038</v>
      </c>
      <c r="S1625" t="s">
        <v>10317</v>
      </c>
      <c r="T1625" t="s">
        <v>10309</v>
      </c>
      <c r="W1625" s="2" t="s">
        <v>11201</v>
      </c>
    </row>
    <row r="1626" spans="1:23" hidden="1" x14ac:dyDescent="0.45">
      <c r="A1626" s="1" t="s">
        <v>1609</v>
      </c>
      <c r="B1626" t="s">
        <v>6174</v>
      </c>
      <c r="C1626" t="s">
        <v>7469</v>
      </c>
      <c r="D1626" t="s">
        <v>7970</v>
      </c>
      <c r="E1626" t="s">
        <v>9210</v>
      </c>
      <c r="F1626" t="s">
        <v>10296</v>
      </c>
      <c r="G1626">
        <v>0.7</v>
      </c>
      <c r="H1626" t="s">
        <v>10310</v>
      </c>
      <c r="R1626" t="s">
        <v>11038</v>
      </c>
      <c r="S1626" t="s">
        <v>10310</v>
      </c>
      <c r="W1626" s="2" t="s">
        <v>11201</v>
      </c>
    </row>
    <row r="1627" spans="1:23" hidden="1" x14ac:dyDescent="0.45">
      <c r="A1627" s="1" t="s">
        <v>1610</v>
      </c>
      <c r="B1627" t="s">
        <v>6088</v>
      </c>
      <c r="C1627" t="s">
        <v>7390</v>
      </c>
      <c r="D1627" t="s">
        <v>7910</v>
      </c>
      <c r="E1627" t="s">
        <v>9164</v>
      </c>
      <c r="F1627" t="s">
        <v>10296</v>
      </c>
      <c r="G1627">
        <v>0.9</v>
      </c>
      <c r="H1627" t="s">
        <v>10308</v>
      </c>
      <c r="R1627" t="s">
        <v>11037</v>
      </c>
      <c r="S1627" t="s">
        <v>10308</v>
      </c>
      <c r="W1627" s="2" t="s">
        <v>11201</v>
      </c>
    </row>
    <row r="1628" spans="1:23" hidden="1" x14ac:dyDescent="0.45">
      <c r="A1628" s="1" t="s">
        <v>1611</v>
      </c>
      <c r="B1628" t="s">
        <v>6066</v>
      </c>
      <c r="C1628" t="s">
        <v>7369</v>
      </c>
      <c r="D1628" t="s">
        <v>7889</v>
      </c>
      <c r="E1628" t="s">
        <v>9158</v>
      </c>
      <c r="F1628" t="s">
        <v>10296</v>
      </c>
      <c r="G1628">
        <v>1.8</v>
      </c>
      <c r="H1628" t="s">
        <v>10310</v>
      </c>
      <c r="R1628" t="s">
        <v>11038</v>
      </c>
      <c r="S1628" t="s">
        <v>10310</v>
      </c>
      <c r="W1628" s="2" t="s">
        <v>11201</v>
      </c>
    </row>
    <row r="1629" spans="1:23" hidden="1" x14ac:dyDescent="0.45">
      <c r="A1629" s="1" t="s">
        <v>1612</v>
      </c>
      <c r="B1629" t="s">
        <v>6116</v>
      </c>
      <c r="C1629" t="s">
        <v>7418</v>
      </c>
      <c r="D1629" t="s">
        <v>7931</v>
      </c>
      <c r="E1629" t="s">
        <v>9183</v>
      </c>
      <c r="F1629" t="s">
        <v>10296</v>
      </c>
      <c r="G1629">
        <v>1.42</v>
      </c>
      <c r="H1629" t="s">
        <v>10310</v>
      </c>
      <c r="R1629" t="s">
        <v>11038</v>
      </c>
      <c r="S1629" t="s">
        <v>10310</v>
      </c>
      <c r="W1629" s="2" t="s">
        <v>11201</v>
      </c>
    </row>
    <row r="1630" spans="1:23" hidden="1" x14ac:dyDescent="0.45">
      <c r="A1630" s="1" t="s">
        <v>1613</v>
      </c>
      <c r="B1630" t="s">
        <v>6123</v>
      </c>
      <c r="D1630" t="s">
        <v>7937</v>
      </c>
      <c r="F1630" t="s">
        <v>10296</v>
      </c>
      <c r="G1630">
        <v>14.5</v>
      </c>
      <c r="H1630" t="s">
        <v>10308</v>
      </c>
      <c r="R1630" t="s">
        <v>11037</v>
      </c>
      <c r="S1630" t="s">
        <v>10308</v>
      </c>
      <c r="W1630" s="2" t="s">
        <v>11201</v>
      </c>
    </row>
    <row r="1631" spans="1:23" hidden="1" x14ac:dyDescent="0.45">
      <c r="A1631" s="1" t="s">
        <v>1614</v>
      </c>
      <c r="B1631" t="s">
        <v>6076</v>
      </c>
      <c r="C1631" t="s">
        <v>7379</v>
      </c>
      <c r="D1631" t="s">
        <v>7898</v>
      </c>
      <c r="E1631" t="s">
        <v>9166</v>
      </c>
      <c r="F1631" t="s">
        <v>10296</v>
      </c>
      <c r="G1631">
        <v>1.3</v>
      </c>
      <c r="H1631" t="s">
        <v>10309</v>
      </c>
      <c r="K1631" t="s">
        <v>10331</v>
      </c>
      <c r="M1631" t="s">
        <v>10335</v>
      </c>
      <c r="R1631" t="s">
        <v>11038</v>
      </c>
      <c r="S1631" t="s">
        <v>10317</v>
      </c>
      <c r="T1631" t="s">
        <v>10309</v>
      </c>
      <c r="W1631" s="2" t="s">
        <v>11201</v>
      </c>
    </row>
    <row r="1632" spans="1:23" hidden="1" x14ac:dyDescent="0.45">
      <c r="A1632" s="1" t="s">
        <v>1615</v>
      </c>
      <c r="B1632" t="s">
        <v>6175</v>
      </c>
      <c r="C1632" t="s">
        <v>7470</v>
      </c>
      <c r="D1632" t="s">
        <v>7971</v>
      </c>
      <c r="E1632" t="s">
        <v>9211</v>
      </c>
      <c r="F1632" t="s">
        <v>10296</v>
      </c>
      <c r="G1632">
        <v>4.5999999999999996</v>
      </c>
      <c r="H1632" t="s">
        <v>10310</v>
      </c>
      <c r="R1632" t="s">
        <v>11038</v>
      </c>
      <c r="S1632" t="s">
        <v>10310</v>
      </c>
      <c r="W1632" s="2" t="s">
        <v>11201</v>
      </c>
    </row>
    <row r="1633" spans="1:23" hidden="1" x14ac:dyDescent="0.45">
      <c r="A1633" s="1" t="s">
        <v>1616</v>
      </c>
      <c r="B1633" t="s">
        <v>6110</v>
      </c>
      <c r="C1633" t="s">
        <v>7471</v>
      </c>
      <c r="D1633" t="s">
        <v>7972</v>
      </c>
      <c r="E1633" t="s">
        <v>1616</v>
      </c>
      <c r="F1633" t="s">
        <v>10296</v>
      </c>
      <c r="G1633">
        <v>35.700000000000003</v>
      </c>
      <c r="H1633" t="s">
        <v>10309</v>
      </c>
      <c r="K1633" t="s">
        <v>10331</v>
      </c>
      <c r="M1633" t="s">
        <v>10335</v>
      </c>
      <c r="R1633" t="s">
        <v>11038</v>
      </c>
      <c r="S1633" t="s">
        <v>10317</v>
      </c>
      <c r="T1633" t="s">
        <v>10309</v>
      </c>
      <c r="W1633" s="2" t="s">
        <v>11201</v>
      </c>
    </row>
    <row r="1634" spans="1:23" hidden="1" x14ac:dyDescent="0.45">
      <c r="A1634" s="1" t="s">
        <v>1617</v>
      </c>
      <c r="B1634" t="s">
        <v>6096</v>
      </c>
      <c r="C1634" t="s">
        <v>7398</v>
      </c>
      <c r="D1634" t="s">
        <v>7917</v>
      </c>
      <c r="E1634" t="s">
        <v>9173</v>
      </c>
      <c r="F1634" t="s">
        <v>10296</v>
      </c>
      <c r="G1634">
        <v>358</v>
      </c>
      <c r="H1634" t="s">
        <v>10314</v>
      </c>
      <c r="I1634" t="s">
        <v>10323</v>
      </c>
      <c r="K1634" t="s">
        <v>10331</v>
      </c>
      <c r="M1634" t="s">
        <v>10336</v>
      </c>
      <c r="N1634">
        <v>60.149124999999998</v>
      </c>
      <c r="P1634">
        <v>24.718364999999999</v>
      </c>
      <c r="Q1634" t="s">
        <v>10724</v>
      </c>
      <c r="R1634" t="s">
        <v>11037</v>
      </c>
      <c r="S1634" t="s">
        <v>10314</v>
      </c>
      <c r="W1634" s="2" t="s">
        <v>11201</v>
      </c>
    </row>
    <row r="1635" spans="1:23" hidden="1" x14ac:dyDescent="0.45">
      <c r="A1635" s="1" t="s">
        <v>1618</v>
      </c>
      <c r="B1635" t="s">
        <v>6176</v>
      </c>
      <c r="C1635" t="s">
        <v>7472</v>
      </c>
      <c r="D1635" t="s">
        <v>7973</v>
      </c>
      <c r="E1635" t="s">
        <v>9212</v>
      </c>
      <c r="F1635" t="s">
        <v>10296</v>
      </c>
      <c r="G1635">
        <v>30</v>
      </c>
      <c r="H1635" t="s">
        <v>10309</v>
      </c>
      <c r="K1635" t="s">
        <v>10331</v>
      </c>
      <c r="M1635" t="s">
        <v>10336</v>
      </c>
      <c r="R1635" t="s">
        <v>11038</v>
      </c>
      <c r="S1635" t="s">
        <v>10317</v>
      </c>
      <c r="T1635" t="s">
        <v>10309</v>
      </c>
      <c r="W1635" s="2" t="s">
        <v>11201</v>
      </c>
    </row>
    <row r="1636" spans="1:23" hidden="1" x14ac:dyDescent="0.45">
      <c r="A1636" s="1" t="s">
        <v>1619</v>
      </c>
      <c r="B1636" t="s">
        <v>6108</v>
      </c>
      <c r="C1636" t="s">
        <v>7379</v>
      </c>
      <c r="D1636" t="s">
        <v>7898</v>
      </c>
      <c r="E1636" t="s">
        <v>9166</v>
      </c>
      <c r="F1636" t="s">
        <v>10296</v>
      </c>
      <c r="G1636">
        <v>8.8000000000000007</v>
      </c>
      <c r="H1636" t="s">
        <v>10308</v>
      </c>
      <c r="K1636" t="s">
        <v>10331</v>
      </c>
      <c r="M1636" t="s">
        <v>10335</v>
      </c>
      <c r="R1636" t="s">
        <v>11037</v>
      </c>
      <c r="S1636" t="s">
        <v>10308</v>
      </c>
      <c r="W1636" s="2" t="s">
        <v>11201</v>
      </c>
    </row>
    <row r="1637" spans="1:23" hidden="1" x14ac:dyDescent="0.45">
      <c r="A1637" s="1" t="s">
        <v>1620</v>
      </c>
      <c r="B1637" t="s">
        <v>6067</v>
      </c>
      <c r="C1637" t="s">
        <v>7370</v>
      </c>
      <c r="D1637" t="s">
        <v>7890</v>
      </c>
      <c r="E1637" t="s">
        <v>9159</v>
      </c>
      <c r="F1637" t="s">
        <v>10296</v>
      </c>
      <c r="G1637">
        <v>3</v>
      </c>
      <c r="H1637" t="s">
        <v>10310</v>
      </c>
      <c r="R1637" t="s">
        <v>11038</v>
      </c>
      <c r="S1637" t="s">
        <v>10310</v>
      </c>
      <c r="W1637" s="2" t="s">
        <v>11201</v>
      </c>
    </row>
    <row r="1638" spans="1:23" hidden="1" x14ac:dyDescent="0.45">
      <c r="A1638" s="1" t="s">
        <v>1621</v>
      </c>
      <c r="B1638" t="s">
        <v>6125</v>
      </c>
      <c r="C1638" t="s">
        <v>7425</v>
      </c>
      <c r="D1638" t="s">
        <v>7939</v>
      </c>
      <c r="E1638" t="s">
        <v>9189</v>
      </c>
      <c r="F1638" t="s">
        <v>10296</v>
      </c>
      <c r="G1638">
        <v>2.1</v>
      </c>
      <c r="H1638" t="s">
        <v>10308</v>
      </c>
      <c r="R1638" t="s">
        <v>11037</v>
      </c>
      <c r="S1638" t="s">
        <v>10308</v>
      </c>
      <c r="W1638" s="2" t="s">
        <v>11201</v>
      </c>
    </row>
    <row r="1639" spans="1:23" hidden="1" x14ac:dyDescent="0.45">
      <c r="A1639" s="1" t="s">
        <v>1622</v>
      </c>
      <c r="B1639" t="s">
        <v>6127</v>
      </c>
      <c r="C1639" t="s">
        <v>7427</v>
      </c>
      <c r="D1639" t="s">
        <v>7941</v>
      </c>
      <c r="E1639" t="s">
        <v>1647</v>
      </c>
      <c r="F1639" t="s">
        <v>10296</v>
      </c>
      <c r="G1639">
        <v>0</v>
      </c>
      <c r="H1639" t="s">
        <v>10314</v>
      </c>
      <c r="I1639" t="s">
        <v>10323</v>
      </c>
      <c r="N1639">
        <v>61.632618999999991</v>
      </c>
      <c r="P1639">
        <v>21.406289000000001</v>
      </c>
      <c r="R1639" t="s">
        <v>11037</v>
      </c>
      <c r="S1639" t="s">
        <v>10314</v>
      </c>
      <c r="W1639" s="2" t="s">
        <v>11201</v>
      </c>
    </row>
    <row r="1640" spans="1:23" hidden="1" x14ac:dyDescent="0.45">
      <c r="A1640" s="1" t="s">
        <v>1623</v>
      </c>
      <c r="B1640" t="s">
        <v>6072</v>
      </c>
      <c r="C1640" t="s">
        <v>7392</v>
      </c>
      <c r="D1640" t="s">
        <v>7912</v>
      </c>
      <c r="E1640" t="s">
        <v>9164</v>
      </c>
      <c r="F1640" t="s">
        <v>10296</v>
      </c>
      <c r="G1640">
        <v>52</v>
      </c>
      <c r="H1640" t="s">
        <v>10308</v>
      </c>
      <c r="N1640">
        <v>61.632618999999991</v>
      </c>
      <c r="P1640">
        <v>21.406289000000001</v>
      </c>
      <c r="R1640" t="s">
        <v>11037</v>
      </c>
      <c r="S1640" t="s">
        <v>10308</v>
      </c>
      <c r="W1640" s="2" t="s">
        <v>11201</v>
      </c>
    </row>
    <row r="1641" spans="1:23" hidden="1" x14ac:dyDescent="0.45">
      <c r="A1641" s="1" t="s">
        <v>1624</v>
      </c>
      <c r="B1641" t="s">
        <v>6096</v>
      </c>
      <c r="C1641" t="s">
        <v>7436</v>
      </c>
      <c r="D1641" t="s">
        <v>7884</v>
      </c>
      <c r="E1641" t="s">
        <v>7398</v>
      </c>
      <c r="F1641" t="s">
        <v>10296</v>
      </c>
      <c r="G1641">
        <v>65.5</v>
      </c>
      <c r="H1641" t="s">
        <v>10310</v>
      </c>
      <c r="N1641">
        <v>61.210576000000003</v>
      </c>
      <c r="P1641">
        <v>28.782634999999999</v>
      </c>
      <c r="R1641" t="s">
        <v>11038</v>
      </c>
      <c r="S1641" t="s">
        <v>10310</v>
      </c>
      <c r="W1641" s="2" t="s">
        <v>11201</v>
      </c>
    </row>
    <row r="1642" spans="1:23" hidden="1" x14ac:dyDescent="0.45">
      <c r="A1642" s="1" t="s">
        <v>1625</v>
      </c>
      <c r="B1642" t="s">
        <v>6065</v>
      </c>
      <c r="C1642" t="s">
        <v>7368</v>
      </c>
      <c r="D1642" t="s">
        <v>7888</v>
      </c>
      <c r="E1642" t="s">
        <v>9157</v>
      </c>
      <c r="F1642" t="s">
        <v>10296</v>
      </c>
      <c r="G1642">
        <v>133</v>
      </c>
      <c r="H1642" t="s">
        <v>10310</v>
      </c>
      <c r="N1642">
        <v>65.931143999999989</v>
      </c>
      <c r="P1642">
        <v>24.713094999999999</v>
      </c>
      <c r="R1642" t="s">
        <v>11038</v>
      </c>
      <c r="S1642" t="s">
        <v>10310</v>
      </c>
      <c r="W1642" s="2" t="s">
        <v>11201</v>
      </c>
    </row>
    <row r="1643" spans="1:23" hidden="1" x14ac:dyDescent="0.45">
      <c r="A1643" s="1" t="s">
        <v>1626</v>
      </c>
      <c r="B1643" t="s">
        <v>6173</v>
      </c>
      <c r="C1643" t="s">
        <v>7399</v>
      </c>
      <c r="D1643" t="s">
        <v>7918</v>
      </c>
      <c r="E1643" t="s">
        <v>9174</v>
      </c>
      <c r="F1643" t="s">
        <v>10296</v>
      </c>
      <c r="G1643">
        <v>16.5</v>
      </c>
      <c r="H1643" t="s">
        <v>10307</v>
      </c>
      <c r="K1643" t="s">
        <v>10331</v>
      </c>
      <c r="M1643" t="s">
        <v>10335</v>
      </c>
      <c r="R1643" t="s">
        <v>11037</v>
      </c>
      <c r="S1643" t="s">
        <v>10307</v>
      </c>
      <c r="W1643" s="2" t="s">
        <v>11201</v>
      </c>
    </row>
    <row r="1644" spans="1:23" hidden="1" x14ac:dyDescent="0.45">
      <c r="A1644" s="1" t="s">
        <v>1627</v>
      </c>
      <c r="B1644" t="s">
        <v>6071</v>
      </c>
      <c r="C1644" t="s">
        <v>7374</v>
      </c>
      <c r="D1644" t="s">
        <v>7893</v>
      </c>
      <c r="E1644" t="s">
        <v>9163</v>
      </c>
      <c r="F1644" t="s">
        <v>10296</v>
      </c>
      <c r="G1644">
        <v>8.6</v>
      </c>
      <c r="H1644" t="s">
        <v>10310</v>
      </c>
      <c r="R1644" t="s">
        <v>11038</v>
      </c>
      <c r="S1644" t="s">
        <v>10310</v>
      </c>
      <c r="W1644" s="2" t="s">
        <v>11201</v>
      </c>
    </row>
    <row r="1645" spans="1:23" hidden="1" x14ac:dyDescent="0.45">
      <c r="A1645" s="1" t="s">
        <v>1628</v>
      </c>
      <c r="B1645" t="s">
        <v>6177</v>
      </c>
      <c r="C1645" t="s">
        <v>7473</v>
      </c>
      <c r="D1645" t="s">
        <v>7974</v>
      </c>
      <c r="E1645" t="s">
        <v>9195</v>
      </c>
      <c r="F1645" t="s">
        <v>10296</v>
      </c>
      <c r="G1645">
        <v>12.3</v>
      </c>
      <c r="H1645" t="s">
        <v>10318</v>
      </c>
      <c r="K1645" t="s">
        <v>10331</v>
      </c>
      <c r="M1645" t="s">
        <v>10336</v>
      </c>
      <c r="R1645" t="s">
        <v>11037</v>
      </c>
      <c r="S1645" t="s">
        <v>10318</v>
      </c>
      <c r="W1645" s="2" t="s">
        <v>11201</v>
      </c>
    </row>
    <row r="1646" spans="1:23" hidden="1" x14ac:dyDescent="0.45">
      <c r="A1646" s="1" t="s">
        <v>1629</v>
      </c>
      <c r="B1646" t="s">
        <v>6071</v>
      </c>
      <c r="C1646" t="s">
        <v>7374</v>
      </c>
      <c r="D1646" t="s">
        <v>7893</v>
      </c>
      <c r="E1646" t="s">
        <v>9163</v>
      </c>
      <c r="F1646" t="s">
        <v>10296</v>
      </c>
      <c r="G1646">
        <v>3.01</v>
      </c>
      <c r="H1646" t="s">
        <v>10310</v>
      </c>
      <c r="R1646" t="s">
        <v>11038</v>
      </c>
      <c r="S1646" t="s">
        <v>10310</v>
      </c>
      <c r="W1646" s="2" t="s">
        <v>11201</v>
      </c>
    </row>
    <row r="1647" spans="1:23" hidden="1" x14ac:dyDescent="0.45">
      <c r="A1647" s="1" t="s">
        <v>1630</v>
      </c>
      <c r="B1647" t="s">
        <v>6178</v>
      </c>
      <c r="C1647" t="s">
        <v>7474</v>
      </c>
      <c r="D1647" t="s">
        <v>7975</v>
      </c>
      <c r="E1647" t="s">
        <v>9213</v>
      </c>
      <c r="F1647" t="s">
        <v>10296</v>
      </c>
      <c r="G1647">
        <v>11.4</v>
      </c>
      <c r="H1647" t="s">
        <v>10307</v>
      </c>
      <c r="K1647" t="s">
        <v>10331</v>
      </c>
      <c r="M1647" t="s">
        <v>10335</v>
      </c>
      <c r="R1647" t="s">
        <v>11037</v>
      </c>
      <c r="S1647" t="s">
        <v>10307</v>
      </c>
      <c r="W1647" s="2" t="s">
        <v>11201</v>
      </c>
    </row>
    <row r="1648" spans="1:23" hidden="1" x14ac:dyDescent="0.45">
      <c r="A1648" s="1" t="s">
        <v>1631</v>
      </c>
      <c r="B1648" t="s">
        <v>6100</v>
      </c>
      <c r="C1648" t="s">
        <v>7405</v>
      </c>
      <c r="D1648" t="s">
        <v>7892</v>
      </c>
      <c r="E1648" t="s">
        <v>9180</v>
      </c>
      <c r="F1648" t="s">
        <v>10296</v>
      </c>
      <c r="G1648">
        <v>41</v>
      </c>
      <c r="H1648" t="s">
        <v>10309</v>
      </c>
      <c r="K1648" t="s">
        <v>10331</v>
      </c>
      <c r="M1648" t="s">
        <v>10335</v>
      </c>
      <c r="R1648" t="s">
        <v>11038</v>
      </c>
      <c r="S1648" t="s">
        <v>10317</v>
      </c>
      <c r="T1648" t="s">
        <v>10309</v>
      </c>
      <c r="W1648" s="2" t="s">
        <v>11201</v>
      </c>
    </row>
    <row r="1649" spans="1:23" hidden="1" x14ac:dyDescent="0.45">
      <c r="A1649" s="1" t="s">
        <v>1632</v>
      </c>
      <c r="B1649" t="s">
        <v>6100</v>
      </c>
      <c r="C1649" t="s">
        <v>7405</v>
      </c>
      <c r="D1649" t="s">
        <v>7923</v>
      </c>
      <c r="E1649" t="s">
        <v>9180</v>
      </c>
      <c r="F1649" t="s">
        <v>10296</v>
      </c>
      <c r="G1649">
        <v>3</v>
      </c>
      <c r="H1649" t="s">
        <v>10310</v>
      </c>
      <c r="R1649" t="s">
        <v>11038</v>
      </c>
      <c r="S1649" t="s">
        <v>10310</v>
      </c>
      <c r="W1649" s="2" t="s">
        <v>11201</v>
      </c>
    </row>
    <row r="1650" spans="1:23" hidden="1" x14ac:dyDescent="0.45">
      <c r="A1650" s="1" t="s">
        <v>1633</v>
      </c>
      <c r="B1650" t="s">
        <v>6174</v>
      </c>
      <c r="C1650" t="s">
        <v>7469</v>
      </c>
      <c r="D1650" t="s">
        <v>7970</v>
      </c>
      <c r="E1650" t="s">
        <v>9210</v>
      </c>
      <c r="F1650" t="s">
        <v>10296</v>
      </c>
      <c r="G1650">
        <v>1</v>
      </c>
      <c r="H1650" t="s">
        <v>10308</v>
      </c>
      <c r="K1650" t="s">
        <v>10331</v>
      </c>
      <c r="M1650" t="s">
        <v>10335</v>
      </c>
      <c r="R1650" t="s">
        <v>11037</v>
      </c>
      <c r="S1650" t="s">
        <v>10308</v>
      </c>
      <c r="W1650" s="2" t="s">
        <v>11201</v>
      </c>
    </row>
    <row r="1651" spans="1:23" hidden="1" x14ac:dyDescent="0.45">
      <c r="A1651" s="1" t="s">
        <v>1634</v>
      </c>
      <c r="B1651" t="s">
        <v>6179</v>
      </c>
      <c r="C1651" t="s">
        <v>7475</v>
      </c>
      <c r="D1651" t="s">
        <v>7976</v>
      </c>
      <c r="E1651" t="s">
        <v>1634</v>
      </c>
      <c r="F1651" t="s">
        <v>10296</v>
      </c>
      <c r="G1651">
        <v>1.3</v>
      </c>
      <c r="H1651" t="s">
        <v>10309</v>
      </c>
      <c r="K1651" t="s">
        <v>10331</v>
      </c>
      <c r="M1651" t="s">
        <v>10336</v>
      </c>
      <c r="R1651" t="s">
        <v>11038</v>
      </c>
      <c r="S1651" t="s">
        <v>10317</v>
      </c>
      <c r="T1651" t="s">
        <v>10309</v>
      </c>
      <c r="W1651" s="2" t="s">
        <v>11201</v>
      </c>
    </row>
    <row r="1652" spans="1:23" hidden="1" x14ac:dyDescent="0.45">
      <c r="A1652" s="1" t="s">
        <v>1635</v>
      </c>
      <c r="B1652" t="s">
        <v>6180</v>
      </c>
      <c r="D1652" t="s">
        <v>7903</v>
      </c>
      <c r="F1652" t="s">
        <v>10296</v>
      </c>
      <c r="G1652">
        <v>7.8</v>
      </c>
      <c r="H1652" t="s">
        <v>10309</v>
      </c>
      <c r="K1652" t="s">
        <v>10331</v>
      </c>
      <c r="M1652" t="s">
        <v>10336</v>
      </c>
      <c r="R1652" t="s">
        <v>11038</v>
      </c>
      <c r="S1652" t="s">
        <v>10317</v>
      </c>
      <c r="T1652" t="s">
        <v>10309</v>
      </c>
      <c r="W1652" s="2" t="s">
        <v>11201</v>
      </c>
    </row>
    <row r="1653" spans="1:23" hidden="1" x14ac:dyDescent="0.45">
      <c r="A1653" s="1" t="s">
        <v>1636</v>
      </c>
      <c r="B1653" t="s">
        <v>6180</v>
      </c>
      <c r="C1653" t="s">
        <v>7476</v>
      </c>
      <c r="D1653" t="s">
        <v>7903</v>
      </c>
      <c r="E1653" t="s">
        <v>9214</v>
      </c>
      <c r="F1653" t="s">
        <v>10296</v>
      </c>
      <c r="G1653">
        <v>11.3</v>
      </c>
      <c r="H1653" t="s">
        <v>10309</v>
      </c>
      <c r="K1653" t="s">
        <v>10331</v>
      </c>
      <c r="M1653" t="s">
        <v>10336</v>
      </c>
      <c r="R1653" t="s">
        <v>11038</v>
      </c>
      <c r="S1653" t="s">
        <v>10317</v>
      </c>
      <c r="T1653" t="s">
        <v>10309</v>
      </c>
      <c r="W1653" s="2" t="s">
        <v>11201</v>
      </c>
    </row>
    <row r="1654" spans="1:23" hidden="1" x14ac:dyDescent="0.45">
      <c r="A1654" s="1" t="s">
        <v>1637</v>
      </c>
      <c r="B1654" t="s">
        <v>6181</v>
      </c>
      <c r="C1654" t="s">
        <v>7477</v>
      </c>
      <c r="D1654" t="s">
        <v>7977</v>
      </c>
      <c r="E1654" t="s">
        <v>1467</v>
      </c>
      <c r="F1654" t="s">
        <v>10296</v>
      </c>
      <c r="G1654">
        <v>0.8</v>
      </c>
      <c r="H1654" t="s">
        <v>10309</v>
      </c>
      <c r="K1654" t="s">
        <v>10331</v>
      </c>
      <c r="M1654" t="s">
        <v>10335</v>
      </c>
      <c r="R1654" t="s">
        <v>11038</v>
      </c>
      <c r="S1654" t="s">
        <v>10317</v>
      </c>
      <c r="T1654" t="s">
        <v>10309</v>
      </c>
      <c r="W1654" s="2" t="s">
        <v>11201</v>
      </c>
    </row>
    <row r="1655" spans="1:23" hidden="1" x14ac:dyDescent="0.45">
      <c r="A1655" s="1" t="s">
        <v>1638</v>
      </c>
      <c r="B1655" t="s">
        <v>6182</v>
      </c>
      <c r="C1655" t="s">
        <v>7438</v>
      </c>
      <c r="D1655" t="s">
        <v>7949</v>
      </c>
      <c r="E1655" t="s">
        <v>9194</v>
      </c>
      <c r="F1655" t="s">
        <v>10296</v>
      </c>
      <c r="G1655">
        <v>65</v>
      </c>
      <c r="H1655" t="s">
        <v>10309</v>
      </c>
      <c r="K1655" t="s">
        <v>10331</v>
      </c>
      <c r="M1655" t="s">
        <v>10336</v>
      </c>
      <c r="R1655" t="s">
        <v>11038</v>
      </c>
      <c r="S1655" t="s">
        <v>10317</v>
      </c>
      <c r="T1655" t="s">
        <v>10309</v>
      </c>
      <c r="W1655" s="2" t="s">
        <v>11201</v>
      </c>
    </row>
    <row r="1656" spans="1:23" hidden="1" x14ac:dyDescent="0.45">
      <c r="A1656" s="1" t="s">
        <v>1639</v>
      </c>
      <c r="B1656" t="s">
        <v>6182</v>
      </c>
      <c r="C1656" t="s">
        <v>7438</v>
      </c>
      <c r="D1656" t="s">
        <v>7949</v>
      </c>
      <c r="E1656" t="s">
        <v>9194</v>
      </c>
      <c r="F1656" t="s">
        <v>10296</v>
      </c>
      <c r="G1656">
        <v>98</v>
      </c>
      <c r="H1656" t="s">
        <v>10309</v>
      </c>
      <c r="K1656" t="s">
        <v>10331</v>
      </c>
      <c r="M1656" t="s">
        <v>10336</v>
      </c>
      <c r="R1656" t="s">
        <v>11038</v>
      </c>
      <c r="S1656" t="s">
        <v>10317</v>
      </c>
      <c r="T1656" t="s">
        <v>10309</v>
      </c>
      <c r="W1656" s="2" t="s">
        <v>11201</v>
      </c>
    </row>
    <row r="1657" spans="1:23" hidden="1" x14ac:dyDescent="0.45">
      <c r="A1657" s="1" t="s">
        <v>1640</v>
      </c>
      <c r="B1657" t="s">
        <v>6183</v>
      </c>
      <c r="C1657" t="s">
        <v>7478</v>
      </c>
      <c r="D1657" t="s">
        <v>7941</v>
      </c>
      <c r="E1657" t="s">
        <v>1647</v>
      </c>
      <c r="F1657" t="s">
        <v>10296</v>
      </c>
      <c r="G1657">
        <v>39.299999999999997</v>
      </c>
      <c r="H1657" t="s">
        <v>10309</v>
      </c>
      <c r="K1657" t="s">
        <v>10331</v>
      </c>
      <c r="M1657" t="s">
        <v>10335</v>
      </c>
      <c r="R1657" t="s">
        <v>11038</v>
      </c>
      <c r="S1657" t="s">
        <v>10317</v>
      </c>
      <c r="T1657" t="s">
        <v>10309</v>
      </c>
      <c r="W1657" s="2" t="s">
        <v>11201</v>
      </c>
    </row>
    <row r="1658" spans="1:23" hidden="1" x14ac:dyDescent="0.45">
      <c r="A1658" s="1" t="s">
        <v>1641</v>
      </c>
      <c r="B1658" t="s">
        <v>6106</v>
      </c>
      <c r="C1658" t="s">
        <v>7405</v>
      </c>
      <c r="D1658" t="s">
        <v>7892</v>
      </c>
      <c r="E1658" t="s">
        <v>9180</v>
      </c>
      <c r="F1658" t="s">
        <v>10296</v>
      </c>
      <c r="G1658">
        <v>13.5</v>
      </c>
      <c r="H1658" t="s">
        <v>10310</v>
      </c>
      <c r="R1658" t="s">
        <v>11038</v>
      </c>
      <c r="S1658" t="s">
        <v>10310</v>
      </c>
      <c r="W1658" s="2" t="s">
        <v>11201</v>
      </c>
    </row>
    <row r="1659" spans="1:23" hidden="1" x14ac:dyDescent="0.45">
      <c r="A1659" s="1" t="s">
        <v>1642</v>
      </c>
      <c r="B1659" t="s">
        <v>6184</v>
      </c>
      <c r="C1659" t="s">
        <v>7479</v>
      </c>
      <c r="D1659" t="s">
        <v>7978</v>
      </c>
      <c r="E1659" t="s">
        <v>9215</v>
      </c>
      <c r="F1659" t="s">
        <v>10296</v>
      </c>
      <c r="G1659">
        <v>105</v>
      </c>
      <c r="H1659" t="s">
        <v>10309</v>
      </c>
      <c r="K1659" t="s">
        <v>10331</v>
      </c>
      <c r="M1659" t="s">
        <v>10335</v>
      </c>
      <c r="N1659">
        <v>62.923071999999998</v>
      </c>
      <c r="P1659">
        <v>30.224046000000001</v>
      </c>
      <c r="Q1659" t="s">
        <v>10725</v>
      </c>
      <c r="R1659" t="s">
        <v>11038</v>
      </c>
      <c r="S1659" t="s">
        <v>10317</v>
      </c>
      <c r="T1659" t="s">
        <v>10309</v>
      </c>
      <c r="W1659" s="2" t="s">
        <v>11201</v>
      </c>
    </row>
    <row r="1660" spans="1:23" hidden="1" x14ac:dyDescent="0.45">
      <c r="A1660" s="1" t="s">
        <v>1643</v>
      </c>
      <c r="B1660" t="s">
        <v>6080</v>
      </c>
      <c r="C1660" t="s">
        <v>7383</v>
      </c>
      <c r="D1660" t="s">
        <v>7902</v>
      </c>
      <c r="E1660" t="s">
        <v>9164</v>
      </c>
      <c r="F1660" t="s">
        <v>10296</v>
      </c>
      <c r="G1660">
        <v>3.7</v>
      </c>
      <c r="H1660" t="s">
        <v>10310</v>
      </c>
      <c r="R1660" t="s">
        <v>11038</v>
      </c>
      <c r="S1660" t="s">
        <v>10310</v>
      </c>
      <c r="W1660" s="2" t="s">
        <v>11201</v>
      </c>
    </row>
    <row r="1661" spans="1:23" hidden="1" x14ac:dyDescent="0.45">
      <c r="A1661" s="1" t="s">
        <v>1644</v>
      </c>
      <c r="B1661" t="s">
        <v>6061</v>
      </c>
      <c r="C1661" t="s">
        <v>7364</v>
      </c>
      <c r="D1661" t="s">
        <v>7884</v>
      </c>
      <c r="E1661" t="s">
        <v>7398</v>
      </c>
      <c r="F1661" t="s">
        <v>10296</v>
      </c>
      <c r="G1661">
        <v>57.8</v>
      </c>
      <c r="H1661" t="s">
        <v>10310</v>
      </c>
      <c r="N1661">
        <v>64.736762999999996</v>
      </c>
      <c r="P1661">
        <v>26.478573000000001</v>
      </c>
      <c r="R1661" t="s">
        <v>11038</v>
      </c>
      <c r="S1661" t="s">
        <v>10310</v>
      </c>
      <c r="W1661" s="2" t="s">
        <v>11201</v>
      </c>
    </row>
    <row r="1662" spans="1:23" hidden="1" x14ac:dyDescent="0.45">
      <c r="A1662" s="1" t="s">
        <v>1645</v>
      </c>
      <c r="B1662" t="s">
        <v>6172</v>
      </c>
      <c r="C1662" t="s">
        <v>7480</v>
      </c>
      <c r="D1662" t="s">
        <v>7979</v>
      </c>
      <c r="E1662" t="s">
        <v>1645</v>
      </c>
      <c r="F1662" t="s">
        <v>10296</v>
      </c>
      <c r="G1662">
        <v>14.2</v>
      </c>
      <c r="H1662" t="s">
        <v>10315</v>
      </c>
      <c r="K1662" t="s">
        <v>10331</v>
      </c>
      <c r="M1662" t="s">
        <v>10335</v>
      </c>
      <c r="R1662" t="s">
        <v>10315</v>
      </c>
      <c r="W1662" s="2" t="s">
        <v>11201</v>
      </c>
    </row>
    <row r="1663" spans="1:23" hidden="1" x14ac:dyDescent="0.45">
      <c r="A1663" s="1" t="s">
        <v>1646</v>
      </c>
      <c r="B1663" t="s">
        <v>6119</v>
      </c>
      <c r="C1663" t="s">
        <v>7481</v>
      </c>
      <c r="D1663" t="s">
        <v>7885</v>
      </c>
      <c r="E1663" t="s">
        <v>9186</v>
      </c>
      <c r="F1663" t="s">
        <v>10296</v>
      </c>
      <c r="G1663">
        <v>3.6</v>
      </c>
      <c r="H1663" t="s">
        <v>10310</v>
      </c>
      <c r="R1663" t="s">
        <v>11038</v>
      </c>
      <c r="S1663" t="s">
        <v>10310</v>
      </c>
      <c r="W1663" s="2" t="s">
        <v>11201</v>
      </c>
    </row>
    <row r="1664" spans="1:23" hidden="1" x14ac:dyDescent="0.45">
      <c r="A1664" s="1" t="s">
        <v>1647</v>
      </c>
      <c r="B1664" t="s">
        <v>6185</v>
      </c>
      <c r="C1664" t="s">
        <v>7467</v>
      </c>
      <c r="D1664" t="s">
        <v>7968</v>
      </c>
      <c r="E1664" t="s">
        <v>1647</v>
      </c>
      <c r="F1664" t="s">
        <v>10296</v>
      </c>
      <c r="G1664">
        <v>0</v>
      </c>
      <c r="H1664" t="s">
        <v>10308</v>
      </c>
      <c r="M1664" t="s">
        <v>10336</v>
      </c>
      <c r="R1664" t="s">
        <v>11037</v>
      </c>
      <c r="S1664" t="s">
        <v>10308</v>
      </c>
      <c r="W1664" s="2" t="s">
        <v>11201</v>
      </c>
    </row>
    <row r="1665" spans="1:23" hidden="1" x14ac:dyDescent="0.45">
      <c r="A1665" s="1" t="s">
        <v>1648</v>
      </c>
      <c r="B1665" t="s">
        <v>6065</v>
      </c>
      <c r="C1665" t="s">
        <v>7368</v>
      </c>
      <c r="D1665" t="s">
        <v>7888</v>
      </c>
      <c r="E1665" t="s">
        <v>9157</v>
      </c>
      <c r="F1665" t="s">
        <v>10296</v>
      </c>
      <c r="G1665">
        <v>21</v>
      </c>
      <c r="H1665" t="s">
        <v>10310</v>
      </c>
      <c r="R1665" t="s">
        <v>11038</v>
      </c>
      <c r="S1665" t="s">
        <v>10310</v>
      </c>
      <c r="W1665" s="2" t="s">
        <v>11201</v>
      </c>
    </row>
    <row r="1666" spans="1:23" hidden="1" x14ac:dyDescent="0.45">
      <c r="A1666" s="1" t="s">
        <v>1649</v>
      </c>
      <c r="B1666" t="s">
        <v>6065</v>
      </c>
      <c r="C1666" t="s">
        <v>7368</v>
      </c>
      <c r="D1666" t="s">
        <v>7888</v>
      </c>
      <c r="E1666" t="s">
        <v>9157</v>
      </c>
      <c r="F1666" t="s">
        <v>10296</v>
      </c>
      <c r="G1666">
        <v>101</v>
      </c>
      <c r="H1666" t="s">
        <v>10310</v>
      </c>
      <c r="N1666">
        <v>66.424684999999997</v>
      </c>
      <c r="P1666">
        <v>25.540116999999999</v>
      </c>
      <c r="R1666" t="s">
        <v>11038</v>
      </c>
      <c r="S1666" t="s">
        <v>10310</v>
      </c>
      <c r="W1666" s="2" t="s">
        <v>11201</v>
      </c>
    </row>
    <row r="1667" spans="1:23" hidden="1" x14ac:dyDescent="0.45">
      <c r="A1667" s="1" t="s">
        <v>1650</v>
      </c>
      <c r="B1667" t="s">
        <v>6072</v>
      </c>
      <c r="C1667" t="s">
        <v>7392</v>
      </c>
      <c r="D1667" t="s">
        <v>7912</v>
      </c>
      <c r="E1667" t="s">
        <v>9164</v>
      </c>
      <c r="F1667" t="s">
        <v>10296</v>
      </c>
      <c r="G1667">
        <v>50</v>
      </c>
      <c r="H1667" t="s">
        <v>10308</v>
      </c>
      <c r="N1667">
        <v>60.975160000000002</v>
      </c>
      <c r="P1667">
        <v>24.505534999999998</v>
      </c>
      <c r="R1667" t="s">
        <v>11037</v>
      </c>
      <c r="S1667" t="s">
        <v>10308</v>
      </c>
      <c r="W1667" s="2" t="s">
        <v>11201</v>
      </c>
    </row>
    <row r="1668" spans="1:23" hidden="1" x14ac:dyDescent="0.45">
      <c r="A1668" s="1" t="s">
        <v>1651</v>
      </c>
      <c r="B1668" t="s">
        <v>6139</v>
      </c>
      <c r="C1668" t="s">
        <v>7437</v>
      </c>
      <c r="D1668" t="s">
        <v>7980</v>
      </c>
      <c r="E1668" t="s">
        <v>9216</v>
      </c>
      <c r="F1668" t="s">
        <v>10296</v>
      </c>
      <c r="G1668">
        <v>81.400000000000006</v>
      </c>
      <c r="H1668" t="s">
        <v>10313</v>
      </c>
      <c r="K1668" t="s">
        <v>10331</v>
      </c>
      <c r="M1668" t="s">
        <v>10336</v>
      </c>
      <c r="N1668">
        <v>60.283332999999999</v>
      </c>
      <c r="P1668">
        <v>24.836389</v>
      </c>
      <c r="R1668" t="s">
        <v>11037</v>
      </c>
      <c r="S1668" t="s">
        <v>10313</v>
      </c>
      <c r="W1668" s="2" t="s">
        <v>11201</v>
      </c>
    </row>
    <row r="1669" spans="1:23" hidden="1" x14ac:dyDescent="0.45">
      <c r="A1669" s="1" t="s">
        <v>1652</v>
      </c>
      <c r="B1669" t="s">
        <v>6065</v>
      </c>
      <c r="C1669" t="s">
        <v>7368</v>
      </c>
      <c r="D1669" t="s">
        <v>7888</v>
      </c>
      <c r="E1669" t="s">
        <v>9157</v>
      </c>
      <c r="F1669" t="s">
        <v>10296</v>
      </c>
      <c r="G1669">
        <v>95</v>
      </c>
      <c r="H1669" t="s">
        <v>10310</v>
      </c>
      <c r="N1669">
        <v>66.369685000000004</v>
      </c>
      <c r="P1669">
        <v>26.686347999999999</v>
      </c>
      <c r="R1669" t="s">
        <v>11038</v>
      </c>
      <c r="S1669" t="s">
        <v>10310</v>
      </c>
      <c r="W1669" s="2" t="s">
        <v>11201</v>
      </c>
    </row>
    <row r="1670" spans="1:23" hidden="1" x14ac:dyDescent="0.45">
      <c r="A1670" s="1" t="s">
        <v>1653</v>
      </c>
      <c r="B1670" t="s">
        <v>6186</v>
      </c>
      <c r="C1670" t="s">
        <v>7482</v>
      </c>
      <c r="D1670" t="s">
        <v>7981</v>
      </c>
      <c r="E1670" t="s">
        <v>9217</v>
      </c>
      <c r="F1670" t="s">
        <v>10296</v>
      </c>
      <c r="G1670">
        <v>4.5</v>
      </c>
      <c r="H1670" t="s">
        <v>10309</v>
      </c>
      <c r="K1670" t="s">
        <v>10331</v>
      </c>
      <c r="M1670" t="s">
        <v>10336</v>
      </c>
      <c r="R1670" t="s">
        <v>11038</v>
      </c>
      <c r="S1670" t="s">
        <v>10317</v>
      </c>
      <c r="T1670" t="s">
        <v>10309</v>
      </c>
      <c r="W1670" s="2" t="s">
        <v>11201</v>
      </c>
    </row>
    <row r="1671" spans="1:23" hidden="1" x14ac:dyDescent="0.45">
      <c r="A1671" s="1" t="s">
        <v>1654</v>
      </c>
      <c r="B1671" t="s">
        <v>6110</v>
      </c>
      <c r="C1671" t="s">
        <v>7483</v>
      </c>
      <c r="D1671" t="s">
        <v>7982</v>
      </c>
      <c r="E1671" t="s">
        <v>9206</v>
      </c>
      <c r="F1671" t="s">
        <v>10296</v>
      </c>
      <c r="G1671">
        <v>51.8</v>
      </c>
      <c r="H1671" t="s">
        <v>10309</v>
      </c>
      <c r="K1671" t="s">
        <v>10331</v>
      </c>
      <c r="M1671" t="s">
        <v>10335</v>
      </c>
      <c r="N1671">
        <v>62.319012000000001</v>
      </c>
      <c r="P1671">
        <v>27.897383000000001</v>
      </c>
      <c r="R1671" t="s">
        <v>11038</v>
      </c>
      <c r="S1671" t="s">
        <v>10317</v>
      </c>
      <c r="T1671" t="s">
        <v>10309</v>
      </c>
      <c r="W1671" s="2" t="s">
        <v>11201</v>
      </c>
    </row>
    <row r="1672" spans="1:23" hidden="1" x14ac:dyDescent="0.45">
      <c r="A1672" s="1" t="s">
        <v>1655</v>
      </c>
      <c r="B1672" t="s">
        <v>6187</v>
      </c>
      <c r="C1672" t="s">
        <v>7427</v>
      </c>
      <c r="D1672" t="s">
        <v>7941</v>
      </c>
      <c r="E1672" t="s">
        <v>1647</v>
      </c>
      <c r="F1672" t="s">
        <v>10296</v>
      </c>
      <c r="G1672">
        <v>230</v>
      </c>
      <c r="H1672" t="s">
        <v>10314</v>
      </c>
      <c r="I1672" t="s">
        <v>10323</v>
      </c>
      <c r="K1672" t="s">
        <v>10331</v>
      </c>
      <c r="M1672" t="s">
        <v>10336</v>
      </c>
      <c r="N1672">
        <v>63.090473000000003</v>
      </c>
      <c r="P1672">
        <v>21.555412</v>
      </c>
      <c r="Q1672" t="s">
        <v>10726</v>
      </c>
      <c r="R1672" t="s">
        <v>11037</v>
      </c>
      <c r="S1672" t="s">
        <v>10314</v>
      </c>
      <c r="W1672" s="2" t="s">
        <v>11201</v>
      </c>
    </row>
    <row r="1673" spans="1:23" hidden="1" x14ac:dyDescent="0.45">
      <c r="A1673" s="1" t="s">
        <v>1656</v>
      </c>
      <c r="B1673" t="s">
        <v>6188</v>
      </c>
      <c r="C1673" t="s">
        <v>7427</v>
      </c>
      <c r="D1673" t="s">
        <v>7941</v>
      </c>
      <c r="E1673" t="s">
        <v>1647</v>
      </c>
      <c r="F1673" t="s">
        <v>10296</v>
      </c>
      <c r="G1673">
        <v>0</v>
      </c>
      <c r="H1673" t="s">
        <v>10308</v>
      </c>
      <c r="M1673" t="s">
        <v>10336</v>
      </c>
      <c r="N1673">
        <v>63.090473000000003</v>
      </c>
      <c r="P1673">
        <v>21.555412</v>
      </c>
      <c r="Q1673" t="s">
        <v>10726</v>
      </c>
      <c r="R1673" t="s">
        <v>11037</v>
      </c>
      <c r="S1673" t="s">
        <v>10308</v>
      </c>
      <c r="W1673" s="2" t="s">
        <v>11201</v>
      </c>
    </row>
    <row r="1674" spans="1:23" hidden="1" x14ac:dyDescent="0.45">
      <c r="A1674" s="1" t="s">
        <v>1657</v>
      </c>
      <c r="B1674" t="s">
        <v>6072</v>
      </c>
      <c r="C1674" t="s">
        <v>7392</v>
      </c>
      <c r="D1674" t="s">
        <v>7912</v>
      </c>
      <c r="E1674" t="s">
        <v>9164</v>
      </c>
      <c r="F1674" t="s">
        <v>10296</v>
      </c>
      <c r="G1674">
        <v>26</v>
      </c>
      <c r="H1674" t="s">
        <v>10308</v>
      </c>
      <c r="N1674">
        <v>63.090473000000003</v>
      </c>
      <c r="P1674">
        <v>21.555412</v>
      </c>
      <c r="Q1674" t="s">
        <v>10726</v>
      </c>
      <c r="R1674" t="s">
        <v>11037</v>
      </c>
      <c r="S1674" t="s">
        <v>10308</v>
      </c>
      <c r="W1674" s="2" t="s">
        <v>11201</v>
      </c>
    </row>
    <row r="1675" spans="1:23" hidden="1" x14ac:dyDescent="0.45">
      <c r="A1675" s="1" t="s">
        <v>1658</v>
      </c>
      <c r="B1675" t="s">
        <v>6189</v>
      </c>
      <c r="C1675" t="s">
        <v>7484</v>
      </c>
      <c r="D1675" t="s">
        <v>7968</v>
      </c>
      <c r="E1675" t="s">
        <v>1647</v>
      </c>
      <c r="F1675" t="s">
        <v>10296</v>
      </c>
      <c r="G1675">
        <v>5.5</v>
      </c>
      <c r="H1675" t="s">
        <v>10308</v>
      </c>
      <c r="R1675" t="s">
        <v>11037</v>
      </c>
      <c r="S1675" t="s">
        <v>10308</v>
      </c>
      <c r="W1675" s="2" t="s">
        <v>11201</v>
      </c>
    </row>
    <row r="1676" spans="1:23" hidden="1" x14ac:dyDescent="0.45">
      <c r="A1676" s="1" t="s">
        <v>1659</v>
      </c>
      <c r="B1676" t="s">
        <v>6107</v>
      </c>
      <c r="C1676" t="s">
        <v>7485</v>
      </c>
      <c r="D1676" t="s">
        <v>7913</v>
      </c>
      <c r="E1676" t="s">
        <v>1451</v>
      </c>
      <c r="F1676" t="s">
        <v>10296</v>
      </c>
      <c r="G1676">
        <v>0.75</v>
      </c>
      <c r="H1676" t="s">
        <v>10310</v>
      </c>
      <c r="R1676" t="s">
        <v>11038</v>
      </c>
      <c r="S1676" t="s">
        <v>10310</v>
      </c>
      <c r="W1676" s="2" t="s">
        <v>11201</v>
      </c>
    </row>
    <row r="1677" spans="1:23" hidden="1" x14ac:dyDescent="0.45">
      <c r="A1677" s="1" t="s">
        <v>1660</v>
      </c>
      <c r="B1677" t="s">
        <v>6190</v>
      </c>
      <c r="C1677" t="s">
        <v>7486</v>
      </c>
      <c r="D1677" t="s">
        <v>7983</v>
      </c>
      <c r="E1677" t="s">
        <v>1660</v>
      </c>
      <c r="F1677" t="s">
        <v>10296</v>
      </c>
      <c r="G1677">
        <v>1.4</v>
      </c>
      <c r="H1677" t="s">
        <v>10309</v>
      </c>
      <c r="K1677" t="s">
        <v>10331</v>
      </c>
      <c r="M1677" t="s">
        <v>10335</v>
      </c>
      <c r="R1677" t="s">
        <v>11038</v>
      </c>
      <c r="S1677" t="s">
        <v>10317</v>
      </c>
      <c r="T1677" t="s">
        <v>10309</v>
      </c>
      <c r="W1677" s="2" t="s">
        <v>11201</v>
      </c>
    </row>
    <row r="1678" spans="1:23" hidden="1" x14ac:dyDescent="0.45">
      <c r="A1678" s="1" t="s">
        <v>1661</v>
      </c>
      <c r="B1678" t="s">
        <v>6110</v>
      </c>
      <c r="C1678" t="s">
        <v>7487</v>
      </c>
      <c r="D1678" t="s">
        <v>7984</v>
      </c>
      <c r="E1678" t="s">
        <v>1465</v>
      </c>
      <c r="F1678" t="s">
        <v>10296</v>
      </c>
      <c r="G1678">
        <v>90</v>
      </c>
      <c r="H1678" t="s">
        <v>10309</v>
      </c>
      <c r="K1678" t="s">
        <v>10331</v>
      </c>
      <c r="M1678" t="s">
        <v>10335</v>
      </c>
      <c r="N1678">
        <v>65.691141000000002</v>
      </c>
      <c r="P1678">
        <v>24.622799000000001</v>
      </c>
      <c r="R1678" t="s">
        <v>11038</v>
      </c>
      <c r="S1678" t="s">
        <v>10317</v>
      </c>
      <c r="T1678" t="s">
        <v>10309</v>
      </c>
      <c r="W1678" s="2" t="s">
        <v>11201</v>
      </c>
    </row>
    <row r="1679" spans="1:23" hidden="1" x14ac:dyDescent="0.45">
      <c r="A1679" s="1" t="s">
        <v>1662</v>
      </c>
      <c r="B1679" t="s">
        <v>6080</v>
      </c>
      <c r="C1679" t="s">
        <v>7383</v>
      </c>
      <c r="D1679" t="s">
        <v>7902</v>
      </c>
      <c r="E1679" t="s">
        <v>9164</v>
      </c>
      <c r="F1679" t="s">
        <v>10296</v>
      </c>
      <c r="G1679">
        <v>1.8</v>
      </c>
      <c r="H1679" t="s">
        <v>10310</v>
      </c>
      <c r="R1679" t="s">
        <v>11038</v>
      </c>
      <c r="S1679" t="s">
        <v>10310</v>
      </c>
      <c r="W1679" s="2" t="s">
        <v>11201</v>
      </c>
    </row>
    <row r="1680" spans="1:23" hidden="1" x14ac:dyDescent="0.45">
      <c r="A1680" s="1" t="s">
        <v>1663</v>
      </c>
      <c r="B1680" t="s">
        <v>6087</v>
      </c>
      <c r="C1680" t="s">
        <v>7389</v>
      </c>
      <c r="D1680" t="s">
        <v>7909</v>
      </c>
      <c r="E1680" t="s">
        <v>9172</v>
      </c>
      <c r="F1680" t="s">
        <v>10296</v>
      </c>
      <c r="G1680">
        <v>3</v>
      </c>
      <c r="H1680" t="s">
        <v>10310</v>
      </c>
      <c r="R1680" t="s">
        <v>11038</v>
      </c>
      <c r="S1680" t="s">
        <v>10310</v>
      </c>
      <c r="W1680" s="2" t="s">
        <v>11201</v>
      </c>
    </row>
    <row r="1681" spans="1:23" hidden="1" x14ac:dyDescent="0.45">
      <c r="A1681" s="1" t="s">
        <v>1664</v>
      </c>
      <c r="B1681" t="s">
        <v>6191</v>
      </c>
      <c r="C1681" t="s">
        <v>7442</v>
      </c>
      <c r="D1681" t="s">
        <v>7952</v>
      </c>
      <c r="E1681" t="s">
        <v>9218</v>
      </c>
      <c r="F1681" t="s">
        <v>10296</v>
      </c>
      <c r="G1681">
        <v>13.2</v>
      </c>
      <c r="H1681" t="s">
        <v>10313</v>
      </c>
      <c r="K1681" t="s">
        <v>10331</v>
      </c>
      <c r="M1681" t="s">
        <v>10336</v>
      </c>
      <c r="R1681" t="s">
        <v>11037</v>
      </c>
      <c r="S1681" t="s">
        <v>10313</v>
      </c>
      <c r="W1681" s="2" t="s">
        <v>11201</v>
      </c>
    </row>
    <row r="1682" spans="1:23" hidden="1" x14ac:dyDescent="0.45">
      <c r="A1682" s="1" t="s">
        <v>1665</v>
      </c>
      <c r="B1682" t="s">
        <v>6131</v>
      </c>
      <c r="C1682" t="s">
        <v>7430</v>
      </c>
      <c r="D1682" t="s">
        <v>7944</v>
      </c>
      <c r="E1682" t="s">
        <v>1431</v>
      </c>
      <c r="F1682" t="s">
        <v>10296</v>
      </c>
      <c r="G1682">
        <v>1.5</v>
      </c>
      <c r="H1682" t="s">
        <v>10310</v>
      </c>
      <c r="R1682" t="s">
        <v>11038</v>
      </c>
      <c r="S1682" t="s">
        <v>10310</v>
      </c>
      <c r="W1682" s="2" t="s">
        <v>11201</v>
      </c>
    </row>
    <row r="1683" spans="1:23" hidden="1" x14ac:dyDescent="0.45">
      <c r="A1683" s="1" t="s">
        <v>1666</v>
      </c>
      <c r="B1683" t="s">
        <v>6192</v>
      </c>
      <c r="C1683" t="s">
        <v>7488</v>
      </c>
      <c r="D1683" t="s">
        <v>7985</v>
      </c>
      <c r="E1683" t="s">
        <v>9219</v>
      </c>
      <c r="F1683" t="s">
        <v>10296</v>
      </c>
      <c r="G1683">
        <v>2.7</v>
      </c>
      <c r="H1683" t="s">
        <v>10309</v>
      </c>
      <c r="K1683" t="s">
        <v>10331</v>
      </c>
      <c r="M1683" t="s">
        <v>10335</v>
      </c>
      <c r="R1683" t="s">
        <v>11038</v>
      </c>
      <c r="S1683" t="s">
        <v>10317</v>
      </c>
      <c r="T1683" t="s">
        <v>10309</v>
      </c>
      <c r="W1683" s="2" t="s">
        <v>11201</v>
      </c>
    </row>
    <row r="1684" spans="1:23" hidden="1" x14ac:dyDescent="0.45">
      <c r="A1684" s="1" t="s">
        <v>1667</v>
      </c>
      <c r="B1684" t="s">
        <v>6164</v>
      </c>
      <c r="C1684" t="s">
        <v>7461</v>
      </c>
      <c r="D1684" t="s">
        <v>7898</v>
      </c>
      <c r="E1684" t="s">
        <v>7379</v>
      </c>
      <c r="F1684" t="s">
        <v>10296</v>
      </c>
      <c r="G1684">
        <v>2.9</v>
      </c>
      <c r="H1684" t="s">
        <v>10309</v>
      </c>
      <c r="K1684" t="s">
        <v>10331</v>
      </c>
      <c r="M1684" t="s">
        <v>10335</v>
      </c>
      <c r="R1684" t="s">
        <v>11038</v>
      </c>
      <c r="S1684" t="s">
        <v>10317</v>
      </c>
      <c r="T1684" t="s">
        <v>10309</v>
      </c>
      <c r="W1684" s="2" t="s">
        <v>11201</v>
      </c>
    </row>
    <row r="1685" spans="1:23" hidden="1" x14ac:dyDescent="0.45">
      <c r="A1685" s="1" t="s">
        <v>1668</v>
      </c>
      <c r="B1685" t="s">
        <v>6106</v>
      </c>
      <c r="C1685" t="s">
        <v>7405</v>
      </c>
      <c r="D1685" t="s">
        <v>7923</v>
      </c>
      <c r="E1685" t="s">
        <v>9180</v>
      </c>
      <c r="F1685" t="s">
        <v>10296</v>
      </c>
      <c r="G1685">
        <v>8.9</v>
      </c>
      <c r="H1685" t="s">
        <v>10310</v>
      </c>
      <c r="R1685" t="s">
        <v>11038</v>
      </c>
      <c r="S1685" t="s">
        <v>10310</v>
      </c>
      <c r="W1685" s="2" t="s">
        <v>11201</v>
      </c>
    </row>
    <row r="1686" spans="1:23" hidden="1" x14ac:dyDescent="0.45">
      <c r="A1686" s="1" t="s">
        <v>1669</v>
      </c>
      <c r="B1686" t="s">
        <v>6106</v>
      </c>
      <c r="C1686" t="s">
        <v>7405</v>
      </c>
      <c r="D1686" t="s">
        <v>7923</v>
      </c>
      <c r="E1686" t="s">
        <v>9220</v>
      </c>
      <c r="F1686" t="s">
        <v>10296</v>
      </c>
      <c r="G1686">
        <v>24</v>
      </c>
      <c r="H1686" t="s">
        <v>10310</v>
      </c>
      <c r="R1686" t="s">
        <v>11038</v>
      </c>
      <c r="S1686" t="s">
        <v>10310</v>
      </c>
      <c r="W1686" s="2" t="s">
        <v>11201</v>
      </c>
    </row>
    <row r="1687" spans="1:23" hidden="1" x14ac:dyDescent="0.45">
      <c r="A1687" s="1" t="s">
        <v>1670</v>
      </c>
      <c r="B1687" t="s">
        <v>6142</v>
      </c>
      <c r="C1687" t="s">
        <v>7440</v>
      </c>
      <c r="D1687" t="s">
        <v>7951</v>
      </c>
      <c r="E1687" t="s">
        <v>1388</v>
      </c>
      <c r="F1687" t="s">
        <v>10296</v>
      </c>
      <c r="G1687">
        <v>9.5</v>
      </c>
      <c r="H1687" t="s">
        <v>10310</v>
      </c>
      <c r="R1687" t="s">
        <v>11038</v>
      </c>
      <c r="S1687" t="s">
        <v>10310</v>
      </c>
      <c r="W1687" s="2" t="s">
        <v>11201</v>
      </c>
    </row>
    <row r="1688" spans="1:23" hidden="1" x14ac:dyDescent="0.45">
      <c r="A1688" s="1" t="s">
        <v>1671</v>
      </c>
      <c r="B1688" t="s">
        <v>6079</v>
      </c>
      <c r="C1688" t="s">
        <v>7382</v>
      </c>
      <c r="D1688" t="s">
        <v>7901</v>
      </c>
      <c r="E1688" t="s">
        <v>9169</v>
      </c>
      <c r="F1688" t="s">
        <v>10296</v>
      </c>
      <c r="G1688">
        <v>163</v>
      </c>
      <c r="H1688" t="s">
        <v>10307</v>
      </c>
      <c r="K1688" t="s">
        <v>10331</v>
      </c>
      <c r="M1688" t="s">
        <v>10336</v>
      </c>
      <c r="N1688">
        <v>60.220314999999999</v>
      </c>
      <c r="P1688">
        <v>25.169657999999998</v>
      </c>
      <c r="R1688" t="s">
        <v>11037</v>
      </c>
      <c r="S1688" t="s">
        <v>10307</v>
      </c>
      <c r="W1688" s="2" t="s">
        <v>11201</v>
      </c>
    </row>
    <row r="1689" spans="1:23" hidden="1" x14ac:dyDescent="0.45">
      <c r="A1689" s="1" t="s">
        <v>1672</v>
      </c>
      <c r="B1689" t="s">
        <v>6079</v>
      </c>
      <c r="C1689" t="s">
        <v>7382</v>
      </c>
      <c r="D1689" t="s">
        <v>7901</v>
      </c>
      <c r="E1689" t="s">
        <v>9169</v>
      </c>
      <c r="F1689" t="s">
        <v>10296</v>
      </c>
      <c r="G1689">
        <v>485</v>
      </c>
      <c r="H1689" t="s">
        <v>10307</v>
      </c>
      <c r="K1689" t="s">
        <v>10331</v>
      </c>
      <c r="M1689" t="s">
        <v>10336</v>
      </c>
      <c r="N1689">
        <v>60.220314999999999</v>
      </c>
      <c r="P1689">
        <v>25.169657999999998</v>
      </c>
      <c r="Q1689" t="s">
        <v>10727</v>
      </c>
      <c r="R1689" t="s">
        <v>11037</v>
      </c>
      <c r="S1689" t="s">
        <v>10307</v>
      </c>
      <c r="W1689" s="2" t="s">
        <v>11201</v>
      </c>
    </row>
    <row r="1690" spans="1:23" hidden="1" x14ac:dyDescent="0.45">
      <c r="A1690" s="1" t="s">
        <v>1673</v>
      </c>
      <c r="B1690" t="s">
        <v>6083</v>
      </c>
      <c r="C1690" t="s">
        <v>7385</v>
      </c>
      <c r="D1690" t="s">
        <v>7905</v>
      </c>
      <c r="E1690" t="s">
        <v>9170</v>
      </c>
      <c r="F1690" t="s">
        <v>10296</v>
      </c>
      <c r="G1690">
        <v>1.2</v>
      </c>
      <c r="H1690" t="s">
        <v>10310</v>
      </c>
      <c r="R1690" t="s">
        <v>11038</v>
      </c>
      <c r="S1690" t="s">
        <v>10310</v>
      </c>
      <c r="W1690" s="2" t="s">
        <v>11201</v>
      </c>
    </row>
    <row r="1691" spans="1:23" hidden="1" x14ac:dyDescent="0.45">
      <c r="A1691" s="1" t="s">
        <v>1674</v>
      </c>
      <c r="B1691" t="s">
        <v>6189</v>
      </c>
      <c r="C1691" t="s">
        <v>7484</v>
      </c>
      <c r="D1691" t="s">
        <v>7968</v>
      </c>
      <c r="E1691" t="s">
        <v>1647</v>
      </c>
      <c r="F1691" t="s">
        <v>10296</v>
      </c>
      <c r="G1691">
        <v>10.4</v>
      </c>
      <c r="H1691" t="s">
        <v>10308</v>
      </c>
      <c r="R1691" t="s">
        <v>11037</v>
      </c>
      <c r="S1691" t="s">
        <v>10308</v>
      </c>
      <c r="W1691" s="2" t="s">
        <v>11201</v>
      </c>
    </row>
    <row r="1692" spans="1:23" hidden="1" x14ac:dyDescent="0.45">
      <c r="A1692" s="1" t="s">
        <v>1675</v>
      </c>
      <c r="B1692" t="s">
        <v>6131</v>
      </c>
      <c r="C1692" t="s">
        <v>7430</v>
      </c>
      <c r="D1692" t="s">
        <v>7944</v>
      </c>
      <c r="E1692" t="s">
        <v>1431</v>
      </c>
      <c r="F1692" t="s">
        <v>10296</v>
      </c>
      <c r="G1692">
        <v>1.8</v>
      </c>
      <c r="H1692" t="s">
        <v>10310</v>
      </c>
      <c r="R1692" t="s">
        <v>11038</v>
      </c>
      <c r="S1692" t="s">
        <v>10310</v>
      </c>
      <c r="W1692" s="2" t="s">
        <v>11201</v>
      </c>
    </row>
    <row r="1693" spans="1:23" hidden="1" x14ac:dyDescent="0.45">
      <c r="A1693" s="1" t="s">
        <v>1676</v>
      </c>
      <c r="B1693" t="s">
        <v>6193</v>
      </c>
      <c r="C1693" t="s">
        <v>7489</v>
      </c>
      <c r="D1693" t="s">
        <v>7912</v>
      </c>
      <c r="E1693" t="s">
        <v>9221</v>
      </c>
      <c r="F1693" t="s">
        <v>10296</v>
      </c>
      <c r="G1693">
        <v>6.2</v>
      </c>
      <c r="H1693" t="s">
        <v>10309</v>
      </c>
      <c r="K1693" t="s">
        <v>10331</v>
      </c>
      <c r="M1693" t="s">
        <v>10336</v>
      </c>
      <c r="R1693" t="s">
        <v>11038</v>
      </c>
      <c r="S1693" t="s">
        <v>10317</v>
      </c>
      <c r="T1693" t="s">
        <v>10309</v>
      </c>
      <c r="W1693" s="2" t="s">
        <v>11201</v>
      </c>
    </row>
    <row r="1694" spans="1:23" hidden="1" x14ac:dyDescent="0.45">
      <c r="A1694" s="1" t="s">
        <v>1677</v>
      </c>
      <c r="B1694" t="s">
        <v>6066</v>
      </c>
      <c r="C1694" t="s">
        <v>7369</v>
      </c>
      <c r="D1694" t="s">
        <v>7889</v>
      </c>
      <c r="E1694" t="s">
        <v>9158</v>
      </c>
      <c r="F1694" t="s">
        <v>10296</v>
      </c>
      <c r="G1694">
        <v>1</v>
      </c>
      <c r="H1694" t="s">
        <v>10310</v>
      </c>
      <c r="R1694" t="s">
        <v>11038</v>
      </c>
      <c r="S1694" t="s">
        <v>10310</v>
      </c>
      <c r="W1694" s="2" t="s">
        <v>11201</v>
      </c>
    </row>
    <row r="1695" spans="1:23" hidden="1" x14ac:dyDescent="0.45">
      <c r="A1695" s="1" t="s">
        <v>1678</v>
      </c>
      <c r="B1695" t="s">
        <v>6106</v>
      </c>
      <c r="C1695" t="s">
        <v>7405</v>
      </c>
      <c r="D1695" t="s">
        <v>7923</v>
      </c>
      <c r="E1695" t="s">
        <v>9180</v>
      </c>
      <c r="F1695" t="s">
        <v>10296</v>
      </c>
      <c r="G1695">
        <v>19.7</v>
      </c>
      <c r="H1695" t="s">
        <v>10310</v>
      </c>
      <c r="R1695" t="s">
        <v>11038</v>
      </c>
      <c r="S1695" t="s">
        <v>10310</v>
      </c>
      <c r="W1695" s="2" t="s">
        <v>11201</v>
      </c>
    </row>
    <row r="1696" spans="1:23" hidden="1" x14ac:dyDescent="0.45">
      <c r="A1696" s="1" t="s">
        <v>1679</v>
      </c>
      <c r="B1696" t="s">
        <v>6061</v>
      </c>
      <c r="C1696" t="s">
        <v>7364</v>
      </c>
      <c r="D1696" t="s">
        <v>7884</v>
      </c>
      <c r="E1696" t="s">
        <v>7398</v>
      </c>
      <c r="F1696" t="s">
        <v>10296</v>
      </c>
      <c r="G1696">
        <v>14</v>
      </c>
      <c r="H1696" t="s">
        <v>10310</v>
      </c>
      <c r="R1696" t="s">
        <v>11038</v>
      </c>
      <c r="S1696" t="s">
        <v>10310</v>
      </c>
      <c r="W1696" s="2" t="s">
        <v>11201</v>
      </c>
    </row>
    <row r="1697" spans="1:23" hidden="1" x14ac:dyDescent="0.45">
      <c r="A1697" s="1" t="s">
        <v>1680</v>
      </c>
      <c r="B1697" t="s">
        <v>6111</v>
      </c>
      <c r="C1697" t="s">
        <v>7412</v>
      </c>
      <c r="D1697" t="s">
        <v>7928</v>
      </c>
      <c r="E1697" t="s">
        <v>9182</v>
      </c>
      <c r="F1697" t="s">
        <v>10296</v>
      </c>
      <c r="G1697">
        <v>1.57</v>
      </c>
      <c r="H1697" t="s">
        <v>10310</v>
      </c>
      <c r="R1697" t="s">
        <v>11038</v>
      </c>
      <c r="S1697" t="s">
        <v>10310</v>
      </c>
      <c r="W1697" s="2" t="s">
        <v>11201</v>
      </c>
    </row>
    <row r="1698" spans="1:23" hidden="1" x14ac:dyDescent="0.45">
      <c r="A1698" s="1" t="s">
        <v>1681</v>
      </c>
      <c r="B1698" t="s">
        <v>6194</v>
      </c>
      <c r="C1698" t="s">
        <v>7398</v>
      </c>
      <c r="D1698" t="s">
        <v>7986</v>
      </c>
      <c r="E1698" t="s">
        <v>9222</v>
      </c>
      <c r="F1698" t="s">
        <v>10296</v>
      </c>
      <c r="G1698">
        <v>15.65</v>
      </c>
      <c r="H1698" t="s">
        <v>10309</v>
      </c>
      <c r="K1698" t="s">
        <v>10331</v>
      </c>
      <c r="M1698" t="s">
        <v>10336</v>
      </c>
      <c r="R1698" t="s">
        <v>11038</v>
      </c>
      <c r="S1698" t="s">
        <v>10317</v>
      </c>
      <c r="T1698" t="s">
        <v>10309</v>
      </c>
      <c r="W1698" s="2" t="s">
        <v>11201</v>
      </c>
    </row>
    <row r="1699" spans="1:23" hidden="1" x14ac:dyDescent="0.45">
      <c r="A1699" s="1" t="s">
        <v>1682</v>
      </c>
      <c r="B1699" t="s">
        <v>6194</v>
      </c>
      <c r="C1699" t="s">
        <v>7398</v>
      </c>
      <c r="D1699" t="s">
        <v>7986</v>
      </c>
      <c r="E1699" t="s">
        <v>9222</v>
      </c>
      <c r="F1699" t="s">
        <v>10296</v>
      </c>
      <c r="G1699">
        <v>3.13</v>
      </c>
      <c r="H1699" t="s">
        <v>10309</v>
      </c>
      <c r="K1699" t="s">
        <v>10331</v>
      </c>
      <c r="M1699" t="s">
        <v>10336</v>
      </c>
      <c r="R1699" t="s">
        <v>11038</v>
      </c>
      <c r="S1699" t="s">
        <v>10317</v>
      </c>
      <c r="T1699" t="s">
        <v>10309</v>
      </c>
      <c r="W1699" s="2" t="s">
        <v>11201</v>
      </c>
    </row>
    <row r="1700" spans="1:23" hidden="1" x14ac:dyDescent="0.45">
      <c r="A1700" s="1" t="s">
        <v>1683</v>
      </c>
      <c r="B1700" t="s">
        <v>6195</v>
      </c>
      <c r="C1700" t="s">
        <v>7490</v>
      </c>
      <c r="D1700" t="s">
        <v>7987</v>
      </c>
      <c r="E1700" t="s">
        <v>9223</v>
      </c>
      <c r="F1700" t="s">
        <v>10296</v>
      </c>
      <c r="G1700">
        <v>35</v>
      </c>
      <c r="H1700" t="s">
        <v>10309</v>
      </c>
      <c r="K1700" t="s">
        <v>10331</v>
      </c>
      <c r="M1700" t="s">
        <v>10335</v>
      </c>
      <c r="R1700" t="s">
        <v>11038</v>
      </c>
      <c r="S1700" t="s">
        <v>10317</v>
      </c>
      <c r="T1700" t="s">
        <v>10309</v>
      </c>
      <c r="W1700" s="2" t="s">
        <v>11201</v>
      </c>
    </row>
    <row r="1701" spans="1:23" hidden="1" x14ac:dyDescent="0.45">
      <c r="A1701" s="1" t="s">
        <v>1684</v>
      </c>
      <c r="B1701" t="s">
        <v>6173</v>
      </c>
      <c r="C1701" t="s">
        <v>7399</v>
      </c>
      <c r="D1701" t="s">
        <v>7918</v>
      </c>
      <c r="E1701" t="s">
        <v>9174</v>
      </c>
      <c r="F1701" t="s">
        <v>10296</v>
      </c>
      <c r="G1701">
        <v>6</v>
      </c>
      <c r="H1701" t="s">
        <v>10310</v>
      </c>
      <c r="R1701" t="s">
        <v>11038</v>
      </c>
      <c r="S1701" t="s">
        <v>10310</v>
      </c>
      <c r="W1701" s="2" t="s">
        <v>11201</v>
      </c>
    </row>
    <row r="1702" spans="1:23" hidden="1" x14ac:dyDescent="0.45">
      <c r="A1702" s="1" t="s">
        <v>1685</v>
      </c>
      <c r="B1702" t="s">
        <v>6196</v>
      </c>
      <c r="C1702" t="s">
        <v>7491</v>
      </c>
      <c r="D1702" t="s">
        <v>7918</v>
      </c>
      <c r="E1702" t="s">
        <v>9174</v>
      </c>
      <c r="F1702" t="s">
        <v>10296</v>
      </c>
      <c r="G1702">
        <v>280</v>
      </c>
      <c r="H1702" t="s">
        <v>10309</v>
      </c>
      <c r="K1702" t="s">
        <v>10331</v>
      </c>
      <c r="M1702" t="s">
        <v>10335</v>
      </c>
      <c r="R1702" t="s">
        <v>11038</v>
      </c>
      <c r="S1702" t="s">
        <v>10317</v>
      </c>
      <c r="T1702" t="s">
        <v>10309</v>
      </c>
      <c r="W1702" s="2" t="s">
        <v>11201</v>
      </c>
    </row>
    <row r="1703" spans="1:23" hidden="1" x14ac:dyDescent="0.45">
      <c r="A1703" s="1" t="s">
        <v>1686</v>
      </c>
      <c r="B1703" t="s">
        <v>6197</v>
      </c>
      <c r="D1703" t="s">
        <v>7988</v>
      </c>
      <c r="E1703" t="s">
        <v>9224</v>
      </c>
      <c r="F1703" t="s">
        <v>10297</v>
      </c>
      <c r="G1703">
        <v>360</v>
      </c>
      <c r="H1703" t="s">
        <v>10314</v>
      </c>
      <c r="L1703">
        <v>1974</v>
      </c>
      <c r="R1703" t="s">
        <v>11037</v>
      </c>
      <c r="S1703" t="s">
        <v>10314</v>
      </c>
      <c r="W1703" s="2" t="s">
        <v>11202</v>
      </c>
    </row>
    <row r="1704" spans="1:23" hidden="1" x14ac:dyDescent="0.45">
      <c r="A1704" s="1" t="s">
        <v>1687</v>
      </c>
      <c r="B1704" t="s">
        <v>6197</v>
      </c>
      <c r="D1704" t="s">
        <v>7988</v>
      </c>
      <c r="E1704" t="s">
        <v>9224</v>
      </c>
      <c r="F1704" t="s">
        <v>10297</v>
      </c>
      <c r="G1704">
        <v>595.16999999999996</v>
      </c>
      <c r="H1704" t="s">
        <v>10314</v>
      </c>
      <c r="L1704">
        <v>1985</v>
      </c>
      <c r="R1704" t="s">
        <v>11037</v>
      </c>
      <c r="S1704" t="s">
        <v>10314</v>
      </c>
      <c r="W1704" s="2" t="s">
        <v>11202</v>
      </c>
    </row>
    <row r="1705" spans="1:23" hidden="1" x14ac:dyDescent="0.45">
      <c r="A1705" s="1" t="s">
        <v>1688</v>
      </c>
      <c r="B1705" t="s">
        <v>6197</v>
      </c>
      <c r="D1705" t="s">
        <v>7988</v>
      </c>
      <c r="E1705" t="s">
        <v>9225</v>
      </c>
      <c r="F1705" t="s">
        <v>10297</v>
      </c>
      <c r="G1705">
        <v>350</v>
      </c>
      <c r="H1705" t="s">
        <v>10314</v>
      </c>
      <c r="L1705">
        <v>1984</v>
      </c>
      <c r="N1705">
        <v>43.313101000000003</v>
      </c>
      <c r="P1705">
        <v>-5.8756769999999996</v>
      </c>
      <c r="Q1705" t="s">
        <v>10728</v>
      </c>
      <c r="R1705" t="s">
        <v>11037</v>
      </c>
      <c r="S1705" t="s">
        <v>10314</v>
      </c>
      <c r="W1705" s="2" t="s">
        <v>11202</v>
      </c>
    </row>
    <row r="1706" spans="1:23" hidden="1" x14ac:dyDescent="0.45">
      <c r="A1706" s="1" t="s">
        <v>1689</v>
      </c>
      <c r="B1706" t="s">
        <v>6198</v>
      </c>
      <c r="D1706" t="s">
        <v>7989</v>
      </c>
      <c r="E1706" t="s">
        <v>9226</v>
      </c>
      <c r="F1706" t="s">
        <v>10297</v>
      </c>
      <c r="G1706">
        <v>1067.49</v>
      </c>
      <c r="H1706" t="s">
        <v>10311</v>
      </c>
      <c r="L1706">
        <v>1988</v>
      </c>
      <c r="N1706">
        <v>40.699986000000003</v>
      </c>
      <c r="P1706">
        <v>-2.6248200000000002</v>
      </c>
      <c r="Q1706" t="s">
        <v>10729</v>
      </c>
      <c r="R1706" t="s">
        <v>10311</v>
      </c>
      <c r="W1706" s="2" t="s">
        <v>11202</v>
      </c>
    </row>
    <row r="1707" spans="1:23" hidden="1" x14ac:dyDescent="0.45">
      <c r="A1707" s="1" t="s">
        <v>1690</v>
      </c>
      <c r="B1707" t="s">
        <v>6197</v>
      </c>
      <c r="D1707" t="s">
        <v>7988</v>
      </c>
      <c r="E1707" t="s">
        <v>9227</v>
      </c>
      <c r="F1707" t="s">
        <v>10297</v>
      </c>
      <c r="G1707">
        <v>26.8</v>
      </c>
      <c r="H1707" t="s">
        <v>10310</v>
      </c>
      <c r="I1707" t="s">
        <v>10326</v>
      </c>
      <c r="L1707">
        <v>1967</v>
      </c>
      <c r="N1707">
        <v>43.320954</v>
      </c>
      <c r="P1707">
        <v>-6.3038349999999994</v>
      </c>
      <c r="R1707" t="s">
        <v>11038</v>
      </c>
      <c r="S1707" t="s">
        <v>10310</v>
      </c>
      <c r="W1707" s="2" t="s">
        <v>11202</v>
      </c>
    </row>
    <row r="1708" spans="1:23" hidden="1" x14ac:dyDescent="0.45">
      <c r="A1708" s="1" t="s">
        <v>1691</v>
      </c>
      <c r="B1708" t="s">
        <v>6197</v>
      </c>
      <c r="D1708" t="s">
        <v>7988</v>
      </c>
      <c r="E1708" t="s">
        <v>9227</v>
      </c>
      <c r="F1708" t="s">
        <v>10297</v>
      </c>
      <c r="G1708">
        <v>26.8</v>
      </c>
      <c r="H1708" t="s">
        <v>10310</v>
      </c>
      <c r="I1708" t="s">
        <v>10326</v>
      </c>
      <c r="L1708">
        <v>1967</v>
      </c>
      <c r="N1708">
        <v>43.320954</v>
      </c>
      <c r="P1708">
        <v>-6.3038349999999994</v>
      </c>
      <c r="R1708" t="s">
        <v>11038</v>
      </c>
      <c r="S1708" t="s">
        <v>10310</v>
      </c>
      <c r="W1708" s="2" t="s">
        <v>11202</v>
      </c>
    </row>
    <row r="1709" spans="1:23" hidden="1" x14ac:dyDescent="0.45">
      <c r="A1709" s="1" t="s">
        <v>1692</v>
      </c>
      <c r="B1709" t="s">
        <v>6197</v>
      </c>
      <c r="D1709" t="s">
        <v>7988</v>
      </c>
      <c r="E1709" t="s">
        <v>9227</v>
      </c>
      <c r="F1709" t="s">
        <v>10297</v>
      </c>
      <c r="G1709">
        <v>2.48</v>
      </c>
      <c r="H1709" t="s">
        <v>10310</v>
      </c>
      <c r="I1709" t="s">
        <v>10326</v>
      </c>
      <c r="L1709">
        <v>1974</v>
      </c>
      <c r="N1709">
        <v>43.320954</v>
      </c>
      <c r="P1709">
        <v>-6.3038349999999994</v>
      </c>
      <c r="R1709" t="s">
        <v>11038</v>
      </c>
      <c r="S1709" t="s">
        <v>10310</v>
      </c>
      <c r="W1709" s="2" t="s">
        <v>11202</v>
      </c>
    </row>
    <row r="1710" spans="1:23" hidden="1" x14ac:dyDescent="0.45">
      <c r="A1710" s="1" t="s">
        <v>1693</v>
      </c>
      <c r="B1710" t="s">
        <v>6197</v>
      </c>
      <c r="D1710" t="s">
        <v>7988</v>
      </c>
      <c r="E1710" t="s">
        <v>9227</v>
      </c>
      <c r="F1710" t="s">
        <v>10297</v>
      </c>
      <c r="G1710">
        <v>1.8</v>
      </c>
      <c r="H1710" t="s">
        <v>10310</v>
      </c>
      <c r="I1710" t="s">
        <v>10325</v>
      </c>
      <c r="L1710">
        <v>1952</v>
      </c>
      <c r="R1710" t="s">
        <v>11038</v>
      </c>
      <c r="S1710" t="s">
        <v>10310</v>
      </c>
      <c r="W1710" s="2" t="s">
        <v>11202</v>
      </c>
    </row>
    <row r="1711" spans="1:23" hidden="1" x14ac:dyDescent="0.45">
      <c r="A1711" s="1" t="s">
        <v>1694</v>
      </c>
      <c r="B1711" t="s">
        <v>6197</v>
      </c>
      <c r="D1711" t="s">
        <v>7988</v>
      </c>
      <c r="E1711" t="s">
        <v>9227</v>
      </c>
      <c r="F1711" t="s">
        <v>10297</v>
      </c>
      <c r="G1711">
        <v>1.8</v>
      </c>
      <c r="H1711" t="s">
        <v>10310</v>
      </c>
      <c r="I1711" t="s">
        <v>10325</v>
      </c>
      <c r="L1711">
        <v>1952</v>
      </c>
      <c r="R1711" t="s">
        <v>11038</v>
      </c>
      <c r="S1711" t="s">
        <v>10310</v>
      </c>
      <c r="W1711" s="2" t="s">
        <v>11202</v>
      </c>
    </row>
    <row r="1712" spans="1:23" hidden="1" x14ac:dyDescent="0.45">
      <c r="A1712" s="1" t="s">
        <v>1695</v>
      </c>
      <c r="B1712" t="s">
        <v>6197</v>
      </c>
      <c r="D1712" t="s">
        <v>7988</v>
      </c>
      <c r="E1712" t="s">
        <v>9227</v>
      </c>
      <c r="F1712" t="s">
        <v>10297</v>
      </c>
      <c r="G1712">
        <v>4</v>
      </c>
      <c r="H1712" t="s">
        <v>10310</v>
      </c>
      <c r="I1712" t="s">
        <v>10325</v>
      </c>
      <c r="L1712">
        <v>1957</v>
      </c>
      <c r="R1712" t="s">
        <v>11038</v>
      </c>
      <c r="S1712" t="s">
        <v>10310</v>
      </c>
      <c r="W1712" s="2" t="s">
        <v>11202</v>
      </c>
    </row>
    <row r="1713" spans="1:23" hidden="1" x14ac:dyDescent="0.45">
      <c r="A1713" s="1" t="s">
        <v>1696</v>
      </c>
      <c r="B1713" t="s">
        <v>6197</v>
      </c>
      <c r="D1713" t="s">
        <v>7988</v>
      </c>
      <c r="E1713" t="s">
        <v>9228</v>
      </c>
      <c r="F1713" t="s">
        <v>10297</v>
      </c>
      <c r="G1713">
        <v>0.44</v>
      </c>
      <c r="H1713" t="s">
        <v>10310</v>
      </c>
      <c r="I1713" t="s">
        <v>10325</v>
      </c>
      <c r="L1713">
        <v>1905</v>
      </c>
      <c r="R1713" t="s">
        <v>11038</v>
      </c>
      <c r="S1713" t="s">
        <v>10310</v>
      </c>
      <c r="W1713" s="2" t="s">
        <v>11202</v>
      </c>
    </row>
    <row r="1714" spans="1:23" hidden="1" x14ac:dyDescent="0.45">
      <c r="A1714" s="1" t="s">
        <v>1697</v>
      </c>
      <c r="B1714" t="s">
        <v>6197</v>
      </c>
      <c r="D1714" t="s">
        <v>7988</v>
      </c>
      <c r="E1714" t="s">
        <v>9228</v>
      </c>
      <c r="F1714" t="s">
        <v>10297</v>
      </c>
      <c r="G1714">
        <v>0.33</v>
      </c>
      <c r="H1714" t="s">
        <v>10310</v>
      </c>
      <c r="I1714" t="s">
        <v>10325</v>
      </c>
      <c r="L1714">
        <v>1905</v>
      </c>
      <c r="R1714" t="s">
        <v>11038</v>
      </c>
      <c r="S1714" t="s">
        <v>10310</v>
      </c>
      <c r="W1714" s="2" t="s">
        <v>11202</v>
      </c>
    </row>
    <row r="1715" spans="1:23" hidden="1" x14ac:dyDescent="0.45">
      <c r="A1715" s="1" t="s">
        <v>1698</v>
      </c>
      <c r="B1715" t="s">
        <v>6197</v>
      </c>
      <c r="D1715" t="s">
        <v>7988</v>
      </c>
      <c r="E1715" t="s">
        <v>9228</v>
      </c>
      <c r="F1715" t="s">
        <v>10297</v>
      </c>
      <c r="G1715">
        <v>0.33</v>
      </c>
      <c r="H1715" t="s">
        <v>10310</v>
      </c>
      <c r="I1715" t="s">
        <v>10325</v>
      </c>
      <c r="L1715">
        <v>1905</v>
      </c>
      <c r="R1715" t="s">
        <v>11038</v>
      </c>
      <c r="S1715" t="s">
        <v>10310</v>
      </c>
      <c r="W1715" s="2" t="s">
        <v>11202</v>
      </c>
    </row>
    <row r="1716" spans="1:23" hidden="1" x14ac:dyDescent="0.45">
      <c r="A1716" s="1" t="s">
        <v>1699</v>
      </c>
      <c r="B1716" t="s">
        <v>6197</v>
      </c>
      <c r="D1716" t="s">
        <v>7988</v>
      </c>
      <c r="E1716" t="s">
        <v>9229</v>
      </c>
      <c r="F1716" t="s">
        <v>10297</v>
      </c>
      <c r="G1716">
        <v>2.2599999999999998</v>
      </c>
      <c r="H1716" t="s">
        <v>10310</v>
      </c>
      <c r="I1716" t="s">
        <v>10325</v>
      </c>
      <c r="L1716">
        <v>1924</v>
      </c>
      <c r="R1716" t="s">
        <v>11038</v>
      </c>
      <c r="S1716" t="s">
        <v>10310</v>
      </c>
      <c r="W1716" s="2" t="s">
        <v>11202</v>
      </c>
    </row>
    <row r="1717" spans="1:23" hidden="1" x14ac:dyDescent="0.45">
      <c r="A1717" s="1" t="s">
        <v>1700</v>
      </c>
      <c r="B1717" t="s">
        <v>6197</v>
      </c>
      <c r="D1717" t="s">
        <v>7988</v>
      </c>
      <c r="E1717" t="s">
        <v>9229</v>
      </c>
      <c r="F1717" t="s">
        <v>10297</v>
      </c>
      <c r="G1717">
        <v>2.31</v>
      </c>
      <c r="H1717" t="s">
        <v>10310</v>
      </c>
      <c r="I1717" t="s">
        <v>10325</v>
      </c>
      <c r="L1717">
        <v>1917</v>
      </c>
      <c r="R1717" t="s">
        <v>11038</v>
      </c>
      <c r="S1717" t="s">
        <v>10310</v>
      </c>
      <c r="W1717" s="2" t="s">
        <v>11202</v>
      </c>
    </row>
    <row r="1718" spans="1:23" hidden="1" x14ac:dyDescent="0.45">
      <c r="A1718" s="1" t="s">
        <v>1701</v>
      </c>
      <c r="B1718" t="s">
        <v>6197</v>
      </c>
      <c r="D1718" t="s">
        <v>7988</v>
      </c>
      <c r="E1718" t="s">
        <v>9229</v>
      </c>
      <c r="F1718" t="s">
        <v>10297</v>
      </c>
      <c r="G1718">
        <v>2.31</v>
      </c>
      <c r="H1718" t="s">
        <v>10310</v>
      </c>
      <c r="I1718" t="s">
        <v>10325</v>
      </c>
      <c r="L1718">
        <v>1917</v>
      </c>
      <c r="R1718" t="s">
        <v>11038</v>
      </c>
      <c r="S1718" t="s">
        <v>10310</v>
      </c>
      <c r="W1718" s="2" t="s">
        <v>11202</v>
      </c>
    </row>
    <row r="1719" spans="1:23" hidden="1" x14ac:dyDescent="0.45">
      <c r="A1719" s="1" t="s">
        <v>1702</v>
      </c>
      <c r="B1719" t="s">
        <v>6197</v>
      </c>
      <c r="D1719" t="s">
        <v>7988</v>
      </c>
      <c r="E1719" t="s">
        <v>9229</v>
      </c>
      <c r="F1719" t="s">
        <v>10297</v>
      </c>
      <c r="G1719">
        <v>2.2599999999999998</v>
      </c>
      <c r="H1719" t="s">
        <v>10310</v>
      </c>
      <c r="I1719" t="s">
        <v>10325</v>
      </c>
      <c r="L1719">
        <v>1924</v>
      </c>
      <c r="R1719" t="s">
        <v>11038</v>
      </c>
      <c r="S1719" t="s">
        <v>10310</v>
      </c>
      <c r="W1719" s="2" t="s">
        <v>11202</v>
      </c>
    </row>
    <row r="1720" spans="1:23" hidden="1" x14ac:dyDescent="0.45">
      <c r="A1720" s="1" t="s">
        <v>1703</v>
      </c>
      <c r="B1720" t="s">
        <v>6197</v>
      </c>
      <c r="D1720" t="s">
        <v>7988</v>
      </c>
      <c r="E1720" t="s">
        <v>9230</v>
      </c>
      <c r="F1720" t="s">
        <v>10297</v>
      </c>
      <c r="G1720">
        <v>16.2</v>
      </c>
      <c r="H1720" t="s">
        <v>10310</v>
      </c>
      <c r="I1720" t="s">
        <v>10325</v>
      </c>
      <c r="L1720">
        <v>1962</v>
      </c>
      <c r="N1720">
        <v>43.330865000000003</v>
      </c>
      <c r="P1720">
        <v>-6.2041639999999996</v>
      </c>
      <c r="R1720" t="s">
        <v>11038</v>
      </c>
      <c r="S1720" t="s">
        <v>10310</v>
      </c>
      <c r="W1720" s="2" t="s">
        <v>11202</v>
      </c>
    </row>
    <row r="1721" spans="1:23" hidden="1" x14ac:dyDescent="0.45">
      <c r="A1721" s="1" t="s">
        <v>1704</v>
      </c>
      <c r="B1721" t="s">
        <v>6197</v>
      </c>
      <c r="D1721" t="s">
        <v>7988</v>
      </c>
      <c r="E1721" t="s">
        <v>9230</v>
      </c>
      <c r="F1721" t="s">
        <v>10297</v>
      </c>
      <c r="G1721">
        <v>16.2</v>
      </c>
      <c r="H1721" t="s">
        <v>10310</v>
      </c>
      <c r="I1721" t="s">
        <v>10325</v>
      </c>
      <c r="L1721">
        <v>1962</v>
      </c>
      <c r="N1721">
        <v>43.330865000000003</v>
      </c>
      <c r="P1721">
        <v>-6.2041639999999996</v>
      </c>
      <c r="R1721" t="s">
        <v>11038</v>
      </c>
      <c r="S1721" t="s">
        <v>10310</v>
      </c>
      <c r="W1721" s="2" t="s">
        <v>11202</v>
      </c>
    </row>
    <row r="1722" spans="1:23" hidden="1" x14ac:dyDescent="0.45">
      <c r="A1722" s="1" t="s">
        <v>1705</v>
      </c>
      <c r="B1722" t="s">
        <v>6197</v>
      </c>
      <c r="D1722" t="s">
        <v>7988</v>
      </c>
      <c r="E1722" t="s">
        <v>9230</v>
      </c>
      <c r="F1722" t="s">
        <v>10297</v>
      </c>
      <c r="G1722">
        <v>16.2</v>
      </c>
      <c r="H1722" t="s">
        <v>10310</v>
      </c>
      <c r="I1722" t="s">
        <v>10325</v>
      </c>
      <c r="L1722">
        <v>1962</v>
      </c>
      <c r="N1722">
        <v>43.330865000000003</v>
      </c>
      <c r="P1722">
        <v>-6.2041639999999996</v>
      </c>
      <c r="R1722" t="s">
        <v>11038</v>
      </c>
      <c r="S1722" t="s">
        <v>10310</v>
      </c>
      <c r="W1722" s="2" t="s">
        <v>11202</v>
      </c>
    </row>
    <row r="1723" spans="1:23" hidden="1" x14ac:dyDescent="0.45">
      <c r="A1723" s="1" t="s">
        <v>1706</v>
      </c>
      <c r="B1723" t="s">
        <v>6197</v>
      </c>
      <c r="D1723" t="s">
        <v>7988</v>
      </c>
      <c r="E1723" t="s">
        <v>9230</v>
      </c>
      <c r="F1723" t="s">
        <v>10297</v>
      </c>
      <c r="G1723">
        <v>16.2</v>
      </c>
      <c r="H1723" t="s">
        <v>10310</v>
      </c>
      <c r="I1723" t="s">
        <v>10325</v>
      </c>
      <c r="L1723">
        <v>1962</v>
      </c>
      <c r="N1723">
        <v>43.330865000000003</v>
      </c>
      <c r="P1723">
        <v>-6.2041639999999996</v>
      </c>
      <c r="R1723" t="s">
        <v>11038</v>
      </c>
      <c r="S1723" t="s">
        <v>10310</v>
      </c>
      <c r="W1723" s="2" t="s">
        <v>11202</v>
      </c>
    </row>
    <row r="1724" spans="1:23" hidden="1" x14ac:dyDescent="0.45">
      <c r="A1724" s="1" t="s">
        <v>1707</v>
      </c>
      <c r="B1724" t="s">
        <v>6197</v>
      </c>
      <c r="D1724" t="s">
        <v>7988</v>
      </c>
      <c r="E1724" t="s">
        <v>9231</v>
      </c>
      <c r="F1724" t="s">
        <v>10297</v>
      </c>
      <c r="G1724">
        <v>4.25</v>
      </c>
      <c r="H1724" t="s">
        <v>10310</v>
      </c>
      <c r="I1724" t="s">
        <v>10325</v>
      </c>
      <c r="L1724">
        <v>1952</v>
      </c>
      <c r="R1724" t="s">
        <v>11038</v>
      </c>
      <c r="S1724" t="s">
        <v>10310</v>
      </c>
      <c r="W1724" s="2" t="s">
        <v>11202</v>
      </c>
    </row>
    <row r="1725" spans="1:23" hidden="1" x14ac:dyDescent="0.45">
      <c r="A1725" s="1" t="s">
        <v>1708</v>
      </c>
      <c r="B1725" t="s">
        <v>6197</v>
      </c>
      <c r="D1725" t="s">
        <v>7988</v>
      </c>
      <c r="E1725" t="s">
        <v>9231</v>
      </c>
      <c r="F1725" t="s">
        <v>10297</v>
      </c>
      <c r="G1725">
        <v>4.25</v>
      </c>
      <c r="H1725" t="s">
        <v>10310</v>
      </c>
      <c r="I1725" t="s">
        <v>10325</v>
      </c>
      <c r="L1725">
        <v>1952</v>
      </c>
      <c r="R1725" t="s">
        <v>11038</v>
      </c>
      <c r="S1725" t="s">
        <v>10310</v>
      </c>
      <c r="W1725" s="2" t="s">
        <v>11202</v>
      </c>
    </row>
    <row r="1726" spans="1:23" hidden="1" x14ac:dyDescent="0.45">
      <c r="A1726" s="1" t="s">
        <v>1709</v>
      </c>
      <c r="B1726" t="s">
        <v>6197</v>
      </c>
      <c r="D1726" t="s">
        <v>7988</v>
      </c>
      <c r="E1726" t="s">
        <v>9231</v>
      </c>
      <c r="F1726" t="s">
        <v>10297</v>
      </c>
      <c r="G1726">
        <v>10</v>
      </c>
      <c r="H1726" t="s">
        <v>10310</v>
      </c>
      <c r="I1726" t="s">
        <v>10325</v>
      </c>
      <c r="L1726">
        <v>1967</v>
      </c>
      <c r="R1726" t="s">
        <v>11038</v>
      </c>
      <c r="S1726" t="s">
        <v>10310</v>
      </c>
      <c r="W1726" s="2" t="s">
        <v>11202</v>
      </c>
    </row>
    <row r="1727" spans="1:23" hidden="1" x14ac:dyDescent="0.45">
      <c r="A1727" s="1" t="s">
        <v>1710</v>
      </c>
      <c r="B1727" t="s">
        <v>6197</v>
      </c>
      <c r="D1727" t="s">
        <v>7988</v>
      </c>
      <c r="E1727" t="s">
        <v>9232</v>
      </c>
      <c r="F1727" t="s">
        <v>10297</v>
      </c>
      <c r="G1727">
        <v>24</v>
      </c>
      <c r="H1727" t="s">
        <v>10310</v>
      </c>
      <c r="I1727" t="s">
        <v>10325</v>
      </c>
      <c r="L1727">
        <v>1968</v>
      </c>
      <c r="N1727">
        <v>43.248745</v>
      </c>
      <c r="P1727">
        <v>-6.0172720000000002</v>
      </c>
      <c r="R1727" t="s">
        <v>11038</v>
      </c>
      <c r="S1727" t="s">
        <v>10310</v>
      </c>
      <c r="W1727" s="2" t="s">
        <v>11202</v>
      </c>
    </row>
    <row r="1728" spans="1:23" hidden="1" x14ac:dyDescent="0.45">
      <c r="A1728" s="1" t="s">
        <v>1711</v>
      </c>
      <c r="B1728" t="s">
        <v>6197</v>
      </c>
      <c r="D1728" t="s">
        <v>7988</v>
      </c>
      <c r="E1728" t="s">
        <v>9232</v>
      </c>
      <c r="F1728" t="s">
        <v>10297</v>
      </c>
      <c r="G1728">
        <v>24</v>
      </c>
      <c r="H1728" t="s">
        <v>10310</v>
      </c>
      <c r="I1728" t="s">
        <v>10325</v>
      </c>
      <c r="L1728">
        <v>1968</v>
      </c>
      <c r="N1728">
        <v>43.248745</v>
      </c>
      <c r="P1728">
        <v>-6.0172720000000002</v>
      </c>
      <c r="R1728" t="s">
        <v>11038</v>
      </c>
      <c r="S1728" t="s">
        <v>10310</v>
      </c>
      <c r="W1728" s="2" t="s">
        <v>11202</v>
      </c>
    </row>
    <row r="1729" spans="1:23" hidden="1" x14ac:dyDescent="0.45">
      <c r="A1729" s="1" t="s">
        <v>1712</v>
      </c>
      <c r="B1729" t="s">
        <v>6197</v>
      </c>
      <c r="D1729" t="s">
        <v>7988</v>
      </c>
      <c r="E1729" t="s">
        <v>9229</v>
      </c>
      <c r="F1729" t="s">
        <v>10297</v>
      </c>
      <c r="G1729">
        <v>2.61</v>
      </c>
      <c r="H1729" t="s">
        <v>10310</v>
      </c>
      <c r="I1729" t="s">
        <v>10325</v>
      </c>
      <c r="L1729">
        <v>1946</v>
      </c>
      <c r="R1729" t="s">
        <v>11038</v>
      </c>
      <c r="S1729" t="s">
        <v>10310</v>
      </c>
      <c r="W1729" s="2" t="s">
        <v>11202</v>
      </c>
    </row>
    <row r="1730" spans="1:23" hidden="1" x14ac:dyDescent="0.45">
      <c r="A1730" s="1" t="s">
        <v>1713</v>
      </c>
      <c r="B1730" t="s">
        <v>6197</v>
      </c>
      <c r="D1730" t="s">
        <v>7988</v>
      </c>
      <c r="E1730" t="s">
        <v>9229</v>
      </c>
      <c r="F1730" t="s">
        <v>10297</v>
      </c>
      <c r="G1730">
        <v>2.61</v>
      </c>
      <c r="H1730" t="s">
        <v>10310</v>
      </c>
      <c r="I1730" t="s">
        <v>10325</v>
      </c>
      <c r="L1730">
        <v>1946</v>
      </c>
      <c r="R1730" t="s">
        <v>11038</v>
      </c>
      <c r="S1730" t="s">
        <v>10310</v>
      </c>
      <c r="W1730" s="2" t="s">
        <v>11202</v>
      </c>
    </row>
    <row r="1731" spans="1:23" hidden="1" x14ac:dyDescent="0.45">
      <c r="A1731" s="1" t="s">
        <v>1714</v>
      </c>
      <c r="B1731" t="s">
        <v>6197</v>
      </c>
      <c r="D1731" t="s">
        <v>7988</v>
      </c>
      <c r="E1731" t="s">
        <v>9229</v>
      </c>
      <c r="F1731" t="s">
        <v>10297</v>
      </c>
      <c r="G1731">
        <v>2.61</v>
      </c>
      <c r="H1731" t="s">
        <v>10310</v>
      </c>
      <c r="I1731" t="s">
        <v>10325</v>
      </c>
      <c r="L1731">
        <v>1956</v>
      </c>
      <c r="R1731" t="s">
        <v>11038</v>
      </c>
      <c r="S1731" t="s">
        <v>10310</v>
      </c>
      <c r="W1731" s="2" t="s">
        <v>11202</v>
      </c>
    </row>
    <row r="1732" spans="1:23" hidden="1" x14ac:dyDescent="0.45">
      <c r="A1732" s="1" t="s">
        <v>1715</v>
      </c>
      <c r="B1732" t="s">
        <v>6197</v>
      </c>
      <c r="D1732" t="s">
        <v>7988</v>
      </c>
      <c r="E1732" t="s">
        <v>9233</v>
      </c>
      <c r="F1732" t="s">
        <v>10297</v>
      </c>
      <c r="G1732">
        <v>32</v>
      </c>
      <c r="H1732" t="s">
        <v>10310</v>
      </c>
      <c r="I1732" t="s">
        <v>10326</v>
      </c>
      <c r="L1732">
        <v>1953</v>
      </c>
      <c r="N1732">
        <v>43.237264000000003</v>
      </c>
      <c r="P1732">
        <v>-6.8477479999999993</v>
      </c>
      <c r="R1732" t="s">
        <v>11038</v>
      </c>
      <c r="S1732" t="s">
        <v>10310</v>
      </c>
      <c r="W1732" s="2" t="s">
        <v>11202</v>
      </c>
    </row>
    <row r="1733" spans="1:23" hidden="1" x14ac:dyDescent="0.45">
      <c r="A1733" s="1" t="s">
        <v>1716</v>
      </c>
      <c r="B1733" t="s">
        <v>6197</v>
      </c>
      <c r="D1733" t="s">
        <v>7988</v>
      </c>
      <c r="E1733" t="s">
        <v>9233</v>
      </c>
      <c r="F1733" t="s">
        <v>10297</v>
      </c>
      <c r="G1733">
        <v>32</v>
      </c>
      <c r="H1733" t="s">
        <v>10310</v>
      </c>
      <c r="I1733" t="s">
        <v>10326</v>
      </c>
      <c r="L1733">
        <v>1954</v>
      </c>
      <c r="N1733">
        <v>43.237264000000003</v>
      </c>
      <c r="P1733">
        <v>-6.8477479999999993</v>
      </c>
      <c r="R1733" t="s">
        <v>11038</v>
      </c>
      <c r="S1733" t="s">
        <v>10310</v>
      </c>
      <c r="W1733" s="2" t="s">
        <v>11202</v>
      </c>
    </row>
    <row r="1734" spans="1:23" hidden="1" x14ac:dyDescent="0.45">
      <c r="A1734" s="1" t="s">
        <v>1717</v>
      </c>
      <c r="B1734" t="s">
        <v>6197</v>
      </c>
      <c r="D1734" t="s">
        <v>7988</v>
      </c>
      <c r="E1734" t="s">
        <v>9233</v>
      </c>
      <c r="F1734" t="s">
        <v>10297</v>
      </c>
      <c r="G1734">
        <v>32</v>
      </c>
      <c r="H1734" t="s">
        <v>10310</v>
      </c>
      <c r="I1734" t="s">
        <v>10326</v>
      </c>
      <c r="L1734">
        <v>1955</v>
      </c>
      <c r="N1734">
        <v>43.237264000000003</v>
      </c>
      <c r="P1734">
        <v>-6.8477479999999993</v>
      </c>
      <c r="R1734" t="s">
        <v>11038</v>
      </c>
      <c r="S1734" t="s">
        <v>10310</v>
      </c>
      <c r="W1734" s="2" t="s">
        <v>11202</v>
      </c>
    </row>
    <row r="1735" spans="1:23" hidden="1" x14ac:dyDescent="0.45">
      <c r="A1735" s="1" t="s">
        <v>1718</v>
      </c>
      <c r="B1735" t="s">
        <v>6197</v>
      </c>
      <c r="D1735" t="s">
        <v>7988</v>
      </c>
      <c r="E1735" t="s">
        <v>9233</v>
      </c>
      <c r="F1735" t="s">
        <v>10297</v>
      </c>
      <c r="G1735">
        <v>32</v>
      </c>
      <c r="H1735" t="s">
        <v>10310</v>
      </c>
      <c r="I1735" t="s">
        <v>10326</v>
      </c>
      <c r="L1735">
        <v>1956</v>
      </c>
      <c r="N1735">
        <v>43.237264000000003</v>
      </c>
      <c r="P1735">
        <v>-6.8477479999999993</v>
      </c>
      <c r="R1735" t="s">
        <v>11038</v>
      </c>
      <c r="S1735" t="s">
        <v>10310</v>
      </c>
      <c r="W1735" s="2" t="s">
        <v>11202</v>
      </c>
    </row>
    <row r="1736" spans="1:23" hidden="1" x14ac:dyDescent="0.45">
      <c r="A1736" s="1" t="s">
        <v>1719</v>
      </c>
      <c r="B1736" t="s">
        <v>6197</v>
      </c>
      <c r="D1736" t="s">
        <v>7988</v>
      </c>
      <c r="E1736" t="s">
        <v>9234</v>
      </c>
      <c r="F1736" t="s">
        <v>10297</v>
      </c>
      <c r="G1736">
        <v>66.5</v>
      </c>
      <c r="H1736" t="s">
        <v>10310</v>
      </c>
      <c r="I1736" t="s">
        <v>10327</v>
      </c>
      <c r="L1736">
        <v>1978</v>
      </c>
      <c r="N1736">
        <v>43.221202000000012</v>
      </c>
      <c r="P1736">
        <v>-5.4279260000000003</v>
      </c>
      <c r="R1736" t="s">
        <v>11038</v>
      </c>
      <c r="S1736" t="s">
        <v>10310</v>
      </c>
      <c r="W1736" s="2" t="s">
        <v>11202</v>
      </c>
    </row>
    <row r="1737" spans="1:23" hidden="1" x14ac:dyDescent="0.45">
      <c r="A1737" s="1" t="s">
        <v>1720</v>
      </c>
      <c r="B1737" t="s">
        <v>6197</v>
      </c>
      <c r="D1737" t="s">
        <v>7988</v>
      </c>
      <c r="E1737" t="s">
        <v>9234</v>
      </c>
      <c r="F1737" t="s">
        <v>10297</v>
      </c>
      <c r="G1737">
        <v>66.5</v>
      </c>
      <c r="H1737" t="s">
        <v>10310</v>
      </c>
      <c r="I1737" t="s">
        <v>10327</v>
      </c>
      <c r="L1737">
        <v>1978</v>
      </c>
      <c r="N1737">
        <v>43.221202000000012</v>
      </c>
      <c r="P1737">
        <v>-5.4279260000000003</v>
      </c>
      <c r="R1737" t="s">
        <v>11038</v>
      </c>
      <c r="S1737" t="s">
        <v>10310</v>
      </c>
      <c r="W1737" s="2" t="s">
        <v>11202</v>
      </c>
    </row>
    <row r="1738" spans="1:23" hidden="1" x14ac:dyDescent="0.45">
      <c r="A1738" s="1" t="s">
        <v>1721</v>
      </c>
      <c r="B1738" t="s">
        <v>6198</v>
      </c>
      <c r="D1738" t="s">
        <v>7989</v>
      </c>
      <c r="E1738" t="s">
        <v>9235</v>
      </c>
      <c r="F1738" t="s">
        <v>10297</v>
      </c>
      <c r="G1738">
        <v>1049.43</v>
      </c>
      <c r="H1738" t="s">
        <v>10311</v>
      </c>
      <c r="L1738">
        <v>1983</v>
      </c>
      <c r="N1738">
        <v>39.807631000000001</v>
      </c>
      <c r="P1738">
        <v>-5.6961309999999994</v>
      </c>
      <c r="Q1738" t="s">
        <v>10730</v>
      </c>
      <c r="R1738" t="s">
        <v>10311</v>
      </c>
      <c r="W1738" s="2" t="s">
        <v>11202</v>
      </c>
    </row>
    <row r="1739" spans="1:23" hidden="1" x14ac:dyDescent="0.45">
      <c r="A1739" s="1" t="s">
        <v>1722</v>
      </c>
      <c r="B1739" t="s">
        <v>6198</v>
      </c>
      <c r="D1739" t="s">
        <v>7989</v>
      </c>
      <c r="E1739" t="s">
        <v>9235</v>
      </c>
      <c r="F1739" t="s">
        <v>10297</v>
      </c>
      <c r="G1739">
        <v>1044.45</v>
      </c>
      <c r="H1739" t="s">
        <v>10311</v>
      </c>
      <c r="L1739">
        <v>1984</v>
      </c>
      <c r="N1739">
        <v>39.807631000000001</v>
      </c>
      <c r="P1739">
        <v>-5.6961309999999994</v>
      </c>
      <c r="Q1739" t="s">
        <v>10731</v>
      </c>
      <c r="R1739" t="s">
        <v>10311</v>
      </c>
      <c r="W1739" s="2" t="s">
        <v>11202</v>
      </c>
    </row>
    <row r="1740" spans="1:23" hidden="1" x14ac:dyDescent="0.45">
      <c r="A1740" s="1" t="s">
        <v>1723</v>
      </c>
      <c r="B1740" t="s">
        <v>6199</v>
      </c>
      <c r="D1740" t="s">
        <v>7990</v>
      </c>
      <c r="E1740" t="s">
        <v>9236</v>
      </c>
      <c r="F1740" t="s">
        <v>10297</v>
      </c>
      <c r="G1740">
        <v>1027.21</v>
      </c>
      <c r="H1740" t="s">
        <v>10311</v>
      </c>
      <c r="L1740">
        <v>1985</v>
      </c>
      <c r="R1740" t="s">
        <v>10311</v>
      </c>
      <c r="W1740" s="2" t="s">
        <v>11202</v>
      </c>
    </row>
    <row r="1741" spans="1:23" hidden="1" x14ac:dyDescent="0.45">
      <c r="A1741" s="1" t="s">
        <v>1724</v>
      </c>
      <c r="B1741" t="s">
        <v>6198</v>
      </c>
      <c r="D1741" t="s">
        <v>7989</v>
      </c>
      <c r="E1741" t="s">
        <v>9237</v>
      </c>
      <c r="F1741" t="s">
        <v>10297</v>
      </c>
      <c r="G1741">
        <v>1092.02</v>
      </c>
      <c r="H1741" t="s">
        <v>10311</v>
      </c>
      <c r="L1741">
        <v>1985</v>
      </c>
      <c r="N1741">
        <v>39.214969000000004</v>
      </c>
      <c r="P1741">
        <v>-1.0525629999999999</v>
      </c>
      <c r="Q1741" t="s">
        <v>10732</v>
      </c>
      <c r="R1741" t="s">
        <v>10311</v>
      </c>
      <c r="W1741" s="2" t="s">
        <v>11202</v>
      </c>
    </row>
    <row r="1742" spans="1:23" hidden="1" x14ac:dyDescent="0.45">
      <c r="A1742" s="1" t="s">
        <v>1725</v>
      </c>
      <c r="B1742" t="s">
        <v>6200</v>
      </c>
      <c r="D1742" t="s">
        <v>7991</v>
      </c>
      <c r="E1742" t="s">
        <v>9238</v>
      </c>
      <c r="F1742" t="s">
        <v>10297</v>
      </c>
      <c r="G1742">
        <v>289</v>
      </c>
      <c r="H1742" t="s">
        <v>10314</v>
      </c>
      <c r="L1742">
        <v>1966</v>
      </c>
      <c r="N1742">
        <v>37.571278</v>
      </c>
      <c r="P1742">
        <v>-0.94511800000000001</v>
      </c>
      <c r="R1742" t="s">
        <v>11037</v>
      </c>
      <c r="S1742" t="s">
        <v>10314</v>
      </c>
      <c r="W1742" s="2" t="s">
        <v>11202</v>
      </c>
    </row>
    <row r="1743" spans="1:23" hidden="1" x14ac:dyDescent="0.45">
      <c r="A1743" s="1" t="s">
        <v>1726</v>
      </c>
      <c r="B1743" t="s">
        <v>6200</v>
      </c>
      <c r="D1743" t="s">
        <v>7991</v>
      </c>
      <c r="E1743" t="s">
        <v>9238</v>
      </c>
      <c r="F1743" t="s">
        <v>10297</v>
      </c>
      <c r="G1743">
        <v>289</v>
      </c>
      <c r="H1743" t="s">
        <v>10314</v>
      </c>
      <c r="L1743">
        <v>1968</v>
      </c>
      <c r="N1743">
        <v>37.571278</v>
      </c>
      <c r="P1743">
        <v>-0.94511800000000001</v>
      </c>
      <c r="R1743" t="s">
        <v>11037</v>
      </c>
      <c r="S1743" t="s">
        <v>10314</v>
      </c>
      <c r="W1743" s="2" t="s">
        <v>11202</v>
      </c>
    </row>
    <row r="1744" spans="1:23" hidden="1" x14ac:dyDescent="0.45">
      <c r="A1744" s="1" t="s">
        <v>1727</v>
      </c>
      <c r="B1744" t="s">
        <v>6200</v>
      </c>
      <c r="D1744" t="s">
        <v>7991</v>
      </c>
      <c r="E1744" t="s">
        <v>9239</v>
      </c>
      <c r="F1744" t="s">
        <v>10297</v>
      </c>
      <c r="G1744">
        <v>154.94</v>
      </c>
      <c r="H1744" t="s">
        <v>10314</v>
      </c>
      <c r="L1744">
        <v>1964</v>
      </c>
      <c r="N1744">
        <v>42.816277999999997</v>
      </c>
      <c r="P1744">
        <v>-4.8524539999999998</v>
      </c>
      <c r="Q1744" t="s">
        <v>10733</v>
      </c>
      <c r="R1744" t="s">
        <v>11037</v>
      </c>
      <c r="S1744" t="s">
        <v>10314</v>
      </c>
      <c r="W1744" s="2" t="s">
        <v>11202</v>
      </c>
    </row>
    <row r="1745" spans="1:23" hidden="1" x14ac:dyDescent="0.45">
      <c r="A1745" s="1" t="s">
        <v>1728</v>
      </c>
      <c r="B1745" t="s">
        <v>6200</v>
      </c>
      <c r="D1745" t="s">
        <v>7991</v>
      </c>
      <c r="E1745" t="s">
        <v>9239</v>
      </c>
      <c r="F1745" t="s">
        <v>10297</v>
      </c>
      <c r="G1745">
        <v>360.7</v>
      </c>
      <c r="H1745" t="s">
        <v>10314</v>
      </c>
      <c r="L1745">
        <v>1984</v>
      </c>
      <c r="N1745">
        <v>42.816277999999997</v>
      </c>
      <c r="P1745">
        <v>-4.8524539999999998</v>
      </c>
      <c r="Q1745" t="s">
        <v>10734</v>
      </c>
      <c r="R1745" t="s">
        <v>11037</v>
      </c>
      <c r="S1745" t="s">
        <v>10314</v>
      </c>
      <c r="W1745" s="2" t="s">
        <v>11202</v>
      </c>
    </row>
    <row r="1746" spans="1:23" hidden="1" x14ac:dyDescent="0.45">
      <c r="A1746" s="1" t="s">
        <v>1729</v>
      </c>
      <c r="B1746" t="s">
        <v>6200</v>
      </c>
      <c r="D1746" t="s">
        <v>7991</v>
      </c>
      <c r="E1746" t="s">
        <v>9240</v>
      </c>
      <c r="F1746" t="s">
        <v>10297</v>
      </c>
      <c r="G1746">
        <v>358.4</v>
      </c>
      <c r="H1746" t="s">
        <v>10314</v>
      </c>
      <c r="L1746">
        <v>1981</v>
      </c>
      <c r="N1746">
        <v>43.308109000000002</v>
      </c>
      <c r="P1746">
        <v>-5.7007879999999993</v>
      </c>
      <c r="Q1746" t="s">
        <v>10735</v>
      </c>
      <c r="R1746" t="s">
        <v>11037</v>
      </c>
      <c r="S1746" t="s">
        <v>10314</v>
      </c>
      <c r="W1746" s="2" t="s">
        <v>11202</v>
      </c>
    </row>
    <row r="1747" spans="1:23" hidden="1" x14ac:dyDescent="0.45">
      <c r="A1747" s="1" t="s">
        <v>1730</v>
      </c>
      <c r="B1747" t="s">
        <v>6200</v>
      </c>
      <c r="D1747" t="s">
        <v>7991</v>
      </c>
      <c r="E1747" t="s">
        <v>9241</v>
      </c>
      <c r="F1747" t="s">
        <v>10297</v>
      </c>
      <c r="G1747">
        <v>377.26</v>
      </c>
      <c r="H1747" t="s">
        <v>10314</v>
      </c>
      <c r="L1747">
        <v>1969</v>
      </c>
      <c r="N1747">
        <v>43.339095999999998</v>
      </c>
      <c r="P1747">
        <v>-3.0529380000000002</v>
      </c>
      <c r="R1747" t="s">
        <v>11037</v>
      </c>
      <c r="S1747" t="s">
        <v>10314</v>
      </c>
      <c r="W1747" s="2" t="s">
        <v>11202</v>
      </c>
    </row>
    <row r="1748" spans="1:23" hidden="1" x14ac:dyDescent="0.45">
      <c r="A1748" s="1" t="s">
        <v>1731</v>
      </c>
      <c r="B1748" t="s">
        <v>6200</v>
      </c>
      <c r="D1748" t="s">
        <v>7991</v>
      </c>
      <c r="E1748" t="s">
        <v>9241</v>
      </c>
      <c r="F1748" t="s">
        <v>10297</v>
      </c>
      <c r="G1748">
        <v>541.66999999999996</v>
      </c>
      <c r="H1748" t="s">
        <v>10314</v>
      </c>
      <c r="L1748">
        <v>1972</v>
      </c>
      <c r="N1748">
        <v>43.339095999999998</v>
      </c>
      <c r="P1748">
        <v>-3.0529380000000002</v>
      </c>
      <c r="R1748" t="s">
        <v>11037</v>
      </c>
      <c r="S1748" t="s">
        <v>10314</v>
      </c>
      <c r="W1748" s="2" t="s">
        <v>11202</v>
      </c>
    </row>
    <row r="1749" spans="1:23" hidden="1" x14ac:dyDescent="0.45">
      <c r="A1749" s="1" t="s">
        <v>1732</v>
      </c>
      <c r="B1749" t="s">
        <v>6199</v>
      </c>
      <c r="D1749" t="s">
        <v>7990</v>
      </c>
      <c r="E1749" t="s">
        <v>9242</v>
      </c>
      <c r="F1749" t="s">
        <v>10297</v>
      </c>
      <c r="G1749">
        <v>1087.1400000000001</v>
      </c>
      <c r="H1749" t="s">
        <v>10311</v>
      </c>
      <c r="L1749">
        <v>1987</v>
      </c>
      <c r="R1749" t="s">
        <v>10311</v>
      </c>
      <c r="W1749" s="2" t="s">
        <v>11202</v>
      </c>
    </row>
    <row r="1750" spans="1:23" hidden="1" x14ac:dyDescent="0.45">
      <c r="A1750" s="1" t="s">
        <v>1733</v>
      </c>
      <c r="B1750" t="s">
        <v>6201</v>
      </c>
      <c r="D1750" t="s">
        <v>7992</v>
      </c>
      <c r="E1750" t="s">
        <v>9243</v>
      </c>
      <c r="F1750" t="s">
        <v>10297</v>
      </c>
      <c r="G1750">
        <v>0.35</v>
      </c>
      <c r="H1750" t="s">
        <v>10310</v>
      </c>
      <c r="I1750" t="s">
        <v>10325</v>
      </c>
      <c r="L1750">
        <v>1931</v>
      </c>
      <c r="R1750" t="s">
        <v>11038</v>
      </c>
      <c r="S1750" t="s">
        <v>10310</v>
      </c>
      <c r="W1750" s="2" t="s">
        <v>11202</v>
      </c>
    </row>
    <row r="1751" spans="1:23" hidden="1" x14ac:dyDescent="0.45">
      <c r="A1751" s="1" t="s">
        <v>1734</v>
      </c>
      <c r="B1751" t="s">
        <v>6201</v>
      </c>
      <c r="D1751" t="s">
        <v>7992</v>
      </c>
      <c r="E1751" t="s">
        <v>9243</v>
      </c>
      <c r="F1751" t="s">
        <v>10297</v>
      </c>
      <c r="G1751">
        <v>0.46</v>
      </c>
      <c r="H1751" t="s">
        <v>10310</v>
      </c>
      <c r="I1751" t="s">
        <v>10325</v>
      </c>
      <c r="L1751">
        <v>1931</v>
      </c>
      <c r="R1751" t="s">
        <v>11038</v>
      </c>
      <c r="S1751" t="s">
        <v>10310</v>
      </c>
      <c r="W1751" s="2" t="s">
        <v>11202</v>
      </c>
    </row>
    <row r="1752" spans="1:23" hidden="1" x14ac:dyDescent="0.45">
      <c r="A1752" s="1" t="s">
        <v>1735</v>
      </c>
      <c r="B1752" t="s">
        <v>6202</v>
      </c>
      <c r="D1752" t="s">
        <v>7991</v>
      </c>
      <c r="E1752" t="s">
        <v>9244</v>
      </c>
      <c r="F1752" t="s">
        <v>10297</v>
      </c>
      <c r="G1752">
        <v>0.12</v>
      </c>
      <c r="H1752" t="s">
        <v>10310</v>
      </c>
      <c r="I1752" t="s">
        <v>10325</v>
      </c>
      <c r="L1752">
        <v>1913</v>
      </c>
      <c r="R1752" t="s">
        <v>11038</v>
      </c>
      <c r="S1752" t="s">
        <v>10310</v>
      </c>
      <c r="W1752" s="2" t="s">
        <v>11202</v>
      </c>
    </row>
    <row r="1753" spans="1:23" hidden="1" x14ac:dyDescent="0.45">
      <c r="A1753" s="1" t="s">
        <v>1736</v>
      </c>
      <c r="B1753" t="s">
        <v>6202</v>
      </c>
      <c r="D1753" t="s">
        <v>7991</v>
      </c>
      <c r="E1753" t="s">
        <v>9244</v>
      </c>
      <c r="F1753" t="s">
        <v>10297</v>
      </c>
      <c r="G1753">
        <v>0.4</v>
      </c>
      <c r="H1753" t="s">
        <v>10310</v>
      </c>
      <c r="I1753" t="s">
        <v>10325</v>
      </c>
      <c r="L1753">
        <v>1923</v>
      </c>
      <c r="R1753" t="s">
        <v>11038</v>
      </c>
      <c r="S1753" t="s">
        <v>10310</v>
      </c>
      <c r="W1753" s="2" t="s">
        <v>11202</v>
      </c>
    </row>
    <row r="1754" spans="1:23" hidden="1" x14ac:dyDescent="0.45">
      <c r="A1754" s="1" t="s">
        <v>1737</v>
      </c>
      <c r="B1754" t="s">
        <v>6202</v>
      </c>
      <c r="D1754" t="s">
        <v>7991</v>
      </c>
      <c r="E1754" t="s">
        <v>9244</v>
      </c>
      <c r="F1754" t="s">
        <v>10297</v>
      </c>
      <c r="G1754">
        <v>0.28000000000000003</v>
      </c>
      <c r="H1754" t="s">
        <v>10310</v>
      </c>
      <c r="I1754" t="s">
        <v>10325</v>
      </c>
      <c r="L1754">
        <v>1948</v>
      </c>
      <c r="R1754" t="s">
        <v>11038</v>
      </c>
      <c r="S1754" t="s">
        <v>10310</v>
      </c>
      <c r="W1754" s="2" t="s">
        <v>11202</v>
      </c>
    </row>
    <row r="1755" spans="1:23" hidden="1" x14ac:dyDescent="0.45">
      <c r="A1755" s="1" t="s">
        <v>1738</v>
      </c>
      <c r="B1755" t="s">
        <v>6202</v>
      </c>
      <c r="D1755" t="s">
        <v>7991</v>
      </c>
      <c r="E1755" t="s">
        <v>9245</v>
      </c>
      <c r="F1755" t="s">
        <v>10297</v>
      </c>
      <c r="G1755">
        <v>4.8</v>
      </c>
      <c r="H1755" t="s">
        <v>10310</v>
      </c>
      <c r="I1755" t="s">
        <v>10325</v>
      </c>
      <c r="L1755">
        <v>1987</v>
      </c>
      <c r="R1755" t="s">
        <v>11038</v>
      </c>
      <c r="S1755" t="s">
        <v>10310</v>
      </c>
      <c r="W1755" s="2" t="s">
        <v>11202</v>
      </c>
    </row>
    <row r="1756" spans="1:23" hidden="1" x14ac:dyDescent="0.45">
      <c r="A1756" s="1" t="s">
        <v>1739</v>
      </c>
      <c r="B1756" t="s">
        <v>6202</v>
      </c>
      <c r="D1756" t="s">
        <v>7991</v>
      </c>
      <c r="E1756" t="s">
        <v>9245</v>
      </c>
      <c r="F1756" t="s">
        <v>10297</v>
      </c>
      <c r="G1756">
        <v>4.8</v>
      </c>
      <c r="H1756" t="s">
        <v>10310</v>
      </c>
      <c r="I1756" t="s">
        <v>10325</v>
      </c>
      <c r="L1756">
        <v>1987</v>
      </c>
      <c r="R1756" t="s">
        <v>11038</v>
      </c>
      <c r="S1756" t="s">
        <v>10310</v>
      </c>
      <c r="W1756" s="2" t="s">
        <v>11202</v>
      </c>
    </row>
    <row r="1757" spans="1:23" hidden="1" x14ac:dyDescent="0.45">
      <c r="A1757" s="1" t="s">
        <v>1740</v>
      </c>
      <c r="B1757" t="s">
        <v>6202</v>
      </c>
      <c r="D1757" t="s">
        <v>7991</v>
      </c>
      <c r="E1757" t="s">
        <v>9246</v>
      </c>
      <c r="F1757" t="s">
        <v>10297</v>
      </c>
      <c r="G1757">
        <v>11.46</v>
      </c>
      <c r="H1757" t="s">
        <v>10310</v>
      </c>
      <c r="I1757" t="s">
        <v>10326</v>
      </c>
      <c r="L1757">
        <v>1995</v>
      </c>
      <c r="R1757" t="s">
        <v>11038</v>
      </c>
      <c r="S1757" t="s">
        <v>10310</v>
      </c>
      <c r="W1757" s="2" t="s">
        <v>11202</v>
      </c>
    </row>
    <row r="1758" spans="1:23" hidden="1" x14ac:dyDescent="0.45">
      <c r="A1758" s="1" t="s">
        <v>1741</v>
      </c>
      <c r="B1758" t="s">
        <v>6202</v>
      </c>
      <c r="D1758" t="s">
        <v>7991</v>
      </c>
      <c r="E1758" t="s">
        <v>9246</v>
      </c>
      <c r="F1758" t="s">
        <v>10297</v>
      </c>
      <c r="G1758">
        <v>11.47</v>
      </c>
      <c r="H1758" t="s">
        <v>10310</v>
      </c>
      <c r="I1758" t="s">
        <v>10326</v>
      </c>
      <c r="L1758">
        <v>1995</v>
      </c>
      <c r="R1758" t="s">
        <v>11038</v>
      </c>
      <c r="S1758" t="s">
        <v>10310</v>
      </c>
      <c r="W1758" s="2" t="s">
        <v>11202</v>
      </c>
    </row>
    <row r="1759" spans="1:23" hidden="1" x14ac:dyDescent="0.45">
      <c r="A1759" s="1" t="s">
        <v>1742</v>
      </c>
      <c r="B1759" t="s">
        <v>6202</v>
      </c>
      <c r="D1759" t="s">
        <v>7991</v>
      </c>
      <c r="E1759" t="s">
        <v>9246</v>
      </c>
      <c r="F1759" t="s">
        <v>10297</v>
      </c>
      <c r="G1759">
        <v>1.53</v>
      </c>
      <c r="H1759" t="s">
        <v>10310</v>
      </c>
      <c r="I1759" t="s">
        <v>10326</v>
      </c>
      <c r="L1759">
        <v>1995</v>
      </c>
      <c r="R1759" t="s">
        <v>11038</v>
      </c>
      <c r="S1759" t="s">
        <v>10310</v>
      </c>
      <c r="W1759" s="2" t="s">
        <v>11202</v>
      </c>
    </row>
    <row r="1760" spans="1:23" hidden="1" x14ac:dyDescent="0.45">
      <c r="A1760" s="1" t="s">
        <v>1743</v>
      </c>
      <c r="B1760" t="s">
        <v>6202</v>
      </c>
      <c r="D1760" t="s">
        <v>7991</v>
      </c>
      <c r="E1760" t="s">
        <v>9247</v>
      </c>
      <c r="F1760" t="s">
        <v>10297</v>
      </c>
      <c r="G1760">
        <v>0.24</v>
      </c>
      <c r="H1760" t="s">
        <v>10310</v>
      </c>
      <c r="I1760" t="s">
        <v>10325</v>
      </c>
      <c r="L1760">
        <v>1952</v>
      </c>
      <c r="R1760" t="s">
        <v>11038</v>
      </c>
      <c r="S1760" t="s">
        <v>10310</v>
      </c>
      <c r="W1760" s="2" t="s">
        <v>11202</v>
      </c>
    </row>
    <row r="1761" spans="1:23" hidden="1" x14ac:dyDescent="0.45">
      <c r="A1761" s="1" t="s">
        <v>1744</v>
      </c>
      <c r="B1761" t="s">
        <v>6202</v>
      </c>
      <c r="D1761" t="s">
        <v>7991</v>
      </c>
      <c r="E1761" t="s">
        <v>9247</v>
      </c>
      <c r="F1761" t="s">
        <v>10297</v>
      </c>
      <c r="G1761">
        <v>0.24</v>
      </c>
      <c r="H1761" t="s">
        <v>10310</v>
      </c>
      <c r="I1761" t="s">
        <v>10325</v>
      </c>
      <c r="L1761">
        <v>1952</v>
      </c>
      <c r="R1761" t="s">
        <v>11038</v>
      </c>
      <c r="S1761" t="s">
        <v>10310</v>
      </c>
      <c r="W1761" s="2" t="s">
        <v>11202</v>
      </c>
    </row>
    <row r="1762" spans="1:23" hidden="1" x14ac:dyDescent="0.45">
      <c r="A1762" s="1" t="s">
        <v>1745</v>
      </c>
      <c r="B1762" t="s">
        <v>6201</v>
      </c>
      <c r="D1762" t="s">
        <v>7992</v>
      </c>
      <c r="E1762" t="s">
        <v>9248</v>
      </c>
      <c r="F1762" t="s">
        <v>10297</v>
      </c>
      <c r="G1762">
        <v>0.53</v>
      </c>
      <c r="H1762" t="s">
        <v>10310</v>
      </c>
      <c r="I1762" t="s">
        <v>10325</v>
      </c>
      <c r="L1762">
        <v>1926</v>
      </c>
      <c r="R1762" t="s">
        <v>11038</v>
      </c>
      <c r="S1762" t="s">
        <v>10310</v>
      </c>
      <c r="W1762" s="2" t="s">
        <v>11202</v>
      </c>
    </row>
    <row r="1763" spans="1:23" hidden="1" x14ac:dyDescent="0.45">
      <c r="A1763" s="1" t="s">
        <v>1746</v>
      </c>
      <c r="B1763" t="s">
        <v>6201</v>
      </c>
      <c r="D1763" t="s">
        <v>7992</v>
      </c>
      <c r="E1763" t="s">
        <v>9248</v>
      </c>
      <c r="F1763" t="s">
        <v>10297</v>
      </c>
      <c r="G1763">
        <v>0.53</v>
      </c>
      <c r="H1763" t="s">
        <v>10310</v>
      </c>
      <c r="I1763" t="s">
        <v>10325</v>
      </c>
      <c r="L1763">
        <v>1926</v>
      </c>
      <c r="R1763" t="s">
        <v>11038</v>
      </c>
      <c r="S1763" t="s">
        <v>10310</v>
      </c>
      <c r="W1763" s="2" t="s">
        <v>11202</v>
      </c>
    </row>
    <row r="1764" spans="1:23" hidden="1" x14ac:dyDescent="0.45">
      <c r="A1764" s="1" t="s">
        <v>1747</v>
      </c>
      <c r="B1764" t="s">
        <v>6202</v>
      </c>
      <c r="D1764" t="s">
        <v>7991</v>
      </c>
      <c r="E1764" t="s">
        <v>9249</v>
      </c>
      <c r="F1764" t="s">
        <v>10297</v>
      </c>
      <c r="G1764">
        <v>119.7</v>
      </c>
      <c r="H1764" t="s">
        <v>10310</v>
      </c>
      <c r="I1764" t="s">
        <v>10326</v>
      </c>
      <c r="L1764">
        <v>1962</v>
      </c>
      <c r="N1764">
        <v>41.209335000000003</v>
      </c>
      <c r="P1764">
        <v>-6.686566</v>
      </c>
      <c r="R1764" t="s">
        <v>11038</v>
      </c>
      <c r="S1764" t="s">
        <v>10310</v>
      </c>
      <c r="W1764" s="2" t="s">
        <v>11202</v>
      </c>
    </row>
    <row r="1765" spans="1:23" hidden="1" x14ac:dyDescent="0.45">
      <c r="A1765" s="1" t="s">
        <v>1748</v>
      </c>
      <c r="B1765" t="s">
        <v>6202</v>
      </c>
      <c r="D1765" t="s">
        <v>7991</v>
      </c>
      <c r="E1765" t="s">
        <v>9249</v>
      </c>
      <c r="F1765" t="s">
        <v>10297</v>
      </c>
      <c r="G1765">
        <v>134.4</v>
      </c>
      <c r="H1765" t="s">
        <v>10310</v>
      </c>
      <c r="I1765" t="s">
        <v>10326</v>
      </c>
      <c r="L1765">
        <v>1962</v>
      </c>
      <c r="N1765">
        <v>41.209335000000003</v>
      </c>
      <c r="P1765">
        <v>-6.686566</v>
      </c>
      <c r="R1765" t="s">
        <v>11038</v>
      </c>
      <c r="S1765" t="s">
        <v>10310</v>
      </c>
      <c r="W1765" s="2" t="s">
        <v>11202</v>
      </c>
    </row>
    <row r="1766" spans="1:23" hidden="1" x14ac:dyDescent="0.45">
      <c r="A1766" s="1" t="s">
        <v>1749</v>
      </c>
      <c r="B1766" t="s">
        <v>6202</v>
      </c>
      <c r="D1766" t="s">
        <v>7991</v>
      </c>
      <c r="E1766" t="s">
        <v>9249</v>
      </c>
      <c r="F1766" t="s">
        <v>10297</v>
      </c>
      <c r="G1766">
        <v>119.7</v>
      </c>
      <c r="H1766" t="s">
        <v>10310</v>
      </c>
      <c r="I1766" t="s">
        <v>10326</v>
      </c>
      <c r="L1766">
        <v>1963</v>
      </c>
      <c r="N1766">
        <v>41.209335000000003</v>
      </c>
      <c r="P1766">
        <v>-6.686566</v>
      </c>
      <c r="R1766" t="s">
        <v>11038</v>
      </c>
      <c r="S1766" t="s">
        <v>10310</v>
      </c>
      <c r="W1766" s="2" t="s">
        <v>11202</v>
      </c>
    </row>
    <row r="1767" spans="1:23" hidden="1" x14ac:dyDescent="0.45">
      <c r="A1767" s="1" t="s">
        <v>1750</v>
      </c>
      <c r="B1767" t="s">
        <v>6202</v>
      </c>
      <c r="D1767" t="s">
        <v>7991</v>
      </c>
      <c r="E1767" t="s">
        <v>9249</v>
      </c>
      <c r="F1767" t="s">
        <v>10297</v>
      </c>
      <c r="G1767">
        <v>119.7</v>
      </c>
      <c r="H1767" t="s">
        <v>10310</v>
      </c>
      <c r="I1767" t="s">
        <v>10326</v>
      </c>
      <c r="L1767">
        <v>1963</v>
      </c>
      <c r="N1767">
        <v>41.209335000000003</v>
      </c>
      <c r="P1767">
        <v>-6.686566</v>
      </c>
      <c r="R1767" t="s">
        <v>11038</v>
      </c>
      <c r="S1767" t="s">
        <v>10310</v>
      </c>
      <c r="W1767" s="2" t="s">
        <v>11202</v>
      </c>
    </row>
    <row r="1768" spans="1:23" hidden="1" x14ac:dyDescent="0.45">
      <c r="A1768" s="1" t="s">
        <v>1751</v>
      </c>
      <c r="B1768" t="s">
        <v>6202</v>
      </c>
      <c r="D1768" t="s">
        <v>7991</v>
      </c>
      <c r="E1768" t="s">
        <v>9249</v>
      </c>
      <c r="F1768" t="s">
        <v>10297</v>
      </c>
      <c r="G1768">
        <v>119.7</v>
      </c>
      <c r="H1768" t="s">
        <v>10310</v>
      </c>
      <c r="I1768" t="s">
        <v>10326</v>
      </c>
      <c r="L1768">
        <v>1963</v>
      </c>
      <c r="N1768">
        <v>41.209335000000003</v>
      </c>
      <c r="P1768">
        <v>-6.686566</v>
      </c>
      <c r="R1768" t="s">
        <v>11038</v>
      </c>
      <c r="S1768" t="s">
        <v>10310</v>
      </c>
      <c r="W1768" s="2" t="s">
        <v>11202</v>
      </c>
    </row>
    <row r="1769" spans="1:23" hidden="1" x14ac:dyDescent="0.45">
      <c r="A1769" s="1" t="s">
        <v>1752</v>
      </c>
      <c r="B1769" t="s">
        <v>6202</v>
      </c>
      <c r="D1769" t="s">
        <v>7991</v>
      </c>
      <c r="E1769" t="s">
        <v>9249</v>
      </c>
      <c r="F1769" t="s">
        <v>10297</v>
      </c>
      <c r="G1769">
        <v>119.7</v>
      </c>
      <c r="H1769" t="s">
        <v>10310</v>
      </c>
      <c r="I1769" t="s">
        <v>10326</v>
      </c>
      <c r="L1769">
        <v>1963</v>
      </c>
      <c r="N1769">
        <v>41.209335000000003</v>
      </c>
      <c r="P1769">
        <v>-6.686566</v>
      </c>
      <c r="R1769" t="s">
        <v>11038</v>
      </c>
      <c r="S1769" t="s">
        <v>10310</v>
      </c>
      <c r="W1769" s="2" t="s">
        <v>11202</v>
      </c>
    </row>
    <row r="1770" spans="1:23" hidden="1" x14ac:dyDescent="0.45">
      <c r="A1770" s="1" t="s">
        <v>1753</v>
      </c>
      <c r="B1770" t="s">
        <v>6202</v>
      </c>
      <c r="D1770" t="s">
        <v>7991</v>
      </c>
      <c r="E1770" t="s">
        <v>9249</v>
      </c>
      <c r="F1770" t="s">
        <v>10297</v>
      </c>
      <c r="G1770">
        <v>217.5</v>
      </c>
      <c r="H1770" t="s">
        <v>10310</v>
      </c>
      <c r="I1770" t="s">
        <v>10327</v>
      </c>
      <c r="L1770">
        <v>1986</v>
      </c>
      <c r="N1770">
        <v>41.209335000000003</v>
      </c>
      <c r="P1770">
        <v>-6.686566</v>
      </c>
      <c r="R1770" t="s">
        <v>11038</v>
      </c>
      <c r="S1770" t="s">
        <v>10310</v>
      </c>
      <c r="W1770" s="2" t="s">
        <v>11202</v>
      </c>
    </row>
    <row r="1771" spans="1:23" hidden="1" x14ac:dyDescent="0.45">
      <c r="A1771" s="1" t="s">
        <v>1754</v>
      </c>
      <c r="B1771" t="s">
        <v>6202</v>
      </c>
      <c r="D1771" t="s">
        <v>7991</v>
      </c>
      <c r="E1771" t="s">
        <v>9249</v>
      </c>
      <c r="F1771" t="s">
        <v>10297</v>
      </c>
      <c r="G1771">
        <v>212.2</v>
      </c>
      <c r="H1771" t="s">
        <v>10310</v>
      </c>
      <c r="I1771" t="s">
        <v>10327</v>
      </c>
      <c r="L1771">
        <v>1986</v>
      </c>
      <c r="N1771">
        <v>41.209335000000003</v>
      </c>
      <c r="P1771">
        <v>-6.686566</v>
      </c>
      <c r="R1771" t="s">
        <v>11038</v>
      </c>
      <c r="S1771" t="s">
        <v>10310</v>
      </c>
      <c r="W1771" s="2" t="s">
        <v>11202</v>
      </c>
    </row>
    <row r="1772" spans="1:23" hidden="1" x14ac:dyDescent="0.45">
      <c r="A1772" s="1" t="s">
        <v>1755</v>
      </c>
      <c r="B1772" t="s">
        <v>6203</v>
      </c>
      <c r="D1772" t="s">
        <v>7989</v>
      </c>
      <c r="E1772" t="s">
        <v>9250</v>
      </c>
      <c r="F1772" t="s">
        <v>10297</v>
      </c>
      <c r="G1772">
        <v>3.4</v>
      </c>
      <c r="H1772" t="s">
        <v>10310</v>
      </c>
      <c r="I1772" t="s">
        <v>10326</v>
      </c>
      <c r="L1772">
        <v>1930</v>
      </c>
      <c r="R1772" t="s">
        <v>11038</v>
      </c>
      <c r="S1772" t="s">
        <v>10310</v>
      </c>
      <c r="W1772" s="2" t="s">
        <v>11202</v>
      </c>
    </row>
    <row r="1773" spans="1:23" hidden="1" x14ac:dyDescent="0.45">
      <c r="A1773" s="1" t="s">
        <v>1756</v>
      </c>
      <c r="B1773" t="s">
        <v>6203</v>
      </c>
      <c r="D1773" t="s">
        <v>7989</v>
      </c>
      <c r="E1773" t="s">
        <v>9250</v>
      </c>
      <c r="F1773" t="s">
        <v>10297</v>
      </c>
      <c r="G1773">
        <v>3.4</v>
      </c>
      <c r="H1773" t="s">
        <v>10310</v>
      </c>
      <c r="I1773" t="s">
        <v>10326</v>
      </c>
      <c r="L1773">
        <v>1930</v>
      </c>
      <c r="R1773" t="s">
        <v>11038</v>
      </c>
      <c r="S1773" t="s">
        <v>10310</v>
      </c>
      <c r="W1773" s="2" t="s">
        <v>11202</v>
      </c>
    </row>
    <row r="1774" spans="1:23" hidden="1" x14ac:dyDescent="0.45">
      <c r="A1774" s="1" t="s">
        <v>1757</v>
      </c>
      <c r="B1774" t="s">
        <v>6202</v>
      </c>
      <c r="D1774" t="s">
        <v>7991</v>
      </c>
      <c r="E1774" t="s">
        <v>9251</v>
      </c>
      <c r="F1774" t="s">
        <v>10297</v>
      </c>
      <c r="G1774">
        <v>2.8</v>
      </c>
      <c r="H1774" t="s">
        <v>10310</v>
      </c>
      <c r="I1774" t="s">
        <v>10325</v>
      </c>
      <c r="L1774">
        <v>1923</v>
      </c>
      <c r="R1774" t="s">
        <v>11038</v>
      </c>
      <c r="S1774" t="s">
        <v>10310</v>
      </c>
      <c r="W1774" s="2" t="s">
        <v>11202</v>
      </c>
    </row>
    <row r="1775" spans="1:23" hidden="1" x14ac:dyDescent="0.45">
      <c r="A1775" s="1" t="s">
        <v>1758</v>
      </c>
      <c r="B1775" t="s">
        <v>6202</v>
      </c>
      <c r="D1775" t="s">
        <v>7991</v>
      </c>
      <c r="E1775" t="s">
        <v>9251</v>
      </c>
      <c r="F1775" t="s">
        <v>10297</v>
      </c>
      <c r="G1775">
        <v>2.8</v>
      </c>
      <c r="H1775" t="s">
        <v>10310</v>
      </c>
      <c r="I1775" t="s">
        <v>10325</v>
      </c>
      <c r="L1775">
        <v>1923</v>
      </c>
      <c r="R1775" t="s">
        <v>11038</v>
      </c>
      <c r="S1775" t="s">
        <v>10310</v>
      </c>
      <c r="W1775" s="2" t="s">
        <v>11202</v>
      </c>
    </row>
    <row r="1776" spans="1:23" hidden="1" x14ac:dyDescent="0.45">
      <c r="A1776" s="1" t="s">
        <v>1759</v>
      </c>
      <c r="B1776" t="s">
        <v>6202</v>
      </c>
      <c r="D1776" t="s">
        <v>7991</v>
      </c>
      <c r="E1776" t="s">
        <v>9251</v>
      </c>
      <c r="F1776" t="s">
        <v>10297</v>
      </c>
      <c r="G1776">
        <v>2.8</v>
      </c>
      <c r="H1776" t="s">
        <v>10310</v>
      </c>
      <c r="I1776" t="s">
        <v>10325</v>
      </c>
      <c r="L1776">
        <v>1923</v>
      </c>
      <c r="R1776" t="s">
        <v>11038</v>
      </c>
      <c r="S1776" t="s">
        <v>10310</v>
      </c>
      <c r="W1776" s="2" t="s">
        <v>11202</v>
      </c>
    </row>
    <row r="1777" spans="1:23" hidden="1" x14ac:dyDescent="0.45">
      <c r="A1777" s="1" t="s">
        <v>1760</v>
      </c>
      <c r="B1777" t="s">
        <v>6202</v>
      </c>
      <c r="D1777" t="s">
        <v>7991</v>
      </c>
      <c r="E1777" t="s">
        <v>9251</v>
      </c>
      <c r="F1777" t="s">
        <v>10297</v>
      </c>
      <c r="G1777">
        <v>6</v>
      </c>
      <c r="H1777" t="s">
        <v>10310</v>
      </c>
      <c r="I1777" t="s">
        <v>10325</v>
      </c>
      <c r="L1777">
        <v>1956</v>
      </c>
      <c r="R1777" t="s">
        <v>11038</v>
      </c>
      <c r="S1777" t="s">
        <v>10310</v>
      </c>
      <c r="W1777" s="2" t="s">
        <v>11202</v>
      </c>
    </row>
    <row r="1778" spans="1:23" hidden="1" x14ac:dyDescent="0.45">
      <c r="A1778" s="1" t="s">
        <v>1761</v>
      </c>
      <c r="B1778" t="s">
        <v>6204</v>
      </c>
      <c r="D1778" t="s">
        <v>7993</v>
      </c>
      <c r="E1778" t="s">
        <v>9252</v>
      </c>
      <c r="F1778" t="s">
        <v>10297</v>
      </c>
      <c r="G1778">
        <v>0.43</v>
      </c>
      <c r="H1778" t="s">
        <v>10310</v>
      </c>
      <c r="I1778" t="s">
        <v>10325</v>
      </c>
      <c r="L1778">
        <v>1907</v>
      </c>
      <c r="R1778" t="s">
        <v>11038</v>
      </c>
      <c r="S1778" t="s">
        <v>10310</v>
      </c>
      <c r="W1778" s="2" t="s">
        <v>11202</v>
      </c>
    </row>
    <row r="1779" spans="1:23" hidden="1" x14ac:dyDescent="0.45">
      <c r="A1779" s="1" t="s">
        <v>1762</v>
      </c>
      <c r="B1779" t="s">
        <v>6204</v>
      </c>
      <c r="D1779" t="s">
        <v>7993</v>
      </c>
      <c r="E1779" t="s">
        <v>9252</v>
      </c>
      <c r="F1779" t="s">
        <v>10297</v>
      </c>
      <c r="G1779">
        <v>0.43</v>
      </c>
      <c r="H1779" t="s">
        <v>10310</v>
      </c>
      <c r="I1779" t="s">
        <v>10325</v>
      </c>
      <c r="L1779">
        <v>1907</v>
      </c>
      <c r="R1779" t="s">
        <v>11038</v>
      </c>
      <c r="S1779" t="s">
        <v>10310</v>
      </c>
      <c r="W1779" s="2" t="s">
        <v>11202</v>
      </c>
    </row>
    <row r="1780" spans="1:23" hidden="1" x14ac:dyDescent="0.45">
      <c r="A1780" s="1" t="s">
        <v>1763</v>
      </c>
      <c r="B1780" t="s">
        <v>6204</v>
      </c>
      <c r="D1780" t="s">
        <v>7993</v>
      </c>
      <c r="E1780" t="s">
        <v>9252</v>
      </c>
      <c r="F1780" t="s">
        <v>10297</v>
      </c>
      <c r="G1780">
        <v>0.94</v>
      </c>
      <c r="H1780" t="s">
        <v>10310</v>
      </c>
      <c r="I1780" t="s">
        <v>10325</v>
      </c>
      <c r="L1780">
        <v>1937</v>
      </c>
      <c r="R1780" t="s">
        <v>11038</v>
      </c>
      <c r="S1780" t="s">
        <v>10310</v>
      </c>
      <c r="W1780" s="2" t="s">
        <v>11202</v>
      </c>
    </row>
    <row r="1781" spans="1:23" hidden="1" x14ac:dyDescent="0.45">
      <c r="A1781" s="1" t="s">
        <v>1764</v>
      </c>
      <c r="B1781" t="s">
        <v>6203</v>
      </c>
      <c r="D1781" t="s">
        <v>7989</v>
      </c>
      <c r="E1781" t="s">
        <v>9253</v>
      </c>
      <c r="F1781" t="s">
        <v>10297</v>
      </c>
      <c r="G1781">
        <v>1.29</v>
      </c>
      <c r="H1781" t="s">
        <v>10310</v>
      </c>
      <c r="I1781" t="s">
        <v>10325</v>
      </c>
      <c r="L1781">
        <v>1921</v>
      </c>
      <c r="R1781" t="s">
        <v>11038</v>
      </c>
      <c r="S1781" t="s">
        <v>10310</v>
      </c>
      <c r="W1781" s="2" t="s">
        <v>11202</v>
      </c>
    </row>
    <row r="1782" spans="1:23" hidden="1" x14ac:dyDescent="0.45">
      <c r="A1782" s="1" t="s">
        <v>1765</v>
      </c>
      <c r="B1782" t="s">
        <v>6203</v>
      </c>
      <c r="D1782" t="s">
        <v>7989</v>
      </c>
      <c r="E1782" t="s">
        <v>9253</v>
      </c>
      <c r="F1782" t="s">
        <v>10297</v>
      </c>
      <c r="G1782">
        <v>1.1599999999999999</v>
      </c>
      <c r="H1782" t="s">
        <v>10310</v>
      </c>
      <c r="I1782" t="s">
        <v>10325</v>
      </c>
      <c r="L1782">
        <v>1921</v>
      </c>
      <c r="R1782" t="s">
        <v>11038</v>
      </c>
      <c r="S1782" t="s">
        <v>10310</v>
      </c>
      <c r="W1782" s="2" t="s">
        <v>11202</v>
      </c>
    </row>
    <row r="1783" spans="1:23" hidden="1" x14ac:dyDescent="0.45">
      <c r="A1783" s="1" t="s">
        <v>1766</v>
      </c>
      <c r="B1783" t="s">
        <v>6203</v>
      </c>
      <c r="D1783" t="s">
        <v>7989</v>
      </c>
      <c r="E1783" t="s">
        <v>9253</v>
      </c>
      <c r="F1783" t="s">
        <v>10297</v>
      </c>
      <c r="G1783">
        <v>1.1599999999999999</v>
      </c>
      <c r="H1783" t="s">
        <v>10310</v>
      </c>
      <c r="I1783" t="s">
        <v>10325</v>
      </c>
      <c r="L1783">
        <v>1921</v>
      </c>
      <c r="R1783" t="s">
        <v>11038</v>
      </c>
      <c r="S1783" t="s">
        <v>10310</v>
      </c>
      <c r="W1783" s="2" t="s">
        <v>11202</v>
      </c>
    </row>
    <row r="1784" spans="1:23" hidden="1" x14ac:dyDescent="0.45">
      <c r="A1784" s="1" t="s">
        <v>1767</v>
      </c>
      <c r="B1784" t="s">
        <v>6203</v>
      </c>
      <c r="D1784" t="s">
        <v>7989</v>
      </c>
      <c r="E1784" t="s">
        <v>9253</v>
      </c>
      <c r="F1784" t="s">
        <v>10297</v>
      </c>
      <c r="G1784">
        <v>0.92</v>
      </c>
      <c r="H1784" t="s">
        <v>10310</v>
      </c>
      <c r="I1784" t="s">
        <v>10325</v>
      </c>
      <c r="L1784">
        <v>1953</v>
      </c>
      <c r="R1784" t="s">
        <v>11038</v>
      </c>
      <c r="S1784" t="s">
        <v>10310</v>
      </c>
      <c r="W1784" s="2" t="s">
        <v>11202</v>
      </c>
    </row>
    <row r="1785" spans="1:23" hidden="1" x14ac:dyDescent="0.45">
      <c r="A1785" s="1" t="s">
        <v>1768</v>
      </c>
      <c r="B1785" t="s">
        <v>6203</v>
      </c>
      <c r="D1785" t="s">
        <v>7989</v>
      </c>
      <c r="E1785" t="s">
        <v>9253</v>
      </c>
      <c r="F1785" t="s">
        <v>10297</v>
      </c>
      <c r="G1785">
        <v>0.92</v>
      </c>
      <c r="H1785" t="s">
        <v>10310</v>
      </c>
      <c r="I1785" t="s">
        <v>10325</v>
      </c>
      <c r="L1785">
        <v>1953</v>
      </c>
      <c r="R1785" t="s">
        <v>11038</v>
      </c>
      <c r="S1785" t="s">
        <v>10310</v>
      </c>
      <c r="W1785" s="2" t="s">
        <v>11202</v>
      </c>
    </row>
    <row r="1786" spans="1:23" hidden="1" x14ac:dyDescent="0.45">
      <c r="A1786" s="1" t="s">
        <v>1769</v>
      </c>
      <c r="B1786" t="s">
        <v>6201</v>
      </c>
      <c r="D1786" t="s">
        <v>7992</v>
      </c>
      <c r="E1786" t="s">
        <v>9254</v>
      </c>
      <c r="F1786" t="s">
        <v>10297</v>
      </c>
      <c r="G1786">
        <v>0.2</v>
      </c>
      <c r="H1786" t="s">
        <v>10310</v>
      </c>
      <c r="I1786" t="s">
        <v>10325</v>
      </c>
      <c r="L1786">
        <v>1964</v>
      </c>
      <c r="R1786" t="s">
        <v>11038</v>
      </c>
      <c r="S1786" t="s">
        <v>10310</v>
      </c>
      <c r="W1786" s="2" t="s">
        <v>11202</v>
      </c>
    </row>
    <row r="1787" spans="1:23" hidden="1" x14ac:dyDescent="0.45">
      <c r="A1787" s="1" t="s">
        <v>1770</v>
      </c>
      <c r="B1787" t="s">
        <v>6201</v>
      </c>
      <c r="D1787" t="s">
        <v>7992</v>
      </c>
      <c r="E1787" t="s">
        <v>9254</v>
      </c>
      <c r="F1787" t="s">
        <v>10297</v>
      </c>
      <c r="G1787">
        <v>0.2</v>
      </c>
      <c r="H1787" t="s">
        <v>10310</v>
      </c>
      <c r="I1787" t="s">
        <v>10325</v>
      </c>
      <c r="L1787">
        <v>1964</v>
      </c>
      <c r="R1787" t="s">
        <v>11038</v>
      </c>
      <c r="S1787" t="s">
        <v>10310</v>
      </c>
      <c r="W1787" s="2" t="s">
        <v>11202</v>
      </c>
    </row>
    <row r="1788" spans="1:23" hidden="1" x14ac:dyDescent="0.45">
      <c r="A1788" s="1" t="s">
        <v>1771</v>
      </c>
      <c r="B1788" t="s">
        <v>6201</v>
      </c>
      <c r="D1788" t="s">
        <v>7992</v>
      </c>
      <c r="E1788" t="s">
        <v>9255</v>
      </c>
      <c r="F1788" t="s">
        <v>10297</v>
      </c>
      <c r="G1788">
        <v>0.4</v>
      </c>
      <c r="H1788" t="s">
        <v>10310</v>
      </c>
      <c r="I1788" t="s">
        <v>10325</v>
      </c>
      <c r="L1788">
        <v>1948</v>
      </c>
      <c r="R1788" t="s">
        <v>11038</v>
      </c>
      <c r="S1788" t="s">
        <v>10310</v>
      </c>
      <c r="W1788" s="2" t="s">
        <v>11202</v>
      </c>
    </row>
    <row r="1789" spans="1:23" hidden="1" x14ac:dyDescent="0.45">
      <c r="A1789" s="1" t="s">
        <v>1772</v>
      </c>
      <c r="B1789" t="s">
        <v>6202</v>
      </c>
      <c r="D1789" t="s">
        <v>7991</v>
      </c>
      <c r="E1789" t="s">
        <v>9256</v>
      </c>
      <c r="F1789" t="s">
        <v>10297</v>
      </c>
      <c r="G1789">
        <v>0.11</v>
      </c>
      <c r="H1789" t="s">
        <v>10310</v>
      </c>
      <c r="I1789" t="s">
        <v>10325</v>
      </c>
      <c r="L1789">
        <v>1904</v>
      </c>
      <c r="R1789" t="s">
        <v>11038</v>
      </c>
      <c r="S1789" t="s">
        <v>10310</v>
      </c>
      <c r="W1789" s="2" t="s">
        <v>11202</v>
      </c>
    </row>
    <row r="1790" spans="1:23" hidden="1" x14ac:dyDescent="0.45">
      <c r="A1790" s="1" t="s">
        <v>1773</v>
      </c>
      <c r="B1790" t="s">
        <v>6202</v>
      </c>
      <c r="D1790" t="s">
        <v>7991</v>
      </c>
      <c r="E1790" t="s">
        <v>9256</v>
      </c>
      <c r="F1790" t="s">
        <v>10297</v>
      </c>
      <c r="G1790">
        <v>0.11</v>
      </c>
      <c r="H1790" t="s">
        <v>10310</v>
      </c>
      <c r="I1790" t="s">
        <v>10325</v>
      </c>
      <c r="L1790">
        <v>1904</v>
      </c>
      <c r="R1790" t="s">
        <v>11038</v>
      </c>
      <c r="S1790" t="s">
        <v>10310</v>
      </c>
      <c r="W1790" s="2" t="s">
        <v>11202</v>
      </c>
    </row>
    <row r="1791" spans="1:23" hidden="1" x14ac:dyDescent="0.45">
      <c r="A1791" s="1" t="s">
        <v>1774</v>
      </c>
      <c r="B1791" t="s">
        <v>6201</v>
      </c>
      <c r="D1791" t="s">
        <v>7992</v>
      </c>
      <c r="E1791" t="s">
        <v>9257</v>
      </c>
      <c r="F1791" t="s">
        <v>10297</v>
      </c>
      <c r="G1791">
        <v>7.0000000000000007E-2</v>
      </c>
      <c r="H1791" t="s">
        <v>10310</v>
      </c>
      <c r="I1791" t="s">
        <v>10325</v>
      </c>
      <c r="L1791">
        <v>1964</v>
      </c>
      <c r="R1791" t="s">
        <v>11038</v>
      </c>
      <c r="S1791" t="s">
        <v>10310</v>
      </c>
      <c r="W1791" s="2" t="s">
        <v>11202</v>
      </c>
    </row>
    <row r="1792" spans="1:23" hidden="1" x14ac:dyDescent="0.45">
      <c r="A1792" s="1" t="s">
        <v>1775</v>
      </c>
      <c r="B1792" t="s">
        <v>6203</v>
      </c>
      <c r="D1792" t="s">
        <v>7989</v>
      </c>
      <c r="E1792" t="s">
        <v>9258</v>
      </c>
      <c r="F1792" t="s">
        <v>10297</v>
      </c>
      <c r="G1792">
        <v>0.28000000000000003</v>
      </c>
      <c r="H1792" t="s">
        <v>10310</v>
      </c>
      <c r="I1792" t="s">
        <v>10325</v>
      </c>
      <c r="L1792">
        <v>1901</v>
      </c>
      <c r="R1792" t="s">
        <v>11038</v>
      </c>
      <c r="S1792" t="s">
        <v>10310</v>
      </c>
      <c r="W1792" s="2" t="s">
        <v>11202</v>
      </c>
    </row>
    <row r="1793" spans="1:23" hidden="1" x14ac:dyDescent="0.45">
      <c r="A1793" s="1" t="s">
        <v>1776</v>
      </c>
      <c r="B1793" t="s">
        <v>6203</v>
      </c>
      <c r="D1793" t="s">
        <v>7989</v>
      </c>
      <c r="E1793" t="s">
        <v>9258</v>
      </c>
      <c r="F1793" t="s">
        <v>10297</v>
      </c>
      <c r="G1793">
        <v>0.3</v>
      </c>
      <c r="H1793" t="s">
        <v>10310</v>
      </c>
      <c r="I1793" t="s">
        <v>10325</v>
      </c>
      <c r="L1793">
        <v>1900</v>
      </c>
      <c r="R1793" t="s">
        <v>11038</v>
      </c>
      <c r="S1793" t="s">
        <v>10310</v>
      </c>
      <c r="W1793" s="2" t="s">
        <v>11202</v>
      </c>
    </row>
    <row r="1794" spans="1:23" hidden="1" x14ac:dyDescent="0.45">
      <c r="A1794" s="1" t="s">
        <v>1777</v>
      </c>
      <c r="B1794" t="s">
        <v>6203</v>
      </c>
      <c r="D1794" t="s">
        <v>7989</v>
      </c>
      <c r="E1794" t="s">
        <v>9258</v>
      </c>
      <c r="F1794" t="s">
        <v>10297</v>
      </c>
      <c r="G1794">
        <v>0.5</v>
      </c>
      <c r="H1794" t="s">
        <v>10310</v>
      </c>
      <c r="I1794" t="s">
        <v>10325</v>
      </c>
      <c r="L1794">
        <v>1900</v>
      </c>
      <c r="R1794" t="s">
        <v>11038</v>
      </c>
      <c r="S1794" t="s">
        <v>10310</v>
      </c>
      <c r="W1794" s="2" t="s">
        <v>11202</v>
      </c>
    </row>
    <row r="1795" spans="1:23" hidden="1" x14ac:dyDescent="0.45">
      <c r="A1795" s="1" t="s">
        <v>1778</v>
      </c>
      <c r="B1795" t="s">
        <v>6201</v>
      </c>
      <c r="D1795" t="s">
        <v>7992</v>
      </c>
      <c r="E1795" t="s">
        <v>9259</v>
      </c>
      <c r="F1795" t="s">
        <v>10297</v>
      </c>
      <c r="G1795">
        <v>0.54</v>
      </c>
      <c r="H1795" t="s">
        <v>10310</v>
      </c>
      <c r="I1795" t="s">
        <v>10325</v>
      </c>
      <c r="L1795">
        <v>1988</v>
      </c>
      <c r="R1795" t="s">
        <v>11038</v>
      </c>
      <c r="S1795" t="s">
        <v>10310</v>
      </c>
      <c r="W1795" s="2" t="s">
        <v>11202</v>
      </c>
    </row>
    <row r="1796" spans="1:23" hidden="1" x14ac:dyDescent="0.45">
      <c r="A1796" s="1" t="s">
        <v>1779</v>
      </c>
      <c r="B1796" t="s">
        <v>6203</v>
      </c>
      <c r="D1796" t="s">
        <v>7989</v>
      </c>
      <c r="E1796" t="s">
        <v>9259</v>
      </c>
      <c r="F1796" t="s">
        <v>10297</v>
      </c>
      <c r="G1796">
        <v>0.41</v>
      </c>
      <c r="H1796" t="s">
        <v>10310</v>
      </c>
      <c r="I1796" t="s">
        <v>10325</v>
      </c>
      <c r="L1796">
        <v>1952</v>
      </c>
      <c r="R1796" t="s">
        <v>11038</v>
      </c>
      <c r="S1796" t="s">
        <v>10310</v>
      </c>
      <c r="W1796" s="2" t="s">
        <v>11202</v>
      </c>
    </row>
    <row r="1797" spans="1:23" hidden="1" x14ac:dyDescent="0.45">
      <c r="A1797" s="1" t="s">
        <v>1780</v>
      </c>
      <c r="B1797" t="s">
        <v>6203</v>
      </c>
      <c r="D1797" t="s">
        <v>7989</v>
      </c>
      <c r="E1797" t="s">
        <v>9259</v>
      </c>
      <c r="F1797" t="s">
        <v>10297</v>
      </c>
      <c r="G1797">
        <v>0.8</v>
      </c>
      <c r="H1797" t="s">
        <v>10310</v>
      </c>
      <c r="I1797" t="s">
        <v>10325</v>
      </c>
      <c r="L1797">
        <v>1952</v>
      </c>
      <c r="R1797" t="s">
        <v>11038</v>
      </c>
      <c r="S1797" t="s">
        <v>10310</v>
      </c>
      <c r="W1797" s="2" t="s">
        <v>11202</v>
      </c>
    </row>
    <row r="1798" spans="1:23" hidden="1" x14ac:dyDescent="0.45">
      <c r="A1798" s="1" t="s">
        <v>1781</v>
      </c>
      <c r="B1798" t="s">
        <v>6202</v>
      </c>
      <c r="D1798" t="s">
        <v>7991</v>
      </c>
      <c r="E1798" t="s">
        <v>9260</v>
      </c>
      <c r="F1798" t="s">
        <v>10297</v>
      </c>
      <c r="G1798">
        <v>60</v>
      </c>
      <c r="H1798" t="s">
        <v>10310</v>
      </c>
      <c r="I1798" t="s">
        <v>10326</v>
      </c>
      <c r="L1798">
        <v>1969</v>
      </c>
      <c r="N1798">
        <v>39.778883</v>
      </c>
      <c r="P1798">
        <v>-5.0871890000000004</v>
      </c>
      <c r="R1798" t="s">
        <v>11038</v>
      </c>
      <c r="S1798" t="s">
        <v>10310</v>
      </c>
      <c r="W1798" s="2" t="s">
        <v>11202</v>
      </c>
    </row>
    <row r="1799" spans="1:23" hidden="1" x14ac:dyDescent="0.45">
      <c r="A1799" s="1" t="s">
        <v>1782</v>
      </c>
      <c r="B1799" t="s">
        <v>6202</v>
      </c>
      <c r="D1799" t="s">
        <v>7991</v>
      </c>
      <c r="E1799" t="s">
        <v>9260</v>
      </c>
      <c r="F1799" t="s">
        <v>10297</v>
      </c>
      <c r="G1799">
        <v>60</v>
      </c>
      <c r="H1799" t="s">
        <v>10310</v>
      </c>
      <c r="I1799" t="s">
        <v>10326</v>
      </c>
      <c r="L1799">
        <v>1970</v>
      </c>
      <c r="N1799">
        <v>39.778883</v>
      </c>
      <c r="P1799">
        <v>-5.0871890000000004</v>
      </c>
      <c r="R1799" t="s">
        <v>11038</v>
      </c>
      <c r="S1799" t="s">
        <v>10310</v>
      </c>
      <c r="W1799" s="2" t="s">
        <v>11202</v>
      </c>
    </row>
    <row r="1800" spans="1:23" hidden="1" x14ac:dyDescent="0.45">
      <c r="A1800" s="1" t="s">
        <v>1783</v>
      </c>
      <c r="B1800" t="s">
        <v>6202</v>
      </c>
      <c r="D1800" t="s">
        <v>7991</v>
      </c>
      <c r="E1800" t="s">
        <v>9260</v>
      </c>
      <c r="F1800" t="s">
        <v>10297</v>
      </c>
      <c r="G1800">
        <v>60</v>
      </c>
      <c r="H1800" t="s">
        <v>10310</v>
      </c>
      <c r="I1800" t="s">
        <v>10326</v>
      </c>
      <c r="L1800">
        <v>1970</v>
      </c>
      <c r="N1800">
        <v>39.778883</v>
      </c>
      <c r="P1800">
        <v>-5.0871890000000004</v>
      </c>
      <c r="R1800" t="s">
        <v>11038</v>
      </c>
      <c r="S1800" t="s">
        <v>10310</v>
      </c>
      <c r="W1800" s="2" t="s">
        <v>11202</v>
      </c>
    </row>
    <row r="1801" spans="1:23" hidden="1" x14ac:dyDescent="0.45">
      <c r="A1801" s="1" t="s">
        <v>1784</v>
      </c>
      <c r="B1801" t="s">
        <v>6202</v>
      </c>
      <c r="D1801" t="s">
        <v>7991</v>
      </c>
      <c r="E1801" t="s">
        <v>9261</v>
      </c>
      <c r="F1801" t="s">
        <v>10297</v>
      </c>
      <c r="G1801">
        <v>41.6</v>
      </c>
      <c r="H1801" t="s">
        <v>10310</v>
      </c>
      <c r="I1801" t="s">
        <v>10326</v>
      </c>
      <c r="L1801">
        <v>1957</v>
      </c>
      <c r="N1801">
        <v>43.089187000000003</v>
      </c>
      <c r="P1801">
        <v>-2.7479499999999999</v>
      </c>
      <c r="R1801" t="s">
        <v>11038</v>
      </c>
      <c r="S1801" t="s">
        <v>10310</v>
      </c>
      <c r="W1801" s="2" t="s">
        <v>11202</v>
      </c>
    </row>
    <row r="1802" spans="1:23" hidden="1" x14ac:dyDescent="0.45">
      <c r="A1802" s="1" t="s">
        <v>1785</v>
      </c>
      <c r="B1802" t="s">
        <v>6202</v>
      </c>
      <c r="D1802" t="s">
        <v>7991</v>
      </c>
      <c r="E1802" t="s">
        <v>9261</v>
      </c>
      <c r="F1802" t="s">
        <v>10297</v>
      </c>
      <c r="G1802">
        <v>41.6</v>
      </c>
      <c r="H1802" t="s">
        <v>10310</v>
      </c>
      <c r="I1802" t="s">
        <v>10326</v>
      </c>
      <c r="L1802">
        <v>1957</v>
      </c>
      <c r="N1802">
        <v>43.089187000000003</v>
      </c>
      <c r="P1802">
        <v>-2.7479499999999999</v>
      </c>
      <c r="R1802" t="s">
        <v>11038</v>
      </c>
      <c r="S1802" t="s">
        <v>10310</v>
      </c>
      <c r="W1802" s="2" t="s">
        <v>11202</v>
      </c>
    </row>
    <row r="1803" spans="1:23" hidden="1" x14ac:dyDescent="0.45">
      <c r="A1803" s="1" t="s">
        <v>1786</v>
      </c>
      <c r="B1803" t="s">
        <v>6202</v>
      </c>
      <c r="D1803" t="s">
        <v>7991</v>
      </c>
      <c r="E1803" t="s">
        <v>9261</v>
      </c>
      <c r="F1803" t="s">
        <v>10297</v>
      </c>
      <c r="G1803">
        <v>0.85</v>
      </c>
      <c r="H1803" t="s">
        <v>10310</v>
      </c>
      <c r="I1803" t="s">
        <v>10326</v>
      </c>
      <c r="L1803">
        <v>1957</v>
      </c>
      <c r="N1803">
        <v>43.089187000000003</v>
      </c>
      <c r="P1803">
        <v>-2.7479499999999999</v>
      </c>
      <c r="R1803" t="s">
        <v>11038</v>
      </c>
      <c r="S1803" t="s">
        <v>10310</v>
      </c>
      <c r="W1803" s="2" t="s">
        <v>11202</v>
      </c>
    </row>
    <row r="1804" spans="1:23" hidden="1" x14ac:dyDescent="0.45">
      <c r="A1804" s="1" t="s">
        <v>1787</v>
      </c>
      <c r="B1804" t="s">
        <v>6202</v>
      </c>
      <c r="D1804" t="s">
        <v>7991</v>
      </c>
      <c r="E1804" t="s">
        <v>9262</v>
      </c>
      <c r="F1804" t="s">
        <v>10297</v>
      </c>
      <c r="G1804">
        <v>0.08</v>
      </c>
      <c r="H1804" t="s">
        <v>10310</v>
      </c>
      <c r="I1804" t="s">
        <v>10325</v>
      </c>
      <c r="L1804">
        <v>1985</v>
      </c>
      <c r="R1804" t="s">
        <v>11038</v>
      </c>
      <c r="S1804" t="s">
        <v>10310</v>
      </c>
      <c r="W1804" s="2" t="s">
        <v>11202</v>
      </c>
    </row>
    <row r="1805" spans="1:23" hidden="1" x14ac:dyDescent="0.45">
      <c r="A1805" s="1" t="s">
        <v>1788</v>
      </c>
      <c r="B1805" t="s">
        <v>6202</v>
      </c>
      <c r="D1805" t="s">
        <v>7991</v>
      </c>
      <c r="E1805" t="s">
        <v>9263</v>
      </c>
      <c r="F1805" t="s">
        <v>10297</v>
      </c>
      <c r="G1805">
        <v>2.04</v>
      </c>
      <c r="H1805" t="s">
        <v>10310</v>
      </c>
      <c r="I1805" t="s">
        <v>10326</v>
      </c>
      <c r="L1805">
        <v>1926</v>
      </c>
      <c r="R1805" t="s">
        <v>11038</v>
      </c>
      <c r="S1805" t="s">
        <v>10310</v>
      </c>
      <c r="W1805" s="2" t="s">
        <v>11202</v>
      </c>
    </row>
    <row r="1806" spans="1:23" hidden="1" x14ac:dyDescent="0.45">
      <c r="A1806" s="1" t="s">
        <v>1789</v>
      </c>
      <c r="B1806" t="s">
        <v>6204</v>
      </c>
      <c r="D1806" t="s">
        <v>7993</v>
      </c>
      <c r="E1806" t="s">
        <v>9264</v>
      </c>
      <c r="F1806" t="s">
        <v>10297</v>
      </c>
      <c r="G1806">
        <v>4.4000000000000004</v>
      </c>
      <c r="H1806" t="s">
        <v>10310</v>
      </c>
      <c r="I1806" t="s">
        <v>10326</v>
      </c>
      <c r="L1806">
        <v>1996</v>
      </c>
      <c r="R1806" t="s">
        <v>11038</v>
      </c>
      <c r="S1806" t="s">
        <v>10310</v>
      </c>
      <c r="W1806" s="2" t="s">
        <v>11202</v>
      </c>
    </row>
    <row r="1807" spans="1:23" hidden="1" x14ac:dyDescent="0.45">
      <c r="A1807" s="1" t="s">
        <v>1790</v>
      </c>
      <c r="B1807" t="s">
        <v>6204</v>
      </c>
      <c r="D1807" t="s">
        <v>7993</v>
      </c>
      <c r="E1807" t="s">
        <v>9264</v>
      </c>
      <c r="F1807" t="s">
        <v>10297</v>
      </c>
      <c r="G1807">
        <v>15</v>
      </c>
      <c r="H1807" t="s">
        <v>10310</v>
      </c>
      <c r="I1807" t="s">
        <v>10326</v>
      </c>
      <c r="L1807">
        <v>1996</v>
      </c>
      <c r="R1807" t="s">
        <v>11038</v>
      </c>
      <c r="S1807" t="s">
        <v>10310</v>
      </c>
      <c r="W1807" s="2" t="s">
        <v>11202</v>
      </c>
    </row>
    <row r="1808" spans="1:23" hidden="1" x14ac:dyDescent="0.45">
      <c r="A1808" s="1" t="s">
        <v>1791</v>
      </c>
      <c r="B1808" t="s">
        <v>6202</v>
      </c>
      <c r="D1808" t="s">
        <v>7991</v>
      </c>
      <c r="E1808" t="s">
        <v>9265</v>
      </c>
      <c r="F1808" t="s">
        <v>10297</v>
      </c>
      <c r="G1808">
        <v>0.16</v>
      </c>
      <c r="H1808" t="s">
        <v>10310</v>
      </c>
      <c r="I1808" t="s">
        <v>10325</v>
      </c>
      <c r="L1808">
        <v>1900</v>
      </c>
      <c r="R1808" t="s">
        <v>11038</v>
      </c>
      <c r="S1808" t="s">
        <v>10310</v>
      </c>
      <c r="W1808" s="2" t="s">
        <v>11202</v>
      </c>
    </row>
    <row r="1809" spans="1:23" hidden="1" x14ac:dyDescent="0.45">
      <c r="A1809" s="1" t="s">
        <v>1792</v>
      </c>
      <c r="B1809" t="s">
        <v>6202</v>
      </c>
      <c r="D1809" t="s">
        <v>7991</v>
      </c>
      <c r="E1809" t="s">
        <v>9265</v>
      </c>
      <c r="F1809" t="s">
        <v>10297</v>
      </c>
      <c r="G1809">
        <v>0.16</v>
      </c>
      <c r="H1809" t="s">
        <v>10310</v>
      </c>
      <c r="I1809" t="s">
        <v>10325</v>
      </c>
      <c r="L1809">
        <v>1900</v>
      </c>
      <c r="R1809" t="s">
        <v>11038</v>
      </c>
      <c r="S1809" t="s">
        <v>10310</v>
      </c>
      <c r="W1809" s="2" t="s">
        <v>11202</v>
      </c>
    </row>
    <row r="1810" spans="1:23" hidden="1" x14ac:dyDescent="0.45">
      <c r="A1810" s="1" t="s">
        <v>1793</v>
      </c>
      <c r="B1810" t="s">
        <v>6205</v>
      </c>
      <c r="D1810" t="s">
        <v>7994</v>
      </c>
      <c r="E1810" t="s">
        <v>9262</v>
      </c>
      <c r="F1810" t="s">
        <v>10297</v>
      </c>
      <c r="G1810">
        <v>0.18</v>
      </c>
      <c r="H1810" t="s">
        <v>10310</v>
      </c>
      <c r="I1810" t="s">
        <v>10326</v>
      </c>
      <c r="L1810">
        <v>1928</v>
      </c>
      <c r="R1810" t="s">
        <v>11038</v>
      </c>
      <c r="S1810" t="s">
        <v>10310</v>
      </c>
      <c r="W1810" s="2" t="s">
        <v>11202</v>
      </c>
    </row>
    <row r="1811" spans="1:23" hidden="1" x14ac:dyDescent="0.45">
      <c r="A1811" s="1" t="s">
        <v>1794</v>
      </c>
      <c r="B1811" t="s">
        <v>6201</v>
      </c>
      <c r="D1811" t="s">
        <v>7992</v>
      </c>
      <c r="E1811" t="s">
        <v>9266</v>
      </c>
      <c r="F1811" t="s">
        <v>10297</v>
      </c>
      <c r="G1811">
        <v>0.41</v>
      </c>
      <c r="H1811" t="s">
        <v>10310</v>
      </c>
      <c r="I1811" t="s">
        <v>10325</v>
      </c>
      <c r="L1811">
        <v>1902</v>
      </c>
      <c r="R1811" t="s">
        <v>11038</v>
      </c>
      <c r="S1811" t="s">
        <v>10310</v>
      </c>
      <c r="W1811" s="2" t="s">
        <v>11202</v>
      </c>
    </row>
    <row r="1812" spans="1:23" hidden="1" x14ac:dyDescent="0.45">
      <c r="A1812" s="1" t="s">
        <v>1795</v>
      </c>
      <c r="B1812" t="s">
        <v>6204</v>
      </c>
      <c r="D1812" t="s">
        <v>7993</v>
      </c>
      <c r="E1812" t="s">
        <v>9267</v>
      </c>
      <c r="F1812" t="s">
        <v>10297</v>
      </c>
      <c r="G1812">
        <v>1.38</v>
      </c>
      <c r="H1812" t="s">
        <v>10310</v>
      </c>
      <c r="I1812" t="s">
        <v>10326</v>
      </c>
      <c r="L1812">
        <v>1963</v>
      </c>
      <c r="R1812" t="s">
        <v>11038</v>
      </c>
      <c r="S1812" t="s">
        <v>10310</v>
      </c>
      <c r="W1812" s="2" t="s">
        <v>11202</v>
      </c>
    </row>
    <row r="1813" spans="1:23" hidden="1" x14ac:dyDescent="0.45">
      <c r="A1813" s="1" t="s">
        <v>1796</v>
      </c>
      <c r="B1813" t="s">
        <v>6203</v>
      </c>
      <c r="D1813" t="s">
        <v>7989</v>
      </c>
      <c r="E1813" t="s">
        <v>9268</v>
      </c>
      <c r="F1813" t="s">
        <v>10297</v>
      </c>
      <c r="G1813">
        <v>4.0599999999999996</v>
      </c>
      <c r="H1813" t="s">
        <v>10310</v>
      </c>
      <c r="I1813" t="s">
        <v>10326</v>
      </c>
      <c r="L1813">
        <v>1961</v>
      </c>
      <c r="R1813" t="s">
        <v>11038</v>
      </c>
      <c r="S1813" t="s">
        <v>10310</v>
      </c>
      <c r="W1813" s="2" t="s">
        <v>11202</v>
      </c>
    </row>
    <row r="1814" spans="1:23" hidden="1" x14ac:dyDescent="0.45">
      <c r="A1814" s="1" t="s">
        <v>1797</v>
      </c>
      <c r="B1814" t="s">
        <v>6203</v>
      </c>
      <c r="D1814" t="s">
        <v>7989</v>
      </c>
      <c r="E1814" t="s">
        <v>9268</v>
      </c>
      <c r="F1814" t="s">
        <v>10297</v>
      </c>
      <c r="G1814">
        <v>4</v>
      </c>
      <c r="H1814" t="s">
        <v>10310</v>
      </c>
      <c r="I1814" t="s">
        <v>10326</v>
      </c>
      <c r="L1814">
        <v>1961</v>
      </c>
      <c r="R1814" t="s">
        <v>11038</v>
      </c>
      <c r="S1814" t="s">
        <v>10310</v>
      </c>
      <c r="W1814" s="2" t="s">
        <v>11202</v>
      </c>
    </row>
    <row r="1815" spans="1:23" hidden="1" x14ac:dyDescent="0.45">
      <c r="A1815" s="1" t="s">
        <v>1798</v>
      </c>
      <c r="B1815" t="s">
        <v>6204</v>
      </c>
      <c r="D1815" t="s">
        <v>7993</v>
      </c>
      <c r="E1815" t="s">
        <v>9269</v>
      </c>
      <c r="F1815" t="s">
        <v>10297</v>
      </c>
      <c r="G1815">
        <v>0.3</v>
      </c>
      <c r="H1815" t="s">
        <v>10310</v>
      </c>
      <c r="I1815" t="s">
        <v>10325</v>
      </c>
      <c r="L1815">
        <v>1913</v>
      </c>
      <c r="R1815" t="s">
        <v>11038</v>
      </c>
      <c r="S1815" t="s">
        <v>10310</v>
      </c>
      <c r="W1815" s="2" t="s">
        <v>11202</v>
      </c>
    </row>
    <row r="1816" spans="1:23" hidden="1" x14ac:dyDescent="0.45">
      <c r="A1816" s="1" t="s">
        <v>1799</v>
      </c>
      <c r="B1816" t="s">
        <v>6204</v>
      </c>
      <c r="D1816" t="s">
        <v>7993</v>
      </c>
      <c r="E1816" t="s">
        <v>9269</v>
      </c>
      <c r="F1816" t="s">
        <v>10297</v>
      </c>
      <c r="G1816">
        <v>0.32</v>
      </c>
      <c r="H1816" t="s">
        <v>10310</v>
      </c>
      <c r="I1816" t="s">
        <v>10325</v>
      </c>
      <c r="L1816">
        <v>1913</v>
      </c>
      <c r="R1816" t="s">
        <v>11038</v>
      </c>
      <c r="S1816" t="s">
        <v>10310</v>
      </c>
      <c r="W1816" s="2" t="s">
        <v>11202</v>
      </c>
    </row>
    <row r="1817" spans="1:23" hidden="1" x14ac:dyDescent="0.45">
      <c r="A1817" s="1" t="s">
        <v>1800</v>
      </c>
      <c r="B1817" t="s">
        <v>6202</v>
      </c>
      <c r="D1817" t="s">
        <v>7991</v>
      </c>
      <c r="E1817" t="s">
        <v>9270</v>
      </c>
      <c r="F1817" t="s">
        <v>10297</v>
      </c>
      <c r="G1817">
        <v>0.64</v>
      </c>
      <c r="H1817" t="s">
        <v>10310</v>
      </c>
      <c r="I1817" t="s">
        <v>10325</v>
      </c>
      <c r="L1817">
        <v>1922</v>
      </c>
      <c r="R1817" t="s">
        <v>11038</v>
      </c>
      <c r="S1817" t="s">
        <v>10310</v>
      </c>
      <c r="W1817" s="2" t="s">
        <v>11202</v>
      </c>
    </row>
    <row r="1818" spans="1:23" hidden="1" x14ac:dyDescent="0.45">
      <c r="A1818" s="1" t="s">
        <v>1801</v>
      </c>
      <c r="B1818" t="s">
        <v>6202</v>
      </c>
      <c r="D1818" t="s">
        <v>7991</v>
      </c>
      <c r="E1818" t="s">
        <v>9270</v>
      </c>
      <c r="F1818" t="s">
        <v>10297</v>
      </c>
      <c r="G1818">
        <v>0.64</v>
      </c>
      <c r="H1818" t="s">
        <v>10310</v>
      </c>
      <c r="I1818" t="s">
        <v>10325</v>
      </c>
      <c r="L1818">
        <v>1922</v>
      </c>
      <c r="R1818" t="s">
        <v>11038</v>
      </c>
      <c r="S1818" t="s">
        <v>10310</v>
      </c>
      <c r="W1818" s="2" t="s">
        <v>11202</v>
      </c>
    </row>
    <row r="1819" spans="1:23" hidden="1" x14ac:dyDescent="0.45">
      <c r="A1819" s="1" t="s">
        <v>1802</v>
      </c>
      <c r="B1819" t="s">
        <v>6202</v>
      </c>
      <c r="D1819" t="s">
        <v>7991</v>
      </c>
      <c r="E1819" t="s">
        <v>9270</v>
      </c>
      <c r="F1819" t="s">
        <v>10297</v>
      </c>
      <c r="G1819">
        <v>1.94</v>
      </c>
      <c r="H1819" t="s">
        <v>10310</v>
      </c>
      <c r="I1819" t="s">
        <v>10325</v>
      </c>
      <c r="L1819">
        <v>1956</v>
      </c>
      <c r="R1819" t="s">
        <v>11038</v>
      </c>
      <c r="S1819" t="s">
        <v>10310</v>
      </c>
      <c r="W1819" s="2" t="s">
        <v>11202</v>
      </c>
    </row>
    <row r="1820" spans="1:23" hidden="1" x14ac:dyDescent="0.45">
      <c r="A1820" s="1" t="s">
        <v>1803</v>
      </c>
      <c r="B1820" t="s">
        <v>6202</v>
      </c>
      <c r="D1820" t="s">
        <v>7991</v>
      </c>
      <c r="E1820" t="s">
        <v>9270</v>
      </c>
      <c r="F1820" t="s">
        <v>10297</v>
      </c>
      <c r="G1820">
        <v>1.94</v>
      </c>
      <c r="H1820" t="s">
        <v>10310</v>
      </c>
      <c r="I1820" t="s">
        <v>10325</v>
      </c>
      <c r="L1820">
        <v>1956</v>
      </c>
      <c r="R1820" t="s">
        <v>11038</v>
      </c>
      <c r="S1820" t="s">
        <v>10310</v>
      </c>
      <c r="W1820" s="2" t="s">
        <v>11202</v>
      </c>
    </row>
    <row r="1821" spans="1:23" hidden="1" x14ac:dyDescent="0.45">
      <c r="A1821" s="1" t="s">
        <v>1804</v>
      </c>
      <c r="B1821" t="s">
        <v>6202</v>
      </c>
      <c r="D1821" t="s">
        <v>7991</v>
      </c>
      <c r="E1821" t="s">
        <v>9271</v>
      </c>
      <c r="F1821" t="s">
        <v>10297</v>
      </c>
      <c r="G1821">
        <v>1.48</v>
      </c>
      <c r="H1821" t="s">
        <v>10310</v>
      </c>
      <c r="I1821" t="s">
        <v>10325</v>
      </c>
      <c r="L1821">
        <v>1927</v>
      </c>
      <c r="R1821" t="s">
        <v>11038</v>
      </c>
      <c r="S1821" t="s">
        <v>10310</v>
      </c>
      <c r="W1821" s="2" t="s">
        <v>11202</v>
      </c>
    </row>
    <row r="1822" spans="1:23" hidden="1" x14ac:dyDescent="0.45">
      <c r="A1822" s="1" t="s">
        <v>1805</v>
      </c>
      <c r="B1822" t="s">
        <v>6202</v>
      </c>
      <c r="D1822" t="s">
        <v>7991</v>
      </c>
      <c r="E1822" t="s">
        <v>9271</v>
      </c>
      <c r="F1822" t="s">
        <v>10297</v>
      </c>
      <c r="G1822">
        <v>1.48</v>
      </c>
      <c r="H1822" t="s">
        <v>10310</v>
      </c>
      <c r="I1822" t="s">
        <v>10325</v>
      </c>
      <c r="L1822">
        <v>1927</v>
      </c>
      <c r="R1822" t="s">
        <v>11038</v>
      </c>
      <c r="S1822" t="s">
        <v>10310</v>
      </c>
      <c r="W1822" s="2" t="s">
        <v>11202</v>
      </c>
    </row>
    <row r="1823" spans="1:23" hidden="1" x14ac:dyDescent="0.45">
      <c r="A1823" s="1" t="s">
        <v>1806</v>
      </c>
      <c r="B1823" t="s">
        <v>6202</v>
      </c>
      <c r="D1823" t="s">
        <v>7991</v>
      </c>
      <c r="E1823" t="s">
        <v>9271</v>
      </c>
      <c r="F1823" t="s">
        <v>10297</v>
      </c>
      <c r="G1823">
        <v>1.48</v>
      </c>
      <c r="H1823" t="s">
        <v>10310</v>
      </c>
      <c r="I1823" t="s">
        <v>10325</v>
      </c>
      <c r="L1823">
        <v>1954</v>
      </c>
      <c r="R1823" t="s">
        <v>11038</v>
      </c>
      <c r="S1823" t="s">
        <v>10310</v>
      </c>
      <c r="W1823" s="2" t="s">
        <v>11202</v>
      </c>
    </row>
    <row r="1824" spans="1:23" hidden="1" x14ac:dyDescent="0.45">
      <c r="A1824" s="1" t="s">
        <v>1807</v>
      </c>
      <c r="B1824" t="s">
        <v>6202</v>
      </c>
      <c r="D1824" t="s">
        <v>7991</v>
      </c>
      <c r="E1824" t="s">
        <v>9272</v>
      </c>
      <c r="F1824" t="s">
        <v>10297</v>
      </c>
      <c r="G1824">
        <v>2.4</v>
      </c>
      <c r="H1824" t="s">
        <v>10310</v>
      </c>
      <c r="I1824" t="s">
        <v>10325</v>
      </c>
      <c r="L1824">
        <v>1955</v>
      </c>
      <c r="R1824" t="s">
        <v>11038</v>
      </c>
      <c r="S1824" t="s">
        <v>10310</v>
      </c>
      <c r="W1824" s="2" t="s">
        <v>11202</v>
      </c>
    </row>
    <row r="1825" spans="1:23" hidden="1" x14ac:dyDescent="0.45">
      <c r="A1825" s="1" t="s">
        <v>1808</v>
      </c>
      <c r="B1825" t="s">
        <v>6202</v>
      </c>
      <c r="D1825" t="s">
        <v>7991</v>
      </c>
      <c r="E1825" t="s">
        <v>9272</v>
      </c>
      <c r="F1825" t="s">
        <v>10297</v>
      </c>
      <c r="G1825">
        <v>2.4</v>
      </c>
      <c r="H1825" t="s">
        <v>10310</v>
      </c>
      <c r="I1825" t="s">
        <v>10325</v>
      </c>
      <c r="L1825">
        <v>1955</v>
      </c>
      <c r="R1825" t="s">
        <v>11038</v>
      </c>
      <c r="S1825" t="s">
        <v>10310</v>
      </c>
      <c r="W1825" s="2" t="s">
        <v>11202</v>
      </c>
    </row>
    <row r="1826" spans="1:23" hidden="1" x14ac:dyDescent="0.45">
      <c r="A1826" s="1" t="s">
        <v>1809</v>
      </c>
      <c r="B1826" t="s">
        <v>6201</v>
      </c>
      <c r="D1826" t="s">
        <v>7992</v>
      </c>
      <c r="E1826" t="s">
        <v>9273</v>
      </c>
      <c r="F1826" t="s">
        <v>10297</v>
      </c>
      <c r="G1826">
        <v>0.21</v>
      </c>
      <c r="H1826" t="s">
        <v>10310</v>
      </c>
      <c r="I1826" t="s">
        <v>10325</v>
      </c>
      <c r="L1826">
        <v>1927</v>
      </c>
      <c r="R1826" t="s">
        <v>11038</v>
      </c>
      <c r="S1826" t="s">
        <v>10310</v>
      </c>
      <c r="W1826" s="2" t="s">
        <v>11202</v>
      </c>
    </row>
    <row r="1827" spans="1:23" hidden="1" x14ac:dyDescent="0.45">
      <c r="A1827" s="1" t="s">
        <v>1810</v>
      </c>
      <c r="B1827" t="s">
        <v>6201</v>
      </c>
      <c r="D1827" t="s">
        <v>7992</v>
      </c>
      <c r="E1827" t="s">
        <v>9273</v>
      </c>
      <c r="F1827" t="s">
        <v>10297</v>
      </c>
      <c r="G1827">
        <v>0.21</v>
      </c>
      <c r="H1827" t="s">
        <v>10310</v>
      </c>
      <c r="I1827" t="s">
        <v>10325</v>
      </c>
      <c r="L1827">
        <v>1927</v>
      </c>
      <c r="R1827" t="s">
        <v>11038</v>
      </c>
      <c r="S1827" t="s">
        <v>10310</v>
      </c>
      <c r="W1827" s="2" t="s">
        <v>11202</v>
      </c>
    </row>
    <row r="1828" spans="1:23" hidden="1" x14ac:dyDescent="0.45">
      <c r="A1828" s="1" t="s">
        <v>1811</v>
      </c>
      <c r="B1828" t="s">
        <v>6204</v>
      </c>
      <c r="D1828" t="s">
        <v>7993</v>
      </c>
      <c r="E1828" t="s">
        <v>9274</v>
      </c>
      <c r="F1828" t="s">
        <v>10297</v>
      </c>
      <c r="G1828">
        <v>1.2</v>
      </c>
      <c r="H1828" t="s">
        <v>10310</v>
      </c>
      <c r="I1828" t="s">
        <v>10325</v>
      </c>
      <c r="L1828">
        <v>1958</v>
      </c>
      <c r="R1828" t="s">
        <v>11038</v>
      </c>
      <c r="S1828" t="s">
        <v>10310</v>
      </c>
      <c r="W1828" s="2" t="s">
        <v>11202</v>
      </c>
    </row>
    <row r="1829" spans="1:23" hidden="1" x14ac:dyDescent="0.45">
      <c r="A1829" s="1" t="s">
        <v>1812</v>
      </c>
      <c r="B1829" t="s">
        <v>6204</v>
      </c>
      <c r="D1829" t="s">
        <v>7993</v>
      </c>
      <c r="E1829" t="s">
        <v>9274</v>
      </c>
      <c r="F1829" t="s">
        <v>10297</v>
      </c>
      <c r="G1829">
        <v>1.2</v>
      </c>
      <c r="H1829" t="s">
        <v>10310</v>
      </c>
      <c r="I1829" t="s">
        <v>10325</v>
      </c>
      <c r="L1829">
        <v>1958</v>
      </c>
      <c r="R1829" t="s">
        <v>11038</v>
      </c>
      <c r="S1829" t="s">
        <v>10310</v>
      </c>
      <c r="W1829" s="2" t="s">
        <v>11202</v>
      </c>
    </row>
    <row r="1830" spans="1:23" hidden="1" x14ac:dyDescent="0.45">
      <c r="A1830" s="1" t="s">
        <v>1813</v>
      </c>
      <c r="B1830" t="s">
        <v>6202</v>
      </c>
      <c r="D1830" t="s">
        <v>7991</v>
      </c>
      <c r="E1830" t="s">
        <v>9275</v>
      </c>
      <c r="F1830" t="s">
        <v>10297</v>
      </c>
      <c r="G1830">
        <v>39.9</v>
      </c>
      <c r="H1830" t="s">
        <v>10310</v>
      </c>
      <c r="I1830" t="s">
        <v>10326</v>
      </c>
      <c r="L1830">
        <v>1952</v>
      </c>
      <c r="N1830">
        <v>41.574809000000002</v>
      </c>
      <c r="P1830">
        <v>-6.1877230000000001</v>
      </c>
      <c r="R1830" t="s">
        <v>11038</v>
      </c>
      <c r="S1830" t="s">
        <v>10310</v>
      </c>
      <c r="W1830" s="2" t="s">
        <v>11202</v>
      </c>
    </row>
    <row r="1831" spans="1:23" hidden="1" x14ac:dyDescent="0.45">
      <c r="A1831" s="1" t="s">
        <v>1814</v>
      </c>
      <c r="B1831" t="s">
        <v>6202</v>
      </c>
      <c r="D1831" t="s">
        <v>7991</v>
      </c>
      <c r="E1831" t="s">
        <v>9275</v>
      </c>
      <c r="F1831" t="s">
        <v>10297</v>
      </c>
      <c r="G1831">
        <v>39.9</v>
      </c>
      <c r="H1831" t="s">
        <v>10310</v>
      </c>
      <c r="I1831" t="s">
        <v>10326</v>
      </c>
      <c r="L1831">
        <v>1952</v>
      </c>
      <c r="N1831">
        <v>41.574809000000002</v>
      </c>
      <c r="P1831">
        <v>-6.1877230000000001</v>
      </c>
      <c r="R1831" t="s">
        <v>11038</v>
      </c>
      <c r="S1831" t="s">
        <v>10310</v>
      </c>
      <c r="W1831" s="2" t="s">
        <v>11202</v>
      </c>
    </row>
    <row r="1832" spans="1:23" hidden="1" x14ac:dyDescent="0.45">
      <c r="A1832" s="1" t="s">
        <v>1815</v>
      </c>
      <c r="B1832" t="s">
        <v>6202</v>
      </c>
      <c r="D1832" t="s">
        <v>7991</v>
      </c>
      <c r="E1832" t="s">
        <v>9275</v>
      </c>
      <c r="F1832" t="s">
        <v>10297</v>
      </c>
      <c r="G1832">
        <v>110</v>
      </c>
      <c r="H1832" t="s">
        <v>10310</v>
      </c>
      <c r="I1832" t="s">
        <v>10326</v>
      </c>
      <c r="L1832">
        <v>1977</v>
      </c>
      <c r="N1832">
        <v>41.574809000000002</v>
      </c>
      <c r="P1832">
        <v>-6.1877230000000001</v>
      </c>
      <c r="R1832" t="s">
        <v>11038</v>
      </c>
      <c r="S1832" t="s">
        <v>10310</v>
      </c>
      <c r="W1832" s="2" t="s">
        <v>11202</v>
      </c>
    </row>
    <row r="1833" spans="1:23" hidden="1" x14ac:dyDescent="0.45">
      <c r="A1833" s="1" t="s">
        <v>1816</v>
      </c>
      <c r="B1833" t="s">
        <v>6202</v>
      </c>
      <c r="D1833" t="s">
        <v>7991</v>
      </c>
      <c r="E1833" t="s">
        <v>9276</v>
      </c>
      <c r="F1833" t="s">
        <v>10297</v>
      </c>
      <c r="G1833">
        <v>118.53</v>
      </c>
      <c r="H1833" t="s">
        <v>10310</v>
      </c>
      <c r="I1833" t="s">
        <v>10326</v>
      </c>
      <c r="L1833">
        <v>1976</v>
      </c>
      <c r="N1833">
        <v>39.663510000000002</v>
      </c>
      <c r="P1833">
        <v>-7.5401149999999992</v>
      </c>
      <c r="R1833" t="s">
        <v>11038</v>
      </c>
      <c r="S1833" t="s">
        <v>10310</v>
      </c>
      <c r="W1833" s="2" t="s">
        <v>11202</v>
      </c>
    </row>
    <row r="1834" spans="1:23" hidden="1" x14ac:dyDescent="0.45">
      <c r="A1834" s="1" t="s">
        <v>1817</v>
      </c>
      <c r="B1834" t="s">
        <v>6202</v>
      </c>
      <c r="D1834" t="s">
        <v>7991</v>
      </c>
      <c r="E1834" t="s">
        <v>9276</v>
      </c>
      <c r="F1834" t="s">
        <v>10297</v>
      </c>
      <c r="G1834">
        <v>117.13</v>
      </c>
      <c r="H1834" t="s">
        <v>10310</v>
      </c>
      <c r="I1834" t="s">
        <v>10326</v>
      </c>
      <c r="L1834">
        <v>1976</v>
      </c>
      <c r="N1834">
        <v>39.663510000000002</v>
      </c>
      <c r="P1834">
        <v>-7.5401149999999992</v>
      </c>
      <c r="R1834" t="s">
        <v>11038</v>
      </c>
      <c r="S1834" t="s">
        <v>10310</v>
      </c>
      <c r="W1834" s="2" t="s">
        <v>11202</v>
      </c>
    </row>
    <row r="1835" spans="1:23" hidden="1" x14ac:dyDescent="0.45">
      <c r="A1835" s="1" t="s">
        <v>1818</v>
      </c>
      <c r="B1835" t="s">
        <v>6202</v>
      </c>
      <c r="D1835" t="s">
        <v>7991</v>
      </c>
      <c r="E1835" t="s">
        <v>9276</v>
      </c>
      <c r="F1835" t="s">
        <v>10297</v>
      </c>
      <c r="G1835">
        <v>118.87</v>
      </c>
      <c r="H1835" t="s">
        <v>10310</v>
      </c>
      <c r="I1835" t="s">
        <v>10326</v>
      </c>
      <c r="L1835">
        <v>1976</v>
      </c>
      <c r="N1835">
        <v>39.663510000000002</v>
      </c>
      <c r="P1835">
        <v>-7.5401149999999992</v>
      </c>
      <c r="R1835" t="s">
        <v>11038</v>
      </c>
      <c r="S1835" t="s">
        <v>10310</v>
      </c>
      <c r="W1835" s="2" t="s">
        <v>11202</v>
      </c>
    </row>
    <row r="1836" spans="1:23" hidden="1" x14ac:dyDescent="0.45">
      <c r="A1836" s="1" t="s">
        <v>1819</v>
      </c>
      <c r="B1836" t="s">
        <v>6202</v>
      </c>
      <c r="D1836" t="s">
        <v>7991</v>
      </c>
      <c r="E1836" t="s">
        <v>9276</v>
      </c>
      <c r="F1836" t="s">
        <v>10297</v>
      </c>
      <c r="G1836">
        <v>118.47</v>
      </c>
      <c r="H1836" t="s">
        <v>10310</v>
      </c>
      <c r="I1836" t="s">
        <v>10326</v>
      </c>
      <c r="L1836">
        <v>1977</v>
      </c>
      <c r="N1836">
        <v>39.663510000000002</v>
      </c>
      <c r="P1836">
        <v>-7.5401149999999992</v>
      </c>
      <c r="R1836" t="s">
        <v>11038</v>
      </c>
      <c r="S1836" t="s">
        <v>10310</v>
      </c>
      <c r="W1836" s="2" t="s">
        <v>11202</v>
      </c>
    </row>
    <row r="1837" spans="1:23" hidden="1" x14ac:dyDescent="0.45">
      <c r="A1837" s="1" t="s">
        <v>1820</v>
      </c>
      <c r="B1837" t="s">
        <v>6202</v>
      </c>
      <c r="D1837" t="s">
        <v>7991</v>
      </c>
      <c r="E1837" t="s">
        <v>9277</v>
      </c>
      <c r="F1837" t="s">
        <v>10297</v>
      </c>
      <c r="G1837">
        <v>30</v>
      </c>
      <c r="H1837" t="s">
        <v>10310</v>
      </c>
      <c r="I1837" t="s">
        <v>10326</v>
      </c>
      <c r="L1837">
        <v>1969</v>
      </c>
      <c r="N1837">
        <v>42.019331999999999</v>
      </c>
      <c r="P1837">
        <v>-6.458704</v>
      </c>
      <c r="R1837" t="s">
        <v>11038</v>
      </c>
      <c r="S1837" t="s">
        <v>10310</v>
      </c>
      <c r="W1837" s="2" t="s">
        <v>11202</v>
      </c>
    </row>
    <row r="1838" spans="1:23" hidden="1" x14ac:dyDescent="0.45">
      <c r="A1838" s="1" t="s">
        <v>1821</v>
      </c>
      <c r="B1838" t="s">
        <v>6202</v>
      </c>
      <c r="D1838" t="s">
        <v>7991</v>
      </c>
      <c r="E1838" t="s">
        <v>9278</v>
      </c>
      <c r="F1838" t="s">
        <v>10297</v>
      </c>
      <c r="G1838">
        <v>2.2799999999999998</v>
      </c>
      <c r="H1838" t="s">
        <v>10310</v>
      </c>
      <c r="I1838" t="s">
        <v>10325</v>
      </c>
      <c r="L1838">
        <v>1991</v>
      </c>
      <c r="R1838" t="s">
        <v>11038</v>
      </c>
      <c r="S1838" t="s">
        <v>10310</v>
      </c>
      <c r="W1838" s="2" t="s">
        <v>11202</v>
      </c>
    </row>
    <row r="1839" spans="1:23" hidden="1" x14ac:dyDescent="0.45">
      <c r="A1839" s="1" t="s">
        <v>1822</v>
      </c>
      <c r="B1839" t="s">
        <v>6202</v>
      </c>
      <c r="D1839" t="s">
        <v>7991</v>
      </c>
      <c r="E1839" t="s">
        <v>9279</v>
      </c>
      <c r="F1839" t="s">
        <v>10297</v>
      </c>
      <c r="G1839">
        <v>2.46</v>
      </c>
      <c r="H1839" t="s">
        <v>10310</v>
      </c>
      <c r="I1839" t="s">
        <v>10326</v>
      </c>
      <c r="L1839">
        <v>1954</v>
      </c>
      <c r="R1839" t="s">
        <v>11038</v>
      </c>
      <c r="S1839" t="s">
        <v>10310</v>
      </c>
      <c r="W1839" s="2" t="s">
        <v>11202</v>
      </c>
    </row>
    <row r="1840" spans="1:23" hidden="1" x14ac:dyDescent="0.45">
      <c r="A1840" s="1" t="s">
        <v>1823</v>
      </c>
      <c r="B1840" t="s">
        <v>6202</v>
      </c>
      <c r="D1840" t="s">
        <v>7991</v>
      </c>
      <c r="E1840" t="s">
        <v>9279</v>
      </c>
      <c r="F1840" t="s">
        <v>10297</v>
      </c>
      <c r="G1840">
        <v>2.36</v>
      </c>
      <c r="H1840" t="s">
        <v>10310</v>
      </c>
      <c r="I1840" t="s">
        <v>10326</v>
      </c>
      <c r="L1840">
        <v>1955</v>
      </c>
      <c r="R1840" t="s">
        <v>11038</v>
      </c>
      <c r="S1840" t="s">
        <v>10310</v>
      </c>
      <c r="W1840" s="2" t="s">
        <v>11202</v>
      </c>
    </row>
    <row r="1841" spans="1:23" hidden="1" x14ac:dyDescent="0.45">
      <c r="A1841" s="1" t="s">
        <v>1824</v>
      </c>
      <c r="B1841" t="s">
        <v>6201</v>
      </c>
      <c r="D1841" t="s">
        <v>7992</v>
      </c>
      <c r="E1841" t="s">
        <v>9280</v>
      </c>
      <c r="F1841" t="s">
        <v>10297</v>
      </c>
      <c r="G1841">
        <v>0.57999999999999996</v>
      </c>
      <c r="H1841" t="s">
        <v>10310</v>
      </c>
      <c r="I1841" t="s">
        <v>10325</v>
      </c>
      <c r="L1841">
        <v>1901</v>
      </c>
      <c r="R1841" t="s">
        <v>11038</v>
      </c>
      <c r="S1841" t="s">
        <v>10310</v>
      </c>
      <c r="W1841" s="2" t="s">
        <v>11202</v>
      </c>
    </row>
    <row r="1842" spans="1:23" hidden="1" x14ac:dyDescent="0.45">
      <c r="A1842" s="1" t="s">
        <v>1825</v>
      </c>
      <c r="B1842" t="s">
        <v>6205</v>
      </c>
      <c r="D1842" t="s">
        <v>7994</v>
      </c>
      <c r="E1842" t="s">
        <v>9281</v>
      </c>
      <c r="F1842" t="s">
        <v>10297</v>
      </c>
      <c r="G1842">
        <v>1.02</v>
      </c>
      <c r="H1842" t="s">
        <v>10310</v>
      </c>
      <c r="I1842" t="s">
        <v>10325</v>
      </c>
      <c r="L1842">
        <v>1942</v>
      </c>
      <c r="R1842" t="s">
        <v>11038</v>
      </c>
      <c r="S1842" t="s">
        <v>10310</v>
      </c>
      <c r="W1842" s="2" t="s">
        <v>11202</v>
      </c>
    </row>
    <row r="1843" spans="1:23" hidden="1" x14ac:dyDescent="0.45">
      <c r="A1843" s="1" t="s">
        <v>1826</v>
      </c>
      <c r="B1843" t="s">
        <v>6204</v>
      </c>
      <c r="D1843" t="s">
        <v>7993</v>
      </c>
      <c r="E1843" t="s">
        <v>9282</v>
      </c>
      <c r="F1843" t="s">
        <v>10297</v>
      </c>
      <c r="G1843">
        <v>0.94</v>
      </c>
      <c r="H1843" t="s">
        <v>10310</v>
      </c>
      <c r="I1843" t="s">
        <v>10325</v>
      </c>
      <c r="L1843">
        <v>1923</v>
      </c>
      <c r="R1843" t="s">
        <v>11038</v>
      </c>
      <c r="S1843" t="s">
        <v>10310</v>
      </c>
      <c r="W1843" s="2" t="s">
        <v>11202</v>
      </c>
    </row>
    <row r="1844" spans="1:23" hidden="1" x14ac:dyDescent="0.45">
      <c r="A1844" s="1" t="s">
        <v>1827</v>
      </c>
      <c r="B1844" t="s">
        <v>6204</v>
      </c>
      <c r="D1844" t="s">
        <v>7993</v>
      </c>
      <c r="E1844" t="s">
        <v>9282</v>
      </c>
      <c r="F1844" t="s">
        <v>10297</v>
      </c>
      <c r="G1844">
        <v>1</v>
      </c>
      <c r="H1844" t="s">
        <v>10310</v>
      </c>
      <c r="I1844" t="s">
        <v>10325</v>
      </c>
      <c r="L1844">
        <v>1923</v>
      </c>
      <c r="R1844" t="s">
        <v>11038</v>
      </c>
      <c r="S1844" t="s">
        <v>10310</v>
      </c>
      <c r="W1844" s="2" t="s">
        <v>11202</v>
      </c>
    </row>
    <row r="1845" spans="1:23" hidden="1" x14ac:dyDescent="0.45">
      <c r="A1845" s="1" t="s">
        <v>1828</v>
      </c>
      <c r="B1845" t="s">
        <v>6204</v>
      </c>
      <c r="D1845" t="s">
        <v>7993</v>
      </c>
      <c r="E1845" t="s">
        <v>9282</v>
      </c>
      <c r="F1845" t="s">
        <v>10297</v>
      </c>
      <c r="G1845">
        <v>1.02</v>
      </c>
      <c r="H1845" t="s">
        <v>10310</v>
      </c>
      <c r="I1845" t="s">
        <v>10325</v>
      </c>
      <c r="L1845">
        <v>1923</v>
      </c>
      <c r="R1845" t="s">
        <v>11038</v>
      </c>
      <c r="S1845" t="s">
        <v>10310</v>
      </c>
      <c r="W1845" s="2" t="s">
        <v>11202</v>
      </c>
    </row>
    <row r="1846" spans="1:23" hidden="1" x14ac:dyDescent="0.45">
      <c r="A1846" s="1" t="s">
        <v>1829</v>
      </c>
      <c r="B1846" t="s">
        <v>6202</v>
      </c>
      <c r="D1846" t="s">
        <v>7991</v>
      </c>
      <c r="E1846" t="s">
        <v>9283</v>
      </c>
      <c r="F1846" t="s">
        <v>10297</v>
      </c>
      <c r="G1846">
        <v>7.5</v>
      </c>
      <c r="H1846" t="s">
        <v>10310</v>
      </c>
      <c r="I1846" t="s">
        <v>10325</v>
      </c>
      <c r="L1846">
        <v>1962</v>
      </c>
      <c r="R1846" t="s">
        <v>11038</v>
      </c>
      <c r="S1846" t="s">
        <v>10310</v>
      </c>
      <c r="W1846" s="2" t="s">
        <v>11202</v>
      </c>
    </row>
    <row r="1847" spans="1:23" hidden="1" x14ac:dyDescent="0.45">
      <c r="A1847" s="1" t="s">
        <v>1830</v>
      </c>
      <c r="B1847" t="s">
        <v>6202</v>
      </c>
      <c r="D1847" t="s">
        <v>7991</v>
      </c>
      <c r="E1847" t="s">
        <v>9283</v>
      </c>
      <c r="F1847" t="s">
        <v>10297</v>
      </c>
      <c r="G1847">
        <v>7.5</v>
      </c>
      <c r="H1847" t="s">
        <v>10310</v>
      </c>
      <c r="I1847" t="s">
        <v>10325</v>
      </c>
      <c r="L1847">
        <v>1962</v>
      </c>
      <c r="R1847" t="s">
        <v>11038</v>
      </c>
      <c r="S1847" t="s">
        <v>10310</v>
      </c>
      <c r="W1847" s="2" t="s">
        <v>11202</v>
      </c>
    </row>
    <row r="1848" spans="1:23" hidden="1" x14ac:dyDescent="0.45">
      <c r="A1848" s="1" t="s">
        <v>1831</v>
      </c>
      <c r="B1848" t="s">
        <v>6202</v>
      </c>
      <c r="D1848" t="s">
        <v>7991</v>
      </c>
      <c r="E1848" t="s">
        <v>9237</v>
      </c>
      <c r="F1848" t="s">
        <v>10297</v>
      </c>
      <c r="G1848">
        <v>41.4</v>
      </c>
      <c r="H1848" t="s">
        <v>10310</v>
      </c>
      <c r="I1848" t="s">
        <v>10326</v>
      </c>
      <c r="L1848">
        <v>1951</v>
      </c>
      <c r="N1848">
        <v>39.246678000000003</v>
      </c>
      <c r="P1848">
        <v>-1.094992</v>
      </c>
      <c r="R1848" t="s">
        <v>11038</v>
      </c>
      <c r="S1848" t="s">
        <v>10310</v>
      </c>
      <c r="W1848" s="2" t="s">
        <v>11202</v>
      </c>
    </row>
    <row r="1849" spans="1:23" hidden="1" x14ac:dyDescent="0.45">
      <c r="A1849" s="1" t="s">
        <v>1832</v>
      </c>
      <c r="B1849" t="s">
        <v>6202</v>
      </c>
      <c r="D1849" t="s">
        <v>7991</v>
      </c>
      <c r="E1849" t="s">
        <v>9237</v>
      </c>
      <c r="F1849" t="s">
        <v>10297</v>
      </c>
      <c r="G1849">
        <v>41.4</v>
      </c>
      <c r="H1849" t="s">
        <v>10310</v>
      </c>
      <c r="I1849" t="s">
        <v>10326</v>
      </c>
      <c r="L1849">
        <v>1951</v>
      </c>
      <c r="N1849">
        <v>39.246678000000003</v>
      </c>
      <c r="P1849">
        <v>-1.094992</v>
      </c>
      <c r="R1849" t="s">
        <v>11038</v>
      </c>
      <c r="S1849" t="s">
        <v>10310</v>
      </c>
      <c r="W1849" s="2" t="s">
        <v>11202</v>
      </c>
    </row>
    <row r="1850" spans="1:23" hidden="1" x14ac:dyDescent="0.45">
      <c r="A1850" s="1" t="s">
        <v>1833</v>
      </c>
      <c r="B1850" t="s">
        <v>6202</v>
      </c>
      <c r="D1850" t="s">
        <v>7991</v>
      </c>
      <c r="E1850" t="s">
        <v>9237</v>
      </c>
      <c r="F1850" t="s">
        <v>10297</v>
      </c>
      <c r="G1850">
        <v>41.4</v>
      </c>
      <c r="H1850" t="s">
        <v>10310</v>
      </c>
      <c r="I1850" t="s">
        <v>10326</v>
      </c>
      <c r="L1850">
        <v>1951</v>
      </c>
      <c r="N1850">
        <v>39.246678000000003</v>
      </c>
      <c r="P1850">
        <v>-1.094992</v>
      </c>
      <c r="R1850" t="s">
        <v>11038</v>
      </c>
      <c r="S1850" t="s">
        <v>10310</v>
      </c>
      <c r="W1850" s="2" t="s">
        <v>11202</v>
      </c>
    </row>
    <row r="1851" spans="1:23" hidden="1" x14ac:dyDescent="0.45">
      <c r="A1851" s="1" t="s">
        <v>1834</v>
      </c>
      <c r="B1851" t="s">
        <v>6202</v>
      </c>
      <c r="D1851" t="s">
        <v>7991</v>
      </c>
      <c r="E1851" t="s">
        <v>9284</v>
      </c>
      <c r="F1851" t="s">
        <v>10297</v>
      </c>
      <c r="G1851">
        <v>2.8</v>
      </c>
      <c r="H1851" t="s">
        <v>10310</v>
      </c>
      <c r="I1851" t="s">
        <v>10325</v>
      </c>
      <c r="L1851">
        <v>1962</v>
      </c>
      <c r="R1851" t="s">
        <v>11038</v>
      </c>
      <c r="S1851" t="s">
        <v>10310</v>
      </c>
      <c r="W1851" s="2" t="s">
        <v>11202</v>
      </c>
    </row>
    <row r="1852" spans="1:23" hidden="1" x14ac:dyDescent="0.45">
      <c r="A1852" s="1" t="s">
        <v>1835</v>
      </c>
      <c r="B1852" t="s">
        <v>6202</v>
      </c>
      <c r="D1852" t="s">
        <v>7991</v>
      </c>
      <c r="E1852" t="s">
        <v>9284</v>
      </c>
      <c r="F1852" t="s">
        <v>10297</v>
      </c>
      <c r="G1852">
        <v>2.8</v>
      </c>
      <c r="H1852" t="s">
        <v>10310</v>
      </c>
      <c r="I1852" t="s">
        <v>10325</v>
      </c>
      <c r="L1852">
        <v>1962</v>
      </c>
      <c r="R1852" t="s">
        <v>11038</v>
      </c>
      <c r="S1852" t="s">
        <v>10310</v>
      </c>
      <c r="W1852" s="2" t="s">
        <v>11202</v>
      </c>
    </row>
    <row r="1853" spans="1:23" hidden="1" x14ac:dyDescent="0.45">
      <c r="A1853" s="1" t="s">
        <v>1836</v>
      </c>
      <c r="B1853" t="s">
        <v>6202</v>
      </c>
      <c r="D1853" t="s">
        <v>7991</v>
      </c>
      <c r="E1853" t="s">
        <v>9239</v>
      </c>
      <c r="F1853" t="s">
        <v>10297</v>
      </c>
      <c r="G1853">
        <v>10</v>
      </c>
      <c r="H1853" t="s">
        <v>10310</v>
      </c>
      <c r="I1853" t="s">
        <v>10326</v>
      </c>
      <c r="L1853">
        <v>1967</v>
      </c>
      <c r="R1853" t="s">
        <v>11038</v>
      </c>
      <c r="S1853" t="s">
        <v>10310</v>
      </c>
      <c r="W1853" s="2" t="s">
        <v>11202</v>
      </c>
    </row>
    <row r="1854" spans="1:23" hidden="1" x14ac:dyDescent="0.45">
      <c r="A1854" s="1" t="s">
        <v>1837</v>
      </c>
      <c r="B1854" t="s">
        <v>6202</v>
      </c>
      <c r="D1854" t="s">
        <v>7991</v>
      </c>
      <c r="E1854" t="s">
        <v>9239</v>
      </c>
      <c r="F1854" t="s">
        <v>10297</v>
      </c>
      <c r="G1854">
        <v>10</v>
      </c>
      <c r="H1854" t="s">
        <v>10310</v>
      </c>
      <c r="I1854" t="s">
        <v>10326</v>
      </c>
      <c r="L1854">
        <v>1967</v>
      </c>
      <c r="R1854" t="s">
        <v>11038</v>
      </c>
      <c r="S1854" t="s">
        <v>10310</v>
      </c>
      <c r="W1854" s="2" t="s">
        <v>11202</v>
      </c>
    </row>
    <row r="1855" spans="1:23" hidden="1" x14ac:dyDescent="0.45">
      <c r="A1855" s="1" t="s">
        <v>1838</v>
      </c>
      <c r="B1855" t="s">
        <v>6202</v>
      </c>
      <c r="D1855" t="s">
        <v>7991</v>
      </c>
      <c r="E1855" t="s">
        <v>9285</v>
      </c>
      <c r="F1855" t="s">
        <v>10297</v>
      </c>
      <c r="G1855">
        <v>90.04</v>
      </c>
      <c r="H1855" t="s">
        <v>10310</v>
      </c>
      <c r="I1855" t="s">
        <v>10327</v>
      </c>
      <c r="L1855">
        <v>1975</v>
      </c>
      <c r="N1855">
        <v>42.166873000000002</v>
      </c>
      <c r="P1855">
        <v>-7.1752449999999994</v>
      </c>
      <c r="R1855" t="s">
        <v>11038</v>
      </c>
      <c r="S1855" t="s">
        <v>10310</v>
      </c>
      <c r="W1855" s="2" t="s">
        <v>11202</v>
      </c>
    </row>
    <row r="1856" spans="1:23" hidden="1" x14ac:dyDescent="0.45">
      <c r="A1856" s="1" t="s">
        <v>1839</v>
      </c>
      <c r="B1856" t="s">
        <v>6202</v>
      </c>
      <c r="D1856" t="s">
        <v>7991</v>
      </c>
      <c r="E1856" t="s">
        <v>9285</v>
      </c>
      <c r="F1856" t="s">
        <v>10297</v>
      </c>
      <c r="G1856">
        <v>91.45</v>
      </c>
      <c r="H1856" t="s">
        <v>10310</v>
      </c>
      <c r="I1856" t="s">
        <v>10327</v>
      </c>
      <c r="L1856">
        <v>1975</v>
      </c>
      <c r="N1856">
        <v>42.166873000000002</v>
      </c>
      <c r="P1856">
        <v>-7.1752449999999994</v>
      </c>
      <c r="R1856" t="s">
        <v>11038</v>
      </c>
      <c r="S1856" t="s">
        <v>10310</v>
      </c>
      <c r="W1856" s="2" t="s">
        <v>11202</v>
      </c>
    </row>
    <row r="1857" spans="1:23" hidden="1" x14ac:dyDescent="0.45">
      <c r="A1857" s="1" t="s">
        <v>1840</v>
      </c>
      <c r="B1857" t="s">
        <v>6202</v>
      </c>
      <c r="D1857" t="s">
        <v>7991</v>
      </c>
      <c r="E1857" t="s">
        <v>9285</v>
      </c>
      <c r="F1857" t="s">
        <v>10297</v>
      </c>
      <c r="G1857">
        <v>88.68</v>
      </c>
      <c r="H1857" t="s">
        <v>10310</v>
      </c>
      <c r="I1857" t="s">
        <v>10327</v>
      </c>
      <c r="L1857">
        <v>1976</v>
      </c>
      <c r="N1857">
        <v>42.166873000000002</v>
      </c>
      <c r="P1857">
        <v>-7.1752449999999994</v>
      </c>
      <c r="R1857" t="s">
        <v>11038</v>
      </c>
      <c r="S1857" t="s">
        <v>10310</v>
      </c>
      <c r="W1857" s="2" t="s">
        <v>11202</v>
      </c>
    </row>
    <row r="1858" spans="1:23" hidden="1" x14ac:dyDescent="0.45">
      <c r="A1858" s="1" t="s">
        <v>1841</v>
      </c>
      <c r="B1858" t="s">
        <v>6202</v>
      </c>
      <c r="D1858" t="s">
        <v>7991</v>
      </c>
      <c r="E1858" t="s">
        <v>9286</v>
      </c>
      <c r="F1858" t="s">
        <v>10297</v>
      </c>
      <c r="G1858">
        <v>14.12</v>
      </c>
      <c r="H1858" t="s">
        <v>10310</v>
      </c>
      <c r="I1858" t="s">
        <v>10326</v>
      </c>
      <c r="L1858">
        <v>2009</v>
      </c>
      <c r="N1858">
        <v>39.542856999999998</v>
      </c>
      <c r="P1858">
        <v>-1.50396</v>
      </c>
      <c r="R1858" t="s">
        <v>11038</v>
      </c>
      <c r="S1858" t="s">
        <v>10310</v>
      </c>
      <c r="W1858" s="2" t="s">
        <v>11202</v>
      </c>
    </row>
    <row r="1859" spans="1:23" hidden="1" x14ac:dyDescent="0.45">
      <c r="A1859" s="1" t="s">
        <v>1842</v>
      </c>
      <c r="B1859" t="s">
        <v>6202</v>
      </c>
      <c r="D1859" t="s">
        <v>7991</v>
      </c>
      <c r="E1859" t="s">
        <v>9286</v>
      </c>
      <c r="F1859" t="s">
        <v>10297</v>
      </c>
      <c r="G1859">
        <v>37.5</v>
      </c>
      <c r="H1859" t="s">
        <v>10310</v>
      </c>
      <c r="I1859" t="s">
        <v>10326</v>
      </c>
      <c r="L1859">
        <v>1974</v>
      </c>
      <c r="N1859">
        <v>39.542856999999998</v>
      </c>
      <c r="P1859">
        <v>-1.50396</v>
      </c>
      <c r="R1859" t="s">
        <v>11038</v>
      </c>
      <c r="S1859" t="s">
        <v>10310</v>
      </c>
      <c r="W1859" s="2" t="s">
        <v>11202</v>
      </c>
    </row>
    <row r="1860" spans="1:23" hidden="1" x14ac:dyDescent="0.45">
      <c r="A1860" s="1" t="s">
        <v>1843</v>
      </c>
      <c r="B1860" t="s">
        <v>6202</v>
      </c>
      <c r="D1860" t="s">
        <v>7991</v>
      </c>
      <c r="E1860" t="s">
        <v>9287</v>
      </c>
      <c r="F1860" t="s">
        <v>10297</v>
      </c>
      <c r="G1860">
        <v>140</v>
      </c>
      <c r="H1860" t="s">
        <v>10310</v>
      </c>
      <c r="I1860" t="s">
        <v>10326</v>
      </c>
      <c r="L1860">
        <v>1988</v>
      </c>
      <c r="N1860">
        <v>39.243580999999999</v>
      </c>
      <c r="P1860">
        <v>-0.93170900000000001</v>
      </c>
      <c r="R1860" t="s">
        <v>11038</v>
      </c>
      <c r="S1860" t="s">
        <v>10310</v>
      </c>
      <c r="W1860" s="2" t="s">
        <v>11202</v>
      </c>
    </row>
    <row r="1861" spans="1:23" hidden="1" x14ac:dyDescent="0.45">
      <c r="A1861" s="1" t="s">
        <v>1844</v>
      </c>
      <c r="B1861" t="s">
        <v>6202</v>
      </c>
      <c r="D1861" t="s">
        <v>7991</v>
      </c>
      <c r="E1861" t="s">
        <v>9287</v>
      </c>
      <c r="F1861" t="s">
        <v>10297</v>
      </c>
      <c r="G1861">
        <v>140</v>
      </c>
      <c r="H1861" t="s">
        <v>10310</v>
      </c>
      <c r="I1861" t="s">
        <v>10326</v>
      </c>
      <c r="L1861">
        <v>1988</v>
      </c>
      <c r="N1861">
        <v>39.243580999999999</v>
      </c>
      <c r="P1861">
        <v>-0.93170900000000001</v>
      </c>
      <c r="R1861" t="s">
        <v>11038</v>
      </c>
      <c r="S1861" t="s">
        <v>10310</v>
      </c>
      <c r="W1861" s="2" t="s">
        <v>11202</v>
      </c>
    </row>
    <row r="1862" spans="1:23" hidden="1" x14ac:dyDescent="0.45">
      <c r="A1862" s="1" t="s">
        <v>1845</v>
      </c>
      <c r="B1862" t="s">
        <v>6203</v>
      </c>
      <c r="D1862" t="s">
        <v>7989</v>
      </c>
      <c r="E1862" t="s">
        <v>9288</v>
      </c>
      <c r="F1862" t="s">
        <v>10297</v>
      </c>
      <c r="G1862">
        <v>2</v>
      </c>
      <c r="H1862" t="s">
        <v>10310</v>
      </c>
      <c r="I1862" t="s">
        <v>10325</v>
      </c>
      <c r="L1862">
        <v>1918</v>
      </c>
      <c r="R1862" t="s">
        <v>11038</v>
      </c>
      <c r="S1862" t="s">
        <v>10310</v>
      </c>
      <c r="W1862" s="2" t="s">
        <v>11202</v>
      </c>
    </row>
    <row r="1863" spans="1:23" hidden="1" x14ac:dyDescent="0.45">
      <c r="A1863" s="1" t="s">
        <v>1846</v>
      </c>
      <c r="B1863" t="s">
        <v>6203</v>
      </c>
      <c r="D1863" t="s">
        <v>7989</v>
      </c>
      <c r="E1863" t="s">
        <v>9288</v>
      </c>
      <c r="F1863" t="s">
        <v>10297</v>
      </c>
      <c r="G1863">
        <v>2</v>
      </c>
      <c r="H1863" t="s">
        <v>10310</v>
      </c>
      <c r="I1863" t="s">
        <v>10325</v>
      </c>
      <c r="L1863">
        <v>1918</v>
      </c>
      <c r="R1863" t="s">
        <v>11038</v>
      </c>
      <c r="S1863" t="s">
        <v>10310</v>
      </c>
      <c r="W1863" s="2" t="s">
        <v>11202</v>
      </c>
    </row>
    <row r="1864" spans="1:23" hidden="1" x14ac:dyDescent="0.45">
      <c r="A1864" s="1" t="s">
        <v>1847</v>
      </c>
      <c r="B1864" t="s">
        <v>6204</v>
      </c>
      <c r="D1864" t="s">
        <v>7993</v>
      </c>
      <c r="E1864" t="s">
        <v>9289</v>
      </c>
      <c r="F1864" t="s">
        <v>10297</v>
      </c>
      <c r="G1864">
        <v>3.5</v>
      </c>
      <c r="H1864" t="s">
        <v>10310</v>
      </c>
      <c r="I1864" t="s">
        <v>10325</v>
      </c>
      <c r="L1864">
        <v>1958</v>
      </c>
      <c r="R1864" t="s">
        <v>11038</v>
      </c>
      <c r="S1864" t="s">
        <v>10310</v>
      </c>
      <c r="W1864" s="2" t="s">
        <v>11202</v>
      </c>
    </row>
    <row r="1865" spans="1:23" hidden="1" x14ac:dyDescent="0.45">
      <c r="A1865" s="1" t="s">
        <v>1848</v>
      </c>
      <c r="B1865" t="s">
        <v>6204</v>
      </c>
      <c r="D1865" t="s">
        <v>7993</v>
      </c>
      <c r="E1865" t="s">
        <v>9289</v>
      </c>
      <c r="F1865" t="s">
        <v>10297</v>
      </c>
      <c r="G1865">
        <v>3.5</v>
      </c>
      <c r="H1865" t="s">
        <v>10310</v>
      </c>
      <c r="I1865" t="s">
        <v>10325</v>
      </c>
      <c r="L1865">
        <v>1958</v>
      </c>
      <c r="R1865" t="s">
        <v>11038</v>
      </c>
      <c r="S1865" t="s">
        <v>10310</v>
      </c>
      <c r="W1865" s="2" t="s">
        <v>11202</v>
      </c>
    </row>
    <row r="1866" spans="1:23" hidden="1" x14ac:dyDescent="0.45">
      <c r="A1866" s="1" t="s">
        <v>1849</v>
      </c>
      <c r="B1866" t="s">
        <v>6201</v>
      </c>
      <c r="D1866" t="s">
        <v>7992</v>
      </c>
      <c r="E1866" t="s">
        <v>9290</v>
      </c>
      <c r="F1866" t="s">
        <v>10297</v>
      </c>
      <c r="G1866">
        <v>0.88</v>
      </c>
      <c r="H1866" t="s">
        <v>10310</v>
      </c>
      <c r="I1866" t="s">
        <v>10325</v>
      </c>
      <c r="L1866">
        <v>1921</v>
      </c>
      <c r="R1866" t="s">
        <v>11038</v>
      </c>
      <c r="S1866" t="s">
        <v>10310</v>
      </c>
      <c r="W1866" s="2" t="s">
        <v>11202</v>
      </c>
    </row>
    <row r="1867" spans="1:23" hidden="1" x14ac:dyDescent="0.45">
      <c r="A1867" s="1" t="s">
        <v>1850</v>
      </c>
      <c r="B1867" t="s">
        <v>6201</v>
      </c>
      <c r="D1867" t="s">
        <v>7992</v>
      </c>
      <c r="E1867" t="s">
        <v>9290</v>
      </c>
      <c r="F1867" t="s">
        <v>10297</v>
      </c>
      <c r="G1867">
        <v>0.88</v>
      </c>
      <c r="H1867" t="s">
        <v>10310</v>
      </c>
      <c r="I1867" t="s">
        <v>10325</v>
      </c>
      <c r="L1867">
        <v>1921</v>
      </c>
      <c r="R1867" t="s">
        <v>11038</v>
      </c>
      <c r="S1867" t="s">
        <v>10310</v>
      </c>
      <c r="W1867" s="2" t="s">
        <v>11202</v>
      </c>
    </row>
    <row r="1868" spans="1:23" hidden="1" x14ac:dyDescent="0.45">
      <c r="A1868" s="1" t="s">
        <v>1851</v>
      </c>
      <c r="B1868" t="s">
        <v>6203</v>
      </c>
      <c r="D1868" t="s">
        <v>7989</v>
      </c>
      <c r="E1868" t="s">
        <v>9291</v>
      </c>
      <c r="F1868" t="s">
        <v>10297</v>
      </c>
      <c r="G1868">
        <v>0.6</v>
      </c>
      <c r="H1868" t="s">
        <v>10310</v>
      </c>
      <c r="I1868" t="s">
        <v>10325</v>
      </c>
      <c r="L1868">
        <v>1992</v>
      </c>
      <c r="R1868" t="s">
        <v>11038</v>
      </c>
      <c r="S1868" t="s">
        <v>10310</v>
      </c>
      <c r="W1868" s="2" t="s">
        <v>11202</v>
      </c>
    </row>
    <row r="1869" spans="1:23" hidden="1" x14ac:dyDescent="0.45">
      <c r="A1869" s="1" t="s">
        <v>1852</v>
      </c>
      <c r="B1869" t="s">
        <v>6203</v>
      </c>
      <c r="D1869" t="s">
        <v>7989</v>
      </c>
      <c r="E1869" t="s">
        <v>9291</v>
      </c>
      <c r="F1869" t="s">
        <v>10297</v>
      </c>
      <c r="G1869">
        <v>0.81</v>
      </c>
      <c r="H1869" t="s">
        <v>10310</v>
      </c>
      <c r="I1869" t="s">
        <v>10325</v>
      </c>
      <c r="L1869">
        <v>1932</v>
      </c>
      <c r="R1869" t="s">
        <v>11038</v>
      </c>
      <c r="S1869" t="s">
        <v>10310</v>
      </c>
      <c r="W1869" s="2" t="s">
        <v>11202</v>
      </c>
    </row>
    <row r="1870" spans="1:23" hidden="1" x14ac:dyDescent="0.45">
      <c r="A1870" s="1" t="s">
        <v>1853</v>
      </c>
      <c r="B1870" t="s">
        <v>6206</v>
      </c>
      <c r="D1870" t="s">
        <v>7995</v>
      </c>
      <c r="E1870" t="s">
        <v>9292</v>
      </c>
      <c r="F1870" t="s">
        <v>10297</v>
      </c>
      <c r="G1870">
        <v>0.4</v>
      </c>
      <c r="H1870" t="s">
        <v>10310</v>
      </c>
      <c r="I1870" t="s">
        <v>10325</v>
      </c>
      <c r="L1870">
        <v>1989</v>
      </c>
      <c r="R1870" t="s">
        <v>11038</v>
      </c>
      <c r="S1870" t="s">
        <v>10310</v>
      </c>
      <c r="W1870" s="2" t="s">
        <v>11202</v>
      </c>
    </row>
    <row r="1871" spans="1:23" hidden="1" x14ac:dyDescent="0.45">
      <c r="A1871" s="1" t="s">
        <v>1854</v>
      </c>
      <c r="B1871" t="s">
        <v>6204</v>
      </c>
      <c r="D1871" t="s">
        <v>7993</v>
      </c>
      <c r="E1871" t="s">
        <v>9293</v>
      </c>
      <c r="F1871" t="s">
        <v>10297</v>
      </c>
      <c r="G1871">
        <v>0.53</v>
      </c>
      <c r="H1871" t="s">
        <v>10310</v>
      </c>
      <c r="I1871" t="s">
        <v>10325</v>
      </c>
      <c r="L1871">
        <v>1987</v>
      </c>
      <c r="R1871" t="s">
        <v>11038</v>
      </c>
      <c r="S1871" t="s">
        <v>10310</v>
      </c>
      <c r="W1871" s="2" t="s">
        <v>11202</v>
      </c>
    </row>
    <row r="1872" spans="1:23" hidden="1" x14ac:dyDescent="0.45">
      <c r="A1872" s="1" t="s">
        <v>1855</v>
      </c>
      <c r="B1872" t="s">
        <v>6204</v>
      </c>
      <c r="D1872" t="s">
        <v>7993</v>
      </c>
      <c r="E1872" t="s">
        <v>9293</v>
      </c>
      <c r="F1872" t="s">
        <v>10297</v>
      </c>
      <c r="G1872">
        <v>0.72</v>
      </c>
      <c r="H1872" t="s">
        <v>10310</v>
      </c>
      <c r="I1872" t="s">
        <v>10325</v>
      </c>
      <c r="L1872">
        <v>1987</v>
      </c>
      <c r="R1872" t="s">
        <v>11038</v>
      </c>
      <c r="S1872" t="s">
        <v>10310</v>
      </c>
      <c r="W1872" s="2" t="s">
        <v>11202</v>
      </c>
    </row>
    <row r="1873" spans="1:23" hidden="1" x14ac:dyDescent="0.45">
      <c r="A1873" s="1" t="s">
        <v>1856</v>
      </c>
      <c r="B1873" t="s">
        <v>6207</v>
      </c>
      <c r="D1873" t="s">
        <v>7996</v>
      </c>
      <c r="E1873" t="s">
        <v>9294</v>
      </c>
      <c r="F1873" t="s">
        <v>10297</v>
      </c>
      <c r="G1873">
        <v>0.2</v>
      </c>
      <c r="H1873" t="s">
        <v>10310</v>
      </c>
      <c r="I1873" t="s">
        <v>10325</v>
      </c>
      <c r="L1873">
        <v>1922</v>
      </c>
      <c r="R1873" t="s">
        <v>11038</v>
      </c>
      <c r="S1873" t="s">
        <v>10310</v>
      </c>
      <c r="W1873" s="2" t="s">
        <v>11202</v>
      </c>
    </row>
    <row r="1874" spans="1:23" hidden="1" x14ac:dyDescent="0.45">
      <c r="A1874" s="1" t="s">
        <v>1857</v>
      </c>
      <c r="B1874" t="s">
        <v>6207</v>
      </c>
      <c r="D1874" t="s">
        <v>7996</v>
      </c>
      <c r="E1874" t="s">
        <v>9294</v>
      </c>
      <c r="F1874" t="s">
        <v>10297</v>
      </c>
      <c r="G1874">
        <v>0.3</v>
      </c>
      <c r="H1874" t="s">
        <v>10310</v>
      </c>
      <c r="I1874" t="s">
        <v>10325</v>
      </c>
      <c r="L1874">
        <v>1922</v>
      </c>
      <c r="R1874" t="s">
        <v>11038</v>
      </c>
      <c r="S1874" t="s">
        <v>10310</v>
      </c>
      <c r="W1874" s="2" t="s">
        <v>11202</v>
      </c>
    </row>
    <row r="1875" spans="1:23" hidden="1" x14ac:dyDescent="0.45">
      <c r="A1875" s="1" t="s">
        <v>1858</v>
      </c>
      <c r="B1875" t="s">
        <v>6203</v>
      </c>
      <c r="D1875" t="s">
        <v>7989</v>
      </c>
      <c r="E1875" t="s">
        <v>9288</v>
      </c>
      <c r="F1875" t="s">
        <v>10297</v>
      </c>
      <c r="G1875">
        <v>3.79</v>
      </c>
      <c r="H1875" t="s">
        <v>10310</v>
      </c>
      <c r="I1875" t="s">
        <v>10325</v>
      </c>
      <c r="L1875">
        <v>1988</v>
      </c>
      <c r="R1875" t="s">
        <v>11038</v>
      </c>
      <c r="S1875" t="s">
        <v>10310</v>
      </c>
      <c r="W1875" s="2" t="s">
        <v>11202</v>
      </c>
    </row>
    <row r="1876" spans="1:23" hidden="1" x14ac:dyDescent="0.45">
      <c r="A1876" s="1" t="s">
        <v>1859</v>
      </c>
      <c r="B1876" t="s">
        <v>6201</v>
      </c>
      <c r="D1876" t="s">
        <v>7992</v>
      </c>
      <c r="E1876" t="s">
        <v>9295</v>
      </c>
      <c r="F1876" t="s">
        <v>10297</v>
      </c>
      <c r="G1876">
        <v>0.72</v>
      </c>
      <c r="H1876" t="s">
        <v>10310</v>
      </c>
      <c r="I1876" t="s">
        <v>10325</v>
      </c>
      <c r="L1876">
        <v>1984</v>
      </c>
      <c r="R1876" t="s">
        <v>11038</v>
      </c>
      <c r="S1876" t="s">
        <v>10310</v>
      </c>
      <c r="W1876" s="2" t="s">
        <v>11202</v>
      </c>
    </row>
    <row r="1877" spans="1:23" hidden="1" x14ac:dyDescent="0.45">
      <c r="A1877" s="1" t="s">
        <v>1860</v>
      </c>
      <c r="B1877" t="s">
        <v>6201</v>
      </c>
      <c r="D1877" t="s">
        <v>7992</v>
      </c>
      <c r="E1877" t="s">
        <v>9296</v>
      </c>
      <c r="F1877" t="s">
        <v>10297</v>
      </c>
      <c r="G1877">
        <v>0.2</v>
      </c>
      <c r="H1877" t="s">
        <v>10310</v>
      </c>
      <c r="I1877" t="s">
        <v>10325</v>
      </c>
      <c r="L1877">
        <v>1920</v>
      </c>
      <c r="R1877" t="s">
        <v>11038</v>
      </c>
      <c r="S1877" t="s">
        <v>10310</v>
      </c>
      <c r="W1877" s="2" t="s">
        <v>11202</v>
      </c>
    </row>
    <row r="1878" spans="1:23" hidden="1" x14ac:dyDescent="0.45">
      <c r="A1878" s="1" t="s">
        <v>1861</v>
      </c>
      <c r="B1878" t="s">
        <v>6202</v>
      </c>
      <c r="D1878" t="s">
        <v>7991</v>
      </c>
      <c r="E1878" t="s">
        <v>9297</v>
      </c>
      <c r="F1878" t="s">
        <v>10297</v>
      </c>
      <c r="G1878">
        <v>33.299999999999997</v>
      </c>
      <c r="H1878" t="s">
        <v>10310</v>
      </c>
      <c r="I1878" t="s">
        <v>10326</v>
      </c>
      <c r="L1878">
        <v>1935</v>
      </c>
      <c r="N1878">
        <v>41.525803000000003</v>
      </c>
      <c r="P1878">
        <v>-5.9839690000000001</v>
      </c>
      <c r="R1878" t="s">
        <v>11038</v>
      </c>
      <c r="S1878" t="s">
        <v>10310</v>
      </c>
      <c r="W1878" s="2" t="s">
        <v>11202</v>
      </c>
    </row>
    <row r="1879" spans="1:23" hidden="1" x14ac:dyDescent="0.45">
      <c r="A1879" s="1" t="s">
        <v>1862</v>
      </c>
      <c r="B1879" t="s">
        <v>6202</v>
      </c>
      <c r="D1879" t="s">
        <v>7991</v>
      </c>
      <c r="E1879" t="s">
        <v>9297</v>
      </c>
      <c r="F1879" t="s">
        <v>10297</v>
      </c>
      <c r="G1879">
        <v>33.299999999999997</v>
      </c>
      <c r="H1879" t="s">
        <v>10310</v>
      </c>
      <c r="I1879" t="s">
        <v>10326</v>
      </c>
      <c r="L1879">
        <v>1935</v>
      </c>
      <c r="N1879">
        <v>41.525803000000003</v>
      </c>
      <c r="P1879">
        <v>-5.9839690000000001</v>
      </c>
      <c r="R1879" t="s">
        <v>11038</v>
      </c>
      <c r="S1879" t="s">
        <v>10310</v>
      </c>
      <c r="W1879" s="2" t="s">
        <v>11202</v>
      </c>
    </row>
    <row r="1880" spans="1:23" hidden="1" x14ac:dyDescent="0.45">
      <c r="A1880" s="1" t="s">
        <v>1863</v>
      </c>
      <c r="B1880" t="s">
        <v>6202</v>
      </c>
      <c r="D1880" t="s">
        <v>7991</v>
      </c>
      <c r="E1880" t="s">
        <v>9297</v>
      </c>
      <c r="F1880" t="s">
        <v>10297</v>
      </c>
      <c r="G1880">
        <v>33.299999999999997</v>
      </c>
      <c r="H1880" t="s">
        <v>10310</v>
      </c>
      <c r="I1880" t="s">
        <v>10326</v>
      </c>
      <c r="L1880">
        <v>1935</v>
      </c>
      <c r="N1880">
        <v>41.525803000000003</v>
      </c>
      <c r="P1880">
        <v>-5.9839690000000001</v>
      </c>
      <c r="R1880" t="s">
        <v>11038</v>
      </c>
      <c r="S1880" t="s">
        <v>10310</v>
      </c>
      <c r="W1880" s="2" t="s">
        <v>11202</v>
      </c>
    </row>
    <row r="1881" spans="1:23" hidden="1" x14ac:dyDescent="0.45">
      <c r="A1881" s="1" t="s">
        <v>1864</v>
      </c>
      <c r="B1881" t="s">
        <v>6202</v>
      </c>
      <c r="D1881" t="s">
        <v>7991</v>
      </c>
      <c r="E1881" t="s">
        <v>9297</v>
      </c>
      <c r="F1881" t="s">
        <v>10297</v>
      </c>
      <c r="G1881">
        <v>33.299999999999997</v>
      </c>
      <c r="H1881" t="s">
        <v>10310</v>
      </c>
      <c r="I1881" t="s">
        <v>10326</v>
      </c>
      <c r="L1881">
        <v>1947</v>
      </c>
      <c r="N1881">
        <v>41.525803000000003</v>
      </c>
      <c r="P1881">
        <v>-5.9839690000000001</v>
      </c>
      <c r="R1881" t="s">
        <v>11038</v>
      </c>
      <c r="S1881" t="s">
        <v>10310</v>
      </c>
      <c r="W1881" s="2" t="s">
        <v>11202</v>
      </c>
    </row>
    <row r="1882" spans="1:23" hidden="1" x14ac:dyDescent="0.45">
      <c r="A1882" s="1" t="s">
        <v>1865</v>
      </c>
      <c r="B1882" t="s">
        <v>6202</v>
      </c>
      <c r="D1882" t="s">
        <v>7991</v>
      </c>
      <c r="E1882" t="s">
        <v>9298</v>
      </c>
      <c r="F1882" t="s">
        <v>10297</v>
      </c>
      <c r="G1882">
        <v>0.06</v>
      </c>
      <c r="H1882" t="s">
        <v>10310</v>
      </c>
      <c r="I1882" t="s">
        <v>10325</v>
      </c>
      <c r="L1882">
        <v>1932</v>
      </c>
      <c r="R1882" t="s">
        <v>11038</v>
      </c>
      <c r="S1882" t="s">
        <v>10310</v>
      </c>
      <c r="W1882" s="2" t="s">
        <v>11202</v>
      </c>
    </row>
    <row r="1883" spans="1:23" hidden="1" x14ac:dyDescent="0.45">
      <c r="A1883" s="1" t="s">
        <v>1866</v>
      </c>
      <c r="B1883" t="s">
        <v>6202</v>
      </c>
      <c r="D1883" t="s">
        <v>7991</v>
      </c>
      <c r="E1883" t="s">
        <v>9299</v>
      </c>
      <c r="F1883" t="s">
        <v>10297</v>
      </c>
      <c r="G1883">
        <v>110</v>
      </c>
      <c r="H1883" t="s">
        <v>10310</v>
      </c>
      <c r="I1883" t="s">
        <v>10327</v>
      </c>
      <c r="L1883">
        <v>1982</v>
      </c>
      <c r="N1883">
        <v>40.221274000000001</v>
      </c>
      <c r="P1883">
        <v>-6.1331040000000003</v>
      </c>
      <c r="R1883" t="s">
        <v>11038</v>
      </c>
      <c r="S1883" t="s">
        <v>10310</v>
      </c>
      <c r="W1883" s="2" t="s">
        <v>11202</v>
      </c>
    </row>
    <row r="1884" spans="1:23" hidden="1" x14ac:dyDescent="0.45">
      <c r="A1884" s="1" t="s">
        <v>1867</v>
      </c>
      <c r="B1884" t="s">
        <v>6201</v>
      </c>
      <c r="D1884" t="s">
        <v>7992</v>
      </c>
      <c r="E1884" t="s">
        <v>9300</v>
      </c>
      <c r="F1884" t="s">
        <v>10297</v>
      </c>
      <c r="G1884">
        <v>0.7</v>
      </c>
      <c r="H1884" t="s">
        <v>10310</v>
      </c>
      <c r="I1884" t="s">
        <v>10325</v>
      </c>
      <c r="L1884">
        <v>1987</v>
      </c>
      <c r="R1884" t="s">
        <v>11038</v>
      </c>
      <c r="S1884" t="s">
        <v>10310</v>
      </c>
      <c r="W1884" s="2" t="s">
        <v>11202</v>
      </c>
    </row>
    <row r="1885" spans="1:23" hidden="1" x14ac:dyDescent="0.45">
      <c r="A1885" s="1" t="s">
        <v>1868</v>
      </c>
      <c r="B1885" t="s">
        <v>6201</v>
      </c>
      <c r="D1885" t="s">
        <v>7992</v>
      </c>
      <c r="E1885" t="s">
        <v>9300</v>
      </c>
      <c r="F1885" t="s">
        <v>10297</v>
      </c>
      <c r="G1885">
        <v>0.7</v>
      </c>
      <c r="H1885" t="s">
        <v>10310</v>
      </c>
      <c r="I1885" t="s">
        <v>10325</v>
      </c>
      <c r="L1885">
        <v>1987</v>
      </c>
      <c r="R1885" t="s">
        <v>11038</v>
      </c>
      <c r="S1885" t="s">
        <v>10310</v>
      </c>
      <c r="W1885" s="2" t="s">
        <v>11202</v>
      </c>
    </row>
    <row r="1886" spans="1:23" hidden="1" x14ac:dyDescent="0.45">
      <c r="A1886" s="1" t="s">
        <v>1869</v>
      </c>
      <c r="B1886" t="s">
        <v>6204</v>
      </c>
      <c r="D1886" t="s">
        <v>7993</v>
      </c>
      <c r="E1886" t="s">
        <v>9301</v>
      </c>
      <c r="F1886" t="s">
        <v>10297</v>
      </c>
      <c r="G1886">
        <v>0.6</v>
      </c>
      <c r="H1886" t="s">
        <v>10310</v>
      </c>
      <c r="I1886" t="s">
        <v>10325</v>
      </c>
      <c r="L1886">
        <v>1958</v>
      </c>
      <c r="R1886" t="s">
        <v>11038</v>
      </c>
      <c r="S1886" t="s">
        <v>10310</v>
      </c>
      <c r="W1886" s="2" t="s">
        <v>11202</v>
      </c>
    </row>
    <row r="1887" spans="1:23" hidden="1" x14ac:dyDescent="0.45">
      <c r="A1887" s="1" t="s">
        <v>1870</v>
      </c>
      <c r="B1887" t="s">
        <v>6204</v>
      </c>
      <c r="D1887" t="s">
        <v>7993</v>
      </c>
      <c r="E1887" t="s">
        <v>9301</v>
      </c>
      <c r="F1887" t="s">
        <v>10297</v>
      </c>
      <c r="G1887">
        <v>0.6</v>
      </c>
      <c r="H1887" t="s">
        <v>10310</v>
      </c>
      <c r="I1887" t="s">
        <v>10325</v>
      </c>
      <c r="L1887">
        <v>1939</v>
      </c>
      <c r="R1887" t="s">
        <v>11038</v>
      </c>
      <c r="S1887" t="s">
        <v>10310</v>
      </c>
      <c r="W1887" s="2" t="s">
        <v>11202</v>
      </c>
    </row>
    <row r="1888" spans="1:23" hidden="1" x14ac:dyDescent="0.45">
      <c r="A1888" s="1" t="s">
        <v>1871</v>
      </c>
      <c r="B1888" t="s">
        <v>6204</v>
      </c>
      <c r="D1888" t="s">
        <v>7993</v>
      </c>
      <c r="E1888" t="s">
        <v>9302</v>
      </c>
      <c r="F1888" t="s">
        <v>10297</v>
      </c>
      <c r="G1888">
        <v>1.1200000000000001</v>
      </c>
      <c r="H1888" t="s">
        <v>10310</v>
      </c>
      <c r="I1888" t="s">
        <v>10325</v>
      </c>
      <c r="L1888">
        <v>1952</v>
      </c>
      <c r="R1888" t="s">
        <v>11038</v>
      </c>
      <c r="S1888" t="s">
        <v>10310</v>
      </c>
      <c r="W1888" s="2" t="s">
        <v>11202</v>
      </c>
    </row>
    <row r="1889" spans="1:23" hidden="1" x14ac:dyDescent="0.45">
      <c r="A1889" s="1" t="s">
        <v>1872</v>
      </c>
      <c r="B1889" t="s">
        <v>6204</v>
      </c>
      <c r="D1889" t="s">
        <v>7993</v>
      </c>
      <c r="E1889" t="s">
        <v>9302</v>
      </c>
      <c r="F1889" t="s">
        <v>10297</v>
      </c>
      <c r="G1889">
        <v>0.83</v>
      </c>
      <c r="H1889" t="s">
        <v>10310</v>
      </c>
      <c r="I1889" t="s">
        <v>10325</v>
      </c>
      <c r="L1889">
        <v>1952</v>
      </c>
      <c r="R1889" t="s">
        <v>11038</v>
      </c>
      <c r="S1889" t="s">
        <v>10310</v>
      </c>
      <c r="W1889" s="2" t="s">
        <v>11202</v>
      </c>
    </row>
    <row r="1890" spans="1:23" hidden="1" x14ac:dyDescent="0.45">
      <c r="A1890" s="1" t="s">
        <v>1873</v>
      </c>
      <c r="B1890" t="s">
        <v>6204</v>
      </c>
      <c r="D1890" t="s">
        <v>7993</v>
      </c>
      <c r="E1890" t="s">
        <v>9303</v>
      </c>
      <c r="F1890" t="s">
        <v>10297</v>
      </c>
      <c r="G1890">
        <v>0.52</v>
      </c>
      <c r="H1890" t="s">
        <v>10310</v>
      </c>
      <c r="I1890" t="s">
        <v>10325</v>
      </c>
      <c r="L1890">
        <v>1946</v>
      </c>
      <c r="R1890" t="s">
        <v>11038</v>
      </c>
      <c r="S1890" t="s">
        <v>10310</v>
      </c>
      <c r="W1890" s="2" t="s">
        <v>11202</v>
      </c>
    </row>
    <row r="1891" spans="1:23" hidden="1" x14ac:dyDescent="0.45">
      <c r="A1891" s="1" t="s">
        <v>1874</v>
      </c>
      <c r="B1891" t="s">
        <v>6203</v>
      </c>
      <c r="D1891" t="s">
        <v>7989</v>
      </c>
      <c r="E1891" t="s">
        <v>9280</v>
      </c>
      <c r="F1891" t="s">
        <v>10297</v>
      </c>
      <c r="G1891">
        <v>0.76</v>
      </c>
      <c r="H1891" t="s">
        <v>10310</v>
      </c>
      <c r="I1891" t="s">
        <v>10325</v>
      </c>
      <c r="L1891">
        <v>1905</v>
      </c>
      <c r="R1891" t="s">
        <v>11038</v>
      </c>
      <c r="S1891" t="s">
        <v>10310</v>
      </c>
      <c r="W1891" s="2" t="s">
        <v>11202</v>
      </c>
    </row>
    <row r="1892" spans="1:23" hidden="1" x14ac:dyDescent="0.45">
      <c r="A1892" s="1" t="s">
        <v>1875</v>
      </c>
      <c r="B1892" t="s">
        <v>6203</v>
      </c>
      <c r="D1892" t="s">
        <v>7989</v>
      </c>
      <c r="E1892" t="s">
        <v>9280</v>
      </c>
      <c r="F1892" t="s">
        <v>10297</v>
      </c>
      <c r="G1892">
        <v>0.4</v>
      </c>
      <c r="H1892" t="s">
        <v>10310</v>
      </c>
      <c r="I1892" t="s">
        <v>10325</v>
      </c>
      <c r="L1892">
        <v>1905</v>
      </c>
      <c r="R1892" t="s">
        <v>11038</v>
      </c>
      <c r="S1892" t="s">
        <v>10310</v>
      </c>
      <c r="W1892" s="2" t="s">
        <v>11202</v>
      </c>
    </row>
    <row r="1893" spans="1:23" hidden="1" x14ac:dyDescent="0.45">
      <c r="A1893" s="1" t="s">
        <v>1876</v>
      </c>
      <c r="B1893" t="s">
        <v>6202</v>
      </c>
      <c r="D1893" t="s">
        <v>7991</v>
      </c>
      <c r="E1893" t="s">
        <v>9299</v>
      </c>
      <c r="F1893" t="s">
        <v>10297</v>
      </c>
      <c r="G1893">
        <v>27</v>
      </c>
      <c r="H1893" t="s">
        <v>10310</v>
      </c>
      <c r="I1893" t="s">
        <v>10327</v>
      </c>
      <c r="L1893">
        <v>1982</v>
      </c>
      <c r="N1893">
        <v>40.180132999999998</v>
      </c>
      <c r="P1893">
        <v>-6.1425190000000001</v>
      </c>
      <c r="R1893" t="s">
        <v>11038</v>
      </c>
      <c r="S1893" t="s">
        <v>10310</v>
      </c>
      <c r="W1893" s="2" t="s">
        <v>11202</v>
      </c>
    </row>
    <row r="1894" spans="1:23" hidden="1" x14ac:dyDescent="0.45">
      <c r="A1894" s="1" t="s">
        <v>1877</v>
      </c>
      <c r="B1894" t="s">
        <v>6202</v>
      </c>
      <c r="D1894" t="s">
        <v>7991</v>
      </c>
      <c r="E1894" t="s">
        <v>9299</v>
      </c>
      <c r="F1894" t="s">
        <v>10297</v>
      </c>
      <c r="G1894">
        <v>26.4</v>
      </c>
      <c r="H1894" t="s">
        <v>10310</v>
      </c>
      <c r="I1894" t="s">
        <v>10327</v>
      </c>
      <c r="L1894">
        <v>1982</v>
      </c>
      <c r="N1894">
        <v>40.180132999999998</v>
      </c>
      <c r="P1894">
        <v>-6.1425190000000001</v>
      </c>
      <c r="R1894" t="s">
        <v>11038</v>
      </c>
      <c r="S1894" t="s">
        <v>10310</v>
      </c>
      <c r="W1894" s="2" t="s">
        <v>11202</v>
      </c>
    </row>
    <row r="1895" spans="1:23" hidden="1" x14ac:dyDescent="0.45">
      <c r="A1895" s="1" t="s">
        <v>1878</v>
      </c>
      <c r="B1895" t="s">
        <v>6202</v>
      </c>
      <c r="D1895" t="s">
        <v>7991</v>
      </c>
      <c r="E1895" t="s">
        <v>9304</v>
      </c>
      <c r="F1895" t="s">
        <v>10297</v>
      </c>
      <c r="G1895">
        <v>2</v>
      </c>
      <c r="H1895" t="s">
        <v>10310</v>
      </c>
      <c r="I1895" t="s">
        <v>10326</v>
      </c>
      <c r="L1895">
        <v>1955</v>
      </c>
      <c r="R1895" t="s">
        <v>11038</v>
      </c>
      <c r="S1895" t="s">
        <v>10310</v>
      </c>
      <c r="W1895" s="2" t="s">
        <v>11202</v>
      </c>
    </row>
    <row r="1896" spans="1:23" hidden="1" x14ac:dyDescent="0.45">
      <c r="A1896" s="1" t="s">
        <v>1879</v>
      </c>
      <c r="B1896" t="s">
        <v>6204</v>
      </c>
      <c r="D1896" t="s">
        <v>7993</v>
      </c>
      <c r="E1896" t="s">
        <v>9305</v>
      </c>
      <c r="F1896" t="s">
        <v>10297</v>
      </c>
      <c r="G1896">
        <v>1.19</v>
      </c>
      <c r="H1896" t="s">
        <v>10310</v>
      </c>
      <c r="I1896" t="s">
        <v>10325</v>
      </c>
      <c r="L1896">
        <v>1924</v>
      </c>
      <c r="R1896" t="s">
        <v>11038</v>
      </c>
      <c r="S1896" t="s">
        <v>10310</v>
      </c>
      <c r="W1896" s="2" t="s">
        <v>11202</v>
      </c>
    </row>
    <row r="1897" spans="1:23" hidden="1" x14ac:dyDescent="0.45">
      <c r="A1897" s="1" t="s">
        <v>1880</v>
      </c>
      <c r="B1897" t="s">
        <v>6204</v>
      </c>
      <c r="D1897" t="s">
        <v>7993</v>
      </c>
      <c r="E1897" t="s">
        <v>9305</v>
      </c>
      <c r="F1897" t="s">
        <v>10297</v>
      </c>
      <c r="G1897">
        <v>1.1599999999999999</v>
      </c>
      <c r="H1897" t="s">
        <v>10310</v>
      </c>
      <c r="I1897" t="s">
        <v>10325</v>
      </c>
      <c r="L1897">
        <v>1924</v>
      </c>
      <c r="R1897" t="s">
        <v>11038</v>
      </c>
      <c r="S1897" t="s">
        <v>10310</v>
      </c>
      <c r="W1897" s="2" t="s">
        <v>11202</v>
      </c>
    </row>
    <row r="1898" spans="1:23" hidden="1" x14ac:dyDescent="0.45">
      <c r="A1898" s="1" t="s">
        <v>1881</v>
      </c>
      <c r="B1898" t="s">
        <v>6204</v>
      </c>
      <c r="D1898" t="s">
        <v>7993</v>
      </c>
      <c r="E1898" t="s">
        <v>9305</v>
      </c>
      <c r="F1898" t="s">
        <v>10297</v>
      </c>
      <c r="G1898">
        <v>1.17</v>
      </c>
      <c r="H1898" t="s">
        <v>10310</v>
      </c>
      <c r="I1898" t="s">
        <v>10326</v>
      </c>
      <c r="L1898">
        <v>1924</v>
      </c>
      <c r="R1898" t="s">
        <v>11038</v>
      </c>
      <c r="S1898" t="s">
        <v>10310</v>
      </c>
      <c r="W1898" s="2" t="s">
        <v>11202</v>
      </c>
    </row>
    <row r="1899" spans="1:23" hidden="1" x14ac:dyDescent="0.45">
      <c r="A1899" s="1" t="s">
        <v>1882</v>
      </c>
      <c r="B1899" t="s">
        <v>6202</v>
      </c>
      <c r="D1899" t="s">
        <v>7991</v>
      </c>
      <c r="E1899" t="s">
        <v>9284</v>
      </c>
      <c r="F1899" t="s">
        <v>10297</v>
      </c>
      <c r="G1899">
        <v>0.32</v>
      </c>
      <c r="H1899" t="s">
        <v>10310</v>
      </c>
      <c r="I1899" t="s">
        <v>10325</v>
      </c>
      <c r="L1899">
        <v>1916</v>
      </c>
      <c r="R1899" t="s">
        <v>11038</v>
      </c>
      <c r="S1899" t="s">
        <v>10310</v>
      </c>
      <c r="W1899" s="2" t="s">
        <v>11202</v>
      </c>
    </row>
    <row r="1900" spans="1:23" hidden="1" x14ac:dyDescent="0.45">
      <c r="A1900" s="1" t="s">
        <v>1883</v>
      </c>
      <c r="B1900" t="s">
        <v>6202</v>
      </c>
      <c r="D1900" t="s">
        <v>7991</v>
      </c>
      <c r="E1900" t="s">
        <v>9284</v>
      </c>
      <c r="F1900" t="s">
        <v>10297</v>
      </c>
      <c r="G1900">
        <v>0.32</v>
      </c>
      <c r="H1900" t="s">
        <v>10310</v>
      </c>
      <c r="I1900" t="s">
        <v>10325</v>
      </c>
      <c r="L1900">
        <v>1918</v>
      </c>
      <c r="R1900" t="s">
        <v>11038</v>
      </c>
      <c r="S1900" t="s">
        <v>10310</v>
      </c>
      <c r="W1900" s="2" t="s">
        <v>11202</v>
      </c>
    </row>
    <row r="1901" spans="1:23" hidden="1" x14ac:dyDescent="0.45">
      <c r="A1901" s="1" t="s">
        <v>1884</v>
      </c>
      <c r="B1901" t="s">
        <v>6203</v>
      </c>
      <c r="D1901" t="s">
        <v>7989</v>
      </c>
      <c r="E1901" t="s">
        <v>9306</v>
      </c>
      <c r="F1901" t="s">
        <v>10297</v>
      </c>
      <c r="G1901">
        <v>2.4</v>
      </c>
      <c r="H1901" t="s">
        <v>10310</v>
      </c>
      <c r="I1901" t="s">
        <v>10325</v>
      </c>
      <c r="L1901">
        <v>1955</v>
      </c>
      <c r="R1901" t="s">
        <v>11038</v>
      </c>
      <c r="S1901" t="s">
        <v>10310</v>
      </c>
      <c r="W1901" s="2" t="s">
        <v>11202</v>
      </c>
    </row>
    <row r="1902" spans="1:23" hidden="1" x14ac:dyDescent="0.45">
      <c r="A1902" s="1" t="s">
        <v>1885</v>
      </c>
      <c r="B1902" t="s">
        <v>6203</v>
      </c>
      <c r="D1902" t="s">
        <v>7989</v>
      </c>
      <c r="E1902" t="s">
        <v>9306</v>
      </c>
      <c r="F1902" t="s">
        <v>10297</v>
      </c>
      <c r="G1902">
        <v>2.4</v>
      </c>
      <c r="H1902" t="s">
        <v>10310</v>
      </c>
      <c r="I1902" t="s">
        <v>10325</v>
      </c>
      <c r="L1902">
        <v>1956</v>
      </c>
      <c r="R1902" t="s">
        <v>11038</v>
      </c>
      <c r="S1902" t="s">
        <v>10310</v>
      </c>
      <c r="W1902" s="2" t="s">
        <v>11202</v>
      </c>
    </row>
    <row r="1903" spans="1:23" hidden="1" x14ac:dyDescent="0.45">
      <c r="A1903" s="1" t="s">
        <v>1886</v>
      </c>
      <c r="B1903" t="s">
        <v>6202</v>
      </c>
      <c r="D1903" t="s">
        <v>7991</v>
      </c>
      <c r="E1903" t="s">
        <v>9307</v>
      </c>
      <c r="F1903" t="s">
        <v>10297</v>
      </c>
      <c r="G1903">
        <v>233.8</v>
      </c>
      <c r="H1903" t="s">
        <v>10310</v>
      </c>
      <c r="I1903" t="s">
        <v>10326</v>
      </c>
      <c r="L1903">
        <v>1969</v>
      </c>
      <c r="R1903" t="s">
        <v>11038</v>
      </c>
      <c r="S1903" t="s">
        <v>10310</v>
      </c>
      <c r="W1903" s="2" t="s">
        <v>11202</v>
      </c>
    </row>
    <row r="1904" spans="1:23" hidden="1" x14ac:dyDescent="0.45">
      <c r="A1904" s="1" t="s">
        <v>1887</v>
      </c>
      <c r="B1904" t="s">
        <v>6202</v>
      </c>
      <c r="D1904" t="s">
        <v>7991</v>
      </c>
      <c r="E1904" t="s">
        <v>9307</v>
      </c>
      <c r="F1904" t="s">
        <v>10297</v>
      </c>
      <c r="G1904">
        <v>233.26</v>
      </c>
      <c r="H1904" t="s">
        <v>10310</v>
      </c>
      <c r="I1904" t="s">
        <v>10326</v>
      </c>
      <c r="L1904">
        <v>1970</v>
      </c>
      <c r="R1904" t="s">
        <v>11038</v>
      </c>
      <c r="S1904" t="s">
        <v>10310</v>
      </c>
      <c r="W1904" s="2" t="s">
        <v>11202</v>
      </c>
    </row>
    <row r="1905" spans="1:23" hidden="1" x14ac:dyDescent="0.45">
      <c r="A1905" s="1" t="s">
        <v>1888</v>
      </c>
      <c r="B1905" t="s">
        <v>6202</v>
      </c>
      <c r="D1905" t="s">
        <v>7991</v>
      </c>
      <c r="E1905" t="s">
        <v>9307</v>
      </c>
      <c r="F1905" t="s">
        <v>10297</v>
      </c>
      <c r="G1905">
        <v>234</v>
      </c>
      <c r="H1905" t="s">
        <v>10310</v>
      </c>
      <c r="I1905" t="s">
        <v>10326</v>
      </c>
      <c r="L1905">
        <v>1970</v>
      </c>
      <c r="R1905" t="s">
        <v>11038</v>
      </c>
      <c r="S1905" t="s">
        <v>10310</v>
      </c>
      <c r="W1905" s="2" t="s">
        <v>11202</v>
      </c>
    </row>
    <row r="1906" spans="1:23" hidden="1" x14ac:dyDescent="0.45">
      <c r="A1906" s="1" t="s">
        <v>1889</v>
      </c>
      <c r="B1906" t="s">
        <v>6202</v>
      </c>
      <c r="D1906" t="s">
        <v>7991</v>
      </c>
      <c r="E1906" t="s">
        <v>9307</v>
      </c>
      <c r="F1906" t="s">
        <v>10297</v>
      </c>
      <c r="G1906">
        <v>232.7</v>
      </c>
      <c r="H1906" t="s">
        <v>10310</v>
      </c>
      <c r="I1906" t="s">
        <v>10326</v>
      </c>
      <c r="L1906">
        <v>1970</v>
      </c>
      <c r="R1906" t="s">
        <v>11038</v>
      </c>
      <c r="S1906" t="s">
        <v>10310</v>
      </c>
      <c r="W1906" s="2" t="s">
        <v>11202</v>
      </c>
    </row>
    <row r="1907" spans="1:23" hidden="1" x14ac:dyDescent="0.45">
      <c r="A1907" s="1" t="s">
        <v>1890</v>
      </c>
      <c r="B1907" t="s">
        <v>6201</v>
      </c>
      <c r="D1907" t="s">
        <v>7992</v>
      </c>
      <c r="E1907" t="s">
        <v>9308</v>
      </c>
      <c r="F1907" t="s">
        <v>10297</v>
      </c>
      <c r="G1907">
        <v>0.72</v>
      </c>
      <c r="H1907" t="s">
        <v>10310</v>
      </c>
      <c r="I1907" t="s">
        <v>10325</v>
      </c>
      <c r="L1907">
        <v>1984</v>
      </c>
      <c r="R1907" t="s">
        <v>11038</v>
      </c>
      <c r="S1907" t="s">
        <v>10310</v>
      </c>
      <c r="W1907" s="2" t="s">
        <v>11202</v>
      </c>
    </row>
    <row r="1908" spans="1:23" hidden="1" x14ac:dyDescent="0.45">
      <c r="A1908" s="1" t="s">
        <v>1891</v>
      </c>
      <c r="B1908" t="s">
        <v>6201</v>
      </c>
      <c r="D1908" t="s">
        <v>7992</v>
      </c>
      <c r="E1908" t="s">
        <v>9308</v>
      </c>
      <c r="F1908" t="s">
        <v>10297</v>
      </c>
      <c r="G1908">
        <v>0.16</v>
      </c>
      <c r="H1908" t="s">
        <v>10310</v>
      </c>
      <c r="I1908" t="s">
        <v>10325</v>
      </c>
      <c r="L1908">
        <v>1910</v>
      </c>
      <c r="R1908" t="s">
        <v>11038</v>
      </c>
      <c r="S1908" t="s">
        <v>10310</v>
      </c>
      <c r="W1908" s="2" t="s">
        <v>11202</v>
      </c>
    </row>
    <row r="1909" spans="1:23" hidden="1" x14ac:dyDescent="0.45">
      <c r="A1909" s="1" t="s">
        <v>1892</v>
      </c>
      <c r="B1909" t="s">
        <v>6201</v>
      </c>
      <c r="D1909" t="s">
        <v>7992</v>
      </c>
      <c r="E1909" t="s">
        <v>9308</v>
      </c>
      <c r="F1909" t="s">
        <v>10297</v>
      </c>
      <c r="G1909">
        <v>0.16</v>
      </c>
      <c r="H1909" t="s">
        <v>10310</v>
      </c>
      <c r="I1909" t="s">
        <v>10325</v>
      </c>
      <c r="L1909">
        <v>1910</v>
      </c>
      <c r="R1909" t="s">
        <v>11038</v>
      </c>
      <c r="S1909" t="s">
        <v>10310</v>
      </c>
      <c r="W1909" s="2" t="s">
        <v>11202</v>
      </c>
    </row>
    <row r="1910" spans="1:23" hidden="1" x14ac:dyDescent="0.45">
      <c r="A1910" s="1" t="s">
        <v>1893</v>
      </c>
      <c r="B1910" t="s">
        <v>6201</v>
      </c>
      <c r="D1910" t="s">
        <v>7992</v>
      </c>
      <c r="E1910" t="s">
        <v>9308</v>
      </c>
      <c r="F1910" t="s">
        <v>10297</v>
      </c>
      <c r="G1910">
        <v>0.18</v>
      </c>
      <c r="H1910" t="s">
        <v>10310</v>
      </c>
      <c r="I1910" t="s">
        <v>10325</v>
      </c>
      <c r="L1910">
        <v>1952</v>
      </c>
      <c r="R1910" t="s">
        <v>11038</v>
      </c>
      <c r="S1910" t="s">
        <v>10310</v>
      </c>
      <c r="W1910" s="2" t="s">
        <v>11202</v>
      </c>
    </row>
    <row r="1911" spans="1:23" hidden="1" x14ac:dyDescent="0.45">
      <c r="A1911" s="1" t="s">
        <v>1894</v>
      </c>
      <c r="B1911" t="s">
        <v>6201</v>
      </c>
      <c r="D1911" t="s">
        <v>7992</v>
      </c>
      <c r="E1911" t="s">
        <v>9309</v>
      </c>
      <c r="F1911" t="s">
        <v>10297</v>
      </c>
      <c r="G1911">
        <v>0.57999999999999996</v>
      </c>
      <c r="H1911" t="s">
        <v>10310</v>
      </c>
      <c r="I1911" t="s">
        <v>10325</v>
      </c>
      <c r="L1911">
        <v>1984</v>
      </c>
      <c r="R1911" t="s">
        <v>11038</v>
      </c>
      <c r="S1911" t="s">
        <v>10310</v>
      </c>
      <c r="W1911" s="2" t="s">
        <v>11202</v>
      </c>
    </row>
    <row r="1912" spans="1:23" hidden="1" x14ac:dyDescent="0.45">
      <c r="A1912" s="1" t="s">
        <v>1895</v>
      </c>
      <c r="B1912" t="s">
        <v>6201</v>
      </c>
      <c r="D1912" t="s">
        <v>7992</v>
      </c>
      <c r="E1912" t="s">
        <v>9310</v>
      </c>
      <c r="F1912" t="s">
        <v>10297</v>
      </c>
      <c r="G1912">
        <v>0.23</v>
      </c>
      <c r="H1912" t="s">
        <v>10310</v>
      </c>
      <c r="I1912" t="s">
        <v>10325</v>
      </c>
      <c r="L1912">
        <v>1922</v>
      </c>
      <c r="R1912" t="s">
        <v>11038</v>
      </c>
      <c r="S1912" t="s">
        <v>10310</v>
      </c>
      <c r="W1912" s="2" t="s">
        <v>11202</v>
      </c>
    </row>
    <row r="1913" spans="1:23" hidden="1" x14ac:dyDescent="0.45">
      <c r="A1913" s="1" t="s">
        <v>1896</v>
      </c>
      <c r="B1913" t="s">
        <v>6201</v>
      </c>
      <c r="D1913" t="s">
        <v>7992</v>
      </c>
      <c r="E1913" t="s">
        <v>9310</v>
      </c>
      <c r="F1913" t="s">
        <v>10297</v>
      </c>
      <c r="G1913">
        <v>0.24</v>
      </c>
      <c r="H1913" t="s">
        <v>10310</v>
      </c>
      <c r="I1913" t="s">
        <v>10325</v>
      </c>
      <c r="L1913">
        <v>1959</v>
      </c>
      <c r="R1913" t="s">
        <v>11038</v>
      </c>
      <c r="S1913" t="s">
        <v>10310</v>
      </c>
      <c r="W1913" s="2" t="s">
        <v>11202</v>
      </c>
    </row>
    <row r="1914" spans="1:23" hidden="1" x14ac:dyDescent="0.45">
      <c r="A1914" s="1" t="s">
        <v>1897</v>
      </c>
      <c r="B1914" t="s">
        <v>6202</v>
      </c>
      <c r="D1914" t="s">
        <v>7991</v>
      </c>
      <c r="E1914" t="s">
        <v>9287</v>
      </c>
      <c r="F1914" t="s">
        <v>10297</v>
      </c>
      <c r="G1914">
        <v>209.45</v>
      </c>
      <c r="H1914" t="s">
        <v>10310</v>
      </c>
      <c r="I1914" t="s">
        <v>10324</v>
      </c>
      <c r="L1914">
        <v>1989</v>
      </c>
      <c r="N1914">
        <v>39.243580999999999</v>
      </c>
      <c r="P1914">
        <v>-0.93170900000000001</v>
      </c>
      <c r="Q1914" t="s">
        <v>10736</v>
      </c>
      <c r="R1914" t="s">
        <v>11038</v>
      </c>
      <c r="S1914" t="s">
        <v>10310</v>
      </c>
      <c r="W1914" s="2" t="s">
        <v>11202</v>
      </c>
    </row>
    <row r="1915" spans="1:23" hidden="1" x14ac:dyDescent="0.45">
      <c r="A1915" s="1" t="s">
        <v>1898</v>
      </c>
      <c r="B1915" t="s">
        <v>6202</v>
      </c>
      <c r="D1915" t="s">
        <v>7991</v>
      </c>
      <c r="E1915" t="s">
        <v>9287</v>
      </c>
      <c r="F1915" t="s">
        <v>10297</v>
      </c>
      <c r="G1915">
        <v>209.45</v>
      </c>
      <c r="H1915" t="s">
        <v>10310</v>
      </c>
      <c r="I1915" t="s">
        <v>10324</v>
      </c>
      <c r="L1915">
        <v>1989</v>
      </c>
      <c r="N1915">
        <v>39.243580999999999</v>
      </c>
      <c r="P1915">
        <v>-0.93170900000000001</v>
      </c>
      <c r="Q1915" t="s">
        <v>10736</v>
      </c>
      <c r="R1915" t="s">
        <v>11038</v>
      </c>
      <c r="S1915" t="s">
        <v>10310</v>
      </c>
      <c r="W1915" s="2" t="s">
        <v>11202</v>
      </c>
    </row>
    <row r="1916" spans="1:23" hidden="1" x14ac:dyDescent="0.45">
      <c r="A1916" s="1" t="s">
        <v>1899</v>
      </c>
      <c r="B1916" t="s">
        <v>6202</v>
      </c>
      <c r="D1916" t="s">
        <v>7991</v>
      </c>
      <c r="E1916" t="s">
        <v>9287</v>
      </c>
      <c r="F1916" t="s">
        <v>10297</v>
      </c>
      <c r="G1916">
        <v>209.45</v>
      </c>
      <c r="H1916" t="s">
        <v>10310</v>
      </c>
      <c r="I1916" t="s">
        <v>10324</v>
      </c>
      <c r="L1916">
        <v>1989</v>
      </c>
      <c r="N1916">
        <v>39.243580999999999</v>
      </c>
      <c r="P1916">
        <v>-0.93170900000000001</v>
      </c>
      <c r="Q1916" t="s">
        <v>10736</v>
      </c>
      <c r="R1916" t="s">
        <v>11038</v>
      </c>
      <c r="S1916" t="s">
        <v>10310</v>
      </c>
      <c r="W1916" s="2" t="s">
        <v>11202</v>
      </c>
    </row>
    <row r="1917" spans="1:23" hidden="1" x14ac:dyDescent="0.45">
      <c r="A1917" s="1" t="s">
        <v>1900</v>
      </c>
      <c r="B1917" t="s">
        <v>6206</v>
      </c>
      <c r="D1917" t="s">
        <v>7995</v>
      </c>
      <c r="E1917" t="s">
        <v>9292</v>
      </c>
      <c r="F1917" t="s">
        <v>10297</v>
      </c>
      <c r="G1917">
        <v>0.25600000000000001</v>
      </c>
      <c r="H1917" t="s">
        <v>10310</v>
      </c>
      <c r="I1917" t="s">
        <v>10325</v>
      </c>
      <c r="L1917">
        <v>1945</v>
      </c>
      <c r="R1917" t="s">
        <v>11038</v>
      </c>
      <c r="S1917" t="s">
        <v>10310</v>
      </c>
      <c r="W1917" s="2" t="s">
        <v>11202</v>
      </c>
    </row>
    <row r="1918" spans="1:23" hidden="1" x14ac:dyDescent="0.45">
      <c r="A1918" s="1" t="s">
        <v>1901</v>
      </c>
      <c r="B1918" t="s">
        <v>6206</v>
      </c>
      <c r="D1918" t="s">
        <v>7995</v>
      </c>
      <c r="E1918" t="s">
        <v>9292</v>
      </c>
      <c r="F1918" t="s">
        <v>10297</v>
      </c>
      <c r="G1918">
        <v>0.16800000000000001</v>
      </c>
      <c r="H1918" t="s">
        <v>10310</v>
      </c>
      <c r="I1918" t="s">
        <v>10325</v>
      </c>
      <c r="L1918">
        <v>1945</v>
      </c>
      <c r="R1918" t="s">
        <v>11038</v>
      </c>
      <c r="S1918" t="s">
        <v>10310</v>
      </c>
      <c r="W1918" s="2" t="s">
        <v>11202</v>
      </c>
    </row>
    <row r="1919" spans="1:23" hidden="1" x14ac:dyDescent="0.45">
      <c r="A1919" s="1" t="s">
        <v>1902</v>
      </c>
      <c r="B1919" t="s">
        <v>6203</v>
      </c>
      <c r="D1919" t="s">
        <v>7989</v>
      </c>
      <c r="E1919" t="s">
        <v>9311</v>
      </c>
      <c r="F1919" t="s">
        <v>10297</v>
      </c>
      <c r="G1919">
        <v>0.6</v>
      </c>
      <c r="H1919" t="s">
        <v>10310</v>
      </c>
      <c r="I1919" t="s">
        <v>10325</v>
      </c>
      <c r="L1919">
        <v>1925</v>
      </c>
      <c r="R1919" t="s">
        <v>11038</v>
      </c>
      <c r="S1919" t="s">
        <v>10310</v>
      </c>
      <c r="W1919" s="2" t="s">
        <v>11202</v>
      </c>
    </row>
    <row r="1920" spans="1:23" hidden="1" x14ac:dyDescent="0.45">
      <c r="A1920" s="1" t="s">
        <v>1903</v>
      </c>
      <c r="B1920" t="s">
        <v>6203</v>
      </c>
      <c r="D1920" t="s">
        <v>7989</v>
      </c>
      <c r="E1920" t="s">
        <v>9311</v>
      </c>
      <c r="F1920" t="s">
        <v>10297</v>
      </c>
      <c r="G1920">
        <v>0.5</v>
      </c>
      <c r="H1920" t="s">
        <v>10310</v>
      </c>
      <c r="I1920" t="s">
        <v>10325</v>
      </c>
      <c r="L1920">
        <v>1925</v>
      </c>
      <c r="R1920" t="s">
        <v>11038</v>
      </c>
      <c r="S1920" t="s">
        <v>10310</v>
      </c>
      <c r="W1920" s="2" t="s">
        <v>11202</v>
      </c>
    </row>
    <row r="1921" spans="1:23" hidden="1" x14ac:dyDescent="0.45">
      <c r="A1921" s="1" t="s">
        <v>1904</v>
      </c>
      <c r="B1921" t="s">
        <v>6203</v>
      </c>
      <c r="D1921" t="s">
        <v>7989</v>
      </c>
      <c r="E1921" t="s">
        <v>9312</v>
      </c>
      <c r="F1921" t="s">
        <v>10297</v>
      </c>
      <c r="G1921">
        <v>3.6</v>
      </c>
      <c r="H1921" t="s">
        <v>10310</v>
      </c>
      <c r="I1921" t="s">
        <v>10325</v>
      </c>
      <c r="L1921">
        <v>1964</v>
      </c>
      <c r="R1921" t="s">
        <v>11038</v>
      </c>
      <c r="S1921" t="s">
        <v>10310</v>
      </c>
      <c r="W1921" s="2" t="s">
        <v>11202</v>
      </c>
    </row>
    <row r="1922" spans="1:23" hidden="1" x14ac:dyDescent="0.45">
      <c r="A1922" s="1" t="s">
        <v>1905</v>
      </c>
      <c r="B1922" t="s">
        <v>6201</v>
      </c>
      <c r="D1922" t="s">
        <v>7992</v>
      </c>
      <c r="E1922" t="s">
        <v>9313</v>
      </c>
      <c r="F1922" t="s">
        <v>10297</v>
      </c>
      <c r="G1922">
        <v>0.68</v>
      </c>
      <c r="H1922" t="s">
        <v>10310</v>
      </c>
      <c r="I1922" t="s">
        <v>10325</v>
      </c>
      <c r="L1922">
        <v>1926</v>
      </c>
      <c r="R1922" t="s">
        <v>11038</v>
      </c>
      <c r="S1922" t="s">
        <v>10310</v>
      </c>
      <c r="W1922" s="2" t="s">
        <v>11202</v>
      </c>
    </row>
    <row r="1923" spans="1:23" hidden="1" x14ac:dyDescent="0.45">
      <c r="A1923" s="1" t="s">
        <v>1906</v>
      </c>
      <c r="B1923" t="s">
        <v>6201</v>
      </c>
      <c r="D1923" t="s">
        <v>7992</v>
      </c>
      <c r="E1923" t="s">
        <v>9314</v>
      </c>
      <c r="F1923" t="s">
        <v>10297</v>
      </c>
      <c r="G1923">
        <v>0.69</v>
      </c>
      <c r="H1923" t="s">
        <v>10310</v>
      </c>
      <c r="I1923" t="s">
        <v>10325</v>
      </c>
      <c r="L1923">
        <v>1931</v>
      </c>
      <c r="R1923" t="s">
        <v>11038</v>
      </c>
      <c r="S1923" t="s">
        <v>10310</v>
      </c>
      <c r="W1923" s="2" t="s">
        <v>11202</v>
      </c>
    </row>
    <row r="1924" spans="1:23" hidden="1" x14ac:dyDescent="0.45">
      <c r="A1924" s="1" t="s">
        <v>1907</v>
      </c>
      <c r="B1924" t="s">
        <v>6201</v>
      </c>
      <c r="D1924" t="s">
        <v>7992</v>
      </c>
      <c r="E1924" t="s">
        <v>9315</v>
      </c>
      <c r="F1924" t="s">
        <v>10297</v>
      </c>
      <c r="G1924">
        <v>0.16</v>
      </c>
      <c r="H1924" t="s">
        <v>10310</v>
      </c>
      <c r="I1924" t="s">
        <v>10325</v>
      </c>
      <c r="L1924">
        <v>1954</v>
      </c>
      <c r="R1924" t="s">
        <v>11038</v>
      </c>
      <c r="S1924" t="s">
        <v>10310</v>
      </c>
      <c r="W1924" s="2" t="s">
        <v>11202</v>
      </c>
    </row>
    <row r="1925" spans="1:23" hidden="1" x14ac:dyDescent="0.45">
      <c r="A1925" s="1" t="s">
        <v>1908</v>
      </c>
      <c r="B1925" t="s">
        <v>6201</v>
      </c>
      <c r="D1925" t="s">
        <v>7992</v>
      </c>
      <c r="E1925" t="s">
        <v>9315</v>
      </c>
      <c r="F1925" t="s">
        <v>10297</v>
      </c>
      <c r="G1925">
        <v>0.35</v>
      </c>
      <c r="H1925" t="s">
        <v>10310</v>
      </c>
      <c r="I1925" t="s">
        <v>10325</v>
      </c>
      <c r="L1925">
        <v>1954</v>
      </c>
      <c r="R1925" t="s">
        <v>11038</v>
      </c>
      <c r="S1925" t="s">
        <v>10310</v>
      </c>
      <c r="W1925" s="2" t="s">
        <v>11202</v>
      </c>
    </row>
    <row r="1926" spans="1:23" hidden="1" x14ac:dyDescent="0.45">
      <c r="A1926" s="1" t="s">
        <v>1909</v>
      </c>
      <c r="B1926" t="s">
        <v>6208</v>
      </c>
      <c r="D1926" t="s">
        <v>7997</v>
      </c>
      <c r="E1926" t="s">
        <v>9316</v>
      </c>
      <c r="F1926" t="s">
        <v>10297</v>
      </c>
      <c r="G1926">
        <v>0.12</v>
      </c>
      <c r="H1926" t="s">
        <v>10310</v>
      </c>
      <c r="I1926" t="s">
        <v>10325</v>
      </c>
      <c r="L1926">
        <v>1900</v>
      </c>
      <c r="R1926" t="s">
        <v>11038</v>
      </c>
      <c r="S1926" t="s">
        <v>10310</v>
      </c>
      <c r="W1926" s="2" t="s">
        <v>11202</v>
      </c>
    </row>
    <row r="1927" spans="1:23" hidden="1" x14ac:dyDescent="0.45">
      <c r="A1927" s="1" t="s">
        <v>1910</v>
      </c>
      <c r="B1927" t="s">
        <v>6202</v>
      </c>
      <c r="D1927" t="s">
        <v>7991</v>
      </c>
      <c r="E1927" t="s">
        <v>9263</v>
      </c>
      <c r="F1927" t="s">
        <v>10297</v>
      </c>
      <c r="G1927">
        <v>6</v>
      </c>
      <c r="H1927" t="s">
        <v>10310</v>
      </c>
      <c r="I1927" t="s">
        <v>10326</v>
      </c>
      <c r="L1927">
        <v>1914</v>
      </c>
      <c r="R1927" t="s">
        <v>11038</v>
      </c>
      <c r="S1927" t="s">
        <v>10310</v>
      </c>
      <c r="W1927" s="2" t="s">
        <v>11202</v>
      </c>
    </row>
    <row r="1928" spans="1:23" hidden="1" x14ac:dyDescent="0.45">
      <c r="A1928" s="1" t="s">
        <v>1911</v>
      </c>
      <c r="B1928" t="s">
        <v>6202</v>
      </c>
      <c r="D1928" t="s">
        <v>7991</v>
      </c>
      <c r="E1928" t="s">
        <v>9263</v>
      </c>
      <c r="F1928" t="s">
        <v>10297</v>
      </c>
      <c r="G1928">
        <v>6</v>
      </c>
      <c r="H1928" t="s">
        <v>10310</v>
      </c>
      <c r="I1928" t="s">
        <v>10326</v>
      </c>
      <c r="L1928">
        <v>1914</v>
      </c>
      <c r="R1928" t="s">
        <v>11038</v>
      </c>
      <c r="S1928" t="s">
        <v>10310</v>
      </c>
      <c r="W1928" s="2" t="s">
        <v>11202</v>
      </c>
    </row>
    <row r="1929" spans="1:23" hidden="1" x14ac:dyDescent="0.45">
      <c r="A1929" s="1" t="s">
        <v>1912</v>
      </c>
      <c r="B1929" t="s">
        <v>6202</v>
      </c>
      <c r="D1929" t="s">
        <v>7991</v>
      </c>
      <c r="E1929" t="s">
        <v>9263</v>
      </c>
      <c r="F1929" t="s">
        <v>10297</v>
      </c>
      <c r="G1929">
        <v>13.6</v>
      </c>
      <c r="H1929" t="s">
        <v>10310</v>
      </c>
      <c r="I1929" t="s">
        <v>10326</v>
      </c>
      <c r="L1929">
        <v>1925</v>
      </c>
      <c r="R1929" t="s">
        <v>11038</v>
      </c>
      <c r="S1929" t="s">
        <v>10310</v>
      </c>
      <c r="W1929" s="2" t="s">
        <v>11202</v>
      </c>
    </row>
    <row r="1930" spans="1:23" hidden="1" x14ac:dyDescent="0.45">
      <c r="A1930" s="1" t="s">
        <v>1913</v>
      </c>
      <c r="B1930" t="s">
        <v>6202</v>
      </c>
      <c r="D1930" t="s">
        <v>7991</v>
      </c>
      <c r="E1930" t="s">
        <v>9263</v>
      </c>
      <c r="F1930" t="s">
        <v>10297</v>
      </c>
      <c r="G1930">
        <v>14</v>
      </c>
      <c r="H1930" t="s">
        <v>10310</v>
      </c>
      <c r="I1930" t="s">
        <v>10326</v>
      </c>
      <c r="L1930">
        <v>1945</v>
      </c>
      <c r="R1930" t="s">
        <v>11038</v>
      </c>
      <c r="S1930" t="s">
        <v>10310</v>
      </c>
      <c r="W1930" s="2" t="s">
        <v>11202</v>
      </c>
    </row>
    <row r="1931" spans="1:23" hidden="1" x14ac:dyDescent="0.45">
      <c r="A1931" s="1" t="s">
        <v>1914</v>
      </c>
      <c r="B1931" t="s">
        <v>6209</v>
      </c>
      <c r="D1931" t="s">
        <v>7998</v>
      </c>
      <c r="E1931" t="s">
        <v>9317</v>
      </c>
      <c r="F1931" t="s">
        <v>10297</v>
      </c>
      <c r="G1931">
        <v>0.56999999999999995</v>
      </c>
      <c r="H1931" t="s">
        <v>10310</v>
      </c>
      <c r="I1931" t="s">
        <v>10325</v>
      </c>
      <c r="L1931">
        <v>1931</v>
      </c>
      <c r="R1931" t="s">
        <v>11038</v>
      </c>
      <c r="S1931" t="s">
        <v>10310</v>
      </c>
      <c r="W1931" s="2" t="s">
        <v>11202</v>
      </c>
    </row>
    <row r="1932" spans="1:23" hidden="1" x14ac:dyDescent="0.45">
      <c r="A1932" s="1" t="s">
        <v>1915</v>
      </c>
      <c r="B1932" t="s">
        <v>6209</v>
      </c>
      <c r="D1932" t="s">
        <v>7998</v>
      </c>
      <c r="E1932" t="s">
        <v>9317</v>
      </c>
      <c r="F1932" t="s">
        <v>10297</v>
      </c>
      <c r="G1932">
        <v>0.22</v>
      </c>
      <c r="H1932" t="s">
        <v>10310</v>
      </c>
      <c r="I1932" t="s">
        <v>10325</v>
      </c>
      <c r="L1932">
        <v>1918</v>
      </c>
      <c r="R1932" t="s">
        <v>11038</v>
      </c>
      <c r="S1932" t="s">
        <v>10310</v>
      </c>
      <c r="W1932" s="2" t="s">
        <v>11202</v>
      </c>
    </row>
    <row r="1933" spans="1:23" hidden="1" x14ac:dyDescent="0.45">
      <c r="A1933" s="1" t="s">
        <v>1916</v>
      </c>
      <c r="B1933" t="s">
        <v>6203</v>
      </c>
      <c r="D1933" t="s">
        <v>7989</v>
      </c>
      <c r="E1933" t="s">
        <v>9318</v>
      </c>
      <c r="F1933" t="s">
        <v>10297</v>
      </c>
      <c r="G1933">
        <v>2.4</v>
      </c>
      <c r="H1933" t="s">
        <v>10310</v>
      </c>
      <c r="I1933" t="s">
        <v>10325</v>
      </c>
      <c r="L1933">
        <v>1944</v>
      </c>
      <c r="R1933" t="s">
        <v>11038</v>
      </c>
      <c r="S1933" t="s">
        <v>10310</v>
      </c>
      <c r="W1933" s="2" t="s">
        <v>11202</v>
      </c>
    </row>
    <row r="1934" spans="1:23" hidden="1" x14ac:dyDescent="0.45">
      <c r="A1934" s="1" t="s">
        <v>1917</v>
      </c>
      <c r="B1934" t="s">
        <v>6203</v>
      </c>
      <c r="D1934" t="s">
        <v>7989</v>
      </c>
      <c r="E1934" t="s">
        <v>9318</v>
      </c>
      <c r="F1934" t="s">
        <v>10297</v>
      </c>
      <c r="G1934">
        <v>2.4</v>
      </c>
      <c r="H1934" t="s">
        <v>10310</v>
      </c>
      <c r="I1934" t="s">
        <v>10325</v>
      </c>
      <c r="L1934">
        <v>1945</v>
      </c>
      <c r="R1934" t="s">
        <v>11038</v>
      </c>
      <c r="S1934" t="s">
        <v>10310</v>
      </c>
      <c r="W1934" s="2" t="s">
        <v>11202</v>
      </c>
    </row>
    <row r="1935" spans="1:23" hidden="1" x14ac:dyDescent="0.45">
      <c r="A1935" s="1" t="s">
        <v>1918</v>
      </c>
      <c r="B1935" t="s">
        <v>6201</v>
      </c>
      <c r="D1935" t="s">
        <v>7992</v>
      </c>
      <c r="E1935" t="s">
        <v>9319</v>
      </c>
      <c r="F1935" t="s">
        <v>10297</v>
      </c>
      <c r="G1935">
        <v>0.34</v>
      </c>
      <c r="H1935" t="s">
        <v>10310</v>
      </c>
      <c r="I1935" t="s">
        <v>10325</v>
      </c>
      <c r="L1935">
        <v>1961</v>
      </c>
      <c r="R1935" t="s">
        <v>11038</v>
      </c>
      <c r="S1935" t="s">
        <v>10310</v>
      </c>
      <c r="W1935" s="2" t="s">
        <v>11202</v>
      </c>
    </row>
    <row r="1936" spans="1:23" hidden="1" x14ac:dyDescent="0.45">
      <c r="A1936" s="1" t="s">
        <v>1919</v>
      </c>
      <c r="B1936" t="s">
        <v>6203</v>
      </c>
      <c r="D1936" t="s">
        <v>7989</v>
      </c>
      <c r="E1936" t="s">
        <v>9320</v>
      </c>
      <c r="F1936" t="s">
        <v>10297</v>
      </c>
      <c r="G1936">
        <v>2.75</v>
      </c>
      <c r="H1936" t="s">
        <v>10310</v>
      </c>
      <c r="I1936" t="s">
        <v>10325</v>
      </c>
      <c r="L1936">
        <v>1969</v>
      </c>
      <c r="R1936" t="s">
        <v>11038</v>
      </c>
      <c r="S1936" t="s">
        <v>10310</v>
      </c>
      <c r="W1936" s="2" t="s">
        <v>11202</v>
      </c>
    </row>
    <row r="1937" spans="1:23" hidden="1" x14ac:dyDescent="0.45">
      <c r="A1937" s="1" t="s">
        <v>1920</v>
      </c>
      <c r="B1937" t="s">
        <v>6203</v>
      </c>
      <c r="D1937" t="s">
        <v>7989</v>
      </c>
      <c r="E1937" t="s">
        <v>9320</v>
      </c>
      <c r="F1937" t="s">
        <v>10297</v>
      </c>
      <c r="G1937">
        <v>2.64</v>
      </c>
      <c r="H1937" t="s">
        <v>10310</v>
      </c>
      <c r="I1937" t="s">
        <v>10325</v>
      </c>
      <c r="L1937">
        <v>1969</v>
      </c>
      <c r="R1937" t="s">
        <v>11038</v>
      </c>
      <c r="S1937" t="s">
        <v>10310</v>
      </c>
      <c r="W1937" s="2" t="s">
        <v>11202</v>
      </c>
    </row>
    <row r="1938" spans="1:23" hidden="1" x14ac:dyDescent="0.45">
      <c r="A1938" s="1" t="s">
        <v>1921</v>
      </c>
      <c r="B1938" t="s">
        <v>6201</v>
      </c>
      <c r="D1938" t="s">
        <v>7992</v>
      </c>
      <c r="E1938" t="s">
        <v>9321</v>
      </c>
      <c r="F1938" t="s">
        <v>10297</v>
      </c>
      <c r="G1938">
        <v>0.2</v>
      </c>
      <c r="H1938" t="s">
        <v>10310</v>
      </c>
      <c r="I1938" t="s">
        <v>10325</v>
      </c>
      <c r="L1938">
        <v>1903</v>
      </c>
      <c r="R1938" t="s">
        <v>11038</v>
      </c>
      <c r="S1938" t="s">
        <v>10310</v>
      </c>
      <c r="W1938" s="2" t="s">
        <v>11202</v>
      </c>
    </row>
    <row r="1939" spans="1:23" hidden="1" x14ac:dyDescent="0.45">
      <c r="A1939" s="1" t="s">
        <v>1922</v>
      </c>
      <c r="B1939" t="s">
        <v>6201</v>
      </c>
      <c r="D1939" t="s">
        <v>7992</v>
      </c>
      <c r="E1939" t="s">
        <v>9321</v>
      </c>
      <c r="F1939" t="s">
        <v>10297</v>
      </c>
      <c r="G1939">
        <v>0.32</v>
      </c>
      <c r="H1939" t="s">
        <v>10310</v>
      </c>
      <c r="I1939" t="s">
        <v>10325</v>
      </c>
      <c r="L1939">
        <v>1903</v>
      </c>
      <c r="R1939" t="s">
        <v>11038</v>
      </c>
      <c r="S1939" t="s">
        <v>10310</v>
      </c>
      <c r="W1939" s="2" t="s">
        <v>11202</v>
      </c>
    </row>
    <row r="1940" spans="1:23" hidden="1" x14ac:dyDescent="0.45">
      <c r="A1940" s="1" t="s">
        <v>1923</v>
      </c>
      <c r="B1940" t="s">
        <v>6202</v>
      </c>
      <c r="D1940" t="s">
        <v>7991</v>
      </c>
      <c r="E1940" t="s">
        <v>9251</v>
      </c>
      <c r="F1940" t="s">
        <v>10297</v>
      </c>
      <c r="G1940">
        <v>0.24</v>
      </c>
      <c r="H1940" t="s">
        <v>10310</v>
      </c>
      <c r="I1940" t="s">
        <v>10325</v>
      </c>
      <c r="L1940">
        <v>1921</v>
      </c>
      <c r="R1940" t="s">
        <v>11038</v>
      </c>
      <c r="S1940" t="s">
        <v>10310</v>
      </c>
      <c r="W1940" s="2" t="s">
        <v>11202</v>
      </c>
    </row>
    <row r="1941" spans="1:23" hidden="1" x14ac:dyDescent="0.45">
      <c r="A1941" s="1" t="s">
        <v>1924</v>
      </c>
      <c r="B1941" t="s">
        <v>6203</v>
      </c>
      <c r="D1941" t="s">
        <v>7989</v>
      </c>
      <c r="E1941" t="s">
        <v>9322</v>
      </c>
      <c r="F1941" t="s">
        <v>10297</v>
      </c>
      <c r="G1941">
        <v>0.61</v>
      </c>
      <c r="H1941" t="s">
        <v>10310</v>
      </c>
      <c r="I1941" t="s">
        <v>10325</v>
      </c>
      <c r="L1941">
        <v>1958</v>
      </c>
      <c r="R1941" t="s">
        <v>11038</v>
      </c>
      <c r="S1941" t="s">
        <v>10310</v>
      </c>
      <c r="W1941" s="2" t="s">
        <v>11202</v>
      </c>
    </row>
    <row r="1942" spans="1:23" hidden="1" x14ac:dyDescent="0.45">
      <c r="A1942" s="1" t="s">
        <v>1925</v>
      </c>
      <c r="B1942" t="s">
        <v>6202</v>
      </c>
      <c r="D1942" t="s">
        <v>7991</v>
      </c>
      <c r="E1942" t="s">
        <v>9323</v>
      </c>
      <c r="F1942" t="s">
        <v>10297</v>
      </c>
      <c r="G1942">
        <v>9</v>
      </c>
      <c r="H1942" t="s">
        <v>10310</v>
      </c>
      <c r="I1942" t="s">
        <v>10326</v>
      </c>
      <c r="L1942">
        <v>1957</v>
      </c>
      <c r="R1942" t="s">
        <v>11038</v>
      </c>
      <c r="S1942" t="s">
        <v>10310</v>
      </c>
      <c r="W1942" s="2" t="s">
        <v>11202</v>
      </c>
    </row>
    <row r="1943" spans="1:23" hidden="1" x14ac:dyDescent="0.45">
      <c r="A1943" s="1" t="s">
        <v>1926</v>
      </c>
      <c r="B1943" t="s">
        <v>6202</v>
      </c>
      <c r="D1943" t="s">
        <v>7991</v>
      </c>
      <c r="E1943" t="s">
        <v>9323</v>
      </c>
      <c r="F1943" t="s">
        <v>10297</v>
      </c>
      <c r="G1943">
        <v>9</v>
      </c>
      <c r="H1943" t="s">
        <v>10310</v>
      </c>
      <c r="I1943" t="s">
        <v>10326</v>
      </c>
      <c r="L1943">
        <v>1957</v>
      </c>
      <c r="R1943" t="s">
        <v>11038</v>
      </c>
      <c r="S1943" t="s">
        <v>10310</v>
      </c>
      <c r="W1943" s="2" t="s">
        <v>11202</v>
      </c>
    </row>
    <row r="1944" spans="1:23" hidden="1" x14ac:dyDescent="0.45">
      <c r="A1944" s="1" t="s">
        <v>1927</v>
      </c>
      <c r="B1944" t="s">
        <v>6202</v>
      </c>
      <c r="D1944" t="s">
        <v>7991</v>
      </c>
      <c r="E1944" t="s">
        <v>9323</v>
      </c>
      <c r="F1944" t="s">
        <v>10297</v>
      </c>
      <c r="G1944">
        <v>9</v>
      </c>
      <c r="H1944" t="s">
        <v>10310</v>
      </c>
      <c r="I1944" t="s">
        <v>10326</v>
      </c>
      <c r="L1944">
        <v>1960</v>
      </c>
      <c r="R1944" t="s">
        <v>11038</v>
      </c>
      <c r="S1944" t="s">
        <v>10310</v>
      </c>
      <c r="W1944" s="2" t="s">
        <v>11202</v>
      </c>
    </row>
    <row r="1945" spans="1:23" hidden="1" x14ac:dyDescent="0.45">
      <c r="A1945" s="1" t="s">
        <v>1928</v>
      </c>
      <c r="B1945" t="s">
        <v>6202</v>
      </c>
      <c r="D1945" t="s">
        <v>7991</v>
      </c>
      <c r="E1945" t="s">
        <v>9324</v>
      </c>
      <c r="F1945" t="s">
        <v>10297</v>
      </c>
      <c r="G1945">
        <v>0.6</v>
      </c>
      <c r="H1945" t="s">
        <v>10310</v>
      </c>
      <c r="I1945" t="s">
        <v>10325</v>
      </c>
      <c r="L1945">
        <v>1932</v>
      </c>
      <c r="R1945" t="s">
        <v>11038</v>
      </c>
      <c r="S1945" t="s">
        <v>10310</v>
      </c>
      <c r="W1945" s="2" t="s">
        <v>11202</v>
      </c>
    </row>
    <row r="1946" spans="1:23" hidden="1" x14ac:dyDescent="0.45">
      <c r="A1946" s="1" t="s">
        <v>1929</v>
      </c>
      <c r="B1946" t="s">
        <v>6202</v>
      </c>
      <c r="D1946" t="s">
        <v>7991</v>
      </c>
      <c r="E1946" t="s">
        <v>9324</v>
      </c>
      <c r="F1946" t="s">
        <v>10297</v>
      </c>
      <c r="G1946">
        <v>0.6</v>
      </c>
      <c r="H1946" t="s">
        <v>10310</v>
      </c>
      <c r="I1946" t="s">
        <v>10325</v>
      </c>
      <c r="L1946">
        <v>1932</v>
      </c>
      <c r="R1946" t="s">
        <v>11038</v>
      </c>
      <c r="S1946" t="s">
        <v>10310</v>
      </c>
      <c r="W1946" s="2" t="s">
        <v>11202</v>
      </c>
    </row>
    <row r="1947" spans="1:23" hidden="1" x14ac:dyDescent="0.45">
      <c r="A1947" s="1" t="s">
        <v>1930</v>
      </c>
      <c r="B1947" t="s">
        <v>6206</v>
      </c>
      <c r="D1947" t="s">
        <v>7995</v>
      </c>
      <c r="E1947" t="s">
        <v>9292</v>
      </c>
      <c r="F1947" t="s">
        <v>10297</v>
      </c>
      <c r="G1947">
        <v>0.12</v>
      </c>
      <c r="H1947" t="s">
        <v>10310</v>
      </c>
      <c r="I1947" t="s">
        <v>10325</v>
      </c>
      <c r="L1947">
        <v>1971</v>
      </c>
      <c r="R1947" t="s">
        <v>11038</v>
      </c>
      <c r="S1947" t="s">
        <v>10310</v>
      </c>
      <c r="W1947" s="2" t="s">
        <v>11202</v>
      </c>
    </row>
    <row r="1948" spans="1:23" hidden="1" x14ac:dyDescent="0.45">
      <c r="A1948" s="1" t="s">
        <v>1931</v>
      </c>
      <c r="B1948" t="s">
        <v>6202</v>
      </c>
      <c r="D1948" t="s">
        <v>7991</v>
      </c>
      <c r="E1948" t="s">
        <v>9325</v>
      </c>
      <c r="F1948" t="s">
        <v>10297</v>
      </c>
      <c r="G1948">
        <v>12.8</v>
      </c>
      <c r="H1948" t="s">
        <v>10310</v>
      </c>
      <c r="I1948" t="s">
        <v>10326</v>
      </c>
      <c r="L1948">
        <v>1954</v>
      </c>
      <c r="R1948" t="s">
        <v>11038</v>
      </c>
      <c r="S1948" t="s">
        <v>10310</v>
      </c>
      <c r="W1948" s="2" t="s">
        <v>11202</v>
      </c>
    </row>
    <row r="1949" spans="1:23" hidden="1" x14ac:dyDescent="0.45">
      <c r="A1949" s="1" t="s">
        <v>1932</v>
      </c>
      <c r="B1949" t="s">
        <v>6202</v>
      </c>
      <c r="D1949" t="s">
        <v>7991</v>
      </c>
      <c r="E1949" t="s">
        <v>9325</v>
      </c>
      <c r="F1949" t="s">
        <v>10297</v>
      </c>
      <c r="G1949">
        <v>12.8</v>
      </c>
      <c r="H1949" t="s">
        <v>10310</v>
      </c>
      <c r="I1949" t="s">
        <v>10326</v>
      </c>
      <c r="L1949">
        <v>1956</v>
      </c>
      <c r="R1949" t="s">
        <v>11038</v>
      </c>
      <c r="S1949" t="s">
        <v>10310</v>
      </c>
      <c r="W1949" s="2" t="s">
        <v>11202</v>
      </c>
    </row>
    <row r="1950" spans="1:23" hidden="1" x14ac:dyDescent="0.45">
      <c r="A1950" s="1" t="s">
        <v>1933</v>
      </c>
      <c r="B1950" t="s">
        <v>6202</v>
      </c>
      <c r="D1950" t="s">
        <v>7991</v>
      </c>
      <c r="E1950" t="s">
        <v>9325</v>
      </c>
      <c r="F1950" t="s">
        <v>10297</v>
      </c>
      <c r="G1950">
        <v>12.8</v>
      </c>
      <c r="H1950" t="s">
        <v>10310</v>
      </c>
      <c r="I1950" t="s">
        <v>10326</v>
      </c>
      <c r="L1950">
        <v>1957</v>
      </c>
      <c r="R1950" t="s">
        <v>11038</v>
      </c>
      <c r="S1950" t="s">
        <v>10310</v>
      </c>
      <c r="W1950" s="2" t="s">
        <v>11202</v>
      </c>
    </row>
    <row r="1951" spans="1:23" hidden="1" x14ac:dyDescent="0.45">
      <c r="A1951" s="1" t="s">
        <v>1934</v>
      </c>
      <c r="B1951" t="s">
        <v>6201</v>
      </c>
      <c r="D1951" t="s">
        <v>7992</v>
      </c>
      <c r="E1951" t="s">
        <v>9326</v>
      </c>
      <c r="F1951" t="s">
        <v>10297</v>
      </c>
      <c r="G1951">
        <v>1.46</v>
      </c>
      <c r="H1951" t="s">
        <v>10310</v>
      </c>
      <c r="I1951" t="s">
        <v>10325</v>
      </c>
      <c r="L1951">
        <v>1943</v>
      </c>
      <c r="R1951" t="s">
        <v>11038</v>
      </c>
      <c r="S1951" t="s">
        <v>10310</v>
      </c>
      <c r="W1951" s="2" t="s">
        <v>11202</v>
      </c>
    </row>
    <row r="1952" spans="1:23" hidden="1" x14ac:dyDescent="0.45">
      <c r="A1952" s="1" t="s">
        <v>1935</v>
      </c>
      <c r="B1952" t="s">
        <v>6201</v>
      </c>
      <c r="D1952" t="s">
        <v>7992</v>
      </c>
      <c r="E1952" t="s">
        <v>9326</v>
      </c>
      <c r="F1952" t="s">
        <v>10297</v>
      </c>
      <c r="G1952">
        <v>1.54</v>
      </c>
      <c r="H1952" t="s">
        <v>10310</v>
      </c>
      <c r="I1952" t="s">
        <v>10325</v>
      </c>
      <c r="L1952">
        <v>1943</v>
      </c>
      <c r="R1952" t="s">
        <v>11038</v>
      </c>
      <c r="S1952" t="s">
        <v>10310</v>
      </c>
      <c r="W1952" s="2" t="s">
        <v>11202</v>
      </c>
    </row>
    <row r="1953" spans="1:23" hidden="1" x14ac:dyDescent="0.45">
      <c r="A1953" s="1" t="s">
        <v>1936</v>
      </c>
      <c r="B1953" t="s">
        <v>6203</v>
      </c>
      <c r="D1953" t="s">
        <v>7989</v>
      </c>
      <c r="E1953" t="s">
        <v>9253</v>
      </c>
      <c r="F1953" t="s">
        <v>10297</v>
      </c>
      <c r="G1953">
        <v>1.21</v>
      </c>
      <c r="H1953" t="s">
        <v>10310</v>
      </c>
      <c r="I1953" t="s">
        <v>10325</v>
      </c>
      <c r="L1953">
        <v>1985</v>
      </c>
      <c r="R1953" t="s">
        <v>11038</v>
      </c>
      <c r="S1953" t="s">
        <v>10310</v>
      </c>
      <c r="W1953" s="2" t="s">
        <v>11202</v>
      </c>
    </row>
    <row r="1954" spans="1:23" hidden="1" x14ac:dyDescent="0.45">
      <c r="A1954" s="1" t="s">
        <v>1937</v>
      </c>
      <c r="B1954" t="s">
        <v>6203</v>
      </c>
      <c r="D1954" t="s">
        <v>7989</v>
      </c>
      <c r="E1954" t="s">
        <v>9253</v>
      </c>
      <c r="F1954" t="s">
        <v>10297</v>
      </c>
      <c r="G1954">
        <v>1.21</v>
      </c>
      <c r="H1954" t="s">
        <v>10310</v>
      </c>
      <c r="I1954" t="s">
        <v>10325</v>
      </c>
      <c r="L1954">
        <v>1985</v>
      </c>
      <c r="R1954" t="s">
        <v>11038</v>
      </c>
      <c r="S1954" t="s">
        <v>10310</v>
      </c>
      <c r="W1954" s="2" t="s">
        <v>11202</v>
      </c>
    </row>
    <row r="1955" spans="1:23" hidden="1" x14ac:dyDescent="0.45">
      <c r="A1955" s="1" t="s">
        <v>1938</v>
      </c>
      <c r="B1955" t="s">
        <v>6203</v>
      </c>
      <c r="D1955" t="s">
        <v>7989</v>
      </c>
      <c r="E1955" t="s">
        <v>9288</v>
      </c>
      <c r="F1955" t="s">
        <v>10297</v>
      </c>
      <c r="G1955">
        <v>0.96</v>
      </c>
      <c r="H1955" t="s">
        <v>10310</v>
      </c>
      <c r="I1955" t="s">
        <v>10325</v>
      </c>
      <c r="L1955">
        <v>1960</v>
      </c>
      <c r="R1955" t="s">
        <v>11038</v>
      </c>
      <c r="S1955" t="s">
        <v>10310</v>
      </c>
      <c r="W1955" s="2" t="s">
        <v>11202</v>
      </c>
    </row>
    <row r="1956" spans="1:23" hidden="1" x14ac:dyDescent="0.45">
      <c r="A1956" s="1" t="s">
        <v>1939</v>
      </c>
      <c r="B1956" t="s">
        <v>6203</v>
      </c>
      <c r="D1956" t="s">
        <v>7989</v>
      </c>
      <c r="E1956" t="s">
        <v>9288</v>
      </c>
      <c r="F1956" t="s">
        <v>10297</v>
      </c>
      <c r="G1956">
        <v>0.96</v>
      </c>
      <c r="H1956" t="s">
        <v>10310</v>
      </c>
      <c r="I1956" t="s">
        <v>10325</v>
      </c>
      <c r="L1956">
        <v>1960</v>
      </c>
      <c r="R1956" t="s">
        <v>11038</v>
      </c>
      <c r="S1956" t="s">
        <v>10310</v>
      </c>
      <c r="W1956" s="2" t="s">
        <v>11202</v>
      </c>
    </row>
    <row r="1957" spans="1:23" hidden="1" x14ac:dyDescent="0.45">
      <c r="A1957" s="1" t="s">
        <v>1940</v>
      </c>
      <c r="B1957" t="s">
        <v>6203</v>
      </c>
      <c r="D1957" t="s">
        <v>7989</v>
      </c>
      <c r="E1957" t="s">
        <v>9327</v>
      </c>
      <c r="F1957" t="s">
        <v>10297</v>
      </c>
      <c r="G1957">
        <v>0.5</v>
      </c>
      <c r="H1957" t="s">
        <v>10310</v>
      </c>
      <c r="I1957" t="s">
        <v>10325</v>
      </c>
      <c r="L1957">
        <v>1925</v>
      </c>
      <c r="R1957" t="s">
        <v>11038</v>
      </c>
      <c r="S1957" t="s">
        <v>10310</v>
      </c>
      <c r="W1957" s="2" t="s">
        <v>11202</v>
      </c>
    </row>
    <row r="1958" spans="1:23" hidden="1" x14ac:dyDescent="0.45">
      <c r="A1958" s="1" t="s">
        <v>1941</v>
      </c>
      <c r="B1958" t="s">
        <v>6203</v>
      </c>
      <c r="D1958" t="s">
        <v>7989</v>
      </c>
      <c r="E1958" t="s">
        <v>9327</v>
      </c>
      <c r="F1958" t="s">
        <v>10297</v>
      </c>
      <c r="G1958">
        <v>0.5</v>
      </c>
      <c r="H1958" t="s">
        <v>10310</v>
      </c>
      <c r="I1958" t="s">
        <v>10325</v>
      </c>
      <c r="L1958">
        <v>1925</v>
      </c>
      <c r="R1958" t="s">
        <v>11038</v>
      </c>
      <c r="S1958" t="s">
        <v>10310</v>
      </c>
      <c r="W1958" s="2" t="s">
        <v>11202</v>
      </c>
    </row>
    <row r="1959" spans="1:23" hidden="1" x14ac:dyDescent="0.45">
      <c r="A1959" s="1" t="s">
        <v>1942</v>
      </c>
      <c r="B1959" t="s">
        <v>6201</v>
      </c>
      <c r="D1959" t="s">
        <v>7992</v>
      </c>
      <c r="E1959" t="s">
        <v>9328</v>
      </c>
      <c r="F1959" t="s">
        <v>10297</v>
      </c>
      <c r="G1959">
        <v>0.35</v>
      </c>
      <c r="H1959" t="s">
        <v>10310</v>
      </c>
      <c r="I1959" t="s">
        <v>10325</v>
      </c>
      <c r="L1959">
        <v>1987</v>
      </c>
      <c r="R1959" t="s">
        <v>11038</v>
      </c>
      <c r="S1959" t="s">
        <v>10310</v>
      </c>
      <c r="W1959" s="2" t="s">
        <v>11202</v>
      </c>
    </row>
    <row r="1960" spans="1:23" hidden="1" x14ac:dyDescent="0.45">
      <c r="A1960" s="1" t="s">
        <v>1943</v>
      </c>
      <c r="B1960" t="s">
        <v>6202</v>
      </c>
      <c r="D1960" t="s">
        <v>7991</v>
      </c>
      <c r="E1960" t="s">
        <v>9284</v>
      </c>
      <c r="F1960" t="s">
        <v>10297</v>
      </c>
      <c r="G1960">
        <v>0.45</v>
      </c>
      <c r="H1960" t="s">
        <v>10310</v>
      </c>
      <c r="I1960" t="s">
        <v>10325</v>
      </c>
      <c r="L1960">
        <v>1927</v>
      </c>
      <c r="R1960" t="s">
        <v>11038</v>
      </c>
      <c r="S1960" t="s">
        <v>10310</v>
      </c>
      <c r="W1960" s="2" t="s">
        <v>11202</v>
      </c>
    </row>
    <row r="1961" spans="1:23" hidden="1" x14ac:dyDescent="0.45">
      <c r="A1961" s="1" t="s">
        <v>1944</v>
      </c>
      <c r="B1961" t="s">
        <v>6202</v>
      </c>
      <c r="D1961" t="s">
        <v>7991</v>
      </c>
      <c r="E1961" t="s">
        <v>9284</v>
      </c>
      <c r="F1961" t="s">
        <v>10297</v>
      </c>
      <c r="G1961">
        <v>0.45</v>
      </c>
      <c r="H1961" t="s">
        <v>10310</v>
      </c>
      <c r="I1961" t="s">
        <v>10325</v>
      </c>
      <c r="L1961">
        <v>1927</v>
      </c>
      <c r="R1961" t="s">
        <v>11038</v>
      </c>
      <c r="S1961" t="s">
        <v>10310</v>
      </c>
      <c r="W1961" s="2" t="s">
        <v>11202</v>
      </c>
    </row>
    <row r="1962" spans="1:23" hidden="1" x14ac:dyDescent="0.45">
      <c r="A1962" s="1" t="s">
        <v>1945</v>
      </c>
      <c r="B1962" t="s">
        <v>6203</v>
      </c>
      <c r="D1962" t="s">
        <v>7989</v>
      </c>
      <c r="E1962" t="s">
        <v>9329</v>
      </c>
      <c r="F1962" t="s">
        <v>10297</v>
      </c>
      <c r="G1962">
        <v>0.46</v>
      </c>
      <c r="H1962" t="s">
        <v>10310</v>
      </c>
      <c r="I1962" t="s">
        <v>10325</v>
      </c>
      <c r="L1962">
        <v>1916</v>
      </c>
      <c r="R1962" t="s">
        <v>11038</v>
      </c>
      <c r="S1962" t="s">
        <v>10310</v>
      </c>
      <c r="W1962" s="2" t="s">
        <v>11202</v>
      </c>
    </row>
    <row r="1963" spans="1:23" hidden="1" x14ac:dyDescent="0.45">
      <c r="A1963" s="1" t="s">
        <v>1946</v>
      </c>
      <c r="B1963" t="s">
        <v>6203</v>
      </c>
      <c r="D1963" t="s">
        <v>7989</v>
      </c>
      <c r="E1963" t="s">
        <v>9329</v>
      </c>
      <c r="F1963" t="s">
        <v>10297</v>
      </c>
      <c r="G1963">
        <v>0.46</v>
      </c>
      <c r="H1963" t="s">
        <v>10310</v>
      </c>
      <c r="I1963" t="s">
        <v>10325</v>
      </c>
      <c r="L1963">
        <v>1916</v>
      </c>
      <c r="R1963" t="s">
        <v>11038</v>
      </c>
      <c r="S1963" t="s">
        <v>10310</v>
      </c>
      <c r="W1963" s="2" t="s">
        <v>11202</v>
      </c>
    </row>
    <row r="1964" spans="1:23" hidden="1" x14ac:dyDescent="0.45">
      <c r="A1964" s="1" t="s">
        <v>1947</v>
      </c>
      <c r="B1964" t="s">
        <v>6203</v>
      </c>
      <c r="D1964" t="s">
        <v>7989</v>
      </c>
      <c r="E1964" t="s">
        <v>9330</v>
      </c>
      <c r="F1964" t="s">
        <v>10297</v>
      </c>
      <c r="G1964">
        <v>1.3</v>
      </c>
      <c r="H1964" t="s">
        <v>10310</v>
      </c>
      <c r="I1964" t="s">
        <v>10325</v>
      </c>
      <c r="L1964">
        <v>1987</v>
      </c>
      <c r="R1964" t="s">
        <v>11038</v>
      </c>
      <c r="S1964" t="s">
        <v>10310</v>
      </c>
      <c r="W1964" s="2" t="s">
        <v>11202</v>
      </c>
    </row>
    <row r="1965" spans="1:23" hidden="1" x14ac:dyDescent="0.45">
      <c r="A1965" s="1" t="s">
        <v>1948</v>
      </c>
      <c r="B1965" t="s">
        <v>6203</v>
      </c>
      <c r="D1965" t="s">
        <v>7989</v>
      </c>
      <c r="E1965" t="s">
        <v>9330</v>
      </c>
      <c r="F1965" t="s">
        <v>10297</v>
      </c>
      <c r="G1965">
        <v>1.1200000000000001</v>
      </c>
      <c r="H1965" t="s">
        <v>10310</v>
      </c>
      <c r="I1965" t="s">
        <v>10325</v>
      </c>
      <c r="L1965">
        <v>1958</v>
      </c>
      <c r="R1965" t="s">
        <v>11038</v>
      </c>
      <c r="S1965" t="s">
        <v>10310</v>
      </c>
      <c r="W1965" s="2" t="s">
        <v>11202</v>
      </c>
    </row>
    <row r="1966" spans="1:23" hidden="1" x14ac:dyDescent="0.45">
      <c r="A1966" s="1" t="s">
        <v>1949</v>
      </c>
      <c r="B1966" t="s">
        <v>6204</v>
      </c>
      <c r="D1966" t="s">
        <v>7993</v>
      </c>
      <c r="E1966" t="s">
        <v>9331</v>
      </c>
      <c r="F1966" t="s">
        <v>10297</v>
      </c>
      <c r="G1966">
        <v>0.35</v>
      </c>
      <c r="H1966" t="s">
        <v>10310</v>
      </c>
      <c r="I1966" t="s">
        <v>10325</v>
      </c>
      <c r="L1966">
        <v>1902</v>
      </c>
      <c r="R1966" t="s">
        <v>11038</v>
      </c>
      <c r="S1966" t="s">
        <v>10310</v>
      </c>
      <c r="W1966" s="2" t="s">
        <v>11202</v>
      </c>
    </row>
    <row r="1967" spans="1:23" hidden="1" x14ac:dyDescent="0.45">
      <c r="A1967" s="1" t="s">
        <v>1950</v>
      </c>
      <c r="B1967" t="s">
        <v>6204</v>
      </c>
      <c r="D1967" t="s">
        <v>7993</v>
      </c>
      <c r="E1967" t="s">
        <v>9331</v>
      </c>
      <c r="F1967" t="s">
        <v>10297</v>
      </c>
      <c r="G1967">
        <v>0.36</v>
      </c>
      <c r="H1967" t="s">
        <v>10310</v>
      </c>
      <c r="I1967" t="s">
        <v>10325</v>
      </c>
      <c r="L1967">
        <v>1902</v>
      </c>
      <c r="R1967" t="s">
        <v>11038</v>
      </c>
      <c r="S1967" t="s">
        <v>10310</v>
      </c>
      <c r="W1967" s="2" t="s">
        <v>11202</v>
      </c>
    </row>
    <row r="1968" spans="1:23" hidden="1" x14ac:dyDescent="0.45">
      <c r="A1968" s="1" t="s">
        <v>1951</v>
      </c>
      <c r="B1968" t="s">
        <v>6204</v>
      </c>
      <c r="D1968" t="s">
        <v>7993</v>
      </c>
      <c r="E1968" t="s">
        <v>9331</v>
      </c>
      <c r="F1968" t="s">
        <v>10297</v>
      </c>
      <c r="G1968">
        <v>0.36</v>
      </c>
      <c r="H1968" t="s">
        <v>10310</v>
      </c>
      <c r="I1968" t="s">
        <v>10325</v>
      </c>
      <c r="L1968">
        <v>1904</v>
      </c>
      <c r="R1968" t="s">
        <v>11038</v>
      </c>
      <c r="S1968" t="s">
        <v>10310</v>
      </c>
      <c r="W1968" s="2" t="s">
        <v>11202</v>
      </c>
    </row>
    <row r="1969" spans="1:23" hidden="1" x14ac:dyDescent="0.45">
      <c r="A1969" s="1" t="s">
        <v>1952</v>
      </c>
      <c r="B1969" t="s">
        <v>6204</v>
      </c>
      <c r="D1969" t="s">
        <v>7993</v>
      </c>
      <c r="E1969" t="s">
        <v>9331</v>
      </c>
      <c r="F1969" t="s">
        <v>10297</v>
      </c>
      <c r="G1969">
        <v>0.64</v>
      </c>
      <c r="H1969" t="s">
        <v>10310</v>
      </c>
      <c r="I1969" t="s">
        <v>10325</v>
      </c>
      <c r="L1969">
        <v>1924</v>
      </c>
      <c r="R1969" t="s">
        <v>11038</v>
      </c>
      <c r="S1969" t="s">
        <v>10310</v>
      </c>
      <c r="W1969" s="2" t="s">
        <v>11202</v>
      </c>
    </row>
    <row r="1970" spans="1:23" hidden="1" x14ac:dyDescent="0.45">
      <c r="A1970" s="1" t="s">
        <v>1953</v>
      </c>
      <c r="B1970" t="s">
        <v>6204</v>
      </c>
      <c r="D1970" t="s">
        <v>7993</v>
      </c>
      <c r="E1970" t="s">
        <v>9331</v>
      </c>
      <c r="F1970" t="s">
        <v>10297</v>
      </c>
      <c r="G1970">
        <v>0.34</v>
      </c>
      <c r="H1970" t="s">
        <v>10310</v>
      </c>
      <c r="I1970" t="s">
        <v>10325</v>
      </c>
      <c r="L1970">
        <v>1927</v>
      </c>
      <c r="R1970" t="s">
        <v>11038</v>
      </c>
      <c r="S1970" t="s">
        <v>10310</v>
      </c>
      <c r="W1970" s="2" t="s">
        <v>11202</v>
      </c>
    </row>
    <row r="1971" spans="1:23" hidden="1" x14ac:dyDescent="0.45">
      <c r="A1971" s="1" t="s">
        <v>1954</v>
      </c>
      <c r="B1971" t="s">
        <v>6202</v>
      </c>
      <c r="D1971" t="s">
        <v>7991</v>
      </c>
      <c r="E1971" t="s">
        <v>9332</v>
      </c>
      <c r="F1971" t="s">
        <v>10297</v>
      </c>
      <c r="G1971">
        <v>0.18</v>
      </c>
      <c r="H1971" t="s">
        <v>10310</v>
      </c>
      <c r="I1971" t="s">
        <v>10325</v>
      </c>
      <c r="L1971">
        <v>1985</v>
      </c>
      <c r="R1971" t="s">
        <v>11038</v>
      </c>
      <c r="S1971" t="s">
        <v>10310</v>
      </c>
      <c r="W1971" s="2" t="s">
        <v>11202</v>
      </c>
    </row>
    <row r="1972" spans="1:23" hidden="1" x14ac:dyDescent="0.45">
      <c r="A1972" s="1" t="s">
        <v>1955</v>
      </c>
      <c r="B1972" t="s">
        <v>6204</v>
      </c>
      <c r="D1972" t="s">
        <v>7993</v>
      </c>
      <c r="E1972" t="s">
        <v>9333</v>
      </c>
      <c r="F1972" t="s">
        <v>10297</v>
      </c>
      <c r="G1972">
        <v>0.78</v>
      </c>
      <c r="H1972" t="s">
        <v>10310</v>
      </c>
      <c r="I1972" t="s">
        <v>10325</v>
      </c>
      <c r="L1972">
        <v>1983</v>
      </c>
      <c r="R1972" t="s">
        <v>11038</v>
      </c>
      <c r="S1972" t="s">
        <v>10310</v>
      </c>
      <c r="W1972" s="2" t="s">
        <v>11202</v>
      </c>
    </row>
    <row r="1973" spans="1:23" hidden="1" x14ac:dyDescent="0.45">
      <c r="A1973" s="1" t="s">
        <v>1956</v>
      </c>
      <c r="B1973" t="s">
        <v>6204</v>
      </c>
      <c r="D1973" t="s">
        <v>7993</v>
      </c>
      <c r="E1973" t="s">
        <v>9333</v>
      </c>
      <c r="F1973" t="s">
        <v>10297</v>
      </c>
      <c r="G1973">
        <v>0.8</v>
      </c>
      <c r="H1973" t="s">
        <v>10310</v>
      </c>
      <c r="I1973" t="s">
        <v>10325</v>
      </c>
      <c r="L1973">
        <v>1983</v>
      </c>
      <c r="R1973" t="s">
        <v>11038</v>
      </c>
      <c r="S1973" t="s">
        <v>10310</v>
      </c>
      <c r="W1973" s="2" t="s">
        <v>11202</v>
      </c>
    </row>
    <row r="1974" spans="1:23" hidden="1" x14ac:dyDescent="0.45">
      <c r="A1974" s="1" t="s">
        <v>1957</v>
      </c>
      <c r="B1974" t="s">
        <v>6202</v>
      </c>
      <c r="D1974" t="s">
        <v>7991</v>
      </c>
      <c r="E1974" t="s">
        <v>9334</v>
      </c>
      <c r="F1974" t="s">
        <v>10297</v>
      </c>
      <c r="G1974">
        <v>9</v>
      </c>
      <c r="H1974" t="s">
        <v>10310</v>
      </c>
      <c r="I1974" t="s">
        <v>10326</v>
      </c>
      <c r="L1974">
        <v>1954</v>
      </c>
      <c r="R1974" t="s">
        <v>11038</v>
      </c>
      <c r="S1974" t="s">
        <v>10310</v>
      </c>
      <c r="W1974" s="2" t="s">
        <v>11202</v>
      </c>
    </row>
    <row r="1975" spans="1:23" hidden="1" x14ac:dyDescent="0.45">
      <c r="A1975" s="1" t="s">
        <v>1958</v>
      </c>
      <c r="B1975" t="s">
        <v>6202</v>
      </c>
      <c r="D1975" t="s">
        <v>7991</v>
      </c>
      <c r="E1975" t="s">
        <v>9334</v>
      </c>
      <c r="F1975" t="s">
        <v>10297</v>
      </c>
      <c r="G1975">
        <v>9</v>
      </c>
      <c r="H1975" t="s">
        <v>10310</v>
      </c>
      <c r="I1975" t="s">
        <v>10326</v>
      </c>
      <c r="L1975">
        <v>1954</v>
      </c>
      <c r="R1975" t="s">
        <v>11038</v>
      </c>
      <c r="S1975" t="s">
        <v>10310</v>
      </c>
      <c r="W1975" s="2" t="s">
        <v>11202</v>
      </c>
    </row>
    <row r="1976" spans="1:23" hidden="1" x14ac:dyDescent="0.45">
      <c r="A1976" s="1" t="s">
        <v>1959</v>
      </c>
      <c r="B1976" t="s">
        <v>6203</v>
      </c>
      <c r="D1976" t="s">
        <v>7989</v>
      </c>
      <c r="E1976" t="s">
        <v>9335</v>
      </c>
      <c r="F1976" t="s">
        <v>10297</v>
      </c>
      <c r="G1976">
        <v>0.22</v>
      </c>
      <c r="H1976" t="s">
        <v>10310</v>
      </c>
      <c r="I1976" t="s">
        <v>10325</v>
      </c>
      <c r="L1976">
        <v>1912</v>
      </c>
      <c r="R1976" t="s">
        <v>11038</v>
      </c>
      <c r="S1976" t="s">
        <v>10310</v>
      </c>
      <c r="W1976" s="2" t="s">
        <v>11202</v>
      </c>
    </row>
    <row r="1977" spans="1:23" hidden="1" x14ac:dyDescent="0.45">
      <c r="A1977" s="1" t="s">
        <v>1960</v>
      </c>
      <c r="B1977" t="s">
        <v>6203</v>
      </c>
      <c r="D1977" t="s">
        <v>7989</v>
      </c>
      <c r="E1977" t="s">
        <v>9335</v>
      </c>
      <c r="F1977" t="s">
        <v>10297</v>
      </c>
      <c r="G1977">
        <v>0.22</v>
      </c>
      <c r="H1977" t="s">
        <v>10310</v>
      </c>
      <c r="I1977" t="s">
        <v>10325</v>
      </c>
      <c r="L1977">
        <v>1912</v>
      </c>
      <c r="R1977" t="s">
        <v>11038</v>
      </c>
      <c r="S1977" t="s">
        <v>10310</v>
      </c>
      <c r="W1977" s="2" t="s">
        <v>11202</v>
      </c>
    </row>
    <row r="1978" spans="1:23" hidden="1" x14ac:dyDescent="0.45">
      <c r="A1978" s="1" t="s">
        <v>1961</v>
      </c>
      <c r="B1978" t="s">
        <v>6201</v>
      </c>
      <c r="D1978" t="s">
        <v>7992</v>
      </c>
      <c r="E1978" t="s">
        <v>9257</v>
      </c>
      <c r="F1978" t="s">
        <v>10297</v>
      </c>
      <c r="G1978">
        <v>0.21</v>
      </c>
      <c r="H1978" t="s">
        <v>10310</v>
      </c>
      <c r="I1978" t="s">
        <v>10325</v>
      </c>
      <c r="L1978">
        <v>1984</v>
      </c>
      <c r="R1978" t="s">
        <v>11038</v>
      </c>
      <c r="S1978" t="s">
        <v>10310</v>
      </c>
      <c r="W1978" s="2" t="s">
        <v>11202</v>
      </c>
    </row>
    <row r="1979" spans="1:23" hidden="1" x14ac:dyDescent="0.45">
      <c r="A1979" s="1" t="s">
        <v>1962</v>
      </c>
      <c r="B1979" t="s">
        <v>6202</v>
      </c>
      <c r="D1979" t="s">
        <v>7991</v>
      </c>
      <c r="E1979" t="s">
        <v>9304</v>
      </c>
      <c r="F1979" t="s">
        <v>10297</v>
      </c>
      <c r="G1979">
        <v>12.8</v>
      </c>
      <c r="H1979" t="s">
        <v>10310</v>
      </c>
      <c r="I1979" t="s">
        <v>10325</v>
      </c>
      <c r="L1979">
        <v>1952</v>
      </c>
      <c r="R1979" t="s">
        <v>11038</v>
      </c>
      <c r="S1979" t="s">
        <v>10310</v>
      </c>
      <c r="W1979" s="2" t="s">
        <v>11202</v>
      </c>
    </row>
    <row r="1980" spans="1:23" hidden="1" x14ac:dyDescent="0.45">
      <c r="A1980" s="1" t="s">
        <v>1963</v>
      </c>
      <c r="B1980" t="s">
        <v>6202</v>
      </c>
      <c r="D1980" t="s">
        <v>7991</v>
      </c>
      <c r="E1980" t="s">
        <v>9304</v>
      </c>
      <c r="F1980" t="s">
        <v>10297</v>
      </c>
      <c r="G1980">
        <v>12.8</v>
      </c>
      <c r="H1980" t="s">
        <v>10310</v>
      </c>
      <c r="I1980" t="s">
        <v>10325</v>
      </c>
      <c r="L1980">
        <v>1952</v>
      </c>
      <c r="R1980" t="s">
        <v>11038</v>
      </c>
      <c r="S1980" t="s">
        <v>10310</v>
      </c>
      <c r="W1980" s="2" t="s">
        <v>11202</v>
      </c>
    </row>
    <row r="1981" spans="1:23" hidden="1" x14ac:dyDescent="0.45">
      <c r="A1981" s="1" t="s">
        <v>1964</v>
      </c>
      <c r="B1981" t="s">
        <v>6202</v>
      </c>
      <c r="D1981" t="s">
        <v>7991</v>
      </c>
      <c r="E1981" t="s">
        <v>9304</v>
      </c>
      <c r="F1981" t="s">
        <v>10297</v>
      </c>
      <c r="G1981">
        <v>6.5</v>
      </c>
      <c r="H1981" t="s">
        <v>10310</v>
      </c>
      <c r="I1981" t="s">
        <v>10325</v>
      </c>
      <c r="L1981">
        <v>1953</v>
      </c>
      <c r="R1981" t="s">
        <v>11038</v>
      </c>
      <c r="S1981" t="s">
        <v>10310</v>
      </c>
      <c r="W1981" s="2" t="s">
        <v>11202</v>
      </c>
    </row>
    <row r="1982" spans="1:23" hidden="1" x14ac:dyDescent="0.45">
      <c r="A1982" s="1" t="s">
        <v>1965</v>
      </c>
      <c r="B1982" t="s">
        <v>6202</v>
      </c>
      <c r="D1982" t="s">
        <v>7991</v>
      </c>
      <c r="E1982" t="s">
        <v>9304</v>
      </c>
      <c r="F1982" t="s">
        <v>10297</v>
      </c>
      <c r="G1982">
        <v>6.5</v>
      </c>
      <c r="H1982" t="s">
        <v>10310</v>
      </c>
      <c r="I1982" t="s">
        <v>10325</v>
      </c>
      <c r="L1982">
        <v>1954</v>
      </c>
      <c r="R1982" t="s">
        <v>11038</v>
      </c>
      <c r="S1982" t="s">
        <v>10310</v>
      </c>
      <c r="W1982" s="2" t="s">
        <v>11202</v>
      </c>
    </row>
    <row r="1983" spans="1:23" hidden="1" x14ac:dyDescent="0.45">
      <c r="A1983" s="1" t="s">
        <v>1966</v>
      </c>
      <c r="B1983" t="s">
        <v>6202</v>
      </c>
      <c r="D1983" t="s">
        <v>7991</v>
      </c>
      <c r="E1983" t="s">
        <v>9285</v>
      </c>
      <c r="F1983" t="s">
        <v>10297</v>
      </c>
      <c r="G1983">
        <v>0.4</v>
      </c>
      <c r="H1983" t="s">
        <v>10310</v>
      </c>
      <c r="I1983" t="s">
        <v>10325</v>
      </c>
      <c r="L1983">
        <v>1986</v>
      </c>
      <c r="R1983" t="s">
        <v>11038</v>
      </c>
      <c r="S1983" t="s">
        <v>10310</v>
      </c>
      <c r="W1983" s="2" t="s">
        <v>11202</v>
      </c>
    </row>
    <row r="1984" spans="1:23" hidden="1" x14ac:dyDescent="0.45">
      <c r="A1984" s="1" t="s">
        <v>1967</v>
      </c>
      <c r="B1984" t="s">
        <v>6204</v>
      </c>
      <c r="D1984" t="s">
        <v>7993</v>
      </c>
      <c r="E1984" t="s">
        <v>9302</v>
      </c>
      <c r="F1984" t="s">
        <v>10297</v>
      </c>
      <c r="G1984">
        <v>0.6</v>
      </c>
      <c r="H1984" t="s">
        <v>10310</v>
      </c>
      <c r="I1984" t="s">
        <v>10325</v>
      </c>
      <c r="L1984">
        <v>1930</v>
      </c>
      <c r="R1984" t="s">
        <v>11038</v>
      </c>
      <c r="S1984" t="s">
        <v>10310</v>
      </c>
      <c r="W1984" s="2" t="s">
        <v>11202</v>
      </c>
    </row>
    <row r="1985" spans="1:23" hidden="1" x14ac:dyDescent="0.45">
      <c r="A1985" s="1" t="s">
        <v>1968</v>
      </c>
      <c r="B1985" t="s">
        <v>6204</v>
      </c>
      <c r="D1985" t="s">
        <v>7993</v>
      </c>
      <c r="E1985" t="s">
        <v>9302</v>
      </c>
      <c r="F1985" t="s">
        <v>10297</v>
      </c>
      <c r="G1985">
        <v>0.6</v>
      </c>
      <c r="H1985" t="s">
        <v>10310</v>
      </c>
      <c r="I1985" t="s">
        <v>10325</v>
      </c>
      <c r="L1985">
        <v>1930</v>
      </c>
      <c r="R1985" t="s">
        <v>11038</v>
      </c>
      <c r="S1985" t="s">
        <v>10310</v>
      </c>
      <c r="W1985" s="2" t="s">
        <v>11202</v>
      </c>
    </row>
    <row r="1986" spans="1:23" hidden="1" x14ac:dyDescent="0.45">
      <c r="A1986" s="1" t="s">
        <v>1969</v>
      </c>
      <c r="B1986" t="s">
        <v>6202</v>
      </c>
      <c r="D1986" t="s">
        <v>7991</v>
      </c>
      <c r="E1986" t="s">
        <v>9278</v>
      </c>
      <c r="F1986" t="s">
        <v>10297</v>
      </c>
      <c r="G1986">
        <v>71</v>
      </c>
      <c r="H1986" t="s">
        <v>10310</v>
      </c>
      <c r="I1986" t="s">
        <v>10326</v>
      </c>
      <c r="L1986">
        <v>1964</v>
      </c>
      <c r="N1986">
        <v>42.263793</v>
      </c>
      <c r="P1986">
        <v>-7.3875190000000002</v>
      </c>
      <c r="R1986" t="s">
        <v>11038</v>
      </c>
      <c r="S1986" t="s">
        <v>10310</v>
      </c>
      <c r="W1986" s="2" t="s">
        <v>11202</v>
      </c>
    </row>
    <row r="1987" spans="1:23" hidden="1" x14ac:dyDescent="0.45">
      <c r="A1987" s="1" t="s">
        <v>1970</v>
      </c>
      <c r="B1987" t="s">
        <v>6202</v>
      </c>
      <c r="D1987" t="s">
        <v>7991</v>
      </c>
      <c r="E1987" t="s">
        <v>9278</v>
      </c>
      <c r="F1987" t="s">
        <v>10297</v>
      </c>
      <c r="G1987">
        <v>71</v>
      </c>
      <c r="H1987" t="s">
        <v>10310</v>
      </c>
      <c r="I1987" t="s">
        <v>10326</v>
      </c>
      <c r="L1987">
        <v>1964</v>
      </c>
      <c r="N1987">
        <v>42.263793</v>
      </c>
      <c r="P1987">
        <v>-7.3875190000000002</v>
      </c>
      <c r="R1987" t="s">
        <v>11038</v>
      </c>
      <c r="S1987" t="s">
        <v>10310</v>
      </c>
      <c r="W1987" s="2" t="s">
        <v>11202</v>
      </c>
    </row>
    <row r="1988" spans="1:23" hidden="1" x14ac:dyDescent="0.45">
      <c r="A1988" s="1" t="s">
        <v>1971</v>
      </c>
      <c r="B1988" t="s">
        <v>6202</v>
      </c>
      <c r="D1988" t="s">
        <v>7991</v>
      </c>
      <c r="E1988" t="s">
        <v>9278</v>
      </c>
      <c r="F1988" t="s">
        <v>10297</v>
      </c>
      <c r="G1988">
        <v>71</v>
      </c>
      <c r="H1988" t="s">
        <v>10310</v>
      </c>
      <c r="I1988" t="s">
        <v>10326</v>
      </c>
      <c r="L1988">
        <v>1965</v>
      </c>
      <c r="N1988">
        <v>42.263793</v>
      </c>
      <c r="P1988">
        <v>-7.3875190000000002</v>
      </c>
      <c r="R1988" t="s">
        <v>11038</v>
      </c>
      <c r="S1988" t="s">
        <v>10310</v>
      </c>
      <c r="W1988" s="2" t="s">
        <v>11202</v>
      </c>
    </row>
    <row r="1989" spans="1:23" hidden="1" x14ac:dyDescent="0.45">
      <c r="A1989" s="1" t="s">
        <v>1972</v>
      </c>
      <c r="B1989" t="s">
        <v>6202</v>
      </c>
      <c r="D1989" t="s">
        <v>7991</v>
      </c>
      <c r="E1989" t="s">
        <v>9278</v>
      </c>
      <c r="F1989" t="s">
        <v>10297</v>
      </c>
      <c r="G1989">
        <v>76.78</v>
      </c>
      <c r="H1989" t="s">
        <v>10310</v>
      </c>
      <c r="I1989" t="s">
        <v>10327</v>
      </c>
      <c r="L1989">
        <v>1966</v>
      </c>
      <c r="N1989">
        <v>42.263793</v>
      </c>
      <c r="P1989">
        <v>-7.3875190000000002</v>
      </c>
      <c r="R1989" t="s">
        <v>11038</v>
      </c>
      <c r="S1989" t="s">
        <v>10310</v>
      </c>
      <c r="W1989" s="2" t="s">
        <v>11202</v>
      </c>
    </row>
    <row r="1990" spans="1:23" hidden="1" x14ac:dyDescent="0.45">
      <c r="A1990" s="1" t="s">
        <v>1973</v>
      </c>
      <c r="B1990" t="s">
        <v>6202</v>
      </c>
      <c r="D1990" t="s">
        <v>7991</v>
      </c>
      <c r="E1990" t="s">
        <v>9278</v>
      </c>
      <c r="F1990" t="s">
        <v>10297</v>
      </c>
      <c r="G1990">
        <v>0.73</v>
      </c>
      <c r="H1990" t="s">
        <v>10310</v>
      </c>
      <c r="I1990" t="s">
        <v>10326</v>
      </c>
      <c r="L1990">
        <v>1964</v>
      </c>
      <c r="N1990">
        <v>42.263793</v>
      </c>
      <c r="P1990">
        <v>-7.3875190000000002</v>
      </c>
      <c r="R1990" t="s">
        <v>11038</v>
      </c>
      <c r="S1990" t="s">
        <v>10310</v>
      </c>
      <c r="W1990" s="2" t="s">
        <v>11202</v>
      </c>
    </row>
    <row r="1991" spans="1:23" hidden="1" x14ac:dyDescent="0.45">
      <c r="A1991" s="1" t="s">
        <v>1974</v>
      </c>
      <c r="B1991" t="s">
        <v>6204</v>
      </c>
      <c r="D1991" t="s">
        <v>7993</v>
      </c>
      <c r="E1991" t="s">
        <v>9336</v>
      </c>
      <c r="F1991" t="s">
        <v>10297</v>
      </c>
      <c r="G1991">
        <v>0.89</v>
      </c>
      <c r="H1991" t="s">
        <v>10310</v>
      </c>
      <c r="I1991" t="s">
        <v>10325</v>
      </c>
      <c r="L1991">
        <v>1932</v>
      </c>
      <c r="R1991" t="s">
        <v>11038</v>
      </c>
      <c r="S1991" t="s">
        <v>10310</v>
      </c>
      <c r="W1991" s="2" t="s">
        <v>11202</v>
      </c>
    </row>
    <row r="1992" spans="1:23" hidden="1" x14ac:dyDescent="0.45">
      <c r="A1992" s="1" t="s">
        <v>1975</v>
      </c>
      <c r="B1992" t="s">
        <v>6202</v>
      </c>
      <c r="D1992" t="s">
        <v>7991</v>
      </c>
      <c r="E1992" t="s">
        <v>9337</v>
      </c>
      <c r="F1992" t="s">
        <v>10297</v>
      </c>
      <c r="G1992">
        <v>1.17</v>
      </c>
      <c r="H1992" t="s">
        <v>10310</v>
      </c>
      <c r="I1992" t="s">
        <v>10325</v>
      </c>
      <c r="L1992">
        <v>1969</v>
      </c>
      <c r="R1992" t="s">
        <v>11038</v>
      </c>
      <c r="S1992" t="s">
        <v>10310</v>
      </c>
      <c r="W1992" s="2" t="s">
        <v>11202</v>
      </c>
    </row>
    <row r="1993" spans="1:23" hidden="1" x14ac:dyDescent="0.45">
      <c r="A1993" s="1" t="s">
        <v>1976</v>
      </c>
      <c r="B1993" t="s">
        <v>6202</v>
      </c>
      <c r="D1993" t="s">
        <v>7991</v>
      </c>
      <c r="E1993" t="s">
        <v>9337</v>
      </c>
      <c r="F1993" t="s">
        <v>10297</v>
      </c>
      <c r="G1993">
        <v>1.17</v>
      </c>
      <c r="H1993" t="s">
        <v>10310</v>
      </c>
      <c r="I1993" t="s">
        <v>10325</v>
      </c>
      <c r="L1993">
        <v>1969</v>
      </c>
      <c r="R1993" t="s">
        <v>11038</v>
      </c>
      <c r="S1993" t="s">
        <v>10310</v>
      </c>
      <c r="W1993" s="2" t="s">
        <v>11202</v>
      </c>
    </row>
    <row r="1994" spans="1:23" hidden="1" x14ac:dyDescent="0.45">
      <c r="A1994" s="1" t="s">
        <v>1977</v>
      </c>
      <c r="B1994" t="s">
        <v>6202</v>
      </c>
      <c r="D1994" t="s">
        <v>7991</v>
      </c>
      <c r="E1994" t="s">
        <v>9337</v>
      </c>
      <c r="F1994" t="s">
        <v>10297</v>
      </c>
      <c r="G1994">
        <v>1.32</v>
      </c>
      <c r="H1994" t="s">
        <v>10310</v>
      </c>
      <c r="I1994" t="s">
        <v>10325</v>
      </c>
      <c r="L1994">
        <v>1969</v>
      </c>
      <c r="R1994" t="s">
        <v>11038</v>
      </c>
      <c r="S1994" t="s">
        <v>10310</v>
      </c>
      <c r="W1994" s="2" t="s">
        <v>11202</v>
      </c>
    </row>
    <row r="1995" spans="1:23" hidden="1" x14ac:dyDescent="0.45">
      <c r="A1995" s="1" t="s">
        <v>1978</v>
      </c>
      <c r="B1995" t="s">
        <v>6204</v>
      </c>
      <c r="D1995" t="s">
        <v>7993</v>
      </c>
      <c r="E1995" t="s">
        <v>9338</v>
      </c>
      <c r="F1995" t="s">
        <v>10297</v>
      </c>
      <c r="G1995">
        <v>0.22</v>
      </c>
      <c r="H1995" t="s">
        <v>10310</v>
      </c>
      <c r="I1995" t="s">
        <v>10325</v>
      </c>
      <c r="L1995">
        <v>1903</v>
      </c>
      <c r="R1995" t="s">
        <v>11038</v>
      </c>
      <c r="S1995" t="s">
        <v>10310</v>
      </c>
      <c r="W1995" s="2" t="s">
        <v>11202</v>
      </c>
    </row>
    <row r="1996" spans="1:23" hidden="1" x14ac:dyDescent="0.45">
      <c r="A1996" s="1" t="s">
        <v>1979</v>
      </c>
      <c r="B1996" t="s">
        <v>6204</v>
      </c>
      <c r="D1996" t="s">
        <v>7993</v>
      </c>
      <c r="E1996" t="s">
        <v>9338</v>
      </c>
      <c r="F1996" t="s">
        <v>10297</v>
      </c>
      <c r="G1996">
        <v>0.3</v>
      </c>
      <c r="H1996" t="s">
        <v>10310</v>
      </c>
      <c r="I1996" t="s">
        <v>10325</v>
      </c>
      <c r="L1996">
        <v>1903</v>
      </c>
      <c r="R1996" t="s">
        <v>11038</v>
      </c>
      <c r="S1996" t="s">
        <v>10310</v>
      </c>
      <c r="W1996" s="2" t="s">
        <v>11202</v>
      </c>
    </row>
    <row r="1997" spans="1:23" hidden="1" x14ac:dyDescent="0.45">
      <c r="A1997" s="1" t="s">
        <v>1980</v>
      </c>
      <c r="B1997" t="s">
        <v>6204</v>
      </c>
      <c r="D1997" t="s">
        <v>7993</v>
      </c>
      <c r="E1997" t="s">
        <v>9339</v>
      </c>
      <c r="F1997" t="s">
        <v>10297</v>
      </c>
      <c r="G1997">
        <v>0.24</v>
      </c>
      <c r="H1997" t="s">
        <v>10310</v>
      </c>
      <c r="I1997" t="s">
        <v>10325</v>
      </c>
      <c r="L1997">
        <v>1909</v>
      </c>
      <c r="R1997" t="s">
        <v>11038</v>
      </c>
      <c r="S1997" t="s">
        <v>10310</v>
      </c>
      <c r="W1997" s="2" t="s">
        <v>11202</v>
      </c>
    </row>
    <row r="1998" spans="1:23" hidden="1" x14ac:dyDescent="0.45">
      <c r="A1998" s="1" t="s">
        <v>1981</v>
      </c>
      <c r="B1998" t="s">
        <v>6204</v>
      </c>
      <c r="D1998" t="s">
        <v>7993</v>
      </c>
      <c r="E1998" t="s">
        <v>9339</v>
      </c>
      <c r="F1998" t="s">
        <v>10297</v>
      </c>
      <c r="G1998">
        <v>1.08</v>
      </c>
      <c r="H1998" t="s">
        <v>10310</v>
      </c>
      <c r="I1998" t="s">
        <v>10325</v>
      </c>
      <c r="L1998">
        <v>1969</v>
      </c>
      <c r="R1998" t="s">
        <v>11038</v>
      </c>
      <c r="S1998" t="s">
        <v>10310</v>
      </c>
      <c r="W1998" s="2" t="s">
        <v>11202</v>
      </c>
    </row>
    <row r="1999" spans="1:23" hidden="1" x14ac:dyDescent="0.45">
      <c r="A1999" s="1" t="s">
        <v>1982</v>
      </c>
      <c r="B1999" t="s">
        <v>6203</v>
      </c>
      <c r="D1999" t="s">
        <v>7989</v>
      </c>
      <c r="E1999" t="s">
        <v>9340</v>
      </c>
      <c r="F1999" t="s">
        <v>10297</v>
      </c>
      <c r="G1999">
        <v>0.46</v>
      </c>
      <c r="H1999" t="s">
        <v>10310</v>
      </c>
      <c r="I1999" t="s">
        <v>10325</v>
      </c>
      <c r="L1999">
        <v>1909</v>
      </c>
      <c r="R1999" t="s">
        <v>11038</v>
      </c>
      <c r="S1999" t="s">
        <v>10310</v>
      </c>
      <c r="W1999" s="2" t="s">
        <v>11202</v>
      </c>
    </row>
    <row r="2000" spans="1:23" hidden="1" x14ac:dyDescent="0.45">
      <c r="A2000" s="1" t="s">
        <v>1983</v>
      </c>
      <c r="B2000" t="s">
        <v>6203</v>
      </c>
      <c r="D2000" t="s">
        <v>7989</v>
      </c>
      <c r="E2000" t="s">
        <v>9340</v>
      </c>
      <c r="F2000" t="s">
        <v>10297</v>
      </c>
      <c r="G2000">
        <v>0.46</v>
      </c>
      <c r="H2000" t="s">
        <v>10310</v>
      </c>
      <c r="I2000" t="s">
        <v>10325</v>
      </c>
      <c r="L2000">
        <v>1909</v>
      </c>
      <c r="R2000" t="s">
        <v>11038</v>
      </c>
      <c r="S2000" t="s">
        <v>10310</v>
      </c>
      <c r="W2000" s="2" t="s">
        <v>11202</v>
      </c>
    </row>
    <row r="2001" spans="1:23" hidden="1" x14ac:dyDescent="0.45">
      <c r="A2001" s="1" t="s">
        <v>1984</v>
      </c>
      <c r="B2001" t="s">
        <v>6203</v>
      </c>
      <c r="D2001" t="s">
        <v>7989</v>
      </c>
      <c r="E2001" t="s">
        <v>9340</v>
      </c>
      <c r="F2001" t="s">
        <v>10297</v>
      </c>
      <c r="G2001">
        <v>0.46</v>
      </c>
      <c r="H2001" t="s">
        <v>10310</v>
      </c>
      <c r="I2001" t="s">
        <v>10325</v>
      </c>
      <c r="L2001">
        <v>1909</v>
      </c>
      <c r="R2001" t="s">
        <v>11038</v>
      </c>
      <c r="S2001" t="s">
        <v>10310</v>
      </c>
      <c r="W2001" s="2" t="s">
        <v>11202</v>
      </c>
    </row>
    <row r="2002" spans="1:23" hidden="1" x14ac:dyDescent="0.45">
      <c r="A2002" s="1" t="s">
        <v>1985</v>
      </c>
      <c r="B2002" t="s">
        <v>6202</v>
      </c>
      <c r="D2002" t="s">
        <v>7991</v>
      </c>
      <c r="E2002" t="s">
        <v>9341</v>
      </c>
      <c r="F2002" t="s">
        <v>10297</v>
      </c>
      <c r="G2002">
        <v>7.8</v>
      </c>
      <c r="H2002" t="s">
        <v>10310</v>
      </c>
      <c r="I2002" t="s">
        <v>10325</v>
      </c>
      <c r="L2002">
        <v>1959</v>
      </c>
      <c r="R2002" t="s">
        <v>11038</v>
      </c>
      <c r="S2002" t="s">
        <v>10310</v>
      </c>
      <c r="W2002" s="2" t="s">
        <v>11202</v>
      </c>
    </row>
    <row r="2003" spans="1:23" hidden="1" x14ac:dyDescent="0.45">
      <c r="A2003" s="1" t="s">
        <v>1986</v>
      </c>
      <c r="B2003" t="s">
        <v>6204</v>
      </c>
      <c r="D2003" t="s">
        <v>7993</v>
      </c>
      <c r="E2003" t="s">
        <v>9341</v>
      </c>
      <c r="F2003" t="s">
        <v>10297</v>
      </c>
      <c r="G2003">
        <v>0.36</v>
      </c>
      <c r="H2003" t="s">
        <v>10310</v>
      </c>
      <c r="I2003" t="s">
        <v>10325</v>
      </c>
      <c r="L2003">
        <v>1900</v>
      </c>
      <c r="R2003" t="s">
        <v>11038</v>
      </c>
      <c r="S2003" t="s">
        <v>10310</v>
      </c>
      <c r="W2003" s="2" t="s">
        <v>11202</v>
      </c>
    </row>
    <row r="2004" spans="1:23" hidden="1" x14ac:dyDescent="0.45">
      <c r="A2004" s="1" t="s">
        <v>1987</v>
      </c>
      <c r="B2004" t="s">
        <v>6204</v>
      </c>
      <c r="D2004" t="s">
        <v>7993</v>
      </c>
      <c r="E2004" t="s">
        <v>9341</v>
      </c>
      <c r="F2004" t="s">
        <v>10297</v>
      </c>
      <c r="G2004">
        <v>0.4</v>
      </c>
      <c r="H2004" t="s">
        <v>10310</v>
      </c>
      <c r="I2004" t="s">
        <v>10325</v>
      </c>
      <c r="L2004">
        <v>1900</v>
      </c>
      <c r="R2004" t="s">
        <v>11038</v>
      </c>
      <c r="S2004" t="s">
        <v>10310</v>
      </c>
      <c r="W2004" s="2" t="s">
        <v>11202</v>
      </c>
    </row>
    <row r="2005" spans="1:23" hidden="1" x14ac:dyDescent="0.45">
      <c r="A2005" s="1" t="s">
        <v>1988</v>
      </c>
      <c r="B2005" t="s">
        <v>6203</v>
      </c>
      <c r="D2005" t="s">
        <v>7989</v>
      </c>
      <c r="E2005" t="s">
        <v>9342</v>
      </c>
      <c r="F2005" t="s">
        <v>10297</v>
      </c>
      <c r="G2005">
        <v>0.62</v>
      </c>
      <c r="H2005" t="s">
        <v>10310</v>
      </c>
      <c r="I2005" t="s">
        <v>10325</v>
      </c>
      <c r="L2005">
        <v>1931</v>
      </c>
      <c r="R2005" t="s">
        <v>11038</v>
      </c>
      <c r="S2005" t="s">
        <v>10310</v>
      </c>
      <c r="W2005" s="2" t="s">
        <v>11202</v>
      </c>
    </row>
    <row r="2006" spans="1:23" hidden="1" x14ac:dyDescent="0.45">
      <c r="A2006" s="1" t="s">
        <v>1989</v>
      </c>
      <c r="B2006" t="s">
        <v>6203</v>
      </c>
      <c r="D2006" t="s">
        <v>7989</v>
      </c>
      <c r="E2006" t="s">
        <v>9342</v>
      </c>
      <c r="F2006" t="s">
        <v>10297</v>
      </c>
      <c r="G2006">
        <v>1.4</v>
      </c>
      <c r="H2006" t="s">
        <v>10310</v>
      </c>
      <c r="I2006" t="s">
        <v>10325</v>
      </c>
      <c r="L2006">
        <v>1934</v>
      </c>
      <c r="R2006" t="s">
        <v>11038</v>
      </c>
      <c r="S2006" t="s">
        <v>10310</v>
      </c>
      <c r="W2006" s="2" t="s">
        <v>11202</v>
      </c>
    </row>
    <row r="2007" spans="1:23" hidden="1" x14ac:dyDescent="0.45">
      <c r="A2007" s="1" t="s">
        <v>1990</v>
      </c>
      <c r="B2007" t="s">
        <v>6203</v>
      </c>
      <c r="D2007" t="s">
        <v>7989</v>
      </c>
      <c r="E2007" t="s">
        <v>9342</v>
      </c>
      <c r="F2007" t="s">
        <v>10297</v>
      </c>
      <c r="G2007">
        <v>1.63</v>
      </c>
      <c r="H2007" t="s">
        <v>10310</v>
      </c>
      <c r="I2007" t="s">
        <v>10325</v>
      </c>
      <c r="L2007">
        <v>1942</v>
      </c>
      <c r="R2007" t="s">
        <v>11038</v>
      </c>
      <c r="S2007" t="s">
        <v>10310</v>
      </c>
      <c r="W2007" s="2" t="s">
        <v>11202</v>
      </c>
    </row>
    <row r="2008" spans="1:23" hidden="1" x14ac:dyDescent="0.45">
      <c r="A2008" s="1" t="s">
        <v>1991</v>
      </c>
      <c r="B2008" t="s">
        <v>6201</v>
      </c>
      <c r="D2008" t="s">
        <v>7992</v>
      </c>
      <c r="E2008" t="s">
        <v>9248</v>
      </c>
      <c r="F2008" t="s">
        <v>10297</v>
      </c>
      <c r="G2008">
        <v>1.92</v>
      </c>
      <c r="H2008" t="s">
        <v>10310</v>
      </c>
      <c r="I2008" t="s">
        <v>10325</v>
      </c>
      <c r="L2008">
        <v>1921</v>
      </c>
      <c r="R2008" t="s">
        <v>11038</v>
      </c>
      <c r="S2008" t="s">
        <v>10310</v>
      </c>
      <c r="W2008" s="2" t="s">
        <v>11202</v>
      </c>
    </row>
    <row r="2009" spans="1:23" hidden="1" x14ac:dyDescent="0.45">
      <c r="A2009" s="1" t="s">
        <v>1992</v>
      </c>
      <c r="B2009" t="s">
        <v>6201</v>
      </c>
      <c r="D2009" t="s">
        <v>7992</v>
      </c>
      <c r="E2009" t="s">
        <v>9248</v>
      </c>
      <c r="F2009" t="s">
        <v>10297</v>
      </c>
      <c r="G2009">
        <v>1.52</v>
      </c>
      <c r="H2009" t="s">
        <v>10310</v>
      </c>
      <c r="I2009" t="s">
        <v>10325</v>
      </c>
      <c r="L2009">
        <v>1921</v>
      </c>
      <c r="R2009" t="s">
        <v>11038</v>
      </c>
      <c r="S2009" t="s">
        <v>10310</v>
      </c>
      <c r="W2009" s="2" t="s">
        <v>11202</v>
      </c>
    </row>
    <row r="2010" spans="1:23" hidden="1" x14ac:dyDescent="0.45">
      <c r="A2010" s="1" t="s">
        <v>1993</v>
      </c>
      <c r="B2010" t="s">
        <v>6201</v>
      </c>
      <c r="D2010" t="s">
        <v>7992</v>
      </c>
      <c r="E2010" t="s">
        <v>9343</v>
      </c>
      <c r="F2010" t="s">
        <v>10297</v>
      </c>
      <c r="G2010">
        <v>0.34</v>
      </c>
      <c r="H2010" t="s">
        <v>10310</v>
      </c>
      <c r="I2010" t="s">
        <v>10325</v>
      </c>
      <c r="L2010">
        <v>1926</v>
      </c>
      <c r="R2010" t="s">
        <v>11038</v>
      </c>
      <c r="S2010" t="s">
        <v>10310</v>
      </c>
      <c r="W2010" s="2" t="s">
        <v>11202</v>
      </c>
    </row>
    <row r="2011" spans="1:23" hidden="1" x14ac:dyDescent="0.45">
      <c r="A2011" s="1" t="s">
        <v>1994</v>
      </c>
      <c r="B2011" t="s">
        <v>6203</v>
      </c>
      <c r="D2011" t="s">
        <v>7989</v>
      </c>
      <c r="E2011" t="s">
        <v>9344</v>
      </c>
      <c r="F2011" t="s">
        <v>10297</v>
      </c>
      <c r="G2011">
        <v>1.1200000000000001</v>
      </c>
      <c r="H2011" t="s">
        <v>10310</v>
      </c>
      <c r="I2011" t="s">
        <v>10325</v>
      </c>
      <c r="L2011">
        <v>1947</v>
      </c>
      <c r="R2011" t="s">
        <v>11038</v>
      </c>
      <c r="S2011" t="s">
        <v>10310</v>
      </c>
      <c r="W2011" s="2" t="s">
        <v>11202</v>
      </c>
    </row>
    <row r="2012" spans="1:23" hidden="1" x14ac:dyDescent="0.45">
      <c r="A2012" s="1" t="s">
        <v>1995</v>
      </c>
      <c r="B2012" t="s">
        <v>6203</v>
      </c>
      <c r="D2012" t="s">
        <v>7989</v>
      </c>
      <c r="E2012" t="s">
        <v>9344</v>
      </c>
      <c r="F2012" t="s">
        <v>10297</v>
      </c>
      <c r="G2012">
        <v>1.1200000000000001</v>
      </c>
      <c r="H2012" t="s">
        <v>10310</v>
      </c>
      <c r="I2012" t="s">
        <v>10325</v>
      </c>
      <c r="L2012">
        <v>1947</v>
      </c>
      <c r="R2012" t="s">
        <v>11038</v>
      </c>
      <c r="S2012" t="s">
        <v>10310</v>
      </c>
      <c r="W2012" s="2" t="s">
        <v>11202</v>
      </c>
    </row>
    <row r="2013" spans="1:23" hidden="1" x14ac:dyDescent="0.45">
      <c r="A2013" s="1" t="s">
        <v>1996</v>
      </c>
      <c r="B2013" t="s">
        <v>6202</v>
      </c>
      <c r="D2013" t="s">
        <v>7991</v>
      </c>
      <c r="E2013" t="s">
        <v>9345</v>
      </c>
      <c r="F2013" t="s">
        <v>10297</v>
      </c>
      <c r="G2013">
        <v>3.52</v>
      </c>
      <c r="H2013" t="s">
        <v>10310</v>
      </c>
      <c r="I2013" t="s">
        <v>10325</v>
      </c>
      <c r="L2013">
        <v>1948</v>
      </c>
      <c r="R2013" t="s">
        <v>11038</v>
      </c>
      <c r="S2013" t="s">
        <v>10310</v>
      </c>
      <c r="W2013" s="2" t="s">
        <v>11202</v>
      </c>
    </row>
    <row r="2014" spans="1:23" hidden="1" x14ac:dyDescent="0.45">
      <c r="A2014" s="1" t="s">
        <v>1997</v>
      </c>
      <c r="B2014" t="s">
        <v>6202</v>
      </c>
      <c r="D2014" t="s">
        <v>7991</v>
      </c>
      <c r="E2014" t="s">
        <v>9345</v>
      </c>
      <c r="F2014" t="s">
        <v>10297</v>
      </c>
      <c r="G2014">
        <v>3.52</v>
      </c>
      <c r="H2014" t="s">
        <v>10310</v>
      </c>
      <c r="I2014" t="s">
        <v>10325</v>
      </c>
      <c r="L2014">
        <v>1948</v>
      </c>
      <c r="R2014" t="s">
        <v>11038</v>
      </c>
      <c r="S2014" t="s">
        <v>10310</v>
      </c>
      <c r="W2014" s="2" t="s">
        <v>11202</v>
      </c>
    </row>
    <row r="2015" spans="1:23" hidden="1" x14ac:dyDescent="0.45">
      <c r="A2015" s="1" t="s">
        <v>1998</v>
      </c>
      <c r="B2015" t="s">
        <v>6201</v>
      </c>
      <c r="D2015" t="s">
        <v>7992</v>
      </c>
      <c r="E2015" t="s">
        <v>9255</v>
      </c>
      <c r="F2015" t="s">
        <v>10297</v>
      </c>
      <c r="G2015">
        <v>0.14000000000000001</v>
      </c>
      <c r="H2015" t="s">
        <v>10310</v>
      </c>
      <c r="I2015" t="s">
        <v>10325</v>
      </c>
      <c r="L2015">
        <v>1922</v>
      </c>
      <c r="R2015" t="s">
        <v>11038</v>
      </c>
      <c r="S2015" t="s">
        <v>10310</v>
      </c>
      <c r="W2015" s="2" t="s">
        <v>11202</v>
      </c>
    </row>
    <row r="2016" spans="1:23" hidden="1" x14ac:dyDescent="0.45">
      <c r="A2016" s="1" t="s">
        <v>1999</v>
      </c>
      <c r="B2016" t="s">
        <v>6202</v>
      </c>
      <c r="D2016" t="s">
        <v>7991</v>
      </c>
      <c r="E2016" t="s">
        <v>9346</v>
      </c>
      <c r="F2016" t="s">
        <v>10297</v>
      </c>
      <c r="G2016">
        <v>34.17</v>
      </c>
      <c r="H2016" t="s">
        <v>10310</v>
      </c>
      <c r="I2016" t="s">
        <v>10327</v>
      </c>
      <c r="L2016">
        <v>1966</v>
      </c>
      <c r="N2016">
        <v>39.835870999999997</v>
      </c>
      <c r="P2016">
        <v>-5.9895230000000002</v>
      </c>
      <c r="R2016" t="s">
        <v>11038</v>
      </c>
      <c r="S2016" t="s">
        <v>10310</v>
      </c>
      <c r="W2016" s="2" t="s">
        <v>11202</v>
      </c>
    </row>
    <row r="2017" spans="1:23" hidden="1" x14ac:dyDescent="0.45">
      <c r="A2017" s="1" t="s">
        <v>2000</v>
      </c>
      <c r="B2017" t="s">
        <v>6202</v>
      </c>
      <c r="D2017" t="s">
        <v>7991</v>
      </c>
      <c r="E2017" t="s">
        <v>9347</v>
      </c>
      <c r="F2017" t="s">
        <v>10297</v>
      </c>
      <c r="G2017">
        <v>6</v>
      </c>
      <c r="H2017" t="s">
        <v>10310</v>
      </c>
      <c r="I2017" t="s">
        <v>10325</v>
      </c>
      <c r="L2017">
        <v>1932</v>
      </c>
      <c r="R2017" t="s">
        <v>11038</v>
      </c>
      <c r="S2017" t="s">
        <v>10310</v>
      </c>
      <c r="W2017" s="2" t="s">
        <v>11202</v>
      </c>
    </row>
    <row r="2018" spans="1:23" hidden="1" x14ac:dyDescent="0.45">
      <c r="A2018" s="1" t="s">
        <v>2001</v>
      </c>
      <c r="B2018" t="s">
        <v>6202</v>
      </c>
      <c r="D2018" t="s">
        <v>7991</v>
      </c>
      <c r="E2018" t="s">
        <v>9347</v>
      </c>
      <c r="F2018" t="s">
        <v>10297</v>
      </c>
      <c r="G2018">
        <v>6</v>
      </c>
      <c r="H2018" t="s">
        <v>10310</v>
      </c>
      <c r="I2018" t="s">
        <v>10325</v>
      </c>
      <c r="L2018">
        <v>1932</v>
      </c>
      <c r="R2018" t="s">
        <v>11038</v>
      </c>
      <c r="S2018" t="s">
        <v>10310</v>
      </c>
      <c r="W2018" s="2" t="s">
        <v>11202</v>
      </c>
    </row>
    <row r="2019" spans="1:23" hidden="1" x14ac:dyDescent="0.45">
      <c r="A2019" s="1" t="s">
        <v>2002</v>
      </c>
      <c r="B2019" t="s">
        <v>6202</v>
      </c>
      <c r="D2019" t="s">
        <v>7991</v>
      </c>
      <c r="E2019" t="s">
        <v>9325</v>
      </c>
      <c r="F2019" t="s">
        <v>10297</v>
      </c>
      <c r="G2019">
        <v>12.5</v>
      </c>
      <c r="H2019" t="s">
        <v>10310</v>
      </c>
      <c r="I2019" t="s">
        <v>10326</v>
      </c>
      <c r="L2019">
        <v>1986</v>
      </c>
      <c r="R2019" t="s">
        <v>11038</v>
      </c>
      <c r="S2019" t="s">
        <v>10310</v>
      </c>
      <c r="W2019" s="2" t="s">
        <v>11202</v>
      </c>
    </row>
    <row r="2020" spans="1:23" hidden="1" x14ac:dyDescent="0.45">
      <c r="A2020" s="1" t="s">
        <v>2003</v>
      </c>
      <c r="B2020" t="s">
        <v>6202</v>
      </c>
      <c r="D2020" t="s">
        <v>7991</v>
      </c>
      <c r="E2020" t="s">
        <v>9348</v>
      </c>
      <c r="F2020" t="s">
        <v>10297</v>
      </c>
      <c r="G2020">
        <v>0.33</v>
      </c>
      <c r="H2020" t="s">
        <v>10310</v>
      </c>
      <c r="I2020" t="s">
        <v>10325</v>
      </c>
      <c r="L2020">
        <v>1984</v>
      </c>
      <c r="R2020" t="s">
        <v>11038</v>
      </c>
      <c r="S2020" t="s">
        <v>10310</v>
      </c>
      <c r="W2020" s="2" t="s">
        <v>11202</v>
      </c>
    </row>
    <row r="2021" spans="1:23" hidden="1" x14ac:dyDescent="0.45">
      <c r="A2021" s="1" t="s">
        <v>2004</v>
      </c>
      <c r="B2021" t="s">
        <v>6202</v>
      </c>
      <c r="D2021" t="s">
        <v>7991</v>
      </c>
      <c r="E2021" t="s">
        <v>9349</v>
      </c>
      <c r="F2021" t="s">
        <v>10297</v>
      </c>
      <c r="G2021">
        <v>17.600000000000001</v>
      </c>
      <c r="H2021" t="s">
        <v>10310</v>
      </c>
      <c r="I2021" t="s">
        <v>10326</v>
      </c>
      <c r="L2021">
        <v>1970</v>
      </c>
      <c r="R2021" t="s">
        <v>11038</v>
      </c>
      <c r="S2021" t="s">
        <v>10310</v>
      </c>
      <c r="W2021" s="2" t="s">
        <v>11202</v>
      </c>
    </row>
    <row r="2022" spans="1:23" hidden="1" x14ac:dyDescent="0.45">
      <c r="A2022" s="1" t="s">
        <v>2005</v>
      </c>
      <c r="B2022" t="s">
        <v>6202</v>
      </c>
      <c r="D2022" t="s">
        <v>7991</v>
      </c>
      <c r="E2022" t="s">
        <v>9279</v>
      </c>
      <c r="F2022" t="s">
        <v>10297</v>
      </c>
      <c r="G2022">
        <v>5.5</v>
      </c>
      <c r="H2022" t="s">
        <v>10310</v>
      </c>
      <c r="I2022" t="s">
        <v>10326</v>
      </c>
      <c r="L2022">
        <v>1956</v>
      </c>
      <c r="R2022" t="s">
        <v>11038</v>
      </c>
      <c r="S2022" t="s">
        <v>10310</v>
      </c>
      <c r="W2022" s="2" t="s">
        <v>11202</v>
      </c>
    </row>
    <row r="2023" spans="1:23" hidden="1" x14ac:dyDescent="0.45">
      <c r="A2023" s="1" t="s">
        <v>2006</v>
      </c>
      <c r="B2023" t="s">
        <v>6202</v>
      </c>
      <c r="D2023" t="s">
        <v>7991</v>
      </c>
      <c r="E2023" t="s">
        <v>9279</v>
      </c>
      <c r="F2023" t="s">
        <v>10297</v>
      </c>
      <c r="G2023">
        <v>5.5</v>
      </c>
      <c r="H2023" t="s">
        <v>10310</v>
      </c>
      <c r="I2023" t="s">
        <v>10326</v>
      </c>
      <c r="L2023">
        <v>1956</v>
      </c>
      <c r="R2023" t="s">
        <v>11038</v>
      </c>
      <c r="S2023" t="s">
        <v>10310</v>
      </c>
      <c r="W2023" s="2" t="s">
        <v>11202</v>
      </c>
    </row>
    <row r="2024" spans="1:23" hidden="1" x14ac:dyDescent="0.45">
      <c r="A2024" s="1" t="s">
        <v>2007</v>
      </c>
      <c r="B2024" t="s">
        <v>6202</v>
      </c>
      <c r="D2024" t="s">
        <v>7991</v>
      </c>
      <c r="E2024" t="s">
        <v>9350</v>
      </c>
      <c r="F2024" t="s">
        <v>10297</v>
      </c>
      <c r="G2024">
        <v>66</v>
      </c>
      <c r="H2024" t="s">
        <v>10310</v>
      </c>
      <c r="I2024" t="s">
        <v>10326</v>
      </c>
      <c r="L2024">
        <v>1957</v>
      </c>
      <c r="N2024">
        <v>42.41433</v>
      </c>
      <c r="P2024">
        <v>-7.6496949999999986</v>
      </c>
      <c r="R2024" t="s">
        <v>11038</v>
      </c>
      <c r="S2024" t="s">
        <v>10310</v>
      </c>
      <c r="W2024" s="2" t="s">
        <v>11202</v>
      </c>
    </row>
    <row r="2025" spans="1:23" hidden="1" x14ac:dyDescent="0.45">
      <c r="A2025" s="1" t="s">
        <v>2008</v>
      </c>
      <c r="B2025" t="s">
        <v>6202</v>
      </c>
      <c r="D2025" t="s">
        <v>7991</v>
      </c>
      <c r="E2025" t="s">
        <v>9350</v>
      </c>
      <c r="F2025" t="s">
        <v>10297</v>
      </c>
      <c r="G2025">
        <v>66</v>
      </c>
      <c r="H2025" t="s">
        <v>10310</v>
      </c>
      <c r="I2025" t="s">
        <v>10326</v>
      </c>
      <c r="L2025">
        <v>1956</v>
      </c>
      <c r="N2025">
        <v>42.41433</v>
      </c>
      <c r="P2025">
        <v>-7.6496949999999986</v>
      </c>
      <c r="R2025" t="s">
        <v>11038</v>
      </c>
      <c r="S2025" t="s">
        <v>10310</v>
      </c>
      <c r="W2025" s="2" t="s">
        <v>11202</v>
      </c>
    </row>
    <row r="2026" spans="1:23" hidden="1" x14ac:dyDescent="0.45">
      <c r="A2026" s="1" t="s">
        <v>2009</v>
      </c>
      <c r="B2026" t="s">
        <v>6202</v>
      </c>
      <c r="D2026" t="s">
        <v>7991</v>
      </c>
      <c r="E2026" t="s">
        <v>9350</v>
      </c>
      <c r="F2026" t="s">
        <v>10297</v>
      </c>
      <c r="G2026">
        <v>66</v>
      </c>
      <c r="H2026" t="s">
        <v>10310</v>
      </c>
      <c r="I2026" t="s">
        <v>10326</v>
      </c>
      <c r="L2026">
        <v>1955</v>
      </c>
      <c r="N2026">
        <v>42.41433</v>
      </c>
      <c r="P2026">
        <v>-7.6496949999999986</v>
      </c>
      <c r="R2026" t="s">
        <v>11038</v>
      </c>
      <c r="S2026" t="s">
        <v>10310</v>
      </c>
      <c r="W2026" s="2" t="s">
        <v>11202</v>
      </c>
    </row>
    <row r="2027" spans="1:23" hidden="1" x14ac:dyDescent="0.45">
      <c r="A2027" s="1" t="s">
        <v>2010</v>
      </c>
      <c r="B2027" t="s">
        <v>6202</v>
      </c>
      <c r="D2027" t="s">
        <v>7991</v>
      </c>
      <c r="E2027" t="s">
        <v>9350</v>
      </c>
      <c r="F2027" t="s">
        <v>10297</v>
      </c>
      <c r="G2027">
        <v>66</v>
      </c>
      <c r="H2027" t="s">
        <v>10310</v>
      </c>
      <c r="I2027" t="s">
        <v>10326</v>
      </c>
      <c r="L2027">
        <v>1955</v>
      </c>
      <c r="N2027">
        <v>42.41433</v>
      </c>
      <c r="P2027">
        <v>-7.6496949999999986</v>
      </c>
      <c r="R2027" t="s">
        <v>11038</v>
      </c>
      <c r="S2027" t="s">
        <v>10310</v>
      </c>
      <c r="W2027" s="2" t="s">
        <v>11202</v>
      </c>
    </row>
    <row r="2028" spans="1:23" hidden="1" x14ac:dyDescent="0.45">
      <c r="A2028" s="1" t="s">
        <v>2011</v>
      </c>
      <c r="B2028" t="s">
        <v>6202</v>
      </c>
      <c r="D2028" t="s">
        <v>7991</v>
      </c>
      <c r="E2028" t="s">
        <v>9350</v>
      </c>
      <c r="F2028" t="s">
        <v>10297</v>
      </c>
      <c r="G2028">
        <v>0.59</v>
      </c>
      <c r="H2028" t="s">
        <v>10310</v>
      </c>
      <c r="I2028" t="s">
        <v>10326</v>
      </c>
      <c r="L2028">
        <v>1955</v>
      </c>
      <c r="N2028">
        <v>42.41433</v>
      </c>
      <c r="P2028">
        <v>-7.6496949999999986</v>
      </c>
      <c r="R2028" t="s">
        <v>11038</v>
      </c>
      <c r="S2028" t="s">
        <v>10310</v>
      </c>
      <c r="W2028" s="2" t="s">
        <v>11202</v>
      </c>
    </row>
    <row r="2029" spans="1:23" hidden="1" x14ac:dyDescent="0.45">
      <c r="A2029" s="1" t="s">
        <v>2012</v>
      </c>
      <c r="B2029" t="s">
        <v>6202</v>
      </c>
      <c r="D2029" t="s">
        <v>7991</v>
      </c>
      <c r="E2029" t="s">
        <v>9350</v>
      </c>
      <c r="F2029" t="s">
        <v>10297</v>
      </c>
      <c r="G2029">
        <v>0.25</v>
      </c>
      <c r="H2029" t="s">
        <v>10310</v>
      </c>
      <c r="I2029" t="s">
        <v>10326</v>
      </c>
      <c r="L2029">
        <v>1957</v>
      </c>
      <c r="N2029">
        <v>42.41433</v>
      </c>
      <c r="P2029">
        <v>-7.6496949999999986</v>
      </c>
      <c r="R2029" t="s">
        <v>11038</v>
      </c>
      <c r="S2029" t="s">
        <v>10310</v>
      </c>
      <c r="W2029" s="2" t="s">
        <v>11202</v>
      </c>
    </row>
    <row r="2030" spans="1:23" hidden="1" x14ac:dyDescent="0.45">
      <c r="A2030" s="1" t="s">
        <v>2013</v>
      </c>
      <c r="B2030" t="s">
        <v>6201</v>
      </c>
      <c r="D2030" t="s">
        <v>7992</v>
      </c>
      <c r="E2030" t="s">
        <v>9250</v>
      </c>
      <c r="F2030" t="s">
        <v>10297</v>
      </c>
      <c r="G2030">
        <v>0.8</v>
      </c>
      <c r="H2030" t="s">
        <v>10310</v>
      </c>
      <c r="I2030" t="s">
        <v>10325</v>
      </c>
      <c r="L2030">
        <v>1929</v>
      </c>
      <c r="R2030" t="s">
        <v>11038</v>
      </c>
      <c r="S2030" t="s">
        <v>10310</v>
      </c>
      <c r="W2030" s="2" t="s">
        <v>11202</v>
      </c>
    </row>
    <row r="2031" spans="1:23" hidden="1" x14ac:dyDescent="0.45">
      <c r="A2031" s="1" t="s">
        <v>2014</v>
      </c>
      <c r="B2031" t="s">
        <v>6201</v>
      </c>
      <c r="D2031" t="s">
        <v>7992</v>
      </c>
      <c r="E2031" t="s">
        <v>9250</v>
      </c>
      <c r="F2031" t="s">
        <v>10297</v>
      </c>
      <c r="G2031">
        <v>1.8</v>
      </c>
      <c r="H2031" t="s">
        <v>10310</v>
      </c>
      <c r="I2031" t="s">
        <v>10325</v>
      </c>
      <c r="L2031">
        <v>1929</v>
      </c>
      <c r="R2031" t="s">
        <v>11038</v>
      </c>
      <c r="S2031" t="s">
        <v>10310</v>
      </c>
      <c r="W2031" s="2" t="s">
        <v>11202</v>
      </c>
    </row>
    <row r="2032" spans="1:23" hidden="1" x14ac:dyDescent="0.45">
      <c r="A2032" s="1" t="s">
        <v>2015</v>
      </c>
      <c r="B2032" t="s">
        <v>6203</v>
      </c>
      <c r="D2032" t="s">
        <v>7989</v>
      </c>
      <c r="E2032" t="s">
        <v>9351</v>
      </c>
      <c r="F2032" t="s">
        <v>10297</v>
      </c>
      <c r="G2032">
        <v>0.28000000000000003</v>
      </c>
      <c r="H2032" t="s">
        <v>10310</v>
      </c>
      <c r="I2032" t="s">
        <v>10325</v>
      </c>
      <c r="L2032">
        <v>1915</v>
      </c>
      <c r="R2032" t="s">
        <v>11038</v>
      </c>
      <c r="S2032" t="s">
        <v>10310</v>
      </c>
      <c r="W2032" s="2" t="s">
        <v>11202</v>
      </c>
    </row>
    <row r="2033" spans="1:23" hidden="1" x14ac:dyDescent="0.45">
      <c r="A2033" s="1" t="s">
        <v>2016</v>
      </c>
      <c r="B2033" t="s">
        <v>6203</v>
      </c>
      <c r="D2033" t="s">
        <v>7989</v>
      </c>
      <c r="E2033" t="s">
        <v>9351</v>
      </c>
      <c r="F2033" t="s">
        <v>10297</v>
      </c>
      <c r="G2033">
        <v>0.28000000000000003</v>
      </c>
      <c r="H2033" t="s">
        <v>10310</v>
      </c>
      <c r="I2033" t="s">
        <v>10325</v>
      </c>
      <c r="L2033">
        <v>1915</v>
      </c>
      <c r="R2033" t="s">
        <v>11038</v>
      </c>
      <c r="S2033" t="s">
        <v>10310</v>
      </c>
      <c r="W2033" s="2" t="s">
        <v>11202</v>
      </c>
    </row>
    <row r="2034" spans="1:23" hidden="1" x14ac:dyDescent="0.45">
      <c r="A2034" s="1" t="s">
        <v>2017</v>
      </c>
      <c r="B2034" t="s">
        <v>6202</v>
      </c>
      <c r="D2034" t="s">
        <v>7991</v>
      </c>
      <c r="E2034" t="s">
        <v>9278</v>
      </c>
      <c r="F2034" t="s">
        <v>10297</v>
      </c>
      <c r="G2034">
        <v>0.2</v>
      </c>
      <c r="H2034" t="s">
        <v>10310</v>
      </c>
      <c r="I2034" t="s">
        <v>10325</v>
      </c>
      <c r="L2034">
        <v>1958</v>
      </c>
      <c r="R2034" t="s">
        <v>11038</v>
      </c>
      <c r="S2034" t="s">
        <v>10310</v>
      </c>
      <c r="W2034" s="2" t="s">
        <v>11202</v>
      </c>
    </row>
    <row r="2035" spans="1:23" hidden="1" x14ac:dyDescent="0.45">
      <c r="A2035" s="1" t="s">
        <v>2018</v>
      </c>
      <c r="B2035" t="s">
        <v>6202</v>
      </c>
      <c r="D2035" t="s">
        <v>7991</v>
      </c>
      <c r="E2035" t="s">
        <v>9278</v>
      </c>
      <c r="F2035" t="s">
        <v>10297</v>
      </c>
      <c r="G2035">
        <v>0.4</v>
      </c>
      <c r="H2035" t="s">
        <v>10310</v>
      </c>
      <c r="I2035" t="s">
        <v>10325</v>
      </c>
      <c r="L2035">
        <v>1958</v>
      </c>
      <c r="R2035" t="s">
        <v>11038</v>
      </c>
      <c r="S2035" t="s">
        <v>10310</v>
      </c>
      <c r="W2035" s="2" t="s">
        <v>11202</v>
      </c>
    </row>
    <row r="2036" spans="1:23" hidden="1" x14ac:dyDescent="0.45">
      <c r="A2036" s="1" t="s">
        <v>2019</v>
      </c>
      <c r="B2036" t="s">
        <v>6202</v>
      </c>
      <c r="D2036" t="s">
        <v>7991</v>
      </c>
      <c r="E2036" t="s">
        <v>9350</v>
      </c>
      <c r="F2036" t="s">
        <v>10297</v>
      </c>
      <c r="G2036">
        <v>16</v>
      </c>
      <c r="H2036" t="s">
        <v>10310</v>
      </c>
      <c r="I2036" t="s">
        <v>10326</v>
      </c>
      <c r="L2036">
        <v>1959</v>
      </c>
      <c r="N2036">
        <v>42.452740000000013</v>
      </c>
      <c r="P2036">
        <v>-7.7139530000000001</v>
      </c>
      <c r="R2036" t="s">
        <v>11038</v>
      </c>
      <c r="S2036" t="s">
        <v>10310</v>
      </c>
      <c r="W2036" s="2" t="s">
        <v>11202</v>
      </c>
    </row>
    <row r="2037" spans="1:23" hidden="1" x14ac:dyDescent="0.45">
      <c r="A2037" s="1" t="s">
        <v>2020</v>
      </c>
      <c r="B2037" t="s">
        <v>6202</v>
      </c>
      <c r="D2037" t="s">
        <v>7991</v>
      </c>
      <c r="E2037" t="s">
        <v>9350</v>
      </c>
      <c r="F2037" t="s">
        <v>10297</v>
      </c>
      <c r="G2037">
        <v>16</v>
      </c>
      <c r="H2037" t="s">
        <v>10310</v>
      </c>
      <c r="I2037" t="s">
        <v>10326</v>
      </c>
      <c r="L2037">
        <v>1960</v>
      </c>
      <c r="N2037">
        <v>42.452740000000013</v>
      </c>
      <c r="P2037">
        <v>-7.7139530000000001</v>
      </c>
      <c r="R2037" t="s">
        <v>11038</v>
      </c>
      <c r="S2037" t="s">
        <v>10310</v>
      </c>
      <c r="W2037" s="2" t="s">
        <v>11202</v>
      </c>
    </row>
    <row r="2038" spans="1:23" hidden="1" x14ac:dyDescent="0.45">
      <c r="A2038" s="1" t="s">
        <v>2021</v>
      </c>
      <c r="B2038" t="s">
        <v>6204</v>
      </c>
      <c r="D2038" t="s">
        <v>7993</v>
      </c>
      <c r="E2038" t="s">
        <v>9352</v>
      </c>
      <c r="F2038" t="s">
        <v>10297</v>
      </c>
      <c r="G2038">
        <v>5.6</v>
      </c>
      <c r="H2038" t="s">
        <v>10310</v>
      </c>
      <c r="I2038" t="s">
        <v>10325</v>
      </c>
      <c r="L2038">
        <v>1969</v>
      </c>
      <c r="R2038" t="s">
        <v>11038</v>
      </c>
      <c r="S2038" t="s">
        <v>10310</v>
      </c>
      <c r="W2038" s="2" t="s">
        <v>11202</v>
      </c>
    </row>
    <row r="2039" spans="1:23" hidden="1" x14ac:dyDescent="0.45">
      <c r="A2039" s="1" t="s">
        <v>2022</v>
      </c>
      <c r="B2039" t="s">
        <v>6203</v>
      </c>
      <c r="D2039" t="s">
        <v>7989</v>
      </c>
      <c r="E2039" t="s">
        <v>9353</v>
      </c>
      <c r="F2039" t="s">
        <v>10297</v>
      </c>
      <c r="G2039">
        <v>1.36</v>
      </c>
      <c r="H2039" t="s">
        <v>10310</v>
      </c>
      <c r="I2039" t="s">
        <v>10325</v>
      </c>
      <c r="L2039">
        <v>1955</v>
      </c>
      <c r="R2039" t="s">
        <v>11038</v>
      </c>
      <c r="S2039" t="s">
        <v>10310</v>
      </c>
      <c r="W2039" s="2" t="s">
        <v>11202</v>
      </c>
    </row>
    <row r="2040" spans="1:23" hidden="1" x14ac:dyDescent="0.45">
      <c r="A2040" s="1" t="s">
        <v>2023</v>
      </c>
      <c r="B2040" t="s">
        <v>6201</v>
      </c>
      <c r="D2040" t="s">
        <v>7992</v>
      </c>
      <c r="E2040" t="s">
        <v>9354</v>
      </c>
      <c r="F2040" t="s">
        <v>10297</v>
      </c>
      <c r="G2040">
        <v>0.66</v>
      </c>
      <c r="H2040" t="s">
        <v>10310</v>
      </c>
      <c r="I2040" t="s">
        <v>10325</v>
      </c>
      <c r="L2040">
        <v>1968</v>
      </c>
      <c r="R2040" t="s">
        <v>11038</v>
      </c>
      <c r="S2040" t="s">
        <v>10310</v>
      </c>
      <c r="W2040" s="2" t="s">
        <v>11202</v>
      </c>
    </row>
    <row r="2041" spans="1:23" hidden="1" x14ac:dyDescent="0.45">
      <c r="A2041" s="1" t="s">
        <v>2024</v>
      </c>
      <c r="B2041" t="s">
        <v>6204</v>
      </c>
      <c r="D2041" t="s">
        <v>7993</v>
      </c>
      <c r="E2041" t="s">
        <v>9355</v>
      </c>
      <c r="F2041" t="s">
        <v>10297</v>
      </c>
      <c r="G2041">
        <v>10.5</v>
      </c>
      <c r="H2041" t="s">
        <v>10310</v>
      </c>
      <c r="I2041" t="s">
        <v>10326</v>
      </c>
      <c r="L2041">
        <v>1963</v>
      </c>
      <c r="R2041" t="s">
        <v>11038</v>
      </c>
      <c r="S2041" t="s">
        <v>10310</v>
      </c>
      <c r="W2041" s="2" t="s">
        <v>11202</v>
      </c>
    </row>
    <row r="2042" spans="1:23" hidden="1" x14ac:dyDescent="0.45">
      <c r="A2042" s="1" t="s">
        <v>2025</v>
      </c>
      <c r="B2042" t="s">
        <v>6204</v>
      </c>
      <c r="D2042" t="s">
        <v>7993</v>
      </c>
      <c r="E2042" t="s">
        <v>9355</v>
      </c>
      <c r="F2042" t="s">
        <v>10297</v>
      </c>
      <c r="G2042">
        <v>10.5</v>
      </c>
      <c r="H2042" t="s">
        <v>10310</v>
      </c>
      <c r="I2042" t="s">
        <v>10326</v>
      </c>
      <c r="L2042">
        <v>1963</v>
      </c>
      <c r="R2042" t="s">
        <v>11038</v>
      </c>
      <c r="S2042" t="s">
        <v>10310</v>
      </c>
      <c r="W2042" s="2" t="s">
        <v>11202</v>
      </c>
    </row>
    <row r="2043" spans="1:23" hidden="1" x14ac:dyDescent="0.45">
      <c r="A2043" s="1" t="s">
        <v>2026</v>
      </c>
      <c r="B2043" t="s">
        <v>6202</v>
      </c>
      <c r="D2043" t="s">
        <v>7991</v>
      </c>
      <c r="E2043" t="s">
        <v>9356</v>
      </c>
      <c r="F2043" t="s">
        <v>10297</v>
      </c>
      <c r="G2043">
        <v>25.6</v>
      </c>
      <c r="H2043" t="s">
        <v>10310</v>
      </c>
      <c r="I2043" t="s">
        <v>10326</v>
      </c>
      <c r="L2043">
        <v>1967</v>
      </c>
      <c r="N2043">
        <v>42.404040999999999</v>
      </c>
      <c r="P2043">
        <v>-7.0787449999999996</v>
      </c>
      <c r="R2043" t="s">
        <v>11038</v>
      </c>
      <c r="S2043" t="s">
        <v>10310</v>
      </c>
      <c r="W2043" s="2" t="s">
        <v>11202</v>
      </c>
    </row>
    <row r="2044" spans="1:23" hidden="1" x14ac:dyDescent="0.45">
      <c r="A2044" s="1" t="s">
        <v>2027</v>
      </c>
      <c r="B2044" t="s">
        <v>6202</v>
      </c>
      <c r="D2044" t="s">
        <v>7991</v>
      </c>
      <c r="E2044" t="s">
        <v>9356</v>
      </c>
      <c r="F2044" t="s">
        <v>10297</v>
      </c>
      <c r="G2044">
        <v>25.6</v>
      </c>
      <c r="H2044" t="s">
        <v>10310</v>
      </c>
      <c r="I2044" t="s">
        <v>10326</v>
      </c>
      <c r="L2044">
        <v>1968</v>
      </c>
      <c r="N2044">
        <v>42.404040999999999</v>
      </c>
      <c r="P2044">
        <v>-7.0787449999999996</v>
      </c>
      <c r="R2044" t="s">
        <v>11038</v>
      </c>
      <c r="S2044" t="s">
        <v>10310</v>
      </c>
      <c r="W2044" s="2" t="s">
        <v>11202</v>
      </c>
    </row>
    <row r="2045" spans="1:23" hidden="1" x14ac:dyDescent="0.45">
      <c r="A2045" s="1" t="s">
        <v>2028</v>
      </c>
      <c r="B2045" t="s">
        <v>6202</v>
      </c>
      <c r="D2045" t="s">
        <v>7991</v>
      </c>
      <c r="E2045" t="s">
        <v>9356</v>
      </c>
      <c r="F2045" t="s">
        <v>10297</v>
      </c>
      <c r="G2045">
        <v>7.68</v>
      </c>
      <c r="H2045" t="s">
        <v>10310</v>
      </c>
      <c r="I2045" t="s">
        <v>10326</v>
      </c>
      <c r="L2045">
        <v>1968</v>
      </c>
      <c r="R2045" t="s">
        <v>11038</v>
      </c>
      <c r="S2045" t="s">
        <v>10310</v>
      </c>
      <c r="W2045" s="2" t="s">
        <v>11202</v>
      </c>
    </row>
    <row r="2046" spans="1:23" hidden="1" x14ac:dyDescent="0.45">
      <c r="A2046" s="1" t="s">
        <v>2029</v>
      </c>
      <c r="B2046" t="s">
        <v>6202</v>
      </c>
      <c r="D2046" t="s">
        <v>7991</v>
      </c>
      <c r="E2046" t="s">
        <v>9356</v>
      </c>
      <c r="F2046" t="s">
        <v>10297</v>
      </c>
      <c r="G2046">
        <v>7.73</v>
      </c>
      <c r="H2046" t="s">
        <v>10310</v>
      </c>
      <c r="I2046" t="s">
        <v>10326</v>
      </c>
      <c r="L2046">
        <v>1969</v>
      </c>
      <c r="R2046" t="s">
        <v>11038</v>
      </c>
      <c r="S2046" t="s">
        <v>10310</v>
      </c>
      <c r="W2046" s="2" t="s">
        <v>11202</v>
      </c>
    </row>
    <row r="2047" spans="1:23" hidden="1" x14ac:dyDescent="0.45">
      <c r="A2047" s="1" t="s">
        <v>2030</v>
      </c>
      <c r="B2047" t="s">
        <v>6203</v>
      </c>
      <c r="D2047" t="s">
        <v>7989</v>
      </c>
      <c r="E2047" t="s">
        <v>9335</v>
      </c>
      <c r="F2047" t="s">
        <v>10297</v>
      </c>
      <c r="G2047">
        <v>0.68</v>
      </c>
      <c r="H2047" t="s">
        <v>10310</v>
      </c>
      <c r="I2047" t="s">
        <v>10325</v>
      </c>
      <c r="L2047">
        <v>1900</v>
      </c>
      <c r="R2047" t="s">
        <v>11038</v>
      </c>
      <c r="S2047" t="s">
        <v>10310</v>
      </c>
      <c r="W2047" s="2" t="s">
        <v>11202</v>
      </c>
    </row>
    <row r="2048" spans="1:23" hidden="1" x14ac:dyDescent="0.45">
      <c r="A2048" s="1" t="s">
        <v>2031</v>
      </c>
      <c r="B2048" t="s">
        <v>6203</v>
      </c>
      <c r="D2048" t="s">
        <v>7989</v>
      </c>
      <c r="E2048" t="s">
        <v>9335</v>
      </c>
      <c r="F2048" t="s">
        <v>10297</v>
      </c>
      <c r="G2048">
        <v>0.3</v>
      </c>
      <c r="H2048" t="s">
        <v>10310</v>
      </c>
      <c r="I2048" t="s">
        <v>10325</v>
      </c>
      <c r="L2048">
        <v>1900</v>
      </c>
      <c r="R2048" t="s">
        <v>11038</v>
      </c>
      <c r="S2048" t="s">
        <v>10310</v>
      </c>
      <c r="W2048" s="2" t="s">
        <v>11202</v>
      </c>
    </row>
    <row r="2049" spans="1:23" hidden="1" x14ac:dyDescent="0.45">
      <c r="A2049" s="1" t="s">
        <v>2032</v>
      </c>
      <c r="B2049" t="s">
        <v>6203</v>
      </c>
      <c r="D2049" t="s">
        <v>7989</v>
      </c>
      <c r="E2049" t="s">
        <v>9335</v>
      </c>
      <c r="F2049" t="s">
        <v>10297</v>
      </c>
      <c r="G2049">
        <v>0.16</v>
      </c>
      <c r="H2049" t="s">
        <v>10310</v>
      </c>
      <c r="I2049" t="s">
        <v>10325</v>
      </c>
      <c r="L2049">
        <v>1900</v>
      </c>
      <c r="R2049" t="s">
        <v>11038</v>
      </c>
      <c r="S2049" t="s">
        <v>10310</v>
      </c>
      <c r="W2049" s="2" t="s">
        <v>11202</v>
      </c>
    </row>
    <row r="2050" spans="1:23" hidden="1" x14ac:dyDescent="0.45">
      <c r="A2050" s="1" t="s">
        <v>2033</v>
      </c>
      <c r="B2050" t="s">
        <v>6202</v>
      </c>
      <c r="D2050" t="s">
        <v>7991</v>
      </c>
      <c r="E2050" t="s">
        <v>9357</v>
      </c>
      <c r="F2050" t="s">
        <v>10297</v>
      </c>
      <c r="G2050">
        <v>62</v>
      </c>
      <c r="H2050" t="s">
        <v>10310</v>
      </c>
      <c r="I2050" t="s">
        <v>10326</v>
      </c>
      <c r="L2050">
        <v>1956</v>
      </c>
      <c r="N2050">
        <v>41.045099</v>
      </c>
      <c r="P2050">
        <v>-6.806584</v>
      </c>
      <c r="R2050" t="s">
        <v>11038</v>
      </c>
      <c r="S2050" t="s">
        <v>10310</v>
      </c>
      <c r="W2050" s="2" t="s">
        <v>11202</v>
      </c>
    </row>
    <row r="2051" spans="1:23" hidden="1" x14ac:dyDescent="0.45">
      <c r="A2051" s="1" t="s">
        <v>2034</v>
      </c>
      <c r="B2051" t="s">
        <v>6202</v>
      </c>
      <c r="D2051" t="s">
        <v>7991</v>
      </c>
      <c r="E2051" t="s">
        <v>9357</v>
      </c>
      <c r="F2051" t="s">
        <v>10297</v>
      </c>
      <c r="G2051">
        <v>63.53</v>
      </c>
      <c r="H2051" t="s">
        <v>10310</v>
      </c>
      <c r="I2051" t="s">
        <v>10326</v>
      </c>
      <c r="L2051">
        <v>1956</v>
      </c>
      <c r="N2051">
        <v>41.045099</v>
      </c>
      <c r="P2051">
        <v>-6.806584</v>
      </c>
      <c r="R2051" t="s">
        <v>11038</v>
      </c>
      <c r="S2051" t="s">
        <v>10310</v>
      </c>
      <c r="W2051" s="2" t="s">
        <v>11202</v>
      </c>
    </row>
    <row r="2052" spans="1:23" hidden="1" x14ac:dyDescent="0.45">
      <c r="A2052" s="1" t="s">
        <v>2035</v>
      </c>
      <c r="B2052" t="s">
        <v>6202</v>
      </c>
      <c r="D2052" t="s">
        <v>7991</v>
      </c>
      <c r="E2052" t="s">
        <v>9357</v>
      </c>
      <c r="F2052" t="s">
        <v>10297</v>
      </c>
      <c r="G2052">
        <v>61.86</v>
      </c>
      <c r="H2052" t="s">
        <v>10310</v>
      </c>
      <c r="I2052" t="s">
        <v>10326</v>
      </c>
      <c r="L2052">
        <v>1956</v>
      </c>
      <c r="N2052">
        <v>41.045099</v>
      </c>
      <c r="P2052">
        <v>-6.806584</v>
      </c>
      <c r="R2052" t="s">
        <v>11038</v>
      </c>
      <c r="S2052" t="s">
        <v>10310</v>
      </c>
      <c r="W2052" s="2" t="s">
        <v>11202</v>
      </c>
    </row>
    <row r="2053" spans="1:23" hidden="1" x14ac:dyDescent="0.45">
      <c r="A2053" s="1" t="s">
        <v>2036</v>
      </c>
      <c r="B2053" t="s">
        <v>6202</v>
      </c>
      <c r="D2053" t="s">
        <v>7991</v>
      </c>
      <c r="E2053" t="s">
        <v>9357</v>
      </c>
      <c r="F2053" t="s">
        <v>10297</v>
      </c>
      <c r="G2053">
        <v>60</v>
      </c>
      <c r="H2053" t="s">
        <v>10310</v>
      </c>
      <c r="I2053" t="s">
        <v>10326</v>
      </c>
      <c r="L2053">
        <v>1956</v>
      </c>
      <c r="N2053">
        <v>41.045099</v>
      </c>
      <c r="P2053">
        <v>-6.806584</v>
      </c>
      <c r="R2053" t="s">
        <v>11038</v>
      </c>
      <c r="S2053" t="s">
        <v>10310</v>
      </c>
      <c r="W2053" s="2" t="s">
        <v>11202</v>
      </c>
    </row>
    <row r="2054" spans="1:23" hidden="1" x14ac:dyDescent="0.45">
      <c r="A2054" s="1" t="s">
        <v>2037</v>
      </c>
      <c r="B2054" t="s">
        <v>6202</v>
      </c>
      <c r="D2054" t="s">
        <v>7991</v>
      </c>
      <c r="E2054" t="s">
        <v>9357</v>
      </c>
      <c r="F2054" t="s">
        <v>10297</v>
      </c>
      <c r="G2054">
        <v>135.06</v>
      </c>
      <c r="H2054" t="s">
        <v>10310</v>
      </c>
      <c r="I2054" t="s">
        <v>10326</v>
      </c>
      <c r="L2054">
        <v>1989</v>
      </c>
      <c r="N2054">
        <v>41.035004000000001</v>
      </c>
      <c r="P2054">
        <v>-6.8030679999999997</v>
      </c>
      <c r="R2054" t="s">
        <v>11038</v>
      </c>
      <c r="S2054" t="s">
        <v>10310</v>
      </c>
      <c r="W2054" s="2" t="s">
        <v>11202</v>
      </c>
    </row>
    <row r="2055" spans="1:23" hidden="1" x14ac:dyDescent="0.45">
      <c r="A2055" s="1" t="s">
        <v>2038</v>
      </c>
      <c r="B2055" t="s">
        <v>6202</v>
      </c>
      <c r="D2055" t="s">
        <v>7991</v>
      </c>
      <c r="E2055" t="s">
        <v>9357</v>
      </c>
      <c r="F2055" t="s">
        <v>10297</v>
      </c>
      <c r="G2055">
        <v>134.06</v>
      </c>
      <c r="H2055" t="s">
        <v>10310</v>
      </c>
      <c r="I2055" t="s">
        <v>10326</v>
      </c>
      <c r="L2055">
        <v>1989</v>
      </c>
      <c r="N2055">
        <v>41.035004000000001</v>
      </c>
      <c r="P2055">
        <v>-6.8030679999999997</v>
      </c>
      <c r="R2055" t="s">
        <v>11038</v>
      </c>
      <c r="S2055" t="s">
        <v>10310</v>
      </c>
      <c r="W2055" s="2" t="s">
        <v>11202</v>
      </c>
    </row>
    <row r="2056" spans="1:23" hidden="1" x14ac:dyDescent="0.45">
      <c r="A2056" s="1" t="s">
        <v>2039</v>
      </c>
      <c r="B2056" t="s">
        <v>6202</v>
      </c>
      <c r="D2056" t="s">
        <v>7991</v>
      </c>
      <c r="E2056" t="s">
        <v>9349</v>
      </c>
      <c r="F2056" t="s">
        <v>10297</v>
      </c>
      <c r="G2056">
        <v>6</v>
      </c>
      <c r="H2056" t="s">
        <v>10310</v>
      </c>
      <c r="I2056" t="s">
        <v>10326</v>
      </c>
      <c r="L2056">
        <v>1952</v>
      </c>
      <c r="R2056" t="s">
        <v>11038</v>
      </c>
      <c r="S2056" t="s">
        <v>10310</v>
      </c>
      <c r="W2056" s="2" t="s">
        <v>11202</v>
      </c>
    </row>
    <row r="2057" spans="1:23" hidden="1" x14ac:dyDescent="0.45">
      <c r="A2057" s="1" t="s">
        <v>2040</v>
      </c>
      <c r="B2057" t="s">
        <v>6202</v>
      </c>
      <c r="D2057" t="s">
        <v>7991</v>
      </c>
      <c r="E2057" t="s">
        <v>9349</v>
      </c>
      <c r="F2057" t="s">
        <v>10297</v>
      </c>
      <c r="G2057">
        <v>6.4</v>
      </c>
      <c r="H2057" t="s">
        <v>10310</v>
      </c>
      <c r="I2057" t="s">
        <v>10326</v>
      </c>
      <c r="L2057">
        <v>1952</v>
      </c>
      <c r="R2057" t="s">
        <v>11038</v>
      </c>
      <c r="S2057" t="s">
        <v>10310</v>
      </c>
      <c r="W2057" s="2" t="s">
        <v>11202</v>
      </c>
    </row>
    <row r="2058" spans="1:23" hidden="1" x14ac:dyDescent="0.45">
      <c r="A2058" s="1" t="s">
        <v>2041</v>
      </c>
      <c r="B2058" t="s">
        <v>6202</v>
      </c>
      <c r="D2058" t="s">
        <v>7991</v>
      </c>
      <c r="E2058" t="s">
        <v>9349</v>
      </c>
      <c r="F2058" t="s">
        <v>10297</v>
      </c>
      <c r="G2058">
        <v>6.6</v>
      </c>
      <c r="H2058" t="s">
        <v>10310</v>
      </c>
      <c r="I2058" t="s">
        <v>10326</v>
      </c>
      <c r="L2058">
        <v>1956</v>
      </c>
      <c r="R2058" t="s">
        <v>11038</v>
      </c>
      <c r="S2058" t="s">
        <v>10310</v>
      </c>
      <c r="W2058" s="2" t="s">
        <v>11202</v>
      </c>
    </row>
    <row r="2059" spans="1:23" hidden="1" x14ac:dyDescent="0.45">
      <c r="A2059" s="1" t="s">
        <v>2042</v>
      </c>
      <c r="B2059" t="s">
        <v>6202</v>
      </c>
      <c r="D2059" t="s">
        <v>7991</v>
      </c>
      <c r="E2059" t="s">
        <v>9358</v>
      </c>
      <c r="F2059" t="s">
        <v>10297</v>
      </c>
      <c r="G2059">
        <v>19.2</v>
      </c>
      <c r="H2059" t="s">
        <v>10310</v>
      </c>
      <c r="I2059" t="s">
        <v>10326</v>
      </c>
      <c r="L2059">
        <v>1971</v>
      </c>
      <c r="N2059">
        <v>42.414211000000002</v>
      </c>
      <c r="P2059">
        <v>-6.9199549999999999</v>
      </c>
      <c r="R2059" t="s">
        <v>11038</v>
      </c>
      <c r="S2059" t="s">
        <v>10310</v>
      </c>
      <c r="W2059" s="2" t="s">
        <v>11202</v>
      </c>
    </row>
    <row r="2060" spans="1:23" hidden="1" x14ac:dyDescent="0.45">
      <c r="A2060" s="1" t="s">
        <v>2043</v>
      </c>
      <c r="B2060" t="s">
        <v>6202</v>
      </c>
      <c r="D2060" t="s">
        <v>7991</v>
      </c>
      <c r="E2060" t="s">
        <v>9358</v>
      </c>
      <c r="F2060" t="s">
        <v>10297</v>
      </c>
      <c r="G2060">
        <v>19.2</v>
      </c>
      <c r="H2060" t="s">
        <v>10310</v>
      </c>
      <c r="I2060" t="s">
        <v>10326</v>
      </c>
      <c r="L2060">
        <v>1972</v>
      </c>
      <c r="N2060">
        <v>42.414211000000002</v>
      </c>
      <c r="P2060">
        <v>-6.9199549999999999</v>
      </c>
      <c r="R2060" t="s">
        <v>11038</v>
      </c>
      <c r="S2060" t="s">
        <v>10310</v>
      </c>
      <c r="W2060" s="2" t="s">
        <v>11202</v>
      </c>
    </row>
    <row r="2061" spans="1:23" hidden="1" x14ac:dyDescent="0.45">
      <c r="A2061" s="1" t="s">
        <v>2044</v>
      </c>
      <c r="B2061" t="s">
        <v>6202</v>
      </c>
      <c r="D2061" t="s">
        <v>7991</v>
      </c>
      <c r="E2061" t="s">
        <v>9337</v>
      </c>
      <c r="F2061" t="s">
        <v>10297</v>
      </c>
      <c r="G2061">
        <v>13.7</v>
      </c>
      <c r="H2061" t="s">
        <v>10310</v>
      </c>
      <c r="I2061" t="s">
        <v>10326</v>
      </c>
      <c r="L2061">
        <v>1961</v>
      </c>
      <c r="R2061" t="s">
        <v>11038</v>
      </c>
      <c r="S2061" t="s">
        <v>10310</v>
      </c>
      <c r="W2061" s="2" t="s">
        <v>11202</v>
      </c>
    </row>
    <row r="2062" spans="1:23" hidden="1" x14ac:dyDescent="0.45">
      <c r="A2062" s="1" t="s">
        <v>2045</v>
      </c>
      <c r="B2062" t="s">
        <v>6202</v>
      </c>
      <c r="D2062" t="s">
        <v>7991</v>
      </c>
      <c r="E2062" t="s">
        <v>9337</v>
      </c>
      <c r="F2062" t="s">
        <v>10297</v>
      </c>
      <c r="G2062">
        <v>14.34</v>
      </c>
      <c r="H2062" t="s">
        <v>10310</v>
      </c>
      <c r="I2062" t="s">
        <v>10326</v>
      </c>
      <c r="L2062">
        <v>1961</v>
      </c>
      <c r="R2062" t="s">
        <v>11038</v>
      </c>
      <c r="S2062" t="s">
        <v>10310</v>
      </c>
      <c r="W2062" s="2" t="s">
        <v>11202</v>
      </c>
    </row>
    <row r="2063" spans="1:23" hidden="1" x14ac:dyDescent="0.45">
      <c r="A2063" s="1" t="s">
        <v>2046</v>
      </c>
      <c r="B2063" t="s">
        <v>6201</v>
      </c>
      <c r="D2063" t="s">
        <v>7992</v>
      </c>
      <c r="E2063" t="s">
        <v>9359</v>
      </c>
      <c r="F2063" t="s">
        <v>10297</v>
      </c>
      <c r="G2063">
        <v>2.14</v>
      </c>
      <c r="H2063" t="s">
        <v>10310</v>
      </c>
      <c r="I2063" t="s">
        <v>10325</v>
      </c>
      <c r="L2063">
        <v>1930</v>
      </c>
      <c r="R2063" t="s">
        <v>11038</v>
      </c>
      <c r="S2063" t="s">
        <v>10310</v>
      </c>
      <c r="W2063" s="2" t="s">
        <v>11202</v>
      </c>
    </row>
    <row r="2064" spans="1:23" hidden="1" x14ac:dyDescent="0.45">
      <c r="A2064" s="1" t="s">
        <v>2047</v>
      </c>
      <c r="B2064" t="s">
        <v>6204</v>
      </c>
      <c r="D2064" t="s">
        <v>7993</v>
      </c>
      <c r="E2064" t="s">
        <v>9360</v>
      </c>
      <c r="F2064" t="s">
        <v>10297</v>
      </c>
      <c r="G2064">
        <v>0.45</v>
      </c>
      <c r="H2064" t="s">
        <v>10310</v>
      </c>
      <c r="I2064" t="s">
        <v>10325</v>
      </c>
      <c r="L2064">
        <v>1988</v>
      </c>
      <c r="R2064" t="s">
        <v>11038</v>
      </c>
      <c r="S2064" t="s">
        <v>10310</v>
      </c>
      <c r="W2064" s="2" t="s">
        <v>11202</v>
      </c>
    </row>
    <row r="2065" spans="1:23" hidden="1" x14ac:dyDescent="0.45">
      <c r="A2065" s="1" t="s">
        <v>2048</v>
      </c>
      <c r="B2065" t="s">
        <v>6202</v>
      </c>
      <c r="D2065" t="s">
        <v>7991</v>
      </c>
      <c r="E2065" t="s">
        <v>9285</v>
      </c>
      <c r="F2065" t="s">
        <v>10297</v>
      </c>
      <c r="G2065">
        <v>132.58000000000001</v>
      </c>
      <c r="H2065" t="s">
        <v>10310</v>
      </c>
      <c r="I2065" t="s">
        <v>10326</v>
      </c>
      <c r="L2065">
        <v>1994</v>
      </c>
      <c r="N2065">
        <v>42.167153000000013</v>
      </c>
      <c r="P2065">
        <v>-7.1751070000000006</v>
      </c>
      <c r="R2065" t="s">
        <v>11038</v>
      </c>
      <c r="S2065" t="s">
        <v>10310</v>
      </c>
      <c r="W2065" s="2" t="s">
        <v>11202</v>
      </c>
    </row>
    <row r="2066" spans="1:23" hidden="1" x14ac:dyDescent="0.45">
      <c r="A2066" s="1" t="s">
        <v>2049</v>
      </c>
      <c r="B2066" t="s">
        <v>6202</v>
      </c>
      <c r="D2066" t="s">
        <v>7991</v>
      </c>
      <c r="E2066" t="s">
        <v>9285</v>
      </c>
      <c r="F2066" t="s">
        <v>10297</v>
      </c>
      <c r="G2066">
        <v>82.02</v>
      </c>
      <c r="H2066" t="s">
        <v>10310</v>
      </c>
      <c r="I2066" t="s">
        <v>10327</v>
      </c>
      <c r="L2066">
        <v>1994</v>
      </c>
      <c r="N2066">
        <v>42.167153000000013</v>
      </c>
      <c r="P2066">
        <v>-7.1751070000000006</v>
      </c>
      <c r="R2066" t="s">
        <v>11038</v>
      </c>
      <c r="S2066" t="s">
        <v>10310</v>
      </c>
      <c r="W2066" s="2" t="s">
        <v>11202</v>
      </c>
    </row>
    <row r="2067" spans="1:23" hidden="1" x14ac:dyDescent="0.45">
      <c r="A2067" s="1" t="s">
        <v>2050</v>
      </c>
      <c r="B2067" t="s">
        <v>6202</v>
      </c>
      <c r="D2067" t="s">
        <v>7991</v>
      </c>
      <c r="E2067" t="s">
        <v>9346</v>
      </c>
      <c r="F2067" t="s">
        <v>10297</v>
      </c>
      <c r="G2067">
        <v>32.4</v>
      </c>
      <c r="H2067" t="s">
        <v>10310</v>
      </c>
      <c r="I2067" t="s">
        <v>10327</v>
      </c>
      <c r="L2067">
        <v>1967</v>
      </c>
      <c r="N2067">
        <v>39.835870999999997</v>
      </c>
      <c r="P2067">
        <v>-5.9895230000000002</v>
      </c>
      <c r="R2067" t="s">
        <v>11038</v>
      </c>
      <c r="S2067" t="s">
        <v>10310</v>
      </c>
      <c r="W2067" s="2" t="s">
        <v>11202</v>
      </c>
    </row>
    <row r="2068" spans="1:23" hidden="1" x14ac:dyDescent="0.45">
      <c r="A2068" s="1" t="s">
        <v>2051</v>
      </c>
      <c r="B2068" t="s">
        <v>6202</v>
      </c>
      <c r="D2068" t="s">
        <v>7991</v>
      </c>
      <c r="E2068" t="s">
        <v>9346</v>
      </c>
      <c r="F2068" t="s">
        <v>10297</v>
      </c>
      <c r="G2068">
        <v>32.4</v>
      </c>
      <c r="H2068" t="s">
        <v>10310</v>
      </c>
      <c r="I2068" t="s">
        <v>10327</v>
      </c>
      <c r="L2068">
        <v>1967</v>
      </c>
      <c r="N2068">
        <v>39.835870999999997</v>
      </c>
      <c r="P2068">
        <v>-5.9895230000000002</v>
      </c>
      <c r="R2068" t="s">
        <v>11038</v>
      </c>
      <c r="S2068" t="s">
        <v>10310</v>
      </c>
      <c r="W2068" s="2" t="s">
        <v>11202</v>
      </c>
    </row>
    <row r="2069" spans="1:23" hidden="1" x14ac:dyDescent="0.45">
      <c r="A2069" s="1" t="s">
        <v>2052</v>
      </c>
      <c r="B2069" t="s">
        <v>6202</v>
      </c>
      <c r="D2069" t="s">
        <v>7991</v>
      </c>
      <c r="E2069" t="s">
        <v>9346</v>
      </c>
      <c r="F2069" t="s">
        <v>10297</v>
      </c>
      <c r="G2069">
        <v>32.4</v>
      </c>
      <c r="H2069" t="s">
        <v>10310</v>
      </c>
      <c r="I2069" t="s">
        <v>10327</v>
      </c>
      <c r="L2069">
        <v>1966</v>
      </c>
      <c r="N2069">
        <v>39.835870999999997</v>
      </c>
      <c r="P2069">
        <v>-5.9895230000000002</v>
      </c>
      <c r="R2069" t="s">
        <v>11038</v>
      </c>
      <c r="S2069" t="s">
        <v>10310</v>
      </c>
      <c r="W2069" s="2" t="s">
        <v>11202</v>
      </c>
    </row>
    <row r="2070" spans="1:23" hidden="1" x14ac:dyDescent="0.45">
      <c r="A2070" s="1" t="s">
        <v>2053</v>
      </c>
      <c r="B2070" t="s">
        <v>6203</v>
      </c>
      <c r="D2070" t="s">
        <v>7989</v>
      </c>
      <c r="E2070" t="s">
        <v>9268</v>
      </c>
      <c r="F2070" t="s">
        <v>10297</v>
      </c>
      <c r="G2070">
        <v>1.28</v>
      </c>
      <c r="H2070" t="s">
        <v>10310</v>
      </c>
      <c r="I2070" t="s">
        <v>10325</v>
      </c>
      <c r="L2070">
        <v>1925</v>
      </c>
      <c r="R2070" t="s">
        <v>11038</v>
      </c>
      <c r="S2070" t="s">
        <v>10310</v>
      </c>
      <c r="W2070" s="2" t="s">
        <v>11202</v>
      </c>
    </row>
    <row r="2071" spans="1:23" hidden="1" x14ac:dyDescent="0.45">
      <c r="A2071" s="1" t="s">
        <v>2054</v>
      </c>
      <c r="B2071" t="s">
        <v>6203</v>
      </c>
      <c r="D2071" t="s">
        <v>7989</v>
      </c>
      <c r="E2071" t="s">
        <v>9268</v>
      </c>
      <c r="F2071" t="s">
        <v>10297</v>
      </c>
      <c r="G2071">
        <v>1.28</v>
      </c>
      <c r="H2071" t="s">
        <v>10310</v>
      </c>
      <c r="I2071" t="s">
        <v>10325</v>
      </c>
      <c r="L2071">
        <v>1925</v>
      </c>
      <c r="R2071" t="s">
        <v>11038</v>
      </c>
      <c r="S2071" t="s">
        <v>10310</v>
      </c>
      <c r="W2071" s="2" t="s">
        <v>11202</v>
      </c>
    </row>
    <row r="2072" spans="1:23" hidden="1" x14ac:dyDescent="0.45">
      <c r="A2072" s="1" t="s">
        <v>2055</v>
      </c>
      <c r="B2072" t="s">
        <v>6203</v>
      </c>
      <c r="D2072" t="s">
        <v>7989</v>
      </c>
      <c r="E2072" t="s">
        <v>9268</v>
      </c>
      <c r="F2072" t="s">
        <v>10297</v>
      </c>
      <c r="G2072">
        <v>1.28</v>
      </c>
      <c r="H2072" t="s">
        <v>10310</v>
      </c>
      <c r="I2072" t="s">
        <v>10325</v>
      </c>
      <c r="L2072">
        <v>1960</v>
      </c>
      <c r="R2072" t="s">
        <v>11038</v>
      </c>
      <c r="S2072" t="s">
        <v>10310</v>
      </c>
      <c r="W2072" s="2" t="s">
        <v>11202</v>
      </c>
    </row>
    <row r="2073" spans="1:23" hidden="1" x14ac:dyDescent="0.45">
      <c r="A2073" s="1" t="s">
        <v>2056</v>
      </c>
      <c r="B2073" t="s">
        <v>6202</v>
      </c>
      <c r="D2073" t="s">
        <v>7991</v>
      </c>
      <c r="E2073" t="s">
        <v>9361</v>
      </c>
      <c r="F2073" t="s">
        <v>10297</v>
      </c>
      <c r="G2073">
        <v>7.6</v>
      </c>
      <c r="H2073" t="s">
        <v>10310</v>
      </c>
      <c r="I2073" t="s">
        <v>10326</v>
      </c>
      <c r="L2073">
        <v>1947</v>
      </c>
      <c r="R2073" t="s">
        <v>11038</v>
      </c>
      <c r="S2073" t="s">
        <v>10310</v>
      </c>
      <c r="W2073" s="2" t="s">
        <v>11202</v>
      </c>
    </row>
    <row r="2074" spans="1:23" hidden="1" x14ac:dyDescent="0.45">
      <c r="A2074" s="1" t="s">
        <v>2057</v>
      </c>
      <c r="B2074" t="s">
        <v>6202</v>
      </c>
      <c r="D2074" t="s">
        <v>7991</v>
      </c>
      <c r="E2074" t="s">
        <v>9361</v>
      </c>
      <c r="F2074" t="s">
        <v>10297</v>
      </c>
      <c r="G2074">
        <v>7.6</v>
      </c>
      <c r="H2074" t="s">
        <v>10310</v>
      </c>
      <c r="I2074" t="s">
        <v>10326</v>
      </c>
      <c r="L2074">
        <v>1948</v>
      </c>
      <c r="R2074" t="s">
        <v>11038</v>
      </c>
      <c r="S2074" t="s">
        <v>10310</v>
      </c>
      <c r="W2074" s="2" t="s">
        <v>11202</v>
      </c>
    </row>
    <row r="2075" spans="1:23" hidden="1" x14ac:dyDescent="0.45">
      <c r="A2075" s="1" t="s">
        <v>2058</v>
      </c>
      <c r="B2075" t="s">
        <v>6201</v>
      </c>
      <c r="D2075" t="s">
        <v>7992</v>
      </c>
      <c r="E2075" t="s">
        <v>9255</v>
      </c>
      <c r="F2075" t="s">
        <v>10297</v>
      </c>
      <c r="G2075">
        <v>1.6</v>
      </c>
      <c r="H2075" t="s">
        <v>10310</v>
      </c>
      <c r="I2075" t="s">
        <v>10325</v>
      </c>
      <c r="L2075">
        <v>1959</v>
      </c>
      <c r="R2075" t="s">
        <v>11038</v>
      </c>
      <c r="S2075" t="s">
        <v>10310</v>
      </c>
      <c r="W2075" s="2" t="s">
        <v>11202</v>
      </c>
    </row>
    <row r="2076" spans="1:23" hidden="1" x14ac:dyDescent="0.45">
      <c r="A2076" s="1" t="s">
        <v>2059</v>
      </c>
      <c r="B2076" t="s">
        <v>6202</v>
      </c>
      <c r="D2076" t="s">
        <v>7991</v>
      </c>
      <c r="E2076" t="s">
        <v>9362</v>
      </c>
      <c r="F2076" t="s">
        <v>10297</v>
      </c>
      <c r="G2076">
        <v>0.14000000000000001</v>
      </c>
      <c r="H2076" t="s">
        <v>10310</v>
      </c>
      <c r="I2076" t="s">
        <v>10326</v>
      </c>
      <c r="L2076">
        <v>1957</v>
      </c>
      <c r="R2076" t="s">
        <v>11038</v>
      </c>
      <c r="S2076" t="s">
        <v>10310</v>
      </c>
      <c r="W2076" s="2" t="s">
        <v>11202</v>
      </c>
    </row>
    <row r="2077" spans="1:23" hidden="1" x14ac:dyDescent="0.45">
      <c r="A2077" s="1" t="s">
        <v>2060</v>
      </c>
      <c r="B2077" t="s">
        <v>6203</v>
      </c>
      <c r="D2077" t="s">
        <v>7989</v>
      </c>
      <c r="E2077" t="s">
        <v>9363</v>
      </c>
      <c r="F2077" t="s">
        <v>10297</v>
      </c>
      <c r="G2077">
        <v>0.48</v>
      </c>
      <c r="H2077" t="s">
        <v>10310</v>
      </c>
      <c r="I2077" t="s">
        <v>10326</v>
      </c>
      <c r="L2077">
        <v>1920</v>
      </c>
      <c r="R2077" t="s">
        <v>11038</v>
      </c>
      <c r="S2077" t="s">
        <v>10310</v>
      </c>
      <c r="W2077" s="2" t="s">
        <v>11202</v>
      </c>
    </row>
    <row r="2078" spans="1:23" hidden="1" x14ac:dyDescent="0.45">
      <c r="A2078" s="1" t="s">
        <v>2061</v>
      </c>
      <c r="B2078" t="s">
        <v>6203</v>
      </c>
      <c r="D2078" t="s">
        <v>7989</v>
      </c>
      <c r="E2078" t="s">
        <v>9363</v>
      </c>
      <c r="F2078" t="s">
        <v>10297</v>
      </c>
      <c r="G2078">
        <v>0.48</v>
      </c>
      <c r="H2078" t="s">
        <v>10310</v>
      </c>
      <c r="I2078" t="s">
        <v>10326</v>
      </c>
      <c r="L2078">
        <v>1920</v>
      </c>
      <c r="R2078" t="s">
        <v>11038</v>
      </c>
      <c r="S2078" t="s">
        <v>10310</v>
      </c>
      <c r="W2078" s="2" t="s">
        <v>11202</v>
      </c>
    </row>
    <row r="2079" spans="1:23" hidden="1" x14ac:dyDescent="0.45">
      <c r="A2079" s="1" t="s">
        <v>2062</v>
      </c>
      <c r="B2079" t="s">
        <v>6202</v>
      </c>
      <c r="D2079" t="s">
        <v>7991</v>
      </c>
      <c r="E2079" t="s">
        <v>9364</v>
      </c>
      <c r="F2079" t="s">
        <v>10297</v>
      </c>
      <c r="G2079">
        <v>75</v>
      </c>
      <c r="H2079" t="s">
        <v>10310</v>
      </c>
      <c r="I2079" t="s">
        <v>10326</v>
      </c>
      <c r="L2079">
        <v>1964</v>
      </c>
      <c r="R2079" t="s">
        <v>11038</v>
      </c>
      <c r="S2079" t="s">
        <v>10310</v>
      </c>
      <c r="W2079" s="2" t="s">
        <v>11202</v>
      </c>
    </row>
    <row r="2080" spans="1:23" hidden="1" x14ac:dyDescent="0.45">
      <c r="A2080" s="1" t="s">
        <v>2063</v>
      </c>
      <c r="B2080" t="s">
        <v>6202</v>
      </c>
      <c r="D2080" t="s">
        <v>7991</v>
      </c>
      <c r="E2080" t="s">
        <v>9364</v>
      </c>
      <c r="F2080" t="s">
        <v>10297</v>
      </c>
      <c r="G2080">
        <v>75</v>
      </c>
      <c r="H2080" t="s">
        <v>10310</v>
      </c>
      <c r="I2080" t="s">
        <v>10326</v>
      </c>
      <c r="L2080">
        <v>1964</v>
      </c>
      <c r="R2080" t="s">
        <v>11038</v>
      </c>
      <c r="S2080" t="s">
        <v>10310</v>
      </c>
      <c r="W2080" s="2" t="s">
        <v>11202</v>
      </c>
    </row>
    <row r="2081" spans="1:23" hidden="1" x14ac:dyDescent="0.45">
      <c r="A2081" s="1" t="s">
        <v>2064</v>
      </c>
      <c r="B2081" t="s">
        <v>6202</v>
      </c>
      <c r="D2081" t="s">
        <v>7991</v>
      </c>
      <c r="E2081" t="s">
        <v>9364</v>
      </c>
      <c r="F2081" t="s">
        <v>10297</v>
      </c>
      <c r="G2081">
        <v>75</v>
      </c>
      <c r="H2081" t="s">
        <v>10310</v>
      </c>
      <c r="I2081" t="s">
        <v>10326</v>
      </c>
      <c r="L2081">
        <v>1964</v>
      </c>
      <c r="R2081" t="s">
        <v>11038</v>
      </c>
      <c r="S2081" t="s">
        <v>10310</v>
      </c>
      <c r="W2081" s="2" t="s">
        <v>11202</v>
      </c>
    </row>
    <row r="2082" spans="1:23" hidden="1" x14ac:dyDescent="0.45">
      <c r="A2082" s="1" t="s">
        <v>2065</v>
      </c>
      <c r="B2082" t="s">
        <v>6202</v>
      </c>
      <c r="D2082" t="s">
        <v>7991</v>
      </c>
      <c r="E2082" t="s">
        <v>9365</v>
      </c>
      <c r="F2082" t="s">
        <v>10297</v>
      </c>
      <c r="G2082">
        <v>20</v>
      </c>
      <c r="H2082" t="s">
        <v>10310</v>
      </c>
      <c r="I2082" t="s">
        <v>10326</v>
      </c>
      <c r="L2082">
        <v>1966</v>
      </c>
      <c r="N2082">
        <v>40.099080999999998</v>
      </c>
      <c r="P2082">
        <v>-6.2507699999999993</v>
      </c>
      <c r="R2082" t="s">
        <v>11038</v>
      </c>
      <c r="S2082" t="s">
        <v>10310</v>
      </c>
      <c r="W2082" s="2" t="s">
        <v>11202</v>
      </c>
    </row>
    <row r="2083" spans="1:23" hidden="1" x14ac:dyDescent="0.45">
      <c r="A2083" s="1" t="s">
        <v>2066</v>
      </c>
      <c r="B2083" t="s">
        <v>6202</v>
      </c>
      <c r="D2083" t="s">
        <v>7991</v>
      </c>
      <c r="E2083" t="s">
        <v>9365</v>
      </c>
      <c r="F2083" t="s">
        <v>10297</v>
      </c>
      <c r="G2083">
        <v>20</v>
      </c>
      <c r="H2083" t="s">
        <v>10310</v>
      </c>
      <c r="I2083" t="s">
        <v>10326</v>
      </c>
      <c r="L2083">
        <v>1966</v>
      </c>
      <c r="N2083">
        <v>40.099080999999998</v>
      </c>
      <c r="P2083">
        <v>-6.2507699999999993</v>
      </c>
      <c r="R2083" t="s">
        <v>11038</v>
      </c>
      <c r="S2083" t="s">
        <v>10310</v>
      </c>
      <c r="W2083" s="2" t="s">
        <v>11202</v>
      </c>
    </row>
    <row r="2084" spans="1:23" hidden="1" x14ac:dyDescent="0.45">
      <c r="A2084" s="1" t="s">
        <v>2067</v>
      </c>
      <c r="B2084" t="s">
        <v>6202</v>
      </c>
      <c r="D2084" t="s">
        <v>7991</v>
      </c>
      <c r="E2084" t="s">
        <v>9366</v>
      </c>
      <c r="F2084" t="s">
        <v>10297</v>
      </c>
      <c r="G2084">
        <v>7.5</v>
      </c>
      <c r="H2084" t="s">
        <v>10310</v>
      </c>
      <c r="I2084" t="s">
        <v>10325</v>
      </c>
      <c r="L2084">
        <v>1966</v>
      </c>
      <c r="R2084" t="s">
        <v>11038</v>
      </c>
      <c r="S2084" t="s">
        <v>10310</v>
      </c>
      <c r="W2084" s="2" t="s">
        <v>11202</v>
      </c>
    </row>
    <row r="2085" spans="1:23" hidden="1" x14ac:dyDescent="0.45">
      <c r="A2085" s="1" t="s">
        <v>2068</v>
      </c>
      <c r="B2085" t="s">
        <v>6202</v>
      </c>
      <c r="D2085" t="s">
        <v>7991</v>
      </c>
      <c r="E2085" t="s">
        <v>9366</v>
      </c>
      <c r="F2085" t="s">
        <v>10297</v>
      </c>
      <c r="G2085">
        <v>7.5</v>
      </c>
      <c r="H2085" t="s">
        <v>10310</v>
      </c>
      <c r="I2085" t="s">
        <v>10325</v>
      </c>
      <c r="L2085">
        <v>1966</v>
      </c>
      <c r="R2085" t="s">
        <v>11038</v>
      </c>
      <c r="S2085" t="s">
        <v>10310</v>
      </c>
      <c r="W2085" s="2" t="s">
        <v>11202</v>
      </c>
    </row>
    <row r="2086" spans="1:23" hidden="1" x14ac:dyDescent="0.45">
      <c r="A2086" s="1" t="s">
        <v>2069</v>
      </c>
      <c r="B2086" t="s">
        <v>6202</v>
      </c>
      <c r="D2086" t="s">
        <v>7991</v>
      </c>
      <c r="E2086" t="s">
        <v>9367</v>
      </c>
      <c r="F2086" t="s">
        <v>10297</v>
      </c>
      <c r="G2086">
        <v>33.75</v>
      </c>
      <c r="H2086" t="s">
        <v>10310</v>
      </c>
      <c r="I2086" t="s">
        <v>10326</v>
      </c>
      <c r="L2086">
        <v>1988</v>
      </c>
      <c r="N2086">
        <v>41.993367999999997</v>
      </c>
      <c r="P2086">
        <v>-6.2713419999999998</v>
      </c>
      <c r="R2086" t="s">
        <v>11038</v>
      </c>
      <c r="S2086" t="s">
        <v>10310</v>
      </c>
      <c r="W2086" s="2" t="s">
        <v>11202</v>
      </c>
    </row>
    <row r="2087" spans="1:23" hidden="1" x14ac:dyDescent="0.45">
      <c r="A2087" s="1" t="s">
        <v>2070</v>
      </c>
      <c r="B2087" t="s">
        <v>6202</v>
      </c>
      <c r="D2087" t="s">
        <v>7991</v>
      </c>
      <c r="E2087" t="s">
        <v>9367</v>
      </c>
      <c r="F2087" t="s">
        <v>10297</v>
      </c>
      <c r="G2087">
        <v>33.75</v>
      </c>
      <c r="H2087" t="s">
        <v>10310</v>
      </c>
      <c r="I2087" t="s">
        <v>10326</v>
      </c>
      <c r="L2087">
        <v>1988</v>
      </c>
      <c r="N2087">
        <v>41.993367999999997</v>
      </c>
      <c r="P2087">
        <v>-6.2713419999999998</v>
      </c>
      <c r="R2087" t="s">
        <v>11038</v>
      </c>
      <c r="S2087" t="s">
        <v>10310</v>
      </c>
      <c r="W2087" s="2" t="s">
        <v>11202</v>
      </c>
    </row>
    <row r="2088" spans="1:23" hidden="1" x14ac:dyDescent="0.45">
      <c r="A2088" s="1" t="s">
        <v>2071</v>
      </c>
      <c r="B2088" t="s">
        <v>6204</v>
      </c>
      <c r="D2088" t="s">
        <v>7993</v>
      </c>
      <c r="E2088" t="s">
        <v>9368</v>
      </c>
      <c r="F2088" t="s">
        <v>10297</v>
      </c>
      <c r="G2088">
        <v>0.3</v>
      </c>
      <c r="H2088" t="s">
        <v>10310</v>
      </c>
      <c r="I2088" t="s">
        <v>10325</v>
      </c>
      <c r="L2088">
        <v>1912</v>
      </c>
      <c r="R2088" t="s">
        <v>11038</v>
      </c>
      <c r="S2088" t="s">
        <v>10310</v>
      </c>
      <c r="W2088" s="2" t="s">
        <v>11202</v>
      </c>
    </row>
    <row r="2089" spans="1:23" hidden="1" x14ac:dyDescent="0.45">
      <c r="A2089" s="1" t="s">
        <v>2072</v>
      </c>
      <c r="B2089" t="s">
        <v>6204</v>
      </c>
      <c r="D2089" t="s">
        <v>7993</v>
      </c>
      <c r="E2089" t="s">
        <v>9368</v>
      </c>
      <c r="F2089" t="s">
        <v>10297</v>
      </c>
      <c r="G2089">
        <v>0.28000000000000003</v>
      </c>
      <c r="H2089" t="s">
        <v>10310</v>
      </c>
      <c r="I2089" t="s">
        <v>10325</v>
      </c>
      <c r="L2089">
        <v>1912</v>
      </c>
      <c r="R2089" t="s">
        <v>11038</v>
      </c>
      <c r="S2089" t="s">
        <v>10310</v>
      </c>
      <c r="W2089" s="2" t="s">
        <v>11202</v>
      </c>
    </row>
    <row r="2090" spans="1:23" hidden="1" x14ac:dyDescent="0.45">
      <c r="A2090" s="1" t="s">
        <v>2073</v>
      </c>
      <c r="B2090" t="s">
        <v>6203</v>
      </c>
      <c r="D2090" t="s">
        <v>7989</v>
      </c>
      <c r="E2090" t="s">
        <v>9369</v>
      </c>
      <c r="F2090" t="s">
        <v>10297</v>
      </c>
      <c r="G2090">
        <v>0.57999999999999996</v>
      </c>
      <c r="H2090" t="s">
        <v>10310</v>
      </c>
      <c r="I2090" t="s">
        <v>10325</v>
      </c>
      <c r="L2090">
        <v>1927</v>
      </c>
      <c r="R2090" t="s">
        <v>11038</v>
      </c>
      <c r="S2090" t="s">
        <v>10310</v>
      </c>
      <c r="W2090" s="2" t="s">
        <v>11202</v>
      </c>
    </row>
    <row r="2091" spans="1:23" hidden="1" x14ac:dyDescent="0.45">
      <c r="A2091" s="1" t="s">
        <v>2074</v>
      </c>
      <c r="B2091" t="s">
        <v>6203</v>
      </c>
      <c r="D2091" t="s">
        <v>7989</v>
      </c>
      <c r="E2091" t="s">
        <v>9369</v>
      </c>
      <c r="F2091" t="s">
        <v>10297</v>
      </c>
      <c r="G2091">
        <v>0.57999999999999996</v>
      </c>
      <c r="H2091" t="s">
        <v>10310</v>
      </c>
      <c r="I2091" t="s">
        <v>10325</v>
      </c>
      <c r="L2091">
        <v>1927</v>
      </c>
      <c r="R2091" t="s">
        <v>11038</v>
      </c>
      <c r="S2091" t="s">
        <v>10310</v>
      </c>
      <c r="W2091" s="2" t="s">
        <v>11202</v>
      </c>
    </row>
    <row r="2092" spans="1:23" hidden="1" x14ac:dyDescent="0.45">
      <c r="A2092" s="1" t="s">
        <v>2075</v>
      </c>
      <c r="B2092" t="s">
        <v>6203</v>
      </c>
      <c r="D2092" t="s">
        <v>7989</v>
      </c>
      <c r="E2092" t="s">
        <v>9369</v>
      </c>
      <c r="F2092" t="s">
        <v>10297</v>
      </c>
      <c r="G2092">
        <v>0.6</v>
      </c>
      <c r="H2092" t="s">
        <v>10310</v>
      </c>
      <c r="I2092" t="s">
        <v>10325</v>
      </c>
      <c r="L2092">
        <v>1927</v>
      </c>
      <c r="R2092" t="s">
        <v>11038</v>
      </c>
      <c r="S2092" t="s">
        <v>10310</v>
      </c>
      <c r="W2092" s="2" t="s">
        <v>11202</v>
      </c>
    </row>
    <row r="2093" spans="1:23" hidden="1" x14ac:dyDescent="0.45">
      <c r="A2093" s="1" t="s">
        <v>2076</v>
      </c>
      <c r="B2093" t="s">
        <v>6203</v>
      </c>
      <c r="D2093" t="s">
        <v>7989</v>
      </c>
      <c r="E2093" t="s">
        <v>9369</v>
      </c>
      <c r="F2093" t="s">
        <v>10297</v>
      </c>
      <c r="G2093">
        <v>0.6</v>
      </c>
      <c r="H2093" t="s">
        <v>10310</v>
      </c>
      <c r="I2093" t="s">
        <v>10325</v>
      </c>
      <c r="L2093">
        <v>1927</v>
      </c>
      <c r="R2093" t="s">
        <v>11038</v>
      </c>
      <c r="S2093" t="s">
        <v>10310</v>
      </c>
      <c r="W2093" s="2" t="s">
        <v>11202</v>
      </c>
    </row>
    <row r="2094" spans="1:23" hidden="1" x14ac:dyDescent="0.45">
      <c r="A2094" s="1" t="s">
        <v>2077</v>
      </c>
      <c r="B2094" t="s">
        <v>6203</v>
      </c>
      <c r="D2094" t="s">
        <v>7989</v>
      </c>
      <c r="E2094" t="s">
        <v>9296</v>
      </c>
      <c r="F2094" t="s">
        <v>10297</v>
      </c>
      <c r="G2094">
        <v>0.2</v>
      </c>
      <c r="H2094" t="s">
        <v>10310</v>
      </c>
      <c r="I2094" t="s">
        <v>10325</v>
      </c>
      <c r="L2094">
        <v>1916</v>
      </c>
      <c r="R2094" t="s">
        <v>11038</v>
      </c>
      <c r="S2094" t="s">
        <v>10310</v>
      </c>
      <c r="W2094" s="2" t="s">
        <v>11202</v>
      </c>
    </row>
    <row r="2095" spans="1:23" hidden="1" x14ac:dyDescent="0.45">
      <c r="A2095" s="1" t="s">
        <v>2078</v>
      </c>
      <c r="B2095" t="s">
        <v>6203</v>
      </c>
      <c r="D2095" t="s">
        <v>7989</v>
      </c>
      <c r="E2095" t="s">
        <v>9296</v>
      </c>
      <c r="F2095" t="s">
        <v>10297</v>
      </c>
      <c r="G2095">
        <v>0.2</v>
      </c>
      <c r="H2095" t="s">
        <v>10310</v>
      </c>
      <c r="I2095" t="s">
        <v>10325</v>
      </c>
      <c r="L2095">
        <v>1916</v>
      </c>
      <c r="R2095" t="s">
        <v>11038</v>
      </c>
      <c r="S2095" t="s">
        <v>10310</v>
      </c>
      <c r="W2095" s="2" t="s">
        <v>11202</v>
      </c>
    </row>
    <row r="2096" spans="1:23" hidden="1" x14ac:dyDescent="0.45">
      <c r="A2096" s="1" t="s">
        <v>2079</v>
      </c>
      <c r="B2096" t="s">
        <v>6204</v>
      </c>
      <c r="D2096" t="s">
        <v>7993</v>
      </c>
      <c r="E2096" t="s">
        <v>9370</v>
      </c>
      <c r="F2096" t="s">
        <v>10297</v>
      </c>
      <c r="G2096">
        <v>1.96</v>
      </c>
      <c r="H2096" t="s">
        <v>10310</v>
      </c>
      <c r="I2096" t="s">
        <v>10325</v>
      </c>
      <c r="L2096">
        <v>1965</v>
      </c>
      <c r="R2096" t="s">
        <v>11038</v>
      </c>
      <c r="S2096" t="s">
        <v>10310</v>
      </c>
      <c r="W2096" s="2" t="s">
        <v>11202</v>
      </c>
    </row>
    <row r="2097" spans="1:23" hidden="1" x14ac:dyDescent="0.45">
      <c r="A2097" s="1" t="s">
        <v>2080</v>
      </c>
      <c r="B2097" t="s">
        <v>6204</v>
      </c>
      <c r="D2097" t="s">
        <v>7993</v>
      </c>
      <c r="E2097" t="s">
        <v>9370</v>
      </c>
      <c r="F2097" t="s">
        <v>10297</v>
      </c>
      <c r="G2097">
        <v>1.96</v>
      </c>
      <c r="H2097" t="s">
        <v>10310</v>
      </c>
      <c r="I2097" t="s">
        <v>10325</v>
      </c>
      <c r="L2097">
        <v>1965</v>
      </c>
      <c r="R2097" t="s">
        <v>11038</v>
      </c>
      <c r="S2097" t="s">
        <v>10310</v>
      </c>
      <c r="W2097" s="2" t="s">
        <v>11202</v>
      </c>
    </row>
    <row r="2098" spans="1:23" hidden="1" x14ac:dyDescent="0.45">
      <c r="A2098" s="1" t="s">
        <v>2081</v>
      </c>
      <c r="B2098" t="s">
        <v>6202</v>
      </c>
      <c r="D2098" t="s">
        <v>7991</v>
      </c>
      <c r="E2098" t="s">
        <v>9371</v>
      </c>
      <c r="F2098" t="s">
        <v>10297</v>
      </c>
      <c r="G2098">
        <v>7.1</v>
      </c>
      <c r="H2098" t="s">
        <v>10310</v>
      </c>
      <c r="I2098" t="s">
        <v>10326</v>
      </c>
      <c r="L2098">
        <v>1987</v>
      </c>
      <c r="R2098" t="s">
        <v>11038</v>
      </c>
      <c r="S2098" t="s">
        <v>10310</v>
      </c>
      <c r="W2098" s="2" t="s">
        <v>11202</v>
      </c>
    </row>
    <row r="2099" spans="1:23" hidden="1" x14ac:dyDescent="0.45">
      <c r="A2099" s="1" t="s">
        <v>2082</v>
      </c>
      <c r="B2099" t="s">
        <v>6202</v>
      </c>
      <c r="D2099" t="s">
        <v>7991</v>
      </c>
      <c r="E2099" t="s">
        <v>9371</v>
      </c>
      <c r="F2099" t="s">
        <v>10297</v>
      </c>
      <c r="G2099">
        <v>7.1</v>
      </c>
      <c r="H2099" t="s">
        <v>10310</v>
      </c>
      <c r="I2099" t="s">
        <v>10326</v>
      </c>
      <c r="L2099">
        <v>1987</v>
      </c>
      <c r="R2099" t="s">
        <v>11038</v>
      </c>
      <c r="S2099" t="s">
        <v>10310</v>
      </c>
      <c r="W2099" s="2" t="s">
        <v>11202</v>
      </c>
    </row>
    <row r="2100" spans="1:23" hidden="1" x14ac:dyDescent="0.45">
      <c r="A2100" s="1" t="s">
        <v>2083</v>
      </c>
      <c r="B2100" t="s">
        <v>6202</v>
      </c>
      <c r="D2100" t="s">
        <v>7991</v>
      </c>
      <c r="E2100" t="s">
        <v>9372</v>
      </c>
      <c r="F2100" t="s">
        <v>10297</v>
      </c>
      <c r="G2100">
        <v>32</v>
      </c>
      <c r="H2100" t="s">
        <v>10310</v>
      </c>
      <c r="I2100" t="s">
        <v>10326</v>
      </c>
      <c r="L2100">
        <v>1949</v>
      </c>
      <c r="N2100">
        <v>41.491101</v>
      </c>
      <c r="P2100">
        <v>-6.0846080000000002</v>
      </c>
      <c r="R2100" t="s">
        <v>11038</v>
      </c>
      <c r="S2100" t="s">
        <v>10310</v>
      </c>
      <c r="W2100" s="2" t="s">
        <v>11202</v>
      </c>
    </row>
    <row r="2101" spans="1:23" hidden="1" x14ac:dyDescent="0.45">
      <c r="A2101" s="1" t="s">
        <v>2084</v>
      </c>
      <c r="B2101" t="s">
        <v>6202</v>
      </c>
      <c r="D2101" t="s">
        <v>7991</v>
      </c>
      <c r="E2101" t="s">
        <v>9372</v>
      </c>
      <c r="F2101" t="s">
        <v>10297</v>
      </c>
      <c r="G2101">
        <v>32</v>
      </c>
      <c r="H2101" t="s">
        <v>10310</v>
      </c>
      <c r="I2101" t="s">
        <v>10326</v>
      </c>
      <c r="L2101">
        <v>1949</v>
      </c>
      <c r="N2101">
        <v>41.491101</v>
      </c>
      <c r="P2101">
        <v>-6.0846080000000002</v>
      </c>
      <c r="R2101" t="s">
        <v>11038</v>
      </c>
      <c r="S2101" t="s">
        <v>10310</v>
      </c>
      <c r="W2101" s="2" t="s">
        <v>11202</v>
      </c>
    </row>
    <row r="2102" spans="1:23" hidden="1" x14ac:dyDescent="0.45">
      <c r="A2102" s="1" t="s">
        <v>2085</v>
      </c>
      <c r="B2102" t="s">
        <v>6202</v>
      </c>
      <c r="D2102" t="s">
        <v>7991</v>
      </c>
      <c r="E2102" t="s">
        <v>9372</v>
      </c>
      <c r="F2102" t="s">
        <v>10297</v>
      </c>
      <c r="G2102">
        <v>32</v>
      </c>
      <c r="H2102" t="s">
        <v>10310</v>
      </c>
      <c r="I2102" t="s">
        <v>10326</v>
      </c>
      <c r="L2102">
        <v>1949</v>
      </c>
      <c r="N2102">
        <v>41.491101</v>
      </c>
      <c r="P2102">
        <v>-6.0846080000000002</v>
      </c>
      <c r="R2102" t="s">
        <v>11038</v>
      </c>
      <c r="S2102" t="s">
        <v>10310</v>
      </c>
      <c r="W2102" s="2" t="s">
        <v>11202</v>
      </c>
    </row>
    <row r="2103" spans="1:23" hidden="1" x14ac:dyDescent="0.45">
      <c r="A2103" s="1" t="s">
        <v>2086</v>
      </c>
      <c r="B2103" t="s">
        <v>6202</v>
      </c>
      <c r="D2103" t="s">
        <v>7991</v>
      </c>
      <c r="E2103" t="s">
        <v>9372</v>
      </c>
      <c r="F2103" t="s">
        <v>10297</v>
      </c>
      <c r="G2103">
        <v>110</v>
      </c>
      <c r="H2103" t="s">
        <v>10310</v>
      </c>
      <c r="I2103" t="s">
        <v>10326</v>
      </c>
      <c r="L2103">
        <v>1977</v>
      </c>
      <c r="N2103">
        <v>41.491101</v>
      </c>
      <c r="P2103">
        <v>-6.0846080000000002</v>
      </c>
      <c r="R2103" t="s">
        <v>11038</v>
      </c>
      <c r="S2103" t="s">
        <v>10310</v>
      </c>
      <c r="W2103" s="2" t="s">
        <v>11202</v>
      </c>
    </row>
    <row r="2104" spans="1:23" hidden="1" x14ac:dyDescent="0.45">
      <c r="A2104" s="1" t="s">
        <v>2087</v>
      </c>
      <c r="B2104" t="s">
        <v>6202</v>
      </c>
      <c r="D2104" t="s">
        <v>7991</v>
      </c>
      <c r="E2104" t="s">
        <v>9373</v>
      </c>
      <c r="F2104" t="s">
        <v>10297</v>
      </c>
      <c r="G2104">
        <v>1.08</v>
      </c>
      <c r="H2104" t="s">
        <v>10310</v>
      </c>
      <c r="I2104" t="s">
        <v>10325</v>
      </c>
      <c r="L2104">
        <v>1922</v>
      </c>
      <c r="R2104" t="s">
        <v>11038</v>
      </c>
      <c r="S2104" t="s">
        <v>10310</v>
      </c>
      <c r="W2104" s="2" t="s">
        <v>11202</v>
      </c>
    </row>
    <row r="2105" spans="1:23" hidden="1" x14ac:dyDescent="0.45">
      <c r="A2105" s="1" t="s">
        <v>2088</v>
      </c>
      <c r="B2105" t="s">
        <v>6202</v>
      </c>
      <c r="D2105" t="s">
        <v>7991</v>
      </c>
      <c r="E2105" t="s">
        <v>9373</v>
      </c>
      <c r="F2105" t="s">
        <v>10297</v>
      </c>
      <c r="G2105">
        <v>1.08</v>
      </c>
      <c r="H2105" t="s">
        <v>10310</v>
      </c>
      <c r="I2105" t="s">
        <v>10325</v>
      </c>
      <c r="L2105">
        <v>1923</v>
      </c>
      <c r="R2105" t="s">
        <v>11038</v>
      </c>
      <c r="S2105" t="s">
        <v>10310</v>
      </c>
      <c r="W2105" s="2" t="s">
        <v>11202</v>
      </c>
    </row>
    <row r="2106" spans="1:23" hidden="1" x14ac:dyDescent="0.45">
      <c r="A2106" s="1" t="s">
        <v>2089</v>
      </c>
      <c r="B2106" t="s">
        <v>6202</v>
      </c>
      <c r="D2106" t="s">
        <v>7991</v>
      </c>
      <c r="E2106" t="s">
        <v>9373</v>
      </c>
      <c r="F2106" t="s">
        <v>10297</v>
      </c>
      <c r="G2106">
        <v>1.44</v>
      </c>
      <c r="H2106" t="s">
        <v>10310</v>
      </c>
      <c r="I2106" t="s">
        <v>10325</v>
      </c>
      <c r="L2106">
        <v>1943</v>
      </c>
      <c r="R2106" t="s">
        <v>11038</v>
      </c>
      <c r="S2106" t="s">
        <v>10310</v>
      </c>
      <c r="W2106" s="2" t="s">
        <v>11202</v>
      </c>
    </row>
    <row r="2107" spans="1:23" hidden="1" x14ac:dyDescent="0.45">
      <c r="A2107" s="1" t="s">
        <v>2090</v>
      </c>
      <c r="B2107" t="s">
        <v>6202</v>
      </c>
      <c r="D2107" t="s">
        <v>7991</v>
      </c>
      <c r="E2107" t="s">
        <v>9374</v>
      </c>
      <c r="F2107" t="s">
        <v>10297</v>
      </c>
      <c r="G2107">
        <v>0.47</v>
      </c>
      <c r="H2107" t="s">
        <v>10310</v>
      </c>
      <c r="I2107" t="s">
        <v>10325</v>
      </c>
      <c r="L2107">
        <v>1983</v>
      </c>
      <c r="R2107" t="s">
        <v>11038</v>
      </c>
      <c r="S2107" t="s">
        <v>10310</v>
      </c>
      <c r="W2107" s="2" t="s">
        <v>11202</v>
      </c>
    </row>
    <row r="2108" spans="1:23" hidden="1" x14ac:dyDescent="0.45">
      <c r="A2108" s="1" t="s">
        <v>2091</v>
      </c>
      <c r="B2108" t="s">
        <v>6202</v>
      </c>
      <c r="D2108" t="s">
        <v>7991</v>
      </c>
      <c r="E2108" t="s">
        <v>9375</v>
      </c>
      <c r="F2108" t="s">
        <v>10297</v>
      </c>
      <c r="G2108">
        <v>138.9</v>
      </c>
      <c r="H2108" t="s">
        <v>10310</v>
      </c>
      <c r="I2108" t="s">
        <v>10327</v>
      </c>
      <c r="L2108">
        <v>1970</v>
      </c>
      <c r="N2108">
        <v>41.271327999999997</v>
      </c>
      <c r="P2108">
        <v>-6.3202780000000001</v>
      </c>
      <c r="R2108" t="s">
        <v>11038</v>
      </c>
      <c r="S2108" t="s">
        <v>10310</v>
      </c>
      <c r="W2108" s="2" t="s">
        <v>11202</v>
      </c>
    </row>
    <row r="2109" spans="1:23" hidden="1" x14ac:dyDescent="0.45">
      <c r="A2109" s="1" t="s">
        <v>2092</v>
      </c>
      <c r="B2109" t="s">
        <v>6202</v>
      </c>
      <c r="D2109" t="s">
        <v>7991</v>
      </c>
      <c r="E2109" t="s">
        <v>9375</v>
      </c>
      <c r="F2109" t="s">
        <v>10297</v>
      </c>
      <c r="G2109">
        <v>137.4</v>
      </c>
      <c r="H2109" t="s">
        <v>10310</v>
      </c>
      <c r="I2109" t="s">
        <v>10327</v>
      </c>
      <c r="L2109">
        <v>1970</v>
      </c>
      <c r="N2109">
        <v>41.271327999999997</v>
      </c>
      <c r="P2109">
        <v>-6.3202780000000001</v>
      </c>
      <c r="R2109" t="s">
        <v>11038</v>
      </c>
      <c r="S2109" t="s">
        <v>10310</v>
      </c>
      <c r="W2109" s="2" t="s">
        <v>11202</v>
      </c>
    </row>
    <row r="2110" spans="1:23" hidden="1" x14ac:dyDescent="0.45">
      <c r="A2110" s="1" t="s">
        <v>2093</v>
      </c>
      <c r="B2110" t="s">
        <v>6202</v>
      </c>
      <c r="D2110" t="s">
        <v>7991</v>
      </c>
      <c r="E2110" t="s">
        <v>9375</v>
      </c>
      <c r="F2110" t="s">
        <v>10297</v>
      </c>
      <c r="G2110">
        <v>138.30000000000001</v>
      </c>
      <c r="H2110" t="s">
        <v>10310</v>
      </c>
      <c r="I2110" t="s">
        <v>10327</v>
      </c>
      <c r="L2110">
        <v>1970</v>
      </c>
      <c r="N2110">
        <v>41.271327999999997</v>
      </c>
      <c r="P2110">
        <v>-6.3202780000000001</v>
      </c>
      <c r="R2110" t="s">
        <v>11038</v>
      </c>
      <c r="S2110" t="s">
        <v>10310</v>
      </c>
      <c r="W2110" s="2" t="s">
        <v>11202</v>
      </c>
    </row>
    <row r="2111" spans="1:23" hidden="1" x14ac:dyDescent="0.45">
      <c r="A2111" s="1" t="s">
        <v>2094</v>
      </c>
      <c r="B2111" t="s">
        <v>6202</v>
      </c>
      <c r="D2111" t="s">
        <v>7991</v>
      </c>
      <c r="E2111" t="s">
        <v>9375</v>
      </c>
      <c r="F2111" t="s">
        <v>10297</v>
      </c>
      <c r="G2111">
        <v>138.72</v>
      </c>
      <c r="H2111" t="s">
        <v>10310</v>
      </c>
      <c r="I2111" t="s">
        <v>10327</v>
      </c>
      <c r="L2111">
        <v>1970</v>
      </c>
      <c r="N2111">
        <v>41.271327999999997</v>
      </c>
      <c r="P2111">
        <v>-6.3202780000000001</v>
      </c>
      <c r="R2111" t="s">
        <v>11038</v>
      </c>
      <c r="S2111" t="s">
        <v>10310</v>
      </c>
      <c r="W2111" s="2" t="s">
        <v>11202</v>
      </c>
    </row>
    <row r="2112" spans="1:23" hidden="1" x14ac:dyDescent="0.45">
      <c r="A2112" s="1" t="s">
        <v>2095</v>
      </c>
      <c r="B2112" t="s">
        <v>6202</v>
      </c>
      <c r="D2112" t="s">
        <v>7991</v>
      </c>
      <c r="E2112" t="s">
        <v>9375</v>
      </c>
      <c r="F2112" t="s">
        <v>10297</v>
      </c>
      <c r="G2112">
        <v>148.94999999999999</v>
      </c>
      <c r="H2112" t="s">
        <v>10310</v>
      </c>
      <c r="I2112" t="s">
        <v>10327</v>
      </c>
      <c r="L2112">
        <v>1976</v>
      </c>
      <c r="N2112">
        <v>41.271327999999997</v>
      </c>
      <c r="P2112">
        <v>-6.3202780000000001</v>
      </c>
      <c r="R2112" t="s">
        <v>11038</v>
      </c>
      <c r="S2112" t="s">
        <v>10310</v>
      </c>
      <c r="W2112" s="2" t="s">
        <v>11202</v>
      </c>
    </row>
    <row r="2113" spans="1:23" hidden="1" x14ac:dyDescent="0.45">
      <c r="A2113" s="1" t="s">
        <v>2096</v>
      </c>
      <c r="B2113" t="s">
        <v>6202</v>
      </c>
      <c r="D2113" t="s">
        <v>7991</v>
      </c>
      <c r="E2113" t="s">
        <v>9375</v>
      </c>
      <c r="F2113" t="s">
        <v>10297</v>
      </c>
      <c r="G2113">
        <v>150</v>
      </c>
      <c r="H2113" t="s">
        <v>10310</v>
      </c>
      <c r="I2113" t="s">
        <v>10327</v>
      </c>
      <c r="L2113">
        <v>1977</v>
      </c>
      <c r="N2113">
        <v>41.271327999999997</v>
      </c>
      <c r="P2113">
        <v>-6.3202780000000001</v>
      </c>
      <c r="R2113" t="s">
        <v>11038</v>
      </c>
      <c r="S2113" t="s">
        <v>10310</v>
      </c>
      <c r="W2113" s="2" t="s">
        <v>11202</v>
      </c>
    </row>
    <row r="2114" spans="1:23" hidden="1" x14ac:dyDescent="0.45">
      <c r="A2114" s="1" t="s">
        <v>2097</v>
      </c>
      <c r="B2114" t="s">
        <v>6202</v>
      </c>
      <c r="D2114" t="s">
        <v>7991</v>
      </c>
      <c r="E2114" t="s">
        <v>9322</v>
      </c>
      <c r="F2114" t="s">
        <v>10297</v>
      </c>
      <c r="G2114">
        <v>0.52</v>
      </c>
      <c r="H2114" t="s">
        <v>10310</v>
      </c>
      <c r="I2114" t="s">
        <v>10325</v>
      </c>
      <c r="L2114">
        <v>1934</v>
      </c>
      <c r="R2114" t="s">
        <v>11038</v>
      </c>
      <c r="S2114" t="s">
        <v>10310</v>
      </c>
      <c r="W2114" s="2" t="s">
        <v>11202</v>
      </c>
    </row>
    <row r="2115" spans="1:23" hidden="1" x14ac:dyDescent="0.45">
      <c r="A2115" s="1" t="s">
        <v>2098</v>
      </c>
      <c r="B2115" t="s">
        <v>6204</v>
      </c>
      <c r="D2115" t="s">
        <v>7993</v>
      </c>
      <c r="E2115" t="s">
        <v>9339</v>
      </c>
      <c r="F2115" t="s">
        <v>10297</v>
      </c>
      <c r="G2115">
        <v>0.32</v>
      </c>
      <c r="H2115" t="s">
        <v>10310</v>
      </c>
      <c r="I2115" t="s">
        <v>10325</v>
      </c>
      <c r="L2115">
        <v>1985</v>
      </c>
      <c r="R2115" t="s">
        <v>11038</v>
      </c>
      <c r="S2115" t="s">
        <v>10310</v>
      </c>
      <c r="W2115" s="2" t="s">
        <v>11202</v>
      </c>
    </row>
    <row r="2116" spans="1:23" hidden="1" x14ac:dyDescent="0.45">
      <c r="A2116" s="1" t="s">
        <v>2099</v>
      </c>
      <c r="B2116" t="s">
        <v>6201</v>
      </c>
      <c r="D2116" t="s">
        <v>7992</v>
      </c>
      <c r="E2116" t="s">
        <v>9369</v>
      </c>
      <c r="F2116" t="s">
        <v>10297</v>
      </c>
      <c r="G2116">
        <v>0.28000000000000003</v>
      </c>
      <c r="H2116" t="s">
        <v>10310</v>
      </c>
      <c r="I2116" t="s">
        <v>10325</v>
      </c>
      <c r="L2116">
        <v>1913</v>
      </c>
      <c r="R2116" t="s">
        <v>11038</v>
      </c>
      <c r="S2116" t="s">
        <v>10310</v>
      </c>
      <c r="W2116" s="2" t="s">
        <v>11202</v>
      </c>
    </row>
    <row r="2117" spans="1:23" hidden="1" x14ac:dyDescent="0.45">
      <c r="A2117" s="1" t="s">
        <v>2100</v>
      </c>
      <c r="B2117" t="s">
        <v>6201</v>
      </c>
      <c r="D2117" t="s">
        <v>7992</v>
      </c>
      <c r="E2117" t="s">
        <v>9369</v>
      </c>
      <c r="F2117" t="s">
        <v>10297</v>
      </c>
      <c r="G2117">
        <v>0.28000000000000003</v>
      </c>
      <c r="H2117" t="s">
        <v>10310</v>
      </c>
      <c r="I2117" t="s">
        <v>10325</v>
      </c>
      <c r="L2117">
        <v>1913</v>
      </c>
      <c r="R2117" t="s">
        <v>11038</v>
      </c>
      <c r="S2117" t="s">
        <v>10310</v>
      </c>
      <c r="W2117" s="2" t="s">
        <v>11202</v>
      </c>
    </row>
    <row r="2118" spans="1:23" hidden="1" x14ac:dyDescent="0.45">
      <c r="A2118" s="1" t="s">
        <v>2101</v>
      </c>
      <c r="B2118" t="s">
        <v>6202</v>
      </c>
      <c r="D2118" t="s">
        <v>7991</v>
      </c>
      <c r="E2118" t="s">
        <v>9376</v>
      </c>
      <c r="F2118" t="s">
        <v>10297</v>
      </c>
      <c r="G2118">
        <v>0.32</v>
      </c>
      <c r="H2118" t="s">
        <v>10310</v>
      </c>
      <c r="I2118" t="s">
        <v>10326</v>
      </c>
      <c r="L2118">
        <v>1963</v>
      </c>
      <c r="R2118" t="s">
        <v>11038</v>
      </c>
      <c r="S2118" t="s">
        <v>10310</v>
      </c>
      <c r="W2118" s="2" t="s">
        <v>11202</v>
      </c>
    </row>
    <row r="2119" spans="1:23" hidden="1" x14ac:dyDescent="0.45">
      <c r="A2119" s="1" t="s">
        <v>2102</v>
      </c>
      <c r="B2119" t="s">
        <v>6205</v>
      </c>
      <c r="D2119" t="s">
        <v>7994</v>
      </c>
      <c r="E2119" t="s">
        <v>9377</v>
      </c>
      <c r="F2119" t="s">
        <v>10297</v>
      </c>
      <c r="G2119">
        <v>1.1299999999999999</v>
      </c>
      <c r="H2119" t="s">
        <v>10310</v>
      </c>
      <c r="I2119" t="s">
        <v>10325</v>
      </c>
      <c r="L2119">
        <v>1942</v>
      </c>
      <c r="R2119" t="s">
        <v>11038</v>
      </c>
      <c r="S2119" t="s">
        <v>10310</v>
      </c>
      <c r="W2119" s="2" t="s">
        <v>11202</v>
      </c>
    </row>
    <row r="2120" spans="1:23" hidden="1" x14ac:dyDescent="0.45">
      <c r="A2120" s="1" t="s">
        <v>2103</v>
      </c>
      <c r="B2120" t="s">
        <v>6203</v>
      </c>
      <c r="D2120" t="s">
        <v>7989</v>
      </c>
      <c r="E2120" t="s">
        <v>9378</v>
      </c>
      <c r="F2120" t="s">
        <v>10297</v>
      </c>
      <c r="G2120">
        <v>0.39</v>
      </c>
      <c r="H2120" t="s">
        <v>10310</v>
      </c>
      <c r="I2120" t="s">
        <v>10325</v>
      </c>
      <c r="L2120">
        <v>1906</v>
      </c>
      <c r="R2120" t="s">
        <v>11038</v>
      </c>
      <c r="S2120" t="s">
        <v>10310</v>
      </c>
      <c r="W2120" s="2" t="s">
        <v>11202</v>
      </c>
    </row>
    <row r="2121" spans="1:23" hidden="1" x14ac:dyDescent="0.45">
      <c r="A2121" s="1" t="s">
        <v>2104</v>
      </c>
      <c r="B2121" t="s">
        <v>6203</v>
      </c>
      <c r="D2121" t="s">
        <v>7989</v>
      </c>
      <c r="E2121" t="s">
        <v>9378</v>
      </c>
      <c r="F2121" t="s">
        <v>10297</v>
      </c>
      <c r="G2121">
        <v>0.39</v>
      </c>
      <c r="H2121" t="s">
        <v>10310</v>
      </c>
      <c r="I2121" t="s">
        <v>10325</v>
      </c>
      <c r="L2121">
        <v>1906</v>
      </c>
      <c r="R2121" t="s">
        <v>11038</v>
      </c>
      <c r="S2121" t="s">
        <v>10310</v>
      </c>
      <c r="W2121" s="2" t="s">
        <v>11202</v>
      </c>
    </row>
    <row r="2122" spans="1:23" hidden="1" x14ac:dyDescent="0.45">
      <c r="A2122" s="1" t="s">
        <v>2105</v>
      </c>
      <c r="B2122" t="s">
        <v>6203</v>
      </c>
      <c r="D2122" t="s">
        <v>7989</v>
      </c>
      <c r="E2122" t="s">
        <v>9379</v>
      </c>
      <c r="F2122" t="s">
        <v>10297</v>
      </c>
      <c r="G2122">
        <v>1.6</v>
      </c>
      <c r="H2122" t="s">
        <v>10310</v>
      </c>
      <c r="I2122" t="s">
        <v>10325</v>
      </c>
      <c r="L2122">
        <v>1906</v>
      </c>
      <c r="R2122" t="s">
        <v>11038</v>
      </c>
      <c r="S2122" t="s">
        <v>10310</v>
      </c>
      <c r="W2122" s="2" t="s">
        <v>11202</v>
      </c>
    </row>
    <row r="2123" spans="1:23" hidden="1" x14ac:dyDescent="0.45">
      <c r="A2123" s="1" t="s">
        <v>2106</v>
      </c>
      <c r="B2123" t="s">
        <v>6203</v>
      </c>
      <c r="D2123" t="s">
        <v>7989</v>
      </c>
      <c r="E2123" t="s">
        <v>9379</v>
      </c>
      <c r="F2123" t="s">
        <v>10297</v>
      </c>
      <c r="G2123">
        <v>1.52</v>
      </c>
      <c r="H2123" t="s">
        <v>10310</v>
      </c>
      <c r="I2123" t="s">
        <v>10325</v>
      </c>
      <c r="L2123">
        <v>1906</v>
      </c>
      <c r="R2123" t="s">
        <v>11038</v>
      </c>
      <c r="S2123" t="s">
        <v>10310</v>
      </c>
      <c r="W2123" s="2" t="s">
        <v>11202</v>
      </c>
    </row>
    <row r="2124" spans="1:23" hidden="1" x14ac:dyDescent="0.45">
      <c r="A2124" s="1" t="s">
        <v>2107</v>
      </c>
      <c r="B2124" t="s">
        <v>6199</v>
      </c>
      <c r="D2124" t="s">
        <v>7990</v>
      </c>
      <c r="E2124" t="s">
        <v>9236</v>
      </c>
      <c r="F2124" t="s">
        <v>10297</v>
      </c>
      <c r="G2124">
        <v>1032.5</v>
      </c>
      <c r="H2124" t="s">
        <v>10311</v>
      </c>
      <c r="L2124">
        <v>1983</v>
      </c>
      <c r="R2124" t="s">
        <v>10311</v>
      </c>
      <c r="W2124" s="2" t="s">
        <v>11202</v>
      </c>
    </row>
    <row r="2125" spans="1:23" hidden="1" x14ac:dyDescent="0.45">
      <c r="A2125" s="1" t="s">
        <v>2108</v>
      </c>
      <c r="B2125" t="s">
        <v>6210</v>
      </c>
      <c r="D2125" t="s">
        <v>7999</v>
      </c>
      <c r="E2125" t="s">
        <v>9380</v>
      </c>
      <c r="F2125" t="s">
        <v>10297</v>
      </c>
      <c r="G2125">
        <v>588.98</v>
      </c>
      <c r="H2125" t="s">
        <v>10314</v>
      </c>
      <c r="L2125">
        <v>1985</v>
      </c>
      <c r="N2125">
        <v>36.182640999999997</v>
      </c>
      <c r="P2125">
        <v>-5.4189669999999994</v>
      </c>
      <c r="Q2125" t="s">
        <v>10737</v>
      </c>
      <c r="R2125" t="s">
        <v>11037</v>
      </c>
      <c r="S2125" t="s">
        <v>10314</v>
      </c>
      <c r="W2125" s="2" t="s">
        <v>11202</v>
      </c>
    </row>
    <row r="2126" spans="1:23" hidden="1" x14ac:dyDescent="0.45">
      <c r="A2126" s="1" t="s">
        <v>2109</v>
      </c>
      <c r="B2126" t="s">
        <v>6199</v>
      </c>
      <c r="D2126" t="s">
        <v>7990</v>
      </c>
      <c r="E2126" t="s">
        <v>9381</v>
      </c>
      <c r="F2126" t="s">
        <v>10297</v>
      </c>
      <c r="G2126">
        <v>337.2</v>
      </c>
      <c r="H2126" t="s">
        <v>10314</v>
      </c>
      <c r="L2126">
        <v>1972</v>
      </c>
      <c r="N2126">
        <v>42.612447000000003</v>
      </c>
      <c r="P2126">
        <v>-6.5648300000000006</v>
      </c>
      <c r="Q2126" t="s">
        <v>10738</v>
      </c>
      <c r="R2126" t="s">
        <v>11037</v>
      </c>
      <c r="S2126" t="s">
        <v>10314</v>
      </c>
      <c r="W2126" s="2" t="s">
        <v>11202</v>
      </c>
    </row>
    <row r="2127" spans="1:23" hidden="1" x14ac:dyDescent="0.45">
      <c r="A2127" s="1" t="s">
        <v>2110</v>
      </c>
      <c r="B2127" t="s">
        <v>6199</v>
      </c>
      <c r="D2127" t="s">
        <v>7990</v>
      </c>
      <c r="E2127" t="s">
        <v>9381</v>
      </c>
      <c r="F2127" t="s">
        <v>10297</v>
      </c>
      <c r="G2127">
        <v>358.6</v>
      </c>
      <c r="H2127" t="s">
        <v>10314</v>
      </c>
      <c r="L2127">
        <v>1981</v>
      </c>
      <c r="N2127">
        <v>42.612447000000003</v>
      </c>
      <c r="P2127">
        <v>-6.5648300000000006</v>
      </c>
      <c r="Q2127" t="s">
        <v>10739</v>
      </c>
      <c r="R2127" t="s">
        <v>11037</v>
      </c>
      <c r="S2127" t="s">
        <v>10314</v>
      </c>
      <c r="W2127" s="2" t="s">
        <v>11202</v>
      </c>
    </row>
    <row r="2128" spans="1:23" hidden="1" x14ac:dyDescent="0.45">
      <c r="A2128" s="1" t="s">
        <v>2111</v>
      </c>
      <c r="B2128" t="s">
        <v>6199</v>
      </c>
      <c r="D2128" t="s">
        <v>7990</v>
      </c>
      <c r="E2128" t="s">
        <v>9381</v>
      </c>
      <c r="F2128" t="s">
        <v>10297</v>
      </c>
      <c r="G2128">
        <v>355.9</v>
      </c>
      <c r="H2128" t="s">
        <v>10314</v>
      </c>
      <c r="L2128">
        <v>1984</v>
      </c>
      <c r="N2128">
        <v>42.612447000000003</v>
      </c>
      <c r="P2128">
        <v>-6.5648300000000006</v>
      </c>
      <c r="Q2128" t="s">
        <v>10740</v>
      </c>
      <c r="R2128" t="s">
        <v>11037</v>
      </c>
      <c r="S2128" t="s">
        <v>10314</v>
      </c>
      <c r="W2128" s="2" t="s">
        <v>11202</v>
      </c>
    </row>
    <row r="2129" spans="1:23" hidden="1" x14ac:dyDescent="0.45">
      <c r="A2129" s="1" t="s">
        <v>2112</v>
      </c>
      <c r="B2129" t="s">
        <v>6211</v>
      </c>
      <c r="D2129" t="s">
        <v>7999</v>
      </c>
      <c r="E2129" t="s">
        <v>9382</v>
      </c>
      <c r="F2129" t="s">
        <v>10297</v>
      </c>
      <c r="G2129">
        <v>80</v>
      </c>
      <c r="H2129" t="s">
        <v>10314</v>
      </c>
      <c r="I2129" t="s">
        <v>10321</v>
      </c>
      <c r="L2129">
        <v>1990</v>
      </c>
      <c r="R2129" t="s">
        <v>11037</v>
      </c>
      <c r="S2129" t="s">
        <v>10314</v>
      </c>
      <c r="W2129" s="2" t="s">
        <v>11202</v>
      </c>
    </row>
    <row r="2130" spans="1:23" hidden="1" x14ac:dyDescent="0.45">
      <c r="A2130" s="1" t="s">
        <v>2113</v>
      </c>
      <c r="B2130" t="s">
        <v>6199</v>
      </c>
      <c r="D2130" t="s">
        <v>7990</v>
      </c>
      <c r="E2130" t="s">
        <v>9383</v>
      </c>
      <c r="F2130" t="s">
        <v>10297</v>
      </c>
      <c r="G2130">
        <v>576.9</v>
      </c>
      <c r="H2130" t="s">
        <v>10314</v>
      </c>
      <c r="L2130">
        <v>1984</v>
      </c>
      <c r="R2130" t="s">
        <v>11037</v>
      </c>
      <c r="S2130" t="s">
        <v>10314</v>
      </c>
      <c r="W2130" s="2" t="s">
        <v>11202</v>
      </c>
    </row>
    <row r="2131" spans="1:23" hidden="1" x14ac:dyDescent="0.45">
      <c r="A2131" s="1" t="s">
        <v>2114</v>
      </c>
      <c r="B2131" t="s">
        <v>6199</v>
      </c>
      <c r="D2131" t="s">
        <v>7990</v>
      </c>
      <c r="E2131" t="s">
        <v>9383</v>
      </c>
      <c r="F2131" t="s">
        <v>10297</v>
      </c>
      <c r="G2131">
        <v>582</v>
      </c>
      <c r="H2131" t="s">
        <v>10314</v>
      </c>
      <c r="L2131">
        <v>1997</v>
      </c>
      <c r="R2131" t="s">
        <v>11037</v>
      </c>
      <c r="S2131" t="s">
        <v>10314</v>
      </c>
      <c r="W2131" s="2" t="s">
        <v>11202</v>
      </c>
    </row>
    <row r="2132" spans="1:23" hidden="1" x14ac:dyDescent="0.45">
      <c r="A2132" s="1" t="s">
        <v>2115</v>
      </c>
      <c r="B2132" t="s">
        <v>6210</v>
      </c>
      <c r="D2132" t="s">
        <v>7999</v>
      </c>
      <c r="E2132" t="s">
        <v>9384</v>
      </c>
      <c r="F2132" t="s">
        <v>10297</v>
      </c>
      <c r="G2132">
        <v>323.5</v>
      </c>
      <c r="H2132" t="s">
        <v>10314</v>
      </c>
      <c r="L2132">
        <v>1980</v>
      </c>
      <c r="N2132">
        <v>38.111133000000002</v>
      </c>
      <c r="P2132">
        <v>-4.9346639999999997</v>
      </c>
      <c r="Q2132" t="s">
        <v>10741</v>
      </c>
      <c r="R2132" t="s">
        <v>11037</v>
      </c>
      <c r="S2132" t="s">
        <v>10314</v>
      </c>
      <c r="W2132" s="2" t="s">
        <v>11202</v>
      </c>
    </row>
    <row r="2133" spans="1:23" hidden="1" x14ac:dyDescent="0.45">
      <c r="A2133" s="1" t="s">
        <v>2116</v>
      </c>
      <c r="B2133" t="s">
        <v>6199</v>
      </c>
      <c r="D2133" t="s">
        <v>7990</v>
      </c>
      <c r="E2133" t="s">
        <v>9385</v>
      </c>
      <c r="F2133" t="s">
        <v>10297</v>
      </c>
      <c r="G2133">
        <v>368.9</v>
      </c>
      <c r="H2133" t="s">
        <v>10314</v>
      </c>
      <c r="L2133">
        <v>1976</v>
      </c>
      <c r="N2133">
        <v>43.439951000000001</v>
      </c>
      <c r="P2133">
        <v>-7.8618370000000004</v>
      </c>
      <c r="Q2133" t="s">
        <v>10742</v>
      </c>
      <c r="R2133" t="s">
        <v>11037</v>
      </c>
      <c r="S2133" t="s">
        <v>10314</v>
      </c>
      <c r="W2133" s="2" t="s">
        <v>11202</v>
      </c>
    </row>
    <row r="2134" spans="1:23" hidden="1" x14ac:dyDescent="0.45">
      <c r="A2134" s="1" t="s">
        <v>2117</v>
      </c>
      <c r="B2134" t="s">
        <v>6199</v>
      </c>
      <c r="D2134" t="s">
        <v>7990</v>
      </c>
      <c r="E2134" t="s">
        <v>9385</v>
      </c>
      <c r="F2134" t="s">
        <v>10297</v>
      </c>
      <c r="G2134">
        <v>366.4</v>
      </c>
      <c r="H2134" t="s">
        <v>10314</v>
      </c>
      <c r="L2134">
        <v>1977</v>
      </c>
      <c r="N2134">
        <v>43.439951000000001</v>
      </c>
      <c r="P2134">
        <v>-7.8618370000000004</v>
      </c>
      <c r="Q2134" t="s">
        <v>10743</v>
      </c>
      <c r="R2134" t="s">
        <v>11037</v>
      </c>
      <c r="S2134" t="s">
        <v>10314</v>
      </c>
      <c r="W2134" s="2" t="s">
        <v>11202</v>
      </c>
    </row>
    <row r="2135" spans="1:23" hidden="1" x14ac:dyDescent="0.45">
      <c r="A2135" s="1" t="s">
        <v>2118</v>
      </c>
      <c r="B2135" t="s">
        <v>6199</v>
      </c>
      <c r="D2135" t="s">
        <v>7990</v>
      </c>
      <c r="E2135" t="s">
        <v>9385</v>
      </c>
      <c r="F2135" t="s">
        <v>10297</v>
      </c>
      <c r="G2135">
        <v>366.2</v>
      </c>
      <c r="H2135" t="s">
        <v>10314</v>
      </c>
      <c r="L2135">
        <v>1978</v>
      </c>
      <c r="N2135">
        <v>43.439951000000001</v>
      </c>
      <c r="P2135">
        <v>-7.8618370000000004</v>
      </c>
      <c r="Q2135" t="s">
        <v>10744</v>
      </c>
      <c r="R2135" t="s">
        <v>11037</v>
      </c>
      <c r="S2135" t="s">
        <v>10314</v>
      </c>
      <c r="W2135" s="2" t="s">
        <v>11202</v>
      </c>
    </row>
    <row r="2136" spans="1:23" hidden="1" x14ac:dyDescent="0.45">
      <c r="A2136" s="1" t="s">
        <v>2119</v>
      </c>
      <c r="B2136" t="s">
        <v>6199</v>
      </c>
      <c r="D2136" t="s">
        <v>7990</v>
      </c>
      <c r="E2136" t="s">
        <v>9385</v>
      </c>
      <c r="F2136" t="s">
        <v>10297</v>
      </c>
      <c r="G2136">
        <v>367</v>
      </c>
      <c r="H2136" t="s">
        <v>10314</v>
      </c>
      <c r="L2136">
        <v>1979</v>
      </c>
      <c r="N2136">
        <v>43.439951000000001</v>
      </c>
      <c r="P2136">
        <v>-7.8618370000000004</v>
      </c>
      <c r="Q2136" t="s">
        <v>10745</v>
      </c>
      <c r="R2136" t="s">
        <v>11037</v>
      </c>
      <c r="S2136" t="s">
        <v>10314</v>
      </c>
      <c r="W2136" s="2" t="s">
        <v>11202</v>
      </c>
    </row>
    <row r="2137" spans="1:23" hidden="1" x14ac:dyDescent="0.45">
      <c r="A2137" s="1" t="s">
        <v>2120</v>
      </c>
      <c r="B2137" t="s">
        <v>6199</v>
      </c>
      <c r="D2137" t="s">
        <v>7990</v>
      </c>
      <c r="E2137" t="s">
        <v>9386</v>
      </c>
      <c r="F2137" t="s">
        <v>10297</v>
      </c>
      <c r="G2137">
        <v>368.1</v>
      </c>
      <c r="H2137" t="s">
        <v>10314</v>
      </c>
      <c r="L2137">
        <v>1979</v>
      </c>
      <c r="N2137">
        <v>40.996282999999998</v>
      </c>
      <c r="P2137">
        <v>-0.38417000000000001</v>
      </c>
      <c r="Q2137" t="s">
        <v>10746</v>
      </c>
      <c r="R2137" t="s">
        <v>11037</v>
      </c>
      <c r="S2137" t="s">
        <v>10314</v>
      </c>
      <c r="W2137" s="2" t="s">
        <v>11202</v>
      </c>
    </row>
    <row r="2138" spans="1:23" hidden="1" x14ac:dyDescent="0.45">
      <c r="A2138" s="1" t="s">
        <v>2121</v>
      </c>
      <c r="B2138" t="s">
        <v>6199</v>
      </c>
      <c r="D2138" t="s">
        <v>7990</v>
      </c>
      <c r="E2138" t="s">
        <v>9386</v>
      </c>
      <c r="F2138" t="s">
        <v>10297</v>
      </c>
      <c r="G2138">
        <v>367.7</v>
      </c>
      <c r="H2138" t="s">
        <v>10314</v>
      </c>
      <c r="L2138">
        <v>1979</v>
      </c>
      <c r="N2138">
        <v>40.996282999999998</v>
      </c>
      <c r="P2138">
        <v>-0.38417000000000001</v>
      </c>
      <c r="Q2138" t="s">
        <v>10747</v>
      </c>
      <c r="R2138" t="s">
        <v>11037</v>
      </c>
      <c r="S2138" t="s">
        <v>10314</v>
      </c>
      <c r="W2138" s="2" t="s">
        <v>11202</v>
      </c>
    </row>
    <row r="2139" spans="1:23" hidden="1" x14ac:dyDescent="0.45">
      <c r="A2139" s="1" t="s">
        <v>2122</v>
      </c>
      <c r="B2139" t="s">
        <v>6199</v>
      </c>
      <c r="D2139" t="s">
        <v>7990</v>
      </c>
      <c r="E2139" t="s">
        <v>9386</v>
      </c>
      <c r="F2139" t="s">
        <v>10297</v>
      </c>
      <c r="G2139">
        <v>365.6</v>
      </c>
      <c r="H2139" t="s">
        <v>10314</v>
      </c>
      <c r="L2139">
        <v>1980</v>
      </c>
      <c r="N2139">
        <v>40.996282999999998</v>
      </c>
      <c r="P2139">
        <v>-0.38417000000000001</v>
      </c>
      <c r="Q2139" t="s">
        <v>10748</v>
      </c>
      <c r="R2139" t="s">
        <v>11037</v>
      </c>
      <c r="S2139" t="s">
        <v>10314</v>
      </c>
      <c r="W2139" s="2" t="s">
        <v>11202</v>
      </c>
    </row>
    <row r="2140" spans="1:23" hidden="1" x14ac:dyDescent="0.45">
      <c r="A2140" s="1" t="s">
        <v>2123</v>
      </c>
      <c r="B2140" t="s">
        <v>6199</v>
      </c>
      <c r="D2140" t="s">
        <v>7990</v>
      </c>
      <c r="E2140" t="s">
        <v>9387</v>
      </c>
      <c r="F2140" t="s">
        <v>10297</v>
      </c>
      <c r="G2140">
        <v>30.14</v>
      </c>
      <c r="H2140" t="s">
        <v>10310</v>
      </c>
      <c r="I2140" t="s">
        <v>10326</v>
      </c>
      <c r="L2140">
        <v>1959</v>
      </c>
      <c r="R2140" t="s">
        <v>11038</v>
      </c>
      <c r="S2140" t="s">
        <v>10310</v>
      </c>
      <c r="W2140" s="2" t="s">
        <v>11202</v>
      </c>
    </row>
    <row r="2141" spans="1:23" hidden="1" x14ac:dyDescent="0.45">
      <c r="A2141" s="1" t="s">
        <v>2124</v>
      </c>
      <c r="B2141" t="s">
        <v>6199</v>
      </c>
      <c r="D2141" t="s">
        <v>7990</v>
      </c>
      <c r="E2141" t="s">
        <v>9387</v>
      </c>
      <c r="F2141" t="s">
        <v>10297</v>
      </c>
      <c r="G2141">
        <v>31.07</v>
      </c>
      <c r="H2141" t="s">
        <v>10310</v>
      </c>
      <c r="I2141" t="s">
        <v>10326</v>
      </c>
      <c r="L2141">
        <v>1959</v>
      </c>
      <c r="R2141" t="s">
        <v>11038</v>
      </c>
      <c r="S2141" t="s">
        <v>10310</v>
      </c>
      <c r="W2141" s="2" t="s">
        <v>11202</v>
      </c>
    </row>
    <row r="2142" spans="1:23" hidden="1" x14ac:dyDescent="0.45">
      <c r="A2142" s="1" t="s">
        <v>2125</v>
      </c>
      <c r="B2142" t="s">
        <v>6199</v>
      </c>
      <c r="D2142" t="s">
        <v>7990</v>
      </c>
      <c r="E2142" t="s">
        <v>9388</v>
      </c>
      <c r="F2142" t="s">
        <v>10297</v>
      </c>
      <c r="G2142">
        <v>66</v>
      </c>
      <c r="H2142" t="s">
        <v>10310</v>
      </c>
      <c r="I2142" t="s">
        <v>10326</v>
      </c>
      <c r="L2142">
        <v>1963</v>
      </c>
      <c r="N2142">
        <v>42.416995</v>
      </c>
      <c r="P2142">
        <v>-6.8317789999999992</v>
      </c>
      <c r="R2142" t="s">
        <v>11038</v>
      </c>
      <c r="S2142" t="s">
        <v>10310</v>
      </c>
      <c r="W2142" s="2" t="s">
        <v>11202</v>
      </c>
    </row>
    <row r="2143" spans="1:23" hidden="1" x14ac:dyDescent="0.45">
      <c r="A2143" s="1" t="s">
        <v>2126</v>
      </c>
      <c r="B2143" t="s">
        <v>6199</v>
      </c>
      <c r="D2143" t="s">
        <v>7990</v>
      </c>
      <c r="E2143" t="s">
        <v>9388</v>
      </c>
      <c r="F2143" t="s">
        <v>10297</v>
      </c>
      <c r="G2143">
        <v>66</v>
      </c>
      <c r="H2143" t="s">
        <v>10310</v>
      </c>
      <c r="I2143" t="s">
        <v>10326</v>
      </c>
      <c r="L2143">
        <v>1963</v>
      </c>
      <c r="N2143">
        <v>42.416995</v>
      </c>
      <c r="P2143">
        <v>-6.8317789999999992</v>
      </c>
      <c r="R2143" t="s">
        <v>11038</v>
      </c>
      <c r="S2143" t="s">
        <v>10310</v>
      </c>
      <c r="W2143" s="2" t="s">
        <v>11202</v>
      </c>
    </row>
    <row r="2144" spans="1:23" hidden="1" x14ac:dyDescent="0.45">
      <c r="A2144" s="1" t="s">
        <v>2127</v>
      </c>
      <c r="B2144" t="s">
        <v>6199</v>
      </c>
      <c r="D2144" t="s">
        <v>7990</v>
      </c>
      <c r="E2144" t="s">
        <v>9389</v>
      </c>
      <c r="F2144" t="s">
        <v>10297</v>
      </c>
      <c r="G2144">
        <v>27.2</v>
      </c>
      <c r="H2144" t="s">
        <v>10310</v>
      </c>
      <c r="I2144" t="s">
        <v>10326</v>
      </c>
      <c r="L2144">
        <v>1960</v>
      </c>
      <c r="N2144">
        <v>43.407473000000003</v>
      </c>
      <c r="P2144">
        <v>-8.0112129999999997</v>
      </c>
      <c r="R2144" t="s">
        <v>11038</v>
      </c>
      <c r="S2144" t="s">
        <v>10310</v>
      </c>
      <c r="W2144" s="2" t="s">
        <v>11202</v>
      </c>
    </row>
    <row r="2145" spans="1:23" hidden="1" x14ac:dyDescent="0.45">
      <c r="A2145" s="1" t="s">
        <v>2128</v>
      </c>
      <c r="B2145" t="s">
        <v>6199</v>
      </c>
      <c r="D2145" t="s">
        <v>7990</v>
      </c>
      <c r="E2145" t="s">
        <v>9389</v>
      </c>
      <c r="F2145" t="s">
        <v>10297</v>
      </c>
      <c r="G2145">
        <v>27.2</v>
      </c>
      <c r="H2145" t="s">
        <v>10310</v>
      </c>
      <c r="I2145" t="s">
        <v>10326</v>
      </c>
      <c r="L2145">
        <v>1960</v>
      </c>
      <c r="N2145">
        <v>43.407473000000003</v>
      </c>
      <c r="P2145">
        <v>-8.0112129999999997</v>
      </c>
      <c r="R2145" t="s">
        <v>11038</v>
      </c>
      <c r="S2145" t="s">
        <v>10310</v>
      </c>
      <c r="W2145" s="2" t="s">
        <v>11202</v>
      </c>
    </row>
    <row r="2146" spans="1:23" hidden="1" x14ac:dyDescent="0.45">
      <c r="A2146" s="1" t="s">
        <v>2129</v>
      </c>
      <c r="B2146" t="s">
        <v>6199</v>
      </c>
      <c r="D2146" t="s">
        <v>7990</v>
      </c>
      <c r="E2146" t="s">
        <v>9390</v>
      </c>
      <c r="F2146" t="s">
        <v>10297</v>
      </c>
      <c r="G2146">
        <v>41.51</v>
      </c>
      <c r="H2146" t="s">
        <v>10310</v>
      </c>
      <c r="I2146" t="s">
        <v>10326</v>
      </c>
      <c r="L2146">
        <v>1966</v>
      </c>
      <c r="N2146">
        <v>42.842863999999999</v>
      </c>
      <c r="P2146">
        <v>-6.4712759999999996</v>
      </c>
      <c r="R2146" t="s">
        <v>11038</v>
      </c>
      <c r="S2146" t="s">
        <v>10310</v>
      </c>
      <c r="W2146" s="2" t="s">
        <v>11202</v>
      </c>
    </row>
    <row r="2147" spans="1:23" hidden="1" x14ac:dyDescent="0.45">
      <c r="A2147" s="1" t="s">
        <v>2130</v>
      </c>
      <c r="B2147" t="s">
        <v>6199</v>
      </c>
      <c r="D2147" t="s">
        <v>7990</v>
      </c>
      <c r="E2147" t="s">
        <v>9390</v>
      </c>
      <c r="F2147" t="s">
        <v>10297</v>
      </c>
      <c r="G2147">
        <v>41.98</v>
      </c>
      <c r="H2147" t="s">
        <v>10310</v>
      </c>
      <c r="I2147" t="s">
        <v>10326</v>
      </c>
      <c r="L2147">
        <v>1966</v>
      </c>
      <c r="N2147">
        <v>42.842863999999999</v>
      </c>
      <c r="P2147">
        <v>-6.4712759999999996</v>
      </c>
      <c r="R2147" t="s">
        <v>11038</v>
      </c>
      <c r="S2147" t="s">
        <v>10310</v>
      </c>
      <c r="W2147" s="2" t="s">
        <v>11202</v>
      </c>
    </row>
    <row r="2148" spans="1:23" hidden="1" x14ac:dyDescent="0.45">
      <c r="A2148" s="1" t="s">
        <v>2131</v>
      </c>
      <c r="B2148" t="s">
        <v>6199</v>
      </c>
      <c r="D2148" t="s">
        <v>7990</v>
      </c>
      <c r="E2148" t="s">
        <v>9390</v>
      </c>
      <c r="F2148" t="s">
        <v>10297</v>
      </c>
      <c r="G2148">
        <v>18.73</v>
      </c>
      <c r="H2148" t="s">
        <v>10310</v>
      </c>
      <c r="I2148" t="s">
        <v>10326</v>
      </c>
      <c r="L2148">
        <v>1963</v>
      </c>
      <c r="R2148" t="s">
        <v>11038</v>
      </c>
      <c r="S2148" t="s">
        <v>10310</v>
      </c>
      <c r="W2148" s="2" t="s">
        <v>11202</v>
      </c>
    </row>
    <row r="2149" spans="1:23" hidden="1" x14ac:dyDescent="0.45">
      <c r="A2149" s="1" t="s">
        <v>2132</v>
      </c>
      <c r="B2149" t="s">
        <v>6199</v>
      </c>
      <c r="D2149" t="s">
        <v>7990</v>
      </c>
      <c r="E2149" t="s">
        <v>9390</v>
      </c>
      <c r="F2149" t="s">
        <v>10297</v>
      </c>
      <c r="G2149">
        <v>19.93</v>
      </c>
      <c r="H2149" t="s">
        <v>10310</v>
      </c>
      <c r="I2149" t="s">
        <v>10326</v>
      </c>
      <c r="L2149">
        <v>1963</v>
      </c>
      <c r="R2149" t="s">
        <v>11038</v>
      </c>
      <c r="S2149" t="s">
        <v>10310</v>
      </c>
      <c r="W2149" s="2" t="s">
        <v>11202</v>
      </c>
    </row>
    <row r="2150" spans="1:23" hidden="1" x14ac:dyDescent="0.45">
      <c r="A2150" s="1" t="s">
        <v>2133</v>
      </c>
      <c r="B2150" t="s">
        <v>6199</v>
      </c>
      <c r="D2150" t="s">
        <v>7990</v>
      </c>
      <c r="E2150" t="s">
        <v>9391</v>
      </c>
      <c r="F2150" t="s">
        <v>10297</v>
      </c>
      <c r="G2150">
        <v>17.600000000000001</v>
      </c>
      <c r="H2150" t="s">
        <v>10310</v>
      </c>
      <c r="I2150" t="s">
        <v>10326</v>
      </c>
      <c r="L2150">
        <v>1963</v>
      </c>
      <c r="R2150" t="s">
        <v>11038</v>
      </c>
      <c r="S2150" t="s">
        <v>10310</v>
      </c>
      <c r="W2150" s="2" t="s">
        <v>11202</v>
      </c>
    </row>
    <row r="2151" spans="1:23" hidden="1" x14ac:dyDescent="0.45">
      <c r="A2151" s="1" t="s">
        <v>2134</v>
      </c>
      <c r="B2151" t="s">
        <v>6199</v>
      </c>
      <c r="D2151" t="s">
        <v>7990</v>
      </c>
      <c r="E2151" t="s">
        <v>9392</v>
      </c>
      <c r="F2151" t="s">
        <v>10297</v>
      </c>
      <c r="G2151">
        <v>36.130000000000003</v>
      </c>
      <c r="H2151" t="s">
        <v>10310</v>
      </c>
      <c r="I2151" t="s">
        <v>10326</v>
      </c>
      <c r="L2151">
        <v>1958</v>
      </c>
      <c r="N2151">
        <v>42.310140999999987</v>
      </c>
      <c r="P2151">
        <v>-7.0417949999999996</v>
      </c>
      <c r="R2151" t="s">
        <v>11038</v>
      </c>
      <c r="S2151" t="s">
        <v>10310</v>
      </c>
      <c r="W2151" s="2" t="s">
        <v>11202</v>
      </c>
    </row>
    <row r="2152" spans="1:23" hidden="1" x14ac:dyDescent="0.45">
      <c r="A2152" s="1" t="s">
        <v>2135</v>
      </c>
      <c r="B2152" t="s">
        <v>6199</v>
      </c>
      <c r="D2152" t="s">
        <v>7990</v>
      </c>
      <c r="E2152" t="s">
        <v>9392</v>
      </c>
      <c r="F2152" t="s">
        <v>10297</v>
      </c>
      <c r="G2152">
        <v>36.07</v>
      </c>
      <c r="H2152" t="s">
        <v>10310</v>
      </c>
      <c r="I2152" t="s">
        <v>10326</v>
      </c>
      <c r="L2152">
        <v>1958</v>
      </c>
      <c r="N2152">
        <v>42.310140999999987</v>
      </c>
      <c r="P2152">
        <v>-7.0417949999999996</v>
      </c>
      <c r="R2152" t="s">
        <v>11038</v>
      </c>
      <c r="S2152" t="s">
        <v>10310</v>
      </c>
      <c r="W2152" s="2" t="s">
        <v>11202</v>
      </c>
    </row>
    <row r="2153" spans="1:23" hidden="1" x14ac:dyDescent="0.45">
      <c r="A2153" s="1" t="s">
        <v>2136</v>
      </c>
      <c r="B2153" t="s">
        <v>6199</v>
      </c>
      <c r="D2153" t="s">
        <v>7990</v>
      </c>
      <c r="E2153" t="s">
        <v>9388</v>
      </c>
      <c r="F2153" t="s">
        <v>10297</v>
      </c>
      <c r="G2153">
        <v>18.3</v>
      </c>
      <c r="H2153" t="s">
        <v>10310</v>
      </c>
      <c r="I2153" t="s">
        <v>10326</v>
      </c>
      <c r="L2153">
        <v>1961</v>
      </c>
      <c r="R2153" t="s">
        <v>11038</v>
      </c>
      <c r="S2153" t="s">
        <v>10310</v>
      </c>
      <c r="W2153" s="2" t="s">
        <v>11202</v>
      </c>
    </row>
    <row r="2154" spans="1:23" hidden="1" x14ac:dyDescent="0.45">
      <c r="A2154" s="1" t="s">
        <v>2137</v>
      </c>
      <c r="B2154" t="s">
        <v>6199</v>
      </c>
      <c r="D2154" t="s">
        <v>7990</v>
      </c>
      <c r="E2154" t="s">
        <v>9388</v>
      </c>
      <c r="F2154" t="s">
        <v>10297</v>
      </c>
      <c r="G2154">
        <v>18.399999999999999</v>
      </c>
      <c r="H2154" t="s">
        <v>10310</v>
      </c>
      <c r="I2154" t="s">
        <v>10326</v>
      </c>
      <c r="L2154">
        <v>1961</v>
      </c>
      <c r="R2154" t="s">
        <v>11038</v>
      </c>
      <c r="S2154" t="s">
        <v>10310</v>
      </c>
      <c r="W2154" s="2" t="s">
        <v>11202</v>
      </c>
    </row>
    <row r="2155" spans="1:23" hidden="1" x14ac:dyDescent="0.45">
      <c r="A2155" s="1" t="s">
        <v>2138</v>
      </c>
      <c r="B2155" t="s">
        <v>6211</v>
      </c>
      <c r="D2155" t="s">
        <v>7999</v>
      </c>
      <c r="E2155" t="s">
        <v>9393</v>
      </c>
      <c r="F2155" t="s">
        <v>10297</v>
      </c>
      <c r="G2155">
        <v>42.02</v>
      </c>
      <c r="H2155" t="s">
        <v>10310</v>
      </c>
      <c r="I2155" t="s">
        <v>10326</v>
      </c>
      <c r="L2155">
        <v>1990</v>
      </c>
      <c r="N2155">
        <v>42.932872000000003</v>
      </c>
      <c r="P2155">
        <v>-5.0857089999999996</v>
      </c>
      <c r="R2155" t="s">
        <v>11038</v>
      </c>
      <c r="S2155" t="s">
        <v>10310</v>
      </c>
      <c r="W2155" s="2" t="s">
        <v>11202</v>
      </c>
    </row>
    <row r="2156" spans="1:23" hidden="1" x14ac:dyDescent="0.45">
      <c r="A2156" s="1" t="s">
        <v>2139</v>
      </c>
      <c r="B2156" t="s">
        <v>6211</v>
      </c>
      <c r="D2156" t="s">
        <v>7999</v>
      </c>
      <c r="E2156" t="s">
        <v>9393</v>
      </c>
      <c r="F2156" t="s">
        <v>10297</v>
      </c>
      <c r="G2156">
        <v>41.6</v>
      </c>
      <c r="H2156" t="s">
        <v>10310</v>
      </c>
      <c r="I2156" t="s">
        <v>10326</v>
      </c>
      <c r="L2156">
        <v>1990</v>
      </c>
      <c r="N2156">
        <v>42.932872000000003</v>
      </c>
      <c r="P2156">
        <v>-5.0857089999999996</v>
      </c>
      <c r="R2156" t="s">
        <v>11038</v>
      </c>
      <c r="S2156" t="s">
        <v>10310</v>
      </c>
      <c r="W2156" s="2" t="s">
        <v>11202</v>
      </c>
    </row>
    <row r="2157" spans="1:23" hidden="1" x14ac:dyDescent="0.45">
      <c r="A2157" s="1" t="s">
        <v>2140</v>
      </c>
      <c r="B2157" t="s">
        <v>6199</v>
      </c>
      <c r="D2157" t="s">
        <v>7990</v>
      </c>
      <c r="E2157" t="s">
        <v>9394</v>
      </c>
      <c r="F2157" t="s">
        <v>10297</v>
      </c>
      <c r="G2157">
        <v>1.4</v>
      </c>
      <c r="H2157" t="s">
        <v>10310</v>
      </c>
      <c r="I2157" t="s">
        <v>10326</v>
      </c>
      <c r="L2157">
        <v>1954</v>
      </c>
      <c r="R2157" t="s">
        <v>11038</v>
      </c>
      <c r="S2157" t="s">
        <v>10310</v>
      </c>
      <c r="W2157" s="2" t="s">
        <v>11202</v>
      </c>
    </row>
    <row r="2158" spans="1:23" hidden="1" x14ac:dyDescent="0.45">
      <c r="A2158" s="1" t="s">
        <v>2141</v>
      </c>
      <c r="B2158" t="s">
        <v>6199</v>
      </c>
      <c r="D2158" t="s">
        <v>7990</v>
      </c>
      <c r="E2158" t="s">
        <v>9394</v>
      </c>
      <c r="F2158" t="s">
        <v>10297</v>
      </c>
      <c r="G2158">
        <v>11.52</v>
      </c>
      <c r="H2158" t="s">
        <v>10310</v>
      </c>
      <c r="I2158" t="s">
        <v>10326</v>
      </c>
      <c r="L2158">
        <v>1955</v>
      </c>
      <c r="R2158" t="s">
        <v>11038</v>
      </c>
      <c r="S2158" t="s">
        <v>10310</v>
      </c>
      <c r="W2158" s="2" t="s">
        <v>11202</v>
      </c>
    </row>
    <row r="2159" spans="1:23" hidden="1" x14ac:dyDescent="0.45">
      <c r="A2159" s="1" t="s">
        <v>2142</v>
      </c>
      <c r="B2159" t="s">
        <v>6199</v>
      </c>
      <c r="D2159" t="s">
        <v>7990</v>
      </c>
      <c r="E2159" t="s">
        <v>9394</v>
      </c>
      <c r="F2159" t="s">
        <v>10297</v>
      </c>
      <c r="G2159">
        <v>11.52</v>
      </c>
      <c r="H2159" t="s">
        <v>10310</v>
      </c>
      <c r="I2159" t="s">
        <v>10326</v>
      </c>
      <c r="L2159">
        <v>1955</v>
      </c>
      <c r="R2159" t="s">
        <v>11038</v>
      </c>
      <c r="S2159" t="s">
        <v>10310</v>
      </c>
      <c r="W2159" s="2" t="s">
        <v>11202</v>
      </c>
    </row>
    <row r="2160" spans="1:23" hidden="1" x14ac:dyDescent="0.45">
      <c r="A2160" s="1" t="s">
        <v>2143</v>
      </c>
      <c r="B2160" t="s">
        <v>6199</v>
      </c>
      <c r="D2160" t="s">
        <v>7990</v>
      </c>
      <c r="E2160" t="s">
        <v>9394</v>
      </c>
      <c r="F2160" t="s">
        <v>10297</v>
      </c>
      <c r="G2160">
        <v>11.52</v>
      </c>
      <c r="H2160" t="s">
        <v>10310</v>
      </c>
      <c r="I2160" t="s">
        <v>10326</v>
      </c>
      <c r="L2160">
        <v>1956</v>
      </c>
      <c r="R2160" t="s">
        <v>11038</v>
      </c>
      <c r="S2160" t="s">
        <v>10310</v>
      </c>
      <c r="W2160" s="2" t="s">
        <v>11202</v>
      </c>
    </row>
    <row r="2161" spans="1:23" hidden="1" x14ac:dyDescent="0.45">
      <c r="A2161" s="1" t="s">
        <v>2144</v>
      </c>
      <c r="B2161" t="s">
        <v>6199</v>
      </c>
      <c r="D2161" t="s">
        <v>7990</v>
      </c>
      <c r="E2161" t="s">
        <v>9385</v>
      </c>
      <c r="F2161" t="s">
        <v>10297</v>
      </c>
      <c r="G2161">
        <v>6</v>
      </c>
      <c r="H2161" t="s">
        <v>10310</v>
      </c>
      <c r="I2161" t="s">
        <v>10326</v>
      </c>
      <c r="L2161">
        <v>1965</v>
      </c>
      <c r="R2161" t="s">
        <v>11038</v>
      </c>
      <c r="S2161" t="s">
        <v>10310</v>
      </c>
      <c r="W2161" s="2" t="s">
        <v>11202</v>
      </c>
    </row>
    <row r="2162" spans="1:23" hidden="1" x14ac:dyDescent="0.45">
      <c r="A2162" s="1" t="s">
        <v>2145</v>
      </c>
      <c r="B2162" t="s">
        <v>6199</v>
      </c>
      <c r="D2162" t="s">
        <v>7990</v>
      </c>
      <c r="E2162" t="s">
        <v>9395</v>
      </c>
      <c r="F2162" t="s">
        <v>10297</v>
      </c>
      <c r="G2162">
        <v>7.81</v>
      </c>
      <c r="H2162" t="s">
        <v>10310</v>
      </c>
      <c r="I2162" t="s">
        <v>10326</v>
      </c>
      <c r="L2162">
        <v>1992</v>
      </c>
      <c r="R2162" t="s">
        <v>11038</v>
      </c>
      <c r="S2162" t="s">
        <v>10310</v>
      </c>
      <c r="W2162" s="2" t="s">
        <v>11202</v>
      </c>
    </row>
    <row r="2163" spans="1:23" hidden="1" x14ac:dyDescent="0.45">
      <c r="A2163" s="1" t="s">
        <v>2146</v>
      </c>
      <c r="B2163" t="s">
        <v>6199</v>
      </c>
      <c r="D2163" t="s">
        <v>7990</v>
      </c>
      <c r="E2163" t="s">
        <v>9395</v>
      </c>
      <c r="F2163" t="s">
        <v>10297</v>
      </c>
      <c r="G2163">
        <v>7.68</v>
      </c>
      <c r="H2163" t="s">
        <v>10310</v>
      </c>
      <c r="I2163" t="s">
        <v>10326</v>
      </c>
      <c r="L2163">
        <v>1992</v>
      </c>
      <c r="R2163" t="s">
        <v>11038</v>
      </c>
      <c r="S2163" t="s">
        <v>10310</v>
      </c>
      <c r="W2163" s="2" t="s">
        <v>11202</v>
      </c>
    </row>
    <row r="2164" spans="1:23" hidden="1" x14ac:dyDescent="0.45">
      <c r="A2164" s="1" t="s">
        <v>2147</v>
      </c>
      <c r="B2164" t="s">
        <v>6199</v>
      </c>
      <c r="D2164" t="s">
        <v>7990</v>
      </c>
      <c r="E2164" t="s">
        <v>9396</v>
      </c>
      <c r="F2164" t="s">
        <v>10297</v>
      </c>
      <c r="G2164">
        <v>31.15</v>
      </c>
      <c r="H2164" t="s">
        <v>10310</v>
      </c>
      <c r="I2164" t="s">
        <v>10326</v>
      </c>
      <c r="L2164">
        <v>1961</v>
      </c>
      <c r="R2164" t="s">
        <v>11038</v>
      </c>
      <c r="S2164" t="s">
        <v>10310</v>
      </c>
      <c r="W2164" s="2" t="s">
        <v>11202</v>
      </c>
    </row>
    <row r="2165" spans="1:23" hidden="1" x14ac:dyDescent="0.45">
      <c r="A2165" s="1" t="s">
        <v>2148</v>
      </c>
      <c r="B2165" t="s">
        <v>6199</v>
      </c>
      <c r="D2165" t="s">
        <v>7990</v>
      </c>
      <c r="E2165" t="s">
        <v>9396</v>
      </c>
      <c r="F2165" t="s">
        <v>10297</v>
      </c>
      <c r="G2165">
        <v>32.049999999999997</v>
      </c>
      <c r="H2165" t="s">
        <v>10310</v>
      </c>
      <c r="I2165" t="s">
        <v>10326</v>
      </c>
      <c r="L2165">
        <v>1961</v>
      </c>
      <c r="R2165" t="s">
        <v>11038</v>
      </c>
      <c r="S2165" t="s">
        <v>10310</v>
      </c>
      <c r="W2165" s="2" t="s">
        <v>11202</v>
      </c>
    </row>
    <row r="2166" spans="1:23" hidden="1" x14ac:dyDescent="0.45">
      <c r="A2166" s="1" t="s">
        <v>2149</v>
      </c>
      <c r="B2166" t="s">
        <v>6199</v>
      </c>
      <c r="D2166" t="s">
        <v>7990</v>
      </c>
      <c r="E2166" t="s">
        <v>9397</v>
      </c>
      <c r="F2166" t="s">
        <v>10297</v>
      </c>
      <c r="G2166">
        <v>8.8000000000000007</v>
      </c>
      <c r="H2166" t="s">
        <v>10310</v>
      </c>
      <c r="I2166" t="s">
        <v>10326</v>
      </c>
      <c r="L2166">
        <v>1959</v>
      </c>
      <c r="R2166" t="s">
        <v>11038</v>
      </c>
      <c r="S2166" t="s">
        <v>10310</v>
      </c>
      <c r="W2166" s="2" t="s">
        <v>11202</v>
      </c>
    </row>
    <row r="2167" spans="1:23" hidden="1" x14ac:dyDescent="0.45">
      <c r="A2167" s="1" t="s">
        <v>2150</v>
      </c>
      <c r="B2167" t="s">
        <v>6199</v>
      </c>
      <c r="D2167" t="s">
        <v>7990</v>
      </c>
      <c r="E2167" t="s">
        <v>9397</v>
      </c>
      <c r="F2167" t="s">
        <v>10297</v>
      </c>
      <c r="G2167">
        <v>8.8000000000000007</v>
      </c>
      <c r="H2167" t="s">
        <v>10310</v>
      </c>
      <c r="I2167" t="s">
        <v>10326</v>
      </c>
      <c r="L2167">
        <v>1960</v>
      </c>
      <c r="R2167" t="s">
        <v>11038</v>
      </c>
      <c r="S2167" t="s">
        <v>10310</v>
      </c>
      <c r="W2167" s="2" t="s">
        <v>11202</v>
      </c>
    </row>
    <row r="2168" spans="1:23" hidden="1" x14ac:dyDescent="0.45">
      <c r="A2168" s="1" t="s">
        <v>2151</v>
      </c>
      <c r="B2168" t="s">
        <v>6199</v>
      </c>
      <c r="D2168" t="s">
        <v>7990</v>
      </c>
      <c r="E2168" t="s">
        <v>9398</v>
      </c>
      <c r="F2168" t="s">
        <v>10297</v>
      </c>
      <c r="G2168">
        <v>10.71</v>
      </c>
      <c r="H2168" t="s">
        <v>10310</v>
      </c>
      <c r="I2168" t="s">
        <v>10326</v>
      </c>
      <c r="L2168">
        <v>1958</v>
      </c>
      <c r="R2168" t="s">
        <v>11038</v>
      </c>
      <c r="S2168" t="s">
        <v>10310</v>
      </c>
      <c r="W2168" s="2" t="s">
        <v>11202</v>
      </c>
    </row>
    <row r="2169" spans="1:23" hidden="1" x14ac:dyDescent="0.45">
      <c r="A2169" s="1" t="s">
        <v>2152</v>
      </c>
      <c r="B2169" t="s">
        <v>6199</v>
      </c>
      <c r="D2169" t="s">
        <v>7990</v>
      </c>
      <c r="E2169" t="s">
        <v>9398</v>
      </c>
      <c r="F2169" t="s">
        <v>10297</v>
      </c>
      <c r="G2169">
        <v>10.32</v>
      </c>
      <c r="H2169" t="s">
        <v>10310</v>
      </c>
      <c r="I2169" t="s">
        <v>10326</v>
      </c>
      <c r="L2169">
        <v>1958</v>
      </c>
      <c r="R2169" t="s">
        <v>11038</v>
      </c>
      <c r="S2169" t="s">
        <v>10310</v>
      </c>
      <c r="W2169" s="2" t="s">
        <v>11202</v>
      </c>
    </row>
    <row r="2170" spans="1:23" hidden="1" x14ac:dyDescent="0.45">
      <c r="A2170" s="1" t="s">
        <v>2153</v>
      </c>
      <c r="B2170" t="s">
        <v>6199</v>
      </c>
      <c r="D2170" t="s">
        <v>7990</v>
      </c>
      <c r="E2170" t="s">
        <v>9398</v>
      </c>
      <c r="F2170" t="s">
        <v>10297</v>
      </c>
      <c r="G2170">
        <v>14.1</v>
      </c>
      <c r="H2170" t="s">
        <v>10310</v>
      </c>
      <c r="I2170" t="s">
        <v>10326</v>
      </c>
      <c r="L2170">
        <v>1992</v>
      </c>
      <c r="R2170" t="s">
        <v>11038</v>
      </c>
      <c r="S2170" t="s">
        <v>10310</v>
      </c>
      <c r="W2170" s="2" t="s">
        <v>11202</v>
      </c>
    </row>
    <row r="2171" spans="1:23" hidden="1" x14ac:dyDescent="0.45">
      <c r="A2171" s="1" t="s">
        <v>2154</v>
      </c>
      <c r="B2171" t="s">
        <v>6199</v>
      </c>
      <c r="D2171" t="s">
        <v>7990</v>
      </c>
      <c r="E2171" t="s">
        <v>9399</v>
      </c>
      <c r="F2171" t="s">
        <v>10297</v>
      </c>
      <c r="G2171">
        <v>3.04</v>
      </c>
      <c r="H2171" t="s">
        <v>10310</v>
      </c>
      <c r="I2171" t="s">
        <v>10325</v>
      </c>
      <c r="L2171">
        <v>1961</v>
      </c>
      <c r="R2171" t="s">
        <v>11038</v>
      </c>
      <c r="S2171" t="s">
        <v>10310</v>
      </c>
      <c r="W2171" s="2" t="s">
        <v>11202</v>
      </c>
    </row>
    <row r="2172" spans="1:23" hidden="1" x14ac:dyDescent="0.45">
      <c r="A2172" s="1" t="s">
        <v>2155</v>
      </c>
      <c r="B2172" t="s">
        <v>6211</v>
      </c>
      <c r="D2172" t="s">
        <v>7999</v>
      </c>
      <c r="E2172" t="s">
        <v>9400</v>
      </c>
      <c r="F2172" t="s">
        <v>10297</v>
      </c>
      <c r="G2172">
        <v>6.34</v>
      </c>
      <c r="H2172" t="s">
        <v>10310</v>
      </c>
      <c r="I2172" t="s">
        <v>10325</v>
      </c>
      <c r="L2172">
        <v>1921</v>
      </c>
      <c r="R2172" t="s">
        <v>11038</v>
      </c>
      <c r="S2172" t="s">
        <v>10310</v>
      </c>
      <c r="W2172" s="2" t="s">
        <v>11202</v>
      </c>
    </row>
    <row r="2173" spans="1:23" hidden="1" x14ac:dyDescent="0.45">
      <c r="A2173" s="1" t="s">
        <v>2156</v>
      </c>
      <c r="B2173" t="s">
        <v>6199</v>
      </c>
      <c r="D2173" t="s">
        <v>7990</v>
      </c>
      <c r="E2173" t="s">
        <v>9401</v>
      </c>
      <c r="F2173" t="s">
        <v>10297</v>
      </c>
      <c r="G2173">
        <v>3.04</v>
      </c>
      <c r="H2173" t="s">
        <v>10310</v>
      </c>
      <c r="I2173" t="s">
        <v>10325</v>
      </c>
      <c r="L2173">
        <v>1932</v>
      </c>
      <c r="R2173" t="s">
        <v>11038</v>
      </c>
      <c r="S2173" t="s">
        <v>10310</v>
      </c>
      <c r="W2173" s="2" t="s">
        <v>11202</v>
      </c>
    </row>
    <row r="2174" spans="1:23" hidden="1" x14ac:dyDescent="0.45">
      <c r="A2174" s="1" t="s">
        <v>2157</v>
      </c>
      <c r="B2174" t="s">
        <v>6199</v>
      </c>
      <c r="D2174" t="s">
        <v>7990</v>
      </c>
      <c r="E2174" t="s">
        <v>9401</v>
      </c>
      <c r="F2174" t="s">
        <v>10297</v>
      </c>
      <c r="G2174">
        <v>3.04</v>
      </c>
      <c r="H2174" t="s">
        <v>10310</v>
      </c>
      <c r="I2174" t="s">
        <v>10325</v>
      </c>
      <c r="L2174">
        <v>1932</v>
      </c>
      <c r="R2174" t="s">
        <v>11038</v>
      </c>
      <c r="S2174" t="s">
        <v>10310</v>
      </c>
      <c r="W2174" s="2" t="s">
        <v>11202</v>
      </c>
    </row>
    <row r="2175" spans="1:23" hidden="1" x14ac:dyDescent="0.45">
      <c r="A2175" s="1" t="s">
        <v>2158</v>
      </c>
      <c r="B2175" t="s">
        <v>6199</v>
      </c>
      <c r="D2175" t="s">
        <v>7990</v>
      </c>
      <c r="E2175" t="s">
        <v>9402</v>
      </c>
      <c r="F2175" t="s">
        <v>10297</v>
      </c>
      <c r="G2175">
        <v>15.12</v>
      </c>
      <c r="H2175" t="s">
        <v>10310</v>
      </c>
      <c r="I2175" t="s">
        <v>10326</v>
      </c>
      <c r="L2175">
        <v>1962</v>
      </c>
      <c r="R2175" t="s">
        <v>11038</v>
      </c>
      <c r="S2175" t="s">
        <v>10310</v>
      </c>
      <c r="W2175" s="2" t="s">
        <v>11202</v>
      </c>
    </row>
    <row r="2176" spans="1:23" hidden="1" x14ac:dyDescent="0.45">
      <c r="A2176" s="1" t="s">
        <v>2159</v>
      </c>
      <c r="B2176" t="s">
        <v>6199</v>
      </c>
      <c r="D2176" t="s">
        <v>7990</v>
      </c>
      <c r="E2176" t="s">
        <v>9403</v>
      </c>
      <c r="F2176" t="s">
        <v>10297</v>
      </c>
      <c r="G2176">
        <v>2.4</v>
      </c>
      <c r="H2176" t="s">
        <v>10310</v>
      </c>
      <c r="I2176" t="s">
        <v>10325</v>
      </c>
      <c r="L2176">
        <v>1918</v>
      </c>
      <c r="R2176" t="s">
        <v>11038</v>
      </c>
      <c r="S2176" t="s">
        <v>10310</v>
      </c>
      <c r="W2176" s="2" t="s">
        <v>11202</v>
      </c>
    </row>
    <row r="2177" spans="1:23" hidden="1" x14ac:dyDescent="0.45">
      <c r="A2177" s="1" t="s">
        <v>2160</v>
      </c>
      <c r="B2177" t="s">
        <v>6199</v>
      </c>
      <c r="D2177" t="s">
        <v>7990</v>
      </c>
      <c r="E2177" t="s">
        <v>9403</v>
      </c>
      <c r="F2177" t="s">
        <v>10297</v>
      </c>
      <c r="G2177">
        <v>2.4</v>
      </c>
      <c r="H2177" t="s">
        <v>10310</v>
      </c>
      <c r="I2177" t="s">
        <v>10325</v>
      </c>
      <c r="L2177">
        <v>1918</v>
      </c>
      <c r="R2177" t="s">
        <v>11038</v>
      </c>
      <c r="S2177" t="s">
        <v>10310</v>
      </c>
      <c r="W2177" s="2" t="s">
        <v>11202</v>
      </c>
    </row>
    <row r="2178" spans="1:23" hidden="1" x14ac:dyDescent="0.45">
      <c r="A2178" s="1" t="s">
        <v>2161</v>
      </c>
      <c r="B2178" t="s">
        <v>6199</v>
      </c>
      <c r="D2178" t="s">
        <v>7990</v>
      </c>
      <c r="E2178" t="s">
        <v>9403</v>
      </c>
      <c r="F2178" t="s">
        <v>10297</v>
      </c>
      <c r="G2178">
        <v>2.4</v>
      </c>
      <c r="H2178" t="s">
        <v>10310</v>
      </c>
      <c r="I2178" t="s">
        <v>10325</v>
      </c>
      <c r="L2178">
        <v>1918</v>
      </c>
      <c r="R2178" t="s">
        <v>11038</v>
      </c>
      <c r="S2178" t="s">
        <v>10310</v>
      </c>
      <c r="W2178" s="2" t="s">
        <v>11202</v>
      </c>
    </row>
    <row r="2179" spans="1:23" hidden="1" x14ac:dyDescent="0.45">
      <c r="A2179" s="1" t="s">
        <v>2162</v>
      </c>
      <c r="B2179" t="s">
        <v>6199</v>
      </c>
      <c r="D2179" t="s">
        <v>7990</v>
      </c>
      <c r="E2179" t="s">
        <v>9404</v>
      </c>
      <c r="F2179" t="s">
        <v>10297</v>
      </c>
      <c r="G2179">
        <v>6.4</v>
      </c>
      <c r="H2179" t="s">
        <v>10310</v>
      </c>
      <c r="I2179" t="s">
        <v>10326</v>
      </c>
      <c r="L2179">
        <v>1927</v>
      </c>
      <c r="R2179" t="s">
        <v>11038</v>
      </c>
      <c r="S2179" t="s">
        <v>10310</v>
      </c>
      <c r="W2179" s="2" t="s">
        <v>11202</v>
      </c>
    </row>
    <row r="2180" spans="1:23" hidden="1" x14ac:dyDescent="0.45">
      <c r="A2180" s="1" t="s">
        <v>2163</v>
      </c>
      <c r="B2180" t="s">
        <v>6199</v>
      </c>
      <c r="D2180" t="s">
        <v>7990</v>
      </c>
      <c r="E2180" t="s">
        <v>9404</v>
      </c>
      <c r="F2180" t="s">
        <v>10297</v>
      </c>
      <c r="G2180">
        <v>6.4</v>
      </c>
      <c r="H2180" t="s">
        <v>10310</v>
      </c>
      <c r="I2180" t="s">
        <v>10326</v>
      </c>
      <c r="L2180">
        <v>1927</v>
      </c>
      <c r="R2180" t="s">
        <v>11038</v>
      </c>
      <c r="S2180" t="s">
        <v>10310</v>
      </c>
      <c r="W2180" s="2" t="s">
        <v>11202</v>
      </c>
    </row>
    <row r="2181" spans="1:23" hidden="1" x14ac:dyDescent="0.45">
      <c r="A2181" s="1" t="s">
        <v>2164</v>
      </c>
      <c r="B2181" t="s">
        <v>6199</v>
      </c>
      <c r="D2181" t="s">
        <v>7990</v>
      </c>
      <c r="E2181" t="s">
        <v>9405</v>
      </c>
      <c r="F2181" t="s">
        <v>10297</v>
      </c>
      <c r="G2181">
        <v>8.8000000000000007</v>
      </c>
      <c r="H2181" t="s">
        <v>10310</v>
      </c>
      <c r="I2181" t="s">
        <v>10326</v>
      </c>
      <c r="L2181">
        <v>1988</v>
      </c>
      <c r="R2181" t="s">
        <v>11038</v>
      </c>
      <c r="S2181" t="s">
        <v>10310</v>
      </c>
      <c r="W2181" s="2" t="s">
        <v>11202</v>
      </c>
    </row>
    <row r="2182" spans="1:23" hidden="1" x14ac:dyDescent="0.45">
      <c r="A2182" s="1" t="s">
        <v>2165</v>
      </c>
      <c r="B2182" t="s">
        <v>6199</v>
      </c>
      <c r="D2182" t="s">
        <v>7990</v>
      </c>
      <c r="E2182" t="s">
        <v>9406</v>
      </c>
      <c r="F2182" t="s">
        <v>10297</v>
      </c>
      <c r="G2182">
        <v>3.16</v>
      </c>
      <c r="H2182" t="s">
        <v>10310</v>
      </c>
      <c r="I2182" t="s">
        <v>10325</v>
      </c>
      <c r="L2182">
        <v>1956</v>
      </c>
      <c r="R2182" t="s">
        <v>11038</v>
      </c>
      <c r="S2182" t="s">
        <v>10310</v>
      </c>
      <c r="W2182" s="2" t="s">
        <v>11202</v>
      </c>
    </row>
    <row r="2183" spans="1:23" hidden="1" x14ac:dyDescent="0.45">
      <c r="A2183" s="1" t="s">
        <v>2166</v>
      </c>
      <c r="B2183" t="s">
        <v>6199</v>
      </c>
      <c r="D2183" t="s">
        <v>7990</v>
      </c>
      <c r="E2183" t="s">
        <v>9406</v>
      </c>
      <c r="F2183" t="s">
        <v>10297</v>
      </c>
      <c r="G2183">
        <v>3.16</v>
      </c>
      <c r="H2183" t="s">
        <v>10310</v>
      </c>
      <c r="I2183" t="s">
        <v>10325</v>
      </c>
      <c r="L2183">
        <v>1956</v>
      </c>
      <c r="R2183" t="s">
        <v>11038</v>
      </c>
      <c r="S2183" t="s">
        <v>10310</v>
      </c>
      <c r="W2183" s="2" t="s">
        <v>11202</v>
      </c>
    </row>
    <row r="2184" spans="1:23" hidden="1" x14ac:dyDescent="0.45">
      <c r="A2184" s="1" t="s">
        <v>2167</v>
      </c>
      <c r="B2184" t="s">
        <v>6199</v>
      </c>
      <c r="D2184" t="s">
        <v>7990</v>
      </c>
      <c r="E2184" t="s">
        <v>9407</v>
      </c>
      <c r="F2184" t="s">
        <v>10297</v>
      </c>
      <c r="G2184">
        <v>2.5299999999999998</v>
      </c>
      <c r="H2184" t="s">
        <v>10310</v>
      </c>
      <c r="I2184" t="s">
        <v>10325</v>
      </c>
      <c r="L2184">
        <v>1922</v>
      </c>
      <c r="R2184" t="s">
        <v>11038</v>
      </c>
      <c r="S2184" t="s">
        <v>10310</v>
      </c>
      <c r="W2184" s="2" t="s">
        <v>11202</v>
      </c>
    </row>
    <row r="2185" spans="1:23" hidden="1" x14ac:dyDescent="0.45">
      <c r="A2185" s="1" t="s">
        <v>2168</v>
      </c>
      <c r="B2185" t="s">
        <v>6199</v>
      </c>
      <c r="D2185" t="s">
        <v>7990</v>
      </c>
      <c r="E2185" t="s">
        <v>9407</v>
      </c>
      <c r="F2185" t="s">
        <v>10297</v>
      </c>
      <c r="G2185">
        <v>2.8</v>
      </c>
      <c r="H2185" t="s">
        <v>10310</v>
      </c>
      <c r="I2185" t="s">
        <v>10325</v>
      </c>
      <c r="L2185">
        <v>1922</v>
      </c>
      <c r="R2185" t="s">
        <v>11038</v>
      </c>
      <c r="S2185" t="s">
        <v>10310</v>
      </c>
      <c r="W2185" s="2" t="s">
        <v>11202</v>
      </c>
    </row>
    <row r="2186" spans="1:23" hidden="1" x14ac:dyDescent="0.45">
      <c r="A2186" s="1" t="s">
        <v>2169</v>
      </c>
      <c r="B2186" t="s">
        <v>6199</v>
      </c>
      <c r="D2186" t="s">
        <v>7990</v>
      </c>
      <c r="E2186" t="s">
        <v>9407</v>
      </c>
      <c r="F2186" t="s">
        <v>10297</v>
      </c>
      <c r="G2186">
        <v>2.37</v>
      </c>
      <c r="H2186" t="s">
        <v>10310</v>
      </c>
      <c r="I2186" t="s">
        <v>10325</v>
      </c>
      <c r="L2186">
        <v>1922</v>
      </c>
      <c r="R2186" t="s">
        <v>11038</v>
      </c>
      <c r="S2186" t="s">
        <v>10310</v>
      </c>
      <c r="W2186" s="2" t="s">
        <v>11202</v>
      </c>
    </row>
    <row r="2187" spans="1:23" hidden="1" x14ac:dyDescent="0.45">
      <c r="A2187" s="1" t="s">
        <v>2170</v>
      </c>
      <c r="B2187" t="s">
        <v>6199</v>
      </c>
      <c r="D2187" t="s">
        <v>7990</v>
      </c>
      <c r="E2187" t="s">
        <v>9408</v>
      </c>
      <c r="F2187" t="s">
        <v>10297</v>
      </c>
      <c r="G2187">
        <v>1.8</v>
      </c>
      <c r="H2187" t="s">
        <v>10310</v>
      </c>
      <c r="I2187" t="s">
        <v>10325</v>
      </c>
      <c r="L2187">
        <v>1953</v>
      </c>
      <c r="R2187" t="s">
        <v>11038</v>
      </c>
      <c r="S2187" t="s">
        <v>10310</v>
      </c>
      <c r="W2187" s="2" t="s">
        <v>11202</v>
      </c>
    </row>
    <row r="2188" spans="1:23" hidden="1" x14ac:dyDescent="0.45">
      <c r="A2188" s="1" t="s">
        <v>2171</v>
      </c>
      <c r="B2188" t="s">
        <v>6199</v>
      </c>
      <c r="D2188" t="s">
        <v>7990</v>
      </c>
      <c r="E2188" t="s">
        <v>9409</v>
      </c>
      <c r="F2188" t="s">
        <v>10297</v>
      </c>
      <c r="G2188">
        <v>0.72</v>
      </c>
      <c r="H2188" t="s">
        <v>10310</v>
      </c>
      <c r="I2188" t="s">
        <v>10325</v>
      </c>
      <c r="L2188">
        <v>1932</v>
      </c>
      <c r="R2188" t="s">
        <v>11038</v>
      </c>
      <c r="S2188" t="s">
        <v>10310</v>
      </c>
      <c r="W2188" s="2" t="s">
        <v>11202</v>
      </c>
    </row>
    <row r="2189" spans="1:23" hidden="1" x14ac:dyDescent="0.45">
      <c r="A2189" s="1" t="s">
        <v>2172</v>
      </c>
      <c r="B2189" t="s">
        <v>6199</v>
      </c>
      <c r="D2189" t="s">
        <v>7990</v>
      </c>
      <c r="E2189" t="s">
        <v>9410</v>
      </c>
      <c r="F2189" t="s">
        <v>10297</v>
      </c>
      <c r="G2189">
        <v>17.170000000000002</v>
      </c>
      <c r="H2189" t="s">
        <v>10310</v>
      </c>
      <c r="I2189" t="s">
        <v>10326</v>
      </c>
      <c r="L2189">
        <v>1956</v>
      </c>
      <c r="N2189">
        <v>39.373055000000001</v>
      </c>
      <c r="P2189">
        <v>-5.0160530000000003</v>
      </c>
      <c r="R2189" t="s">
        <v>11038</v>
      </c>
      <c r="S2189" t="s">
        <v>10310</v>
      </c>
      <c r="W2189" s="2" t="s">
        <v>11202</v>
      </c>
    </row>
    <row r="2190" spans="1:23" hidden="1" x14ac:dyDescent="0.45">
      <c r="A2190" s="1" t="s">
        <v>2173</v>
      </c>
      <c r="B2190" t="s">
        <v>6199</v>
      </c>
      <c r="D2190" t="s">
        <v>7990</v>
      </c>
      <c r="E2190" t="s">
        <v>9410</v>
      </c>
      <c r="F2190" t="s">
        <v>10297</v>
      </c>
      <c r="G2190">
        <v>17.170000000000002</v>
      </c>
      <c r="H2190" t="s">
        <v>10310</v>
      </c>
      <c r="I2190" t="s">
        <v>10326</v>
      </c>
      <c r="L2190">
        <v>1957</v>
      </c>
      <c r="N2190">
        <v>39.373055000000001</v>
      </c>
      <c r="P2190">
        <v>-5.0160530000000003</v>
      </c>
      <c r="R2190" t="s">
        <v>11038</v>
      </c>
      <c r="S2190" t="s">
        <v>10310</v>
      </c>
      <c r="W2190" s="2" t="s">
        <v>11202</v>
      </c>
    </row>
    <row r="2191" spans="1:23" hidden="1" x14ac:dyDescent="0.45">
      <c r="A2191" s="1" t="s">
        <v>2174</v>
      </c>
      <c r="B2191" t="s">
        <v>6199</v>
      </c>
      <c r="D2191" t="s">
        <v>7990</v>
      </c>
      <c r="E2191" t="s">
        <v>9410</v>
      </c>
      <c r="F2191" t="s">
        <v>10297</v>
      </c>
      <c r="G2191">
        <v>17.36</v>
      </c>
      <c r="H2191" t="s">
        <v>10310</v>
      </c>
      <c r="I2191" t="s">
        <v>10326</v>
      </c>
      <c r="L2191">
        <v>1969</v>
      </c>
      <c r="N2191">
        <v>39.373055000000001</v>
      </c>
      <c r="P2191">
        <v>-5.0160530000000003</v>
      </c>
      <c r="R2191" t="s">
        <v>11038</v>
      </c>
      <c r="S2191" t="s">
        <v>10310</v>
      </c>
      <c r="W2191" s="2" t="s">
        <v>11202</v>
      </c>
    </row>
    <row r="2192" spans="1:23" hidden="1" x14ac:dyDescent="0.45">
      <c r="A2192" s="1" t="s">
        <v>2175</v>
      </c>
      <c r="B2192" t="s">
        <v>6199</v>
      </c>
      <c r="D2192" t="s">
        <v>7990</v>
      </c>
      <c r="E2192" t="s">
        <v>9411</v>
      </c>
      <c r="F2192" t="s">
        <v>10297</v>
      </c>
      <c r="G2192">
        <v>50.4</v>
      </c>
      <c r="H2192" t="s">
        <v>10310</v>
      </c>
      <c r="I2192" t="s">
        <v>10326</v>
      </c>
      <c r="L2192">
        <v>1980</v>
      </c>
      <c r="N2192">
        <v>39.373055000000001</v>
      </c>
      <c r="P2192">
        <v>-5.0160530000000003</v>
      </c>
      <c r="R2192" t="s">
        <v>11038</v>
      </c>
      <c r="S2192" t="s">
        <v>10310</v>
      </c>
      <c r="W2192" s="2" t="s">
        <v>11202</v>
      </c>
    </row>
    <row r="2193" spans="1:23" hidden="1" x14ac:dyDescent="0.45">
      <c r="A2193" s="1" t="s">
        <v>2176</v>
      </c>
      <c r="B2193" t="s">
        <v>6199</v>
      </c>
      <c r="D2193" t="s">
        <v>7990</v>
      </c>
      <c r="E2193" t="s">
        <v>9412</v>
      </c>
      <c r="F2193" t="s">
        <v>10297</v>
      </c>
      <c r="G2193">
        <v>1.29</v>
      </c>
      <c r="H2193" t="s">
        <v>10310</v>
      </c>
      <c r="I2193" t="s">
        <v>10325</v>
      </c>
      <c r="L2193">
        <v>1938</v>
      </c>
      <c r="R2193" t="s">
        <v>11038</v>
      </c>
      <c r="S2193" t="s">
        <v>10310</v>
      </c>
      <c r="W2193" s="2" t="s">
        <v>11202</v>
      </c>
    </row>
    <row r="2194" spans="1:23" hidden="1" x14ac:dyDescent="0.45">
      <c r="A2194" s="1" t="s">
        <v>2177</v>
      </c>
      <c r="B2194" t="s">
        <v>6199</v>
      </c>
      <c r="D2194" t="s">
        <v>7990</v>
      </c>
      <c r="E2194" t="s">
        <v>9412</v>
      </c>
      <c r="F2194" t="s">
        <v>10297</v>
      </c>
      <c r="G2194">
        <v>5.2</v>
      </c>
      <c r="H2194" t="s">
        <v>10310</v>
      </c>
      <c r="I2194" t="s">
        <v>10325</v>
      </c>
      <c r="L2194">
        <v>1938</v>
      </c>
      <c r="R2194" t="s">
        <v>11038</v>
      </c>
      <c r="S2194" t="s">
        <v>10310</v>
      </c>
      <c r="W2194" s="2" t="s">
        <v>11202</v>
      </c>
    </row>
    <row r="2195" spans="1:23" hidden="1" x14ac:dyDescent="0.45">
      <c r="A2195" s="1" t="s">
        <v>2178</v>
      </c>
      <c r="B2195" t="s">
        <v>6199</v>
      </c>
      <c r="D2195" t="s">
        <v>7990</v>
      </c>
      <c r="E2195" t="s">
        <v>9412</v>
      </c>
      <c r="F2195" t="s">
        <v>10297</v>
      </c>
      <c r="G2195">
        <v>5.2</v>
      </c>
      <c r="H2195" t="s">
        <v>10310</v>
      </c>
      <c r="I2195" t="s">
        <v>10325</v>
      </c>
      <c r="L2195">
        <v>1938</v>
      </c>
      <c r="R2195" t="s">
        <v>11038</v>
      </c>
      <c r="S2195" t="s">
        <v>10310</v>
      </c>
      <c r="W2195" s="2" t="s">
        <v>11202</v>
      </c>
    </row>
    <row r="2196" spans="1:23" hidden="1" x14ac:dyDescent="0.45">
      <c r="A2196" s="1" t="s">
        <v>2179</v>
      </c>
      <c r="B2196" t="s">
        <v>6199</v>
      </c>
      <c r="D2196" t="s">
        <v>7990</v>
      </c>
      <c r="E2196" t="s">
        <v>9413</v>
      </c>
      <c r="F2196" t="s">
        <v>10297</v>
      </c>
      <c r="G2196">
        <v>4.13</v>
      </c>
      <c r="H2196" t="s">
        <v>10310</v>
      </c>
      <c r="I2196" t="s">
        <v>10325</v>
      </c>
      <c r="L2196">
        <v>1952</v>
      </c>
      <c r="R2196" t="s">
        <v>11038</v>
      </c>
      <c r="S2196" t="s">
        <v>10310</v>
      </c>
      <c r="W2196" s="2" t="s">
        <v>11202</v>
      </c>
    </row>
    <row r="2197" spans="1:23" hidden="1" x14ac:dyDescent="0.45">
      <c r="A2197" s="1" t="s">
        <v>2180</v>
      </c>
      <c r="B2197" t="s">
        <v>6199</v>
      </c>
      <c r="D2197" t="s">
        <v>7990</v>
      </c>
      <c r="E2197" t="s">
        <v>9413</v>
      </c>
      <c r="F2197" t="s">
        <v>10297</v>
      </c>
      <c r="G2197">
        <v>5.16</v>
      </c>
      <c r="H2197" t="s">
        <v>10310</v>
      </c>
      <c r="I2197" t="s">
        <v>10325</v>
      </c>
      <c r="L2197">
        <v>1952</v>
      </c>
      <c r="R2197" t="s">
        <v>11038</v>
      </c>
      <c r="S2197" t="s">
        <v>10310</v>
      </c>
      <c r="W2197" s="2" t="s">
        <v>11202</v>
      </c>
    </row>
    <row r="2198" spans="1:23" hidden="1" x14ac:dyDescent="0.45">
      <c r="A2198" s="1" t="s">
        <v>2181</v>
      </c>
      <c r="B2198" t="s">
        <v>6199</v>
      </c>
      <c r="D2198" t="s">
        <v>7990</v>
      </c>
      <c r="E2198" t="s">
        <v>9413</v>
      </c>
      <c r="F2198" t="s">
        <v>10297</v>
      </c>
      <c r="G2198">
        <v>5.0999999999999996</v>
      </c>
      <c r="H2198" t="s">
        <v>10310</v>
      </c>
      <c r="I2198" t="s">
        <v>10325</v>
      </c>
      <c r="L2198">
        <v>1952</v>
      </c>
      <c r="R2198" t="s">
        <v>11038</v>
      </c>
      <c r="S2198" t="s">
        <v>10310</v>
      </c>
      <c r="W2198" s="2" t="s">
        <v>11202</v>
      </c>
    </row>
    <row r="2199" spans="1:23" hidden="1" x14ac:dyDescent="0.45">
      <c r="A2199" s="1" t="s">
        <v>2182</v>
      </c>
      <c r="B2199" t="s">
        <v>6199</v>
      </c>
      <c r="D2199" t="s">
        <v>7990</v>
      </c>
      <c r="E2199" t="s">
        <v>9414</v>
      </c>
      <c r="F2199" t="s">
        <v>10297</v>
      </c>
      <c r="G2199">
        <v>1.6</v>
      </c>
      <c r="H2199" t="s">
        <v>10310</v>
      </c>
      <c r="I2199" t="s">
        <v>10325</v>
      </c>
      <c r="L2199">
        <v>1950</v>
      </c>
      <c r="R2199" t="s">
        <v>11038</v>
      </c>
      <c r="S2199" t="s">
        <v>10310</v>
      </c>
      <c r="W2199" s="2" t="s">
        <v>11202</v>
      </c>
    </row>
    <row r="2200" spans="1:23" hidden="1" x14ac:dyDescent="0.45">
      <c r="A2200" s="1" t="s">
        <v>2183</v>
      </c>
      <c r="B2200" t="s">
        <v>6199</v>
      </c>
      <c r="D2200" t="s">
        <v>7990</v>
      </c>
      <c r="E2200" t="s">
        <v>9414</v>
      </c>
      <c r="F2200" t="s">
        <v>10297</v>
      </c>
      <c r="G2200">
        <v>2.0499999999999998</v>
      </c>
      <c r="H2200" t="s">
        <v>10310</v>
      </c>
      <c r="I2200" t="s">
        <v>10325</v>
      </c>
      <c r="L2200">
        <v>1950</v>
      </c>
      <c r="R2200" t="s">
        <v>11038</v>
      </c>
      <c r="S2200" t="s">
        <v>10310</v>
      </c>
      <c r="W2200" s="2" t="s">
        <v>11202</v>
      </c>
    </row>
    <row r="2201" spans="1:23" hidden="1" x14ac:dyDescent="0.45">
      <c r="A2201" s="1" t="s">
        <v>2184</v>
      </c>
      <c r="B2201" t="s">
        <v>6199</v>
      </c>
      <c r="D2201" t="s">
        <v>7990</v>
      </c>
      <c r="E2201" t="s">
        <v>9415</v>
      </c>
      <c r="F2201" t="s">
        <v>10297</v>
      </c>
      <c r="G2201">
        <v>5.2</v>
      </c>
      <c r="H2201" t="s">
        <v>10310</v>
      </c>
      <c r="I2201" t="s">
        <v>10325</v>
      </c>
      <c r="L2201">
        <v>1956</v>
      </c>
      <c r="R2201" t="s">
        <v>11038</v>
      </c>
      <c r="S2201" t="s">
        <v>10310</v>
      </c>
      <c r="W2201" s="2" t="s">
        <v>11202</v>
      </c>
    </row>
    <row r="2202" spans="1:23" hidden="1" x14ac:dyDescent="0.45">
      <c r="A2202" s="1" t="s">
        <v>2185</v>
      </c>
      <c r="B2202" t="s">
        <v>6199</v>
      </c>
      <c r="D2202" t="s">
        <v>7990</v>
      </c>
      <c r="E2202" t="s">
        <v>9415</v>
      </c>
      <c r="F2202" t="s">
        <v>10297</v>
      </c>
      <c r="G2202">
        <v>5.2</v>
      </c>
      <c r="H2202" t="s">
        <v>10310</v>
      </c>
      <c r="I2202" t="s">
        <v>10325</v>
      </c>
      <c r="L2202">
        <v>1956</v>
      </c>
      <c r="R2202" t="s">
        <v>11038</v>
      </c>
      <c r="S2202" t="s">
        <v>10310</v>
      </c>
      <c r="W2202" s="2" t="s">
        <v>11202</v>
      </c>
    </row>
    <row r="2203" spans="1:23" hidden="1" x14ac:dyDescent="0.45">
      <c r="A2203" s="1" t="s">
        <v>2186</v>
      </c>
      <c r="B2203" t="s">
        <v>6199</v>
      </c>
      <c r="D2203" t="s">
        <v>7990</v>
      </c>
      <c r="E2203" t="s">
        <v>9416</v>
      </c>
      <c r="F2203" t="s">
        <v>10297</v>
      </c>
      <c r="G2203">
        <v>12.8</v>
      </c>
      <c r="H2203" t="s">
        <v>10310</v>
      </c>
      <c r="I2203" t="s">
        <v>10325</v>
      </c>
      <c r="L2203">
        <v>1982</v>
      </c>
      <c r="R2203" t="s">
        <v>11038</v>
      </c>
      <c r="S2203" t="s">
        <v>10310</v>
      </c>
      <c r="W2203" s="2" t="s">
        <v>11202</v>
      </c>
    </row>
    <row r="2204" spans="1:23" hidden="1" x14ac:dyDescent="0.45">
      <c r="A2204" s="1" t="s">
        <v>2187</v>
      </c>
      <c r="B2204" t="s">
        <v>6199</v>
      </c>
      <c r="D2204" t="s">
        <v>7990</v>
      </c>
      <c r="E2204" t="s">
        <v>9417</v>
      </c>
      <c r="F2204" t="s">
        <v>10297</v>
      </c>
      <c r="G2204">
        <v>1.9</v>
      </c>
      <c r="H2204" t="s">
        <v>10310</v>
      </c>
      <c r="I2204" t="s">
        <v>10325</v>
      </c>
      <c r="L2204">
        <v>1924</v>
      </c>
      <c r="R2204" t="s">
        <v>11038</v>
      </c>
      <c r="S2204" t="s">
        <v>10310</v>
      </c>
      <c r="W2204" s="2" t="s">
        <v>11202</v>
      </c>
    </row>
    <row r="2205" spans="1:23" hidden="1" x14ac:dyDescent="0.45">
      <c r="A2205" s="1" t="s">
        <v>2188</v>
      </c>
      <c r="B2205" t="s">
        <v>6199</v>
      </c>
      <c r="D2205" t="s">
        <v>7990</v>
      </c>
      <c r="E2205" t="s">
        <v>9417</v>
      </c>
      <c r="F2205" t="s">
        <v>10297</v>
      </c>
      <c r="G2205">
        <v>1.9</v>
      </c>
      <c r="H2205" t="s">
        <v>10310</v>
      </c>
      <c r="I2205" t="s">
        <v>10325</v>
      </c>
      <c r="L2205">
        <v>1924</v>
      </c>
      <c r="R2205" t="s">
        <v>11038</v>
      </c>
      <c r="S2205" t="s">
        <v>10310</v>
      </c>
      <c r="W2205" s="2" t="s">
        <v>11202</v>
      </c>
    </row>
    <row r="2206" spans="1:23" hidden="1" x14ac:dyDescent="0.45">
      <c r="A2206" s="1" t="s">
        <v>2189</v>
      </c>
      <c r="B2206" t="s">
        <v>6199</v>
      </c>
      <c r="D2206" t="s">
        <v>7990</v>
      </c>
      <c r="E2206" t="s">
        <v>9418</v>
      </c>
      <c r="F2206" t="s">
        <v>10297</v>
      </c>
      <c r="G2206">
        <v>4.16</v>
      </c>
      <c r="H2206" t="s">
        <v>10310</v>
      </c>
      <c r="I2206" t="s">
        <v>10326</v>
      </c>
      <c r="L2206">
        <v>1930</v>
      </c>
      <c r="R2206" t="s">
        <v>11038</v>
      </c>
      <c r="S2206" t="s">
        <v>10310</v>
      </c>
      <c r="W2206" s="2" t="s">
        <v>11202</v>
      </c>
    </row>
    <row r="2207" spans="1:23" hidden="1" x14ac:dyDescent="0.45">
      <c r="A2207" s="1" t="s">
        <v>2190</v>
      </c>
      <c r="B2207" t="s">
        <v>6199</v>
      </c>
      <c r="D2207" t="s">
        <v>7990</v>
      </c>
      <c r="E2207" t="s">
        <v>9418</v>
      </c>
      <c r="F2207" t="s">
        <v>10297</v>
      </c>
      <c r="G2207">
        <v>4.16</v>
      </c>
      <c r="H2207" t="s">
        <v>10310</v>
      </c>
      <c r="I2207" t="s">
        <v>10326</v>
      </c>
      <c r="L2207">
        <v>1930</v>
      </c>
      <c r="R2207" t="s">
        <v>11038</v>
      </c>
      <c r="S2207" t="s">
        <v>10310</v>
      </c>
      <c r="W2207" s="2" t="s">
        <v>11202</v>
      </c>
    </row>
    <row r="2208" spans="1:23" hidden="1" x14ac:dyDescent="0.45">
      <c r="A2208" s="1" t="s">
        <v>2191</v>
      </c>
      <c r="B2208" t="s">
        <v>6199</v>
      </c>
      <c r="D2208" t="s">
        <v>7990</v>
      </c>
      <c r="E2208" t="s">
        <v>9419</v>
      </c>
      <c r="F2208" t="s">
        <v>10297</v>
      </c>
      <c r="G2208">
        <v>3.36</v>
      </c>
      <c r="H2208" t="s">
        <v>10310</v>
      </c>
      <c r="I2208" t="s">
        <v>10326</v>
      </c>
      <c r="L2208">
        <v>1947</v>
      </c>
      <c r="R2208" t="s">
        <v>11038</v>
      </c>
      <c r="S2208" t="s">
        <v>10310</v>
      </c>
      <c r="W2208" s="2" t="s">
        <v>11202</v>
      </c>
    </row>
    <row r="2209" spans="1:23" hidden="1" x14ac:dyDescent="0.45">
      <c r="A2209" s="1" t="s">
        <v>2192</v>
      </c>
      <c r="B2209" t="s">
        <v>6199</v>
      </c>
      <c r="D2209" t="s">
        <v>7990</v>
      </c>
      <c r="E2209" t="s">
        <v>9420</v>
      </c>
      <c r="F2209" t="s">
        <v>10297</v>
      </c>
      <c r="G2209">
        <v>5.12</v>
      </c>
      <c r="H2209" t="s">
        <v>10310</v>
      </c>
      <c r="I2209" t="s">
        <v>10326</v>
      </c>
      <c r="L2209">
        <v>1959</v>
      </c>
      <c r="R2209" t="s">
        <v>11038</v>
      </c>
      <c r="S2209" t="s">
        <v>10310</v>
      </c>
      <c r="W2209" s="2" t="s">
        <v>11202</v>
      </c>
    </row>
    <row r="2210" spans="1:23" hidden="1" x14ac:dyDescent="0.45">
      <c r="A2210" s="1" t="s">
        <v>2193</v>
      </c>
      <c r="B2210" t="s">
        <v>6199</v>
      </c>
      <c r="D2210" t="s">
        <v>7990</v>
      </c>
      <c r="E2210" t="s">
        <v>9421</v>
      </c>
      <c r="F2210" t="s">
        <v>10297</v>
      </c>
      <c r="G2210">
        <v>5.12</v>
      </c>
      <c r="H2210" t="s">
        <v>10310</v>
      </c>
      <c r="I2210" t="s">
        <v>10326</v>
      </c>
      <c r="L2210">
        <v>1963</v>
      </c>
      <c r="R2210" t="s">
        <v>11038</v>
      </c>
      <c r="S2210" t="s">
        <v>10310</v>
      </c>
      <c r="W2210" s="2" t="s">
        <v>11202</v>
      </c>
    </row>
    <row r="2211" spans="1:23" hidden="1" x14ac:dyDescent="0.45">
      <c r="A2211" s="1" t="s">
        <v>2194</v>
      </c>
      <c r="B2211" t="s">
        <v>6199</v>
      </c>
      <c r="D2211" t="s">
        <v>7990</v>
      </c>
      <c r="E2211" t="s">
        <v>9422</v>
      </c>
      <c r="F2211" t="s">
        <v>10297</v>
      </c>
      <c r="G2211">
        <v>15.2</v>
      </c>
      <c r="H2211" t="s">
        <v>10310</v>
      </c>
      <c r="I2211" t="s">
        <v>10326</v>
      </c>
      <c r="L2211">
        <v>1970</v>
      </c>
      <c r="R2211" t="s">
        <v>11038</v>
      </c>
      <c r="S2211" t="s">
        <v>10310</v>
      </c>
      <c r="W2211" s="2" t="s">
        <v>11202</v>
      </c>
    </row>
    <row r="2212" spans="1:23" hidden="1" x14ac:dyDescent="0.45">
      <c r="A2212" s="1" t="s">
        <v>2195</v>
      </c>
      <c r="B2212" t="s">
        <v>6199</v>
      </c>
      <c r="D2212" t="s">
        <v>7990</v>
      </c>
      <c r="E2212" t="s">
        <v>9404</v>
      </c>
      <c r="F2212" t="s">
        <v>10297</v>
      </c>
      <c r="G2212">
        <v>70</v>
      </c>
      <c r="H2212" t="s">
        <v>10310</v>
      </c>
      <c r="I2212" t="s">
        <v>10324</v>
      </c>
      <c r="L2212">
        <v>1973</v>
      </c>
      <c r="N2212">
        <v>37.567315000000001</v>
      </c>
      <c r="P2212">
        <v>-6.0495410000000014</v>
      </c>
      <c r="R2212" t="s">
        <v>11038</v>
      </c>
      <c r="S2212" t="s">
        <v>10310</v>
      </c>
      <c r="W2212" s="2" t="s">
        <v>11202</v>
      </c>
    </row>
    <row r="2213" spans="1:23" hidden="1" x14ac:dyDescent="0.45">
      <c r="A2213" s="1" t="s">
        <v>2196</v>
      </c>
      <c r="B2213" t="s">
        <v>6199</v>
      </c>
      <c r="D2213" t="s">
        <v>7990</v>
      </c>
      <c r="E2213" t="s">
        <v>9404</v>
      </c>
      <c r="F2213" t="s">
        <v>10297</v>
      </c>
      <c r="G2213">
        <v>70</v>
      </c>
      <c r="H2213" t="s">
        <v>10310</v>
      </c>
      <c r="I2213" t="s">
        <v>10324</v>
      </c>
      <c r="L2213">
        <v>1973</v>
      </c>
      <c r="N2213">
        <v>37.567315000000001</v>
      </c>
      <c r="P2213">
        <v>-6.0495410000000014</v>
      </c>
      <c r="R2213" t="s">
        <v>11038</v>
      </c>
      <c r="S2213" t="s">
        <v>10310</v>
      </c>
      <c r="W2213" s="2" t="s">
        <v>11202</v>
      </c>
    </row>
    <row r="2214" spans="1:23" hidden="1" x14ac:dyDescent="0.45">
      <c r="A2214" s="1" t="s">
        <v>2197</v>
      </c>
      <c r="B2214" t="s">
        <v>6199</v>
      </c>
      <c r="D2214" t="s">
        <v>7990</v>
      </c>
      <c r="E2214" t="s">
        <v>9404</v>
      </c>
      <c r="F2214" t="s">
        <v>10297</v>
      </c>
      <c r="G2214">
        <v>70</v>
      </c>
      <c r="H2214" t="s">
        <v>10310</v>
      </c>
      <c r="I2214" t="s">
        <v>10324</v>
      </c>
      <c r="L2214">
        <v>1973</v>
      </c>
      <c r="N2214">
        <v>37.567315000000001</v>
      </c>
      <c r="P2214">
        <v>-6.0495410000000014</v>
      </c>
      <c r="R2214" t="s">
        <v>11038</v>
      </c>
      <c r="S2214" t="s">
        <v>10310</v>
      </c>
      <c r="W2214" s="2" t="s">
        <v>11202</v>
      </c>
    </row>
    <row r="2215" spans="1:23" hidden="1" x14ac:dyDescent="0.45">
      <c r="A2215" s="1" t="s">
        <v>2198</v>
      </c>
      <c r="B2215" t="s">
        <v>6199</v>
      </c>
      <c r="D2215" t="s">
        <v>7990</v>
      </c>
      <c r="E2215" t="s">
        <v>9423</v>
      </c>
      <c r="F2215" t="s">
        <v>10297</v>
      </c>
      <c r="G2215">
        <v>38.4</v>
      </c>
      <c r="H2215" t="s">
        <v>10310</v>
      </c>
      <c r="I2215" t="s">
        <v>10326</v>
      </c>
      <c r="L2215">
        <v>1969</v>
      </c>
      <c r="N2215">
        <v>37.274706999999999</v>
      </c>
      <c r="P2215">
        <v>-4.3871730000000007</v>
      </c>
      <c r="R2215" t="s">
        <v>11038</v>
      </c>
      <c r="S2215" t="s">
        <v>10310</v>
      </c>
      <c r="W2215" s="2" t="s">
        <v>11202</v>
      </c>
    </row>
    <row r="2216" spans="1:23" hidden="1" x14ac:dyDescent="0.45">
      <c r="A2216" s="1" t="s">
        <v>2199</v>
      </c>
      <c r="B2216" t="s">
        <v>6199</v>
      </c>
      <c r="D2216" t="s">
        <v>7990</v>
      </c>
      <c r="E2216" t="s">
        <v>9423</v>
      </c>
      <c r="F2216" t="s">
        <v>10297</v>
      </c>
      <c r="G2216">
        <v>38.4</v>
      </c>
      <c r="H2216" t="s">
        <v>10310</v>
      </c>
      <c r="I2216" t="s">
        <v>10326</v>
      </c>
      <c r="L2216">
        <v>1969</v>
      </c>
      <c r="N2216">
        <v>37.274706999999999</v>
      </c>
      <c r="P2216">
        <v>-4.3871730000000007</v>
      </c>
      <c r="R2216" t="s">
        <v>11038</v>
      </c>
      <c r="S2216" t="s">
        <v>10310</v>
      </c>
      <c r="W2216" s="2" t="s">
        <v>11202</v>
      </c>
    </row>
    <row r="2217" spans="1:23" hidden="1" x14ac:dyDescent="0.45">
      <c r="A2217" s="1" t="s">
        <v>2200</v>
      </c>
      <c r="B2217" t="s">
        <v>6199</v>
      </c>
      <c r="D2217" t="s">
        <v>7990</v>
      </c>
      <c r="E2217" t="s">
        <v>9418</v>
      </c>
      <c r="F2217" t="s">
        <v>10297</v>
      </c>
      <c r="G2217">
        <v>3</v>
      </c>
      <c r="H2217" t="s">
        <v>10310</v>
      </c>
      <c r="I2217" t="s">
        <v>10326</v>
      </c>
      <c r="L2217">
        <v>1930</v>
      </c>
      <c r="R2217" t="s">
        <v>11038</v>
      </c>
      <c r="S2217" t="s">
        <v>10310</v>
      </c>
      <c r="W2217" s="2" t="s">
        <v>11202</v>
      </c>
    </row>
    <row r="2218" spans="1:23" hidden="1" x14ac:dyDescent="0.45">
      <c r="A2218" s="1" t="s">
        <v>2201</v>
      </c>
      <c r="B2218" t="s">
        <v>6199</v>
      </c>
      <c r="D2218" t="s">
        <v>7990</v>
      </c>
      <c r="E2218" t="s">
        <v>9418</v>
      </c>
      <c r="F2218" t="s">
        <v>10297</v>
      </c>
      <c r="G2218">
        <v>6</v>
      </c>
      <c r="H2218" t="s">
        <v>10310</v>
      </c>
      <c r="I2218" t="s">
        <v>10326</v>
      </c>
      <c r="L2218">
        <v>1930</v>
      </c>
      <c r="R2218" t="s">
        <v>11038</v>
      </c>
      <c r="S2218" t="s">
        <v>10310</v>
      </c>
      <c r="W2218" s="2" t="s">
        <v>11202</v>
      </c>
    </row>
    <row r="2219" spans="1:23" hidden="1" x14ac:dyDescent="0.45">
      <c r="A2219" s="1" t="s">
        <v>2202</v>
      </c>
      <c r="B2219" t="s">
        <v>6199</v>
      </c>
      <c r="D2219" t="s">
        <v>7990</v>
      </c>
      <c r="E2219" t="s">
        <v>9418</v>
      </c>
      <c r="F2219" t="s">
        <v>10297</v>
      </c>
      <c r="G2219">
        <v>6</v>
      </c>
      <c r="H2219" t="s">
        <v>10310</v>
      </c>
      <c r="I2219" t="s">
        <v>10326</v>
      </c>
      <c r="L2219">
        <v>1930</v>
      </c>
      <c r="R2219" t="s">
        <v>11038</v>
      </c>
      <c r="S2219" t="s">
        <v>10310</v>
      </c>
      <c r="W2219" s="2" t="s">
        <v>11202</v>
      </c>
    </row>
    <row r="2220" spans="1:23" hidden="1" x14ac:dyDescent="0.45">
      <c r="A2220" s="1" t="s">
        <v>2203</v>
      </c>
      <c r="B2220" t="s">
        <v>6199</v>
      </c>
      <c r="D2220" t="s">
        <v>7990</v>
      </c>
      <c r="E2220" t="s">
        <v>9424</v>
      </c>
      <c r="F2220" t="s">
        <v>10297</v>
      </c>
      <c r="G2220">
        <v>1.8</v>
      </c>
      <c r="H2220" t="s">
        <v>10310</v>
      </c>
      <c r="I2220" t="s">
        <v>10325</v>
      </c>
      <c r="L2220">
        <v>1951</v>
      </c>
      <c r="R2220" t="s">
        <v>11038</v>
      </c>
      <c r="S2220" t="s">
        <v>10310</v>
      </c>
      <c r="W2220" s="2" t="s">
        <v>11202</v>
      </c>
    </row>
    <row r="2221" spans="1:23" hidden="1" x14ac:dyDescent="0.45">
      <c r="A2221" s="1" t="s">
        <v>2204</v>
      </c>
      <c r="B2221" t="s">
        <v>6199</v>
      </c>
      <c r="D2221" t="s">
        <v>7990</v>
      </c>
      <c r="E2221" t="s">
        <v>9424</v>
      </c>
      <c r="F2221" t="s">
        <v>10297</v>
      </c>
      <c r="G2221">
        <v>1.8</v>
      </c>
      <c r="H2221" t="s">
        <v>10310</v>
      </c>
      <c r="I2221" t="s">
        <v>10325</v>
      </c>
      <c r="L2221">
        <v>1951</v>
      </c>
      <c r="R2221" t="s">
        <v>11038</v>
      </c>
      <c r="S2221" t="s">
        <v>10310</v>
      </c>
      <c r="W2221" s="2" t="s">
        <v>11202</v>
      </c>
    </row>
    <row r="2222" spans="1:23" hidden="1" x14ac:dyDescent="0.45">
      <c r="A2222" s="1" t="s">
        <v>2205</v>
      </c>
      <c r="B2222" t="s">
        <v>6199</v>
      </c>
      <c r="D2222" t="s">
        <v>7990</v>
      </c>
      <c r="E2222" t="s">
        <v>9424</v>
      </c>
      <c r="F2222" t="s">
        <v>10297</v>
      </c>
      <c r="G2222">
        <v>1.29</v>
      </c>
      <c r="H2222" t="s">
        <v>10310</v>
      </c>
      <c r="I2222" t="s">
        <v>10325</v>
      </c>
      <c r="L2222">
        <v>1951</v>
      </c>
      <c r="R2222" t="s">
        <v>11038</v>
      </c>
      <c r="S2222" t="s">
        <v>10310</v>
      </c>
      <c r="W2222" s="2" t="s">
        <v>11202</v>
      </c>
    </row>
    <row r="2223" spans="1:23" hidden="1" x14ac:dyDescent="0.45">
      <c r="A2223" s="1" t="s">
        <v>2206</v>
      </c>
      <c r="B2223" t="s">
        <v>6199</v>
      </c>
      <c r="D2223" t="s">
        <v>7990</v>
      </c>
      <c r="E2223" t="s">
        <v>9425</v>
      </c>
      <c r="F2223" t="s">
        <v>10297</v>
      </c>
      <c r="G2223">
        <v>25.1</v>
      </c>
      <c r="H2223" t="s">
        <v>10310</v>
      </c>
      <c r="I2223" t="s">
        <v>10326</v>
      </c>
      <c r="L2223">
        <v>1992</v>
      </c>
      <c r="R2223" t="s">
        <v>11038</v>
      </c>
      <c r="S2223" t="s">
        <v>10310</v>
      </c>
      <c r="W2223" s="2" t="s">
        <v>11202</v>
      </c>
    </row>
    <row r="2224" spans="1:23" hidden="1" x14ac:dyDescent="0.45">
      <c r="A2224" s="1" t="s">
        <v>2207</v>
      </c>
      <c r="B2224" t="s">
        <v>6199</v>
      </c>
      <c r="D2224" t="s">
        <v>7990</v>
      </c>
      <c r="E2224" t="s">
        <v>9426</v>
      </c>
      <c r="F2224" t="s">
        <v>10297</v>
      </c>
      <c r="G2224">
        <v>8.48</v>
      </c>
      <c r="H2224" t="s">
        <v>10310</v>
      </c>
      <c r="I2224" t="s">
        <v>10325</v>
      </c>
      <c r="L2224">
        <v>1962</v>
      </c>
      <c r="R2224" t="s">
        <v>11038</v>
      </c>
      <c r="S2224" t="s">
        <v>10310</v>
      </c>
      <c r="W2224" s="2" t="s">
        <v>11202</v>
      </c>
    </row>
    <row r="2225" spans="1:23" hidden="1" x14ac:dyDescent="0.45">
      <c r="A2225" s="1" t="s">
        <v>2208</v>
      </c>
      <c r="B2225" t="s">
        <v>6199</v>
      </c>
      <c r="D2225" t="s">
        <v>7990</v>
      </c>
      <c r="E2225" t="s">
        <v>9426</v>
      </c>
      <c r="F2225" t="s">
        <v>10297</v>
      </c>
      <c r="G2225">
        <v>8.48</v>
      </c>
      <c r="H2225" t="s">
        <v>10310</v>
      </c>
      <c r="I2225" t="s">
        <v>10325</v>
      </c>
      <c r="L2225">
        <v>1962</v>
      </c>
      <c r="R2225" t="s">
        <v>11038</v>
      </c>
      <c r="S2225" t="s">
        <v>10310</v>
      </c>
      <c r="W2225" s="2" t="s">
        <v>11202</v>
      </c>
    </row>
    <row r="2226" spans="1:23" hidden="1" x14ac:dyDescent="0.45">
      <c r="A2226" s="1" t="s">
        <v>2209</v>
      </c>
      <c r="B2226" t="s">
        <v>6199</v>
      </c>
      <c r="D2226" t="s">
        <v>7990</v>
      </c>
      <c r="E2226" t="s">
        <v>9427</v>
      </c>
      <c r="F2226" t="s">
        <v>10297</v>
      </c>
      <c r="G2226">
        <v>1.4</v>
      </c>
      <c r="H2226" t="s">
        <v>10310</v>
      </c>
      <c r="I2226" t="s">
        <v>10325</v>
      </c>
      <c r="L2226">
        <v>1975</v>
      </c>
      <c r="R2226" t="s">
        <v>11038</v>
      </c>
      <c r="S2226" t="s">
        <v>10310</v>
      </c>
      <c r="W2226" s="2" t="s">
        <v>11202</v>
      </c>
    </row>
    <row r="2227" spans="1:23" hidden="1" x14ac:dyDescent="0.45">
      <c r="A2227" s="1" t="s">
        <v>2210</v>
      </c>
      <c r="B2227" t="s">
        <v>6199</v>
      </c>
      <c r="D2227" t="s">
        <v>7990</v>
      </c>
      <c r="E2227" t="s">
        <v>9427</v>
      </c>
      <c r="F2227" t="s">
        <v>10297</v>
      </c>
      <c r="G2227">
        <v>1.4</v>
      </c>
      <c r="H2227" t="s">
        <v>10310</v>
      </c>
      <c r="I2227" t="s">
        <v>10325</v>
      </c>
      <c r="L2227">
        <v>1975</v>
      </c>
      <c r="R2227" t="s">
        <v>11038</v>
      </c>
      <c r="S2227" t="s">
        <v>10310</v>
      </c>
      <c r="W2227" s="2" t="s">
        <v>11202</v>
      </c>
    </row>
    <row r="2228" spans="1:23" hidden="1" x14ac:dyDescent="0.45">
      <c r="A2228" s="1" t="s">
        <v>2211</v>
      </c>
      <c r="B2228" t="s">
        <v>6199</v>
      </c>
      <c r="D2228" t="s">
        <v>7990</v>
      </c>
      <c r="E2228" t="s">
        <v>9427</v>
      </c>
      <c r="F2228" t="s">
        <v>10297</v>
      </c>
      <c r="G2228">
        <v>1.4</v>
      </c>
      <c r="H2228" t="s">
        <v>10310</v>
      </c>
      <c r="I2228" t="s">
        <v>10325</v>
      </c>
      <c r="L2228">
        <v>1975</v>
      </c>
      <c r="R2228" t="s">
        <v>11038</v>
      </c>
      <c r="S2228" t="s">
        <v>10310</v>
      </c>
      <c r="W2228" s="2" t="s">
        <v>11202</v>
      </c>
    </row>
    <row r="2229" spans="1:23" hidden="1" x14ac:dyDescent="0.45">
      <c r="A2229" s="1" t="s">
        <v>2212</v>
      </c>
      <c r="B2229" t="s">
        <v>6199</v>
      </c>
      <c r="D2229" t="s">
        <v>7990</v>
      </c>
      <c r="E2229" t="s">
        <v>9428</v>
      </c>
      <c r="F2229" t="s">
        <v>10297</v>
      </c>
      <c r="G2229">
        <v>0.6</v>
      </c>
      <c r="H2229" t="s">
        <v>10310</v>
      </c>
      <c r="I2229" t="s">
        <v>10325</v>
      </c>
      <c r="L2229">
        <v>1961</v>
      </c>
      <c r="R2229" t="s">
        <v>11038</v>
      </c>
      <c r="S2229" t="s">
        <v>10310</v>
      </c>
      <c r="W2229" s="2" t="s">
        <v>11202</v>
      </c>
    </row>
    <row r="2230" spans="1:23" hidden="1" x14ac:dyDescent="0.45">
      <c r="A2230" s="1" t="s">
        <v>2213</v>
      </c>
      <c r="B2230" t="s">
        <v>6199</v>
      </c>
      <c r="D2230" t="s">
        <v>7990</v>
      </c>
      <c r="E2230" t="s">
        <v>9428</v>
      </c>
      <c r="F2230" t="s">
        <v>10297</v>
      </c>
      <c r="G2230">
        <v>0.6</v>
      </c>
      <c r="H2230" t="s">
        <v>10310</v>
      </c>
      <c r="I2230" t="s">
        <v>10325</v>
      </c>
      <c r="L2230">
        <v>1961</v>
      </c>
      <c r="R2230" t="s">
        <v>11038</v>
      </c>
      <c r="S2230" t="s">
        <v>10310</v>
      </c>
      <c r="W2230" s="2" t="s">
        <v>11202</v>
      </c>
    </row>
    <row r="2231" spans="1:23" hidden="1" x14ac:dyDescent="0.45">
      <c r="A2231" s="1" t="s">
        <v>2214</v>
      </c>
      <c r="B2231" t="s">
        <v>6199</v>
      </c>
      <c r="D2231" t="s">
        <v>7990</v>
      </c>
      <c r="E2231" t="s">
        <v>9429</v>
      </c>
      <c r="F2231" t="s">
        <v>10297</v>
      </c>
      <c r="G2231">
        <v>6.6</v>
      </c>
      <c r="H2231" t="s">
        <v>10310</v>
      </c>
      <c r="I2231" t="s">
        <v>10326</v>
      </c>
      <c r="L2231">
        <v>1990</v>
      </c>
      <c r="R2231" t="s">
        <v>11038</v>
      </c>
      <c r="S2231" t="s">
        <v>10310</v>
      </c>
      <c r="W2231" s="2" t="s">
        <v>11202</v>
      </c>
    </row>
    <row r="2232" spans="1:23" hidden="1" x14ac:dyDescent="0.45">
      <c r="A2232" s="1" t="s">
        <v>2215</v>
      </c>
      <c r="B2232" t="s">
        <v>6199</v>
      </c>
      <c r="D2232" t="s">
        <v>7990</v>
      </c>
      <c r="E2232" t="s">
        <v>9430</v>
      </c>
      <c r="F2232" t="s">
        <v>10297</v>
      </c>
      <c r="G2232">
        <v>4.3600000000000003</v>
      </c>
      <c r="H2232" t="s">
        <v>10310</v>
      </c>
      <c r="I2232" t="s">
        <v>10325</v>
      </c>
      <c r="L2232">
        <v>1989</v>
      </c>
      <c r="R2232" t="s">
        <v>11038</v>
      </c>
      <c r="S2232" t="s">
        <v>10310</v>
      </c>
      <c r="W2232" s="2" t="s">
        <v>11202</v>
      </c>
    </row>
    <row r="2233" spans="1:23" hidden="1" x14ac:dyDescent="0.45">
      <c r="A2233" s="1" t="s">
        <v>2216</v>
      </c>
      <c r="B2233" t="s">
        <v>6199</v>
      </c>
      <c r="D2233" t="s">
        <v>7990</v>
      </c>
      <c r="E2233" t="s">
        <v>9431</v>
      </c>
      <c r="F2233" t="s">
        <v>10297</v>
      </c>
      <c r="G2233">
        <v>10.47</v>
      </c>
      <c r="H2233" t="s">
        <v>10310</v>
      </c>
      <c r="I2233" t="s">
        <v>10325</v>
      </c>
      <c r="L2233">
        <v>1981</v>
      </c>
      <c r="R2233" t="s">
        <v>11038</v>
      </c>
      <c r="S2233" t="s">
        <v>10310</v>
      </c>
      <c r="W2233" s="2" t="s">
        <v>11202</v>
      </c>
    </row>
    <row r="2234" spans="1:23" hidden="1" x14ac:dyDescent="0.45">
      <c r="A2234" s="1" t="s">
        <v>2217</v>
      </c>
      <c r="B2234" t="s">
        <v>6199</v>
      </c>
      <c r="D2234" t="s">
        <v>7990</v>
      </c>
      <c r="E2234" t="s">
        <v>9432</v>
      </c>
      <c r="F2234" t="s">
        <v>10297</v>
      </c>
      <c r="G2234">
        <v>18.53</v>
      </c>
      <c r="H2234" t="s">
        <v>10310</v>
      </c>
      <c r="I2234" t="s">
        <v>10326</v>
      </c>
      <c r="L2234">
        <v>1961</v>
      </c>
      <c r="R2234" t="s">
        <v>11038</v>
      </c>
      <c r="S2234" t="s">
        <v>10310</v>
      </c>
      <c r="W2234" s="2" t="s">
        <v>11202</v>
      </c>
    </row>
    <row r="2235" spans="1:23" hidden="1" x14ac:dyDescent="0.45">
      <c r="A2235" s="1" t="s">
        <v>2218</v>
      </c>
      <c r="B2235" t="s">
        <v>6199</v>
      </c>
      <c r="D2235" t="s">
        <v>7990</v>
      </c>
      <c r="E2235" t="s">
        <v>9432</v>
      </c>
      <c r="F2235" t="s">
        <v>10297</v>
      </c>
      <c r="G2235">
        <v>4.5</v>
      </c>
      <c r="H2235" t="s">
        <v>10310</v>
      </c>
      <c r="I2235" t="s">
        <v>10326</v>
      </c>
      <c r="L2235">
        <v>1964</v>
      </c>
      <c r="R2235" t="s">
        <v>11038</v>
      </c>
      <c r="S2235" t="s">
        <v>10310</v>
      </c>
      <c r="W2235" s="2" t="s">
        <v>11202</v>
      </c>
    </row>
    <row r="2236" spans="1:23" hidden="1" x14ac:dyDescent="0.45">
      <c r="A2236" s="1" t="s">
        <v>2219</v>
      </c>
      <c r="B2236" t="s">
        <v>6199</v>
      </c>
      <c r="D2236" t="s">
        <v>7990</v>
      </c>
      <c r="E2236" t="s">
        <v>9323</v>
      </c>
      <c r="F2236" t="s">
        <v>10297</v>
      </c>
      <c r="G2236">
        <v>0.96</v>
      </c>
      <c r="H2236" t="s">
        <v>10310</v>
      </c>
      <c r="I2236" t="s">
        <v>10325</v>
      </c>
      <c r="L2236">
        <v>1955</v>
      </c>
      <c r="R2236" t="s">
        <v>11038</v>
      </c>
      <c r="S2236" t="s">
        <v>10310</v>
      </c>
      <c r="W2236" s="2" t="s">
        <v>11202</v>
      </c>
    </row>
    <row r="2237" spans="1:23" hidden="1" x14ac:dyDescent="0.45">
      <c r="A2237" s="1" t="s">
        <v>2220</v>
      </c>
      <c r="B2237" t="s">
        <v>6199</v>
      </c>
      <c r="D2237" t="s">
        <v>7990</v>
      </c>
      <c r="E2237" t="s">
        <v>9323</v>
      </c>
      <c r="F2237" t="s">
        <v>10297</v>
      </c>
      <c r="G2237">
        <v>0.96</v>
      </c>
      <c r="H2237" t="s">
        <v>10310</v>
      </c>
      <c r="I2237" t="s">
        <v>10325</v>
      </c>
      <c r="L2237">
        <v>1955</v>
      </c>
      <c r="R2237" t="s">
        <v>11038</v>
      </c>
      <c r="S2237" t="s">
        <v>10310</v>
      </c>
      <c r="W2237" s="2" t="s">
        <v>11202</v>
      </c>
    </row>
    <row r="2238" spans="1:23" hidden="1" x14ac:dyDescent="0.45">
      <c r="A2238" s="1" t="s">
        <v>2221</v>
      </c>
      <c r="B2238" t="s">
        <v>6199</v>
      </c>
      <c r="D2238" t="s">
        <v>7990</v>
      </c>
      <c r="E2238" t="s">
        <v>9416</v>
      </c>
      <c r="F2238" t="s">
        <v>10297</v>
      </c>
      <c r="G2238">
        <v>12.8</v>
      </c>
      <c r="H2238" t="s">
        <v>10310</v>
      </c>
      <c r="I2238" t="s">
        <v>10325</v>
      </c>
      <c r="L2238">
        <v>1956</v>
      </c>
      <c r="R2238" t="s">
        <v>11038</v>
      </c>
      <c r="S2238" t="s">
        <v>10310</v>
      </c>
      <c r="W2238" s="2" t="s">
        <v>11202</v>
      </c>
    </row>
    <row r="2239" spans="1:23" hidden="1" x14ac:dyDescent="0.45">
      <c r="A2239" s="1" t="s">
        <v>2222</v>
      </c>
      <c r="B2239" t="s">
        <v>6199</v>
      </c>
      <c r="D2239" t="s">
        <v>7990</v>
      </c>
      <c r="E2239" t="s">
        <v>9431</v>
      </c>
      <c r="F2239" t="s">
        <v>10297</v>
      </c>
      <c r="G2239">
        <v>1.56</v>
      </c>
      <c r="H2239" t="s">
        <v>10310</v>
      </c>
      <c r="I2239" t="s">
        <v>10325</v>
      </c>
      <c r="L2239">
        <v>1946</v>
      </c>
      <c r="R2239" t="s">
        <v>11038</v>
      </c>
      <c r="S2239" t="s">
        <v>10310</v>
      </c>
      <c r="W2239" s="2" t="s">
        <v>11202</v>
      </c>
    </row>
    <row r="2240" spans="1:23" hidden="1" x14ac:dyDescent="0.45">
      <c r="A2240" s="1" t="s">
        <v>2223</v>
      </c>
      <c r="B2240" t="s">
        <v>6199</v>
      </c>
      <c r="D2240" t="s">
        <v>7990</v>
      </c>
      <c r="E2240" t="s">
        <v>9431</v>
      </c>
      <c r="F2240" t="s">
        <v>10297</v>
      </c>
      <c r="G2240">
        <v>1.56</v>
      </c>
      <c r="H2240" t="s">
        <v>10310</v>
      </c>
      <c r="I2240" t="s">
        <v>10325</v>
      </c>
      <c r="L2240">
        <v>1946</v>
      </c>
      <c r="R2240" t="s">
        <v>11038</v>
      </c>
      <c r="S2240" t="s">
        <v>10310</v>
      </c>
      <c r="W2240" s="2" t="s">
        <v>11202</v>
      </c>
    </row>
    <row r="2241" spans="1:23" hidden="1" x14ac:dyDescent="0.45">
      <c r="A2241" s="1" t="s">
        <v>2224</v>
      </c>
      <c r="B2241" t="s">
        <v>6199</v>
      </c>
      <c r="D2241" t="s">
        <v>7990</v>
      </c>
      <c r="E2241" t="s">
        <v>9433</v>
      </c>
      <c r="F2241" t="s">
        <v>10297</v>
      </c>
      <c r="G2241">
        <v>5.2</v>
      </c>
      <c r="H2241" t="s">
        <v>10310</v>
      </c>
      <c r="I2241" t="s">
        <v>10325</v>
      </c>
      <c r="L2241">
        <v>1954</v>
      </c>
      <c r="R2241" t="s">
        <v>11038</v>
      </c>
      <c r="S2241" t="s">
        <v>10310</v>
      </c>
      <c r="W2241" s="2" t="s">
        <v>11202</v>
      </c>
    </row>
    <row r="2242" spans="1:23" hidden="1" x14ac:dyDescent="0.45">
      <c r="A2242" s="1" t="s">
        <v>2225</v>
      </c>
      <c r="B2242" t="s">
        <v>6199</v>
      </c>
      <c r="D2242" t="s">
        <v>7990</v>
      </c>
      <c r="E2242" t="s">
        <v>9433</v>
      </c>
      <c r="F2242" t="s">
        <v>10297</v>
      </c>
      <c r="G2242">
        <v>8</v>
      </c>
      <c r="H2242" t="s">
        <v>10310</v>
      </c>
      <c r="I2242" t="s">
        <v>10325</v>
      </c>
      <c r="L2242">
        <v>1954</v>
      </c>
      <c r="R2242" t="s">
        <v>11038</v>
      </c>
      <c r="S2242" t="s">
        <v>10310</v>
      </c>
      <c r="W2242" s="2" t="s">
        <v>11202</v>
      </c>
    </row>
    <row r="2243" spans="1:23" hidden="1" x14ac:dyDescent="0.45">
      <c r="A2243" s="1" t="s">
        <v>2226</v>
      </c>
      <c r="B2243" t="s">
        <v>6199</v>
      </c>
      <c r="D2243" t="s">
        <v>7990</v>
      </c>
      <c r="E2243" t="s">
        <v>9434</v>
      </c>
      <c r="F2243" t="s">
        <v>10297</v>
      </c>
      <c r="G2243">
        <v>12.4</v>
      </c>
      <c r="H2243" t="s">
        <v>10310</v>
      </c>
      <c r="I2243" t="s">
        <v>10326</v>
      </c>
      <c r="L2243">
        <v>1951</v>
      </c>
      <c r="R2243" t="s">
        <v>11038</v>
      </c>
      <c r="S2243" t="s">
        <v>10310</v>
      </c>
      <c r="W2243" s="2" t="s">
        <v>11202</v>
      </c>
    </row>
    <row r="2244" spans="1:23" hidden="1" x14ac:dyDescent="0.45">
      <c r="A2244" s="1" t="s">
        <v>2227</v>
      </c>
      <c r="B2244" t="s">
        <v>6199</v>
      </c>
      <c r="D2244" t="s">
        <v>7990</v>
      </c>
      <c r="E2244" t="s">
        <v>9434</v>
      </c>
      <c r="F2244" t="s">
        <v>10297</v>
      </c>
      <c r="G2244">
        <v>6.4</v>
      </c>
      <c r="H2244" t="s">
        <v>10310</v>
      </c>
      <c r="I2244" t="s">
        <v>10326</v>
      </c>
      <c r="L2244">
        <v>1951</v>
      </c>
      <c r="R2244" t="s">
        <v>11038</v>
      </c>
      <c r="S2244" t="s">
        <v>10310</v>
      </c>
      <c r="W2244" s="2" t="s">
        <v>11202</v>
      </c>
    </row>
    <row r="2245" spans="1:23" hidden="1" x14ac:dyDescent="0.45">
      <c r="A2245" s="1" t="s">
        <v>2228</v>
      </c>
      <c r="B2245" t="s">
        <v>6199</v>
      </c>
      <c r="D2245" t="s">
        <v>7990</v>
      </c>
      <c r="E2245" t="s">
        <v>9434</v>
      </c>
      <c r="F2245" t="s">
        <v>10297</v>
      </c>
      <c r="G2245">
        <v>14.4</v>
      </c>
      <c r="H2245" t="s">
        <v>10310</v>
      </c>
      <c r="I2245" t="s">
        <v>10326</v>
      </c>
      <c r="L2245">
        <v>1951</v>
      </c>
      <c r="R2245" t="s">
        <v>11038</v>
      </c>
      <c r="S2245" t="s">
        <v>10310</v>
      </c>
      <c r="W2245" s="2" t="s">
        <v>11202</v>
      </c>
    </row>
    <row r="2246" spans="1:23" hidden="1" x14ac:dyDescent="0.45">
      <c r="A2246" s="1" t="s">
        <v>2229</v>
      </c>
      <c r="B2246" t="s">
        <v>6199</v>
      </c>
      <c r="D2246" t="s">
        <v>7990</v>
      </c>
      <c r="E2246" t="s">
        <v>9435</v>
      </c>
      <c r="F2246" t="s">
        <v>10297</v>
      </c>
      <c r="G2246">
        <v>5.2</v>
      </c>
      <c r="H2246" t="s">
        <v>10310</v>
      </c>
      <c r="I2246" t="s">
        <v>10325</v>
      </c>
      <c r="L2246">
        <v>1957</v>
      </c>
      <c r="R2246" t="s">
        <v>11038</v>
      </c>
      <c r="S2246" t="s">
        <v>10310</v>
      </c>
      <c r="W2246" s="2" t="s">
        <v>11202</v>
      </c>
    </row>
    <row r="2247" spans="1:23" hidden="1" x14ac:dyDescent="0.45">
      <c r="A2247" s="1" t="s">
        <v>2230</v>
      </c>
      <c r="B2247" t="s">
        <v>6199</v>
      </c>
      <c r="D2247" t="s">
        <v>7990</v>
      </c>
      <c r="E2247" t="s">
        <v>9435</v>
      </c>
      <c r="F2247" t="s">
        <v>10297</v>
      </c>
      <c r="G2247">
        <v>5.2</v>
      </c>
      <c r="H2247" t="s">
        <v>10310</v>
      </c>
      <c r="I2247" t="s">
        <v>10325</v>
      </c>
      <c r="L2247">
        <v>1957</v>
      </c>
      <c r="R2247" t="s">
        <v>11038</v>
      </c>
      <c r="S2247" t="s">
        <v>10310</v>
      </c>
      <c r="W2247" s="2" t="s">
        <v>11202</v>
      </c>
    </row>
    <row r="2248" spans="1:23" hidden="1" x14ac:dyDescent="0.45">
      <c r="A2248" s="1" t="s">
        <v>2231</v>
      </c>
      <c r="B2248" t="s">
        <v>6199</v>
      </c>
      <c r="D2248" t="s">
        <v>7990</v>
      </c>
      <c r="E2248" t="s">
        <v>9436</v>
      </c>
      <c r="F2248" t="s">
        <v>10297</v>
      </c>
      <c r="G2248">
        <v>18.53</v>
      </c>
      <c r="H2248" t="s">
        <v>10310</v>
      </c>
      <c r="I2248" t="s">
        <v>10326</v>
      </c>
      <c r="L2248">
        <v>1964</v>
      </c>
      <c r="R2248" t="s">
        <v>11038</v>
      </c>
      <c r="S2248" t="s">
        <v>10310</v>
      </c>
      <c r="W2248" s="2" t="s">
        <v>11202</v>
      </c>
    </row>
    <row r="2249" spans="1:23" hidden="1" x14ac:dyDescent="0.45">
      <c r="A2249" s="1" t="s">
        <v>2232</v>
      </c>
      <c r="B2249" t="s">
        <v>6199</v>
      </c>
      <c r="D2249" t="s">
        <v>7990</v>
      </c>
      <c r="E2249" t="s">
        <v>9436</v>
      </c>
      <c r="F2249" t="s">
        <v>10297</v>
      </c>
      <c r="G2249">
        <v>18.53</v>
      </c>
      <c r="H2249" t="s">
        <v>10310</v>
      </c>
      <c r="I2249" t="s">
        <v>10326</v>
      </c>
      <c r="L2249">
        <v>1964</v>
      </c>
      <c r="R2249" t="s">
        <v>11038</v>
      </c>
      <c r="S2249" t="s">
        <v>10310</v>
      </c>
      <c r="W2249" s="2" t="s">
        <v>11202</v>
      </c>
    </row>
    <row r="2250" spans="1:23" hidden="1" x14ac:dyDescent="0.45">
      <c r="A2250" s="1" t="s">
        <v>2233</v>
      </c>
      <c r="B2250" t="s">
        <v>6199</v>
      </c>
      <c r="D2250" t="s">
        <v>7990</v>
      </c>
      <c r="E2250" t="s">
        <v>9436</v>
      </c>
      <c r="F2250" t="s">
        <v>10297</v>
      </c>
      <c r="G2250">
        <v>18.53</v>
      </c>
      <c r="H2250" t="s">
        <v>10310</v>
      </c>
      <c r="I2250" t="s">
        <v>10326</v>
      </c>
      <c r="L2250">
        <v>1964</v>
      </c>
      <c r="R2250" t="s">
        <v>11038</v>
      </c>
      <c r="S2250" t="s">
        <v>10310</v>
      </c>
      <c r="W2250" s="2" t="s">
        <v>11202</v>
      </c>
    </row>
    <row r="2251" spans="1:23" hidden="1" x14ac:dyDescent="0.45">
      <c r="A2251" s="1" t="s">
        <v>2234</v>
      </c>
      <c r="B2251" t="s">
        <v>6199</v>
      </c>
      <c r="D2251" t="s">
        <v>7990</v>
      </c>
      <c r="E2251" t="s">
        <v>9437</v>
      </c>
      <c r="F2251" t="s">
        <v>10297</v>
      </c>
      <c r="G2251">
        <v>1.1200000000000001</v>
      </c>
      <c r="H2251" t="s">
        <v>10310</v>
      </c>
      <c r="I2251" t="s">
        <v>10325</v>
      </c>
      <c r="L2251">
        <v>1984</v>
      </c>
      <c r="R2251" t="s">
        <v>11038</v>
      </c>
      <c r="S2251" t="s">
        <v>10310</v>
      </c>
      <c r="W2251" s="2" t="s">
        <v>11202</v>
      </c>
    </row>
    <row r="2252" spans="1:23" hidden="1" x14ac:dyDescent="0.45">
      <c r="A2252" s="1" t="s">
        <v>2235</v>
      </c>
      <c r="B2252" t="s">
        <v>6199</v>
      </c>
      <c r="D2252" t="s">
        <v>7990</v>
      </c>
      <c r="E2252" t="s">
        <v>9437</v>
      </c>
      <c r="F2252" t="s">
        <v>10297</v>
      </c>
      <c r="G2252">
        <v>1.1200000000000001</v>
      </c>
      <c r="H2252" t="s">
        <v>10310</v>
      </c>
      <c r="I2252" t="s">
        <v>10325</v>
      </c>
      <c r="L2252">
        <v>1984</v>
      </c>
      <c r="R2252" t="s">
        <v>11038</v>
      </c>
      <c r="S2252" t="s">
        <v>10310</v>
      </c>
      <c r="W2252" s="2" t="s">
        <v>11202</v>
      </c>
    </row>
    <row r="2253" spans="1:23" hidden="1" x14ac:dyDescent="0.45">
      <c r="A2253" s="1" t="s">
        <v>2236</v>
      </c>
      <c r="B2253" t="s">
        <v>6199</v>
      </c>
      <c r="D2253" t="s">
        <v>7990</v>
      </c>
      <c r="E2253" t="s">
        <v>9438</v>
      </c>
      <c r="F2253" t="s">
        <v>10297</v>
      </c>
      <c r="G2253">
        <v>1.1599999999999999</v>
      </c>
      <c r="H2253" t="s">
        <v>10310</v>
      </c>
      <c r="I2253" t="s">
        <v>10325</v>
      </c>
      <c r="L2253">
        <v>1955</v>
      </c>
      <c r="R2253" t="s">
        <v>11038</v>
      </c>
      <c r="S2253" t="s">
        <v>10310</v>
      </c>
      <c r="W2253" s="2" t="s">
        <v>11202</v>
      </c>
    </row>
    <row r="2254" spans="1:23" hidden="1" x14ac:dyDescent="0.45">
      <c r="A2254" s="1" t="s">
        <v>2237</v>
      </c>
      <c r="B2254" t="s">
        <v>6199</v>
      </c>
      <c r="D2254" t="s">
        <v>7990</v>
      </c>
      <c r="E2254" t="s">
        <v>9438</v>
      </c>
      <c r="F2254" t="s">
        <v>10297</v>
      </c>
      <c r="G2254">
        <v>1.1599999999999999</v>
      </c>
      <c r="H2254" t="s">
        <v>10310</v>
      </c>
      <c r="I2254" t="s">
        <v>10325</v>
      </c>
      <c r="L2254">
        <v>1955</v>
      </c>
      <c r="R2254" t="s">
        <v>11038</v>
      </c>
      <c r="S2254" t="s">
        <v>10310</v>
      </c>
      <c r="W2254" s="2" t="s">
        <v>11202</v>
      </c>
    </row>
    <row r="2255" spans="1:23" hidden="1" x14ac:dyDescent="0.45">
      <c r="A2255" s="1" t="s">
        <v>2238</v>
      </c>
      <c r="B2255" t="s">
        <v>6199</v>
      </c>
      <c r="D2255" t="s">
        <v>7990</v>
      </c>
      <c r="E2255" t="s">
        <v>9439</v>
      </c>
      <c r="F2255" t="s">
        <v>10297</v>
      </c>
      <c r="G2255">
        <v>1</v>
      </c>
      <c r="H2255" t="s">
        <v>10310</v>
      </c>
      <c r="I2255" t="s">
        <v>10325</v>
      </c>
      <c r="L2255">
        <v>1932</v>
      </c>
      <c r="R2255" t="s">
        <v>11038</v>
      </c>
      <c r="S2255" t="s">
        <v>10310</v>
      </c>
      <c r="W2255" s="2" t="s">
        <v>11202</v>
      </c>
    </row>
    <row r="2256" spans="1:23" hidden="1" x14ac:dyDescent="0.45">
      <c r="A2256" s="1" t="s">
        <v>2239</v>
      </c>
      <c r="B2256" t="s">
        <v>6199</v>
      </c>
      <c r="D2256" t="s">
        <v>7990</v>
      </c>
      <c r="E2256" t="s">
        <v>9439</v>
      </c>
      <c r="F2256" t="s">
        <v>10297</v>
      </c>
      <c r="G2256">
        <v>1</v>
      </c>
      <c r="H2256" t="s">
        <v>10310</v>
      </c>
      <c r="I2256" t="s">
        <v>10325</v>
      </c>
      <c r="L2256">
        <v>1932</v>
      </c>
      <c r="R2256" t="s">
        <v>11038</v>
      </c>
      <c r="S2256" t="s">
        <v>10310</v>
      </c>
      <c r="W2256" s="2" t="s">
        <v>11202</v>
      </c>
    </row>
    <row r="2257" spans="1:23" hidden="1" x14ac:dyDescent="0.45">
      <c r="A2257" s="1" t="s">
        <v>2240</v>
      </c>
      <c r="B2257" t="s">
        <v>6199</v>
      </c>
      <c r="D2257" t="s">
        <v>7990</v>
      </c>
      <c r="E2257" t="s">
        <v>9439</v>
      </c>
      <c r="F2257" t="s">
        <v>10297</v>
      </c>
      <c r="G2257">
        <v>0.6</v>
      </c>
      <c r="H2257" t="s">
        <v>10310</v>
      </c>
      <c r="I2257" t="s">
        <v>10325</v>
      </c>
      <c r="L2257">
        <v>1932</v>
      </c>
      <c r="R2257" t="s">
        <v>11038</v>
      </c>
      <c r="S2257" t="s">
        <v>10310</v>
      </c>
      <c r="W2257" s="2" t="s">
        <v>11202</v>
      </c>
    </row>
    <row r="2258" spans="1:23" hidden="1" x14ac:dyDescent="0.45">
      <c r="A2258" s="1" t="s">
        <v>2241</v>
      </c>
      <c r="B2258" t="s">
        <v>6199</v>
      </c>
      <c r="D2258" t="s">
        <v>7990</v>
      </c>
      <c r="E2258" t="s">
        <v>9440</v>
      </c>
      <c r="F2258" t="s">
        <v>10297</v>
      </c>
      <c r="G2258">
        <v>0.28999999999999998</v>
      </c>
      <c r="H2258" t="s">
        <v>10310</v>
      </c>
      <c r="I2258" t="s">
        <v>10325</v>
      </c>
      <c r="L2258">
        <v>1905</v>
      </c>
      <c r="R2258" t="s">
        <v>11038</v>
      </c>
      <c r="S2258" t="s">
        <v>10310</v>
      </c>
      <c r="W2258" s="2" t="s">
        <v>11202</v>
      </c>
    </row>
    <row r="2259" spans="1:23" hidden="1" x14ac:dyDescent="0.45">
      <c r="A2259" s="1" t="s">
        <v>2242</v>
      </c>
      <c r="B2259" t="s">
        <v>6199</v>
      </c>
      <c r="D2259" t="s">
        <v>7990</v>
      </c>
      <c r="E2259" t="s">
        <v>9440</v>
      </c>
      <c r="F2259" t="s">
        <v>10297</v>
      </c>
      <c r="G2259">
        <v>0.48</v>
      </c>
      <c r="H2259" t="s">
        <v>10310</v>
      </c>
      <c r="I2259" t="s">
        <v>10325</v>
      </c>
      <c r="L2259">
        <v>1905</v>
      </c>
      <c r="R2259" t="s">
        <v>11038</v>
      </c>
      <c r="S2259" t="s">
        <v>10310</v>
      </c>
      <c r="W2259" s="2" t="s">
        <v>11202</v>
      </c>
    </row>
    <row r="2260" spans="1:23" hidden="1" x14ac:dyDescent="0.45">
      <c r="A2260" s="1" t="s">
        <v>2243</v>
      </c>
      <c r="B2260" t="s">
        <v>6199</v>
      </c>
      <c r="D2260" t="s">
        <v>7990</v>
      </c>
      <c r="E2260" t="s">
        <v>9441</v>
      </c>
      <c r="F2260" t="s">
        <v>10297</v>
      </c>
      <c r="G2260">
        <v>0.5</v>
      </c>
      <c r="H2260" t="s">
        <v>10310</v>
      </c>
      <c r="I2260" t="s">
        <v>10325</v>
      </c>
      <c r="L2260">
        <v>1949</v>
      </c>
      <c r="R2260" t="s">
        <v>11038</v>
      </c>
      <c r="S2260" t="s">
        <v>10310</v>
      </c>
      <c r="W2260" s="2" t="s">
        <v>11202</v>
      </c>
    </row>
    <row r="2261" spans="1:23" hidden="1" x14ac:dyDescent="0.45">
      <c r="A2261" s="1" t="s">
        <v>2244</v>
      </c>
      <c r="B2261" t="s">
        <v>6199</v>
      </c>
      <c r="D2261" t="s">
        <v>7990</v>
      </c>
      <c r="E2261" t="s">
        <v>9441</v>
      </c>
      <c r="F2261" t="s">
        <v>10297</v>
      </c>
      <c r="G2261">
        <v>0.5</v>
      </c>
      <c r="H2261" t="s">
        <v>10310</v>
      </c>
      <c r="I2261" t="s">
        <v>10325</v>
      </c>
      <c r="L2261">
        <v>1949</v>
      </c>
      <c r="R2261" t="s">
        <v>11038</v>
      </c>
      <c r="S2261" t="s">
        <v>10310</v>
      </c>
      <c r="W2261" s="2" t="s">
        <v>11202</v>
      </c>
    </row>
    <row r="2262" spans="1:23" hidden="1" x14ac:dyDescent="0.45">
      <c r="A2262" s="1" t="s">
        <v>2245</v>
      </c>
      <c r="B2262" t="s">
        <v>6199</v>
      </c>
      <c r="D2262" t="s">
        <v>7990</v>
      </c>
      <c r="E2262" t="s">
        <v>9440</v>
      </c>
      <c r="F2262" t="s">
        <v>10297</v>
      </c>
      <c r="G2262">
        <v>0.48</v>
      </c>
      <c r="H2262" t="s">
        <v>10310</v>
      </c>
      <c r="I2262" t="s">
        <v>10325</v>
      </c>
      <c r="L2262">
        <v>1913</v>
      </c>
      <c r="R2262" t="s">
        <v>11038</v>
      </c>
      <c r="S2262" t="s">
        <v>10310</v>
      </c>
      <c r="W2262" s="2" t="s">
        <v>11202</v>
      </c>
    </row>
    <row r="2263" spans="1:23" hidden="1" x14ac:dyDescent="0.45">
      <c r="A2263" s="1" t="s">
        <v>2246</v>
      </c>
      <c r="B2263" t="s">
        <v>6199</v>
      </c>
      <c r="D2263" t="s">
        <v>7990</v>
      </c>
      <c r="E2263" t="s">
        <v>9419</v>
      </c>
      <c r="F2263" t="s">
        <v>10297</v>
      </c>
      <c r="G2263">
        <v>97.55</v>
      </c>
      <c r="H2263" t="s">
        <v>10310</v>
      </c>
      <c r="I2263" t="s">
        <v>10324</v>
      </c>
      <c r="L2263">
        <v>1977</v>
      </c>
      <c r="N2263">
        <v>36.908265</v>
      </c>
      <c r="P2263">
        <v>-4.763865</v>
      </c>
      <c r="R2263" t="s">
        <v>11038</v>
      </c>
      <c r="S2263" t="s">
        <v>10310</v>
      </c>
      <c r="W2263" s="2" t="s">
        <v>11202</v>
      </c>
    </row>
    <row r="2264" spans="1:23" hidden="1" x14ac:dyDescent="0.45">
      <c r="A2264" s="1" t="s">
        <v>2247</v>
      </c>
      <c r="B2264" t="s">
        <v>6199</v>
      </c>
      <c r="D2264" t="s">
        <v>7990</v>
      </c>
      <c r="E2264" t="s">
        <v>9419</v>
      </c>
      <c r="F2264" t="s">
        <v>10297</v>
      </c>
      <c r="G2264">
        <v>95.32</v>
      </c>
      <c r="H2264" t="s">
        <v>10310</v>
      </c>
      <c r="I2264" t="s">
        <v>10324</v>
      </c>
      <c r="L2264">
        <v>1977</v>
      </c>
      <c r="N2264">
        <v>36.908265</v>
      </c>
      <c r="P2264">
        <v>-4.763865</v>
      </c>
      <c r="R2264" t="s">
        <v>11038</v>
      </c>
      <c r="S2264" t="s">
        <v>10310</v>
      </c>
      <c r="W2264" s="2" t="s">
        <v>11202</v>
      </c>
    </row>
    <row r="2265" spans="1:23" hidden="1" x14ac:dyDescent="0.45">
      <c r="A2265" s="1" t="s">
        <v>2248</v>
      </c>
      <c r="B2265" t="s">
        <v>6199</v>
      </c>
      <c r="D2265" t="s">
        <v>7990</v>
      </c>
      <c r="E2265" t="s">
        <v>9419</v>
      </c>
      <c r="F2265" t="s">
        <v>10297</v>
      </c>
      <c r="G2265">
        <v>90</v>
      </c>
      <c r="H2265" t="s">
        <v>10310</v>
      </c>
      <c r="I2265" t="s">
        <v>10324</v>
      </c>
      <c r="L2265">
        <v>1977</v>
      </c>
      <c r="N2265">
        <v>36.908265</v>
      </c>
      <c r="P2265">
        <v>-4.763865</v>
      </c>
      <c r="R2265" t="s">
        <v>11038</v>
      </c>
      <c r="S2265" t="s">
        <v>10310</v>
      </c>
      <c r="W2265" s="2" t="s">
        <v>11202</v>
      </c>
    </row>
    <row r="2266" spans="1:23" hidden="1" x14ac:dyDescent="0.45">
      <c r="A2266" s="1" t="s">
        <v>2249</v>
      </c>
      <c r="B2266" t="s">
        <v>6199</v>
      </c>
      <c r="D2266" t="s">
        <v>7990</v>
      </c>
      <c r="E2266" t="s">
        <v>9419</v>
      </c>
      <c r="F2266" t="s">
        <v>10297</v>
      </c>
      <c r="G2266">
        <v>96.9</v>
      </c>
      <c r="H2266" t="s">
        <v>10310</v>
      </c>
      <c r="I2266" t="s">
        <v>10324</v>
      </c>
      <c r="L2266">
        <v>1977</v>
      </c>
      <c r="N2266">
        <v>36.908265</v>
      </c>
      <c r="P2266">
        <v>-4.763865</v>
      </c>
      <c r="R2266" t="s">
        <v>11038</v>
      </c>
      <c r="S2266" t="s">
        <v>10310</v>
      </c>
      <c r="W2266" s="2" t="s">
        <v>11202</v>
      </c>
    </row>
    <row r="2267" spans="1:23" hidden="1" x14ac:dyDescent="0.45">
      <c r="A2267" s="1" t="s">
        <v>2250</v>
      </c>
      <c r="B2267" t="s">
        <v>6199</v>
      </c>
      <c r="D2267" t="s">
        <v>7990</v>
      </c>
      <c r="E2267" t="s">
        <v>9442</v>
      </c>
      <c r="F2267" t="s">
        <v>10297</v>
      </c>
      <c r="G2267">
        <v>16</v>
      </c>
      <c r="H2267" t="s">
        <v>10310</v>
      </c>
      <c r="I2267" t="s">
        <v>10326</v>
      </c>
      <c r="L2267">
        <v>1953</v>
      </c>
      <c r="N2267">
        <v>38.175001999999999</v>
      </c>
      <c r="P2267">
        <v>-2.7959160000000001</v>
      </c>
      <c r="R2267" t="s">
        <v>11038</v>
      </c>
      <c r="S2267" t="s">
        <v>10310</v>
      </c>
      <c r="W2267" s="2" t="s">
        <v>11202</v>
      </c>
    </row>
    <row r="2268" spans="1:23" hidden="1" x14ac:dyDescent="0.45">
      <c r="A2268" s="1" t="s">
        <v>2251</v>
      </c>
      <c r="B2268" t="s">
        <v>6199</v>
      </c>
      <c r="D2268" t="s">
        <v>7990</v>
      </c>
      <c r="E2268" t="s">
        <v>9442</v>
      </c>
      <c r="F2268" t="s">
        <v>10297</v>
      </c>
      <c r="G2268">
        <v>7.8</v>
      </c>
      <c r="H2268" t="s">
        <v>10310</v>
      </c>
      <c r="I2268" t="s">
        <v>10326</v>
      </c>
      <c r="L2268">
        <v>1953</v>
      </c>
      <c r="N2268">
        <v>38.175001999999999</v>
      </c>
      <c r="P2268">
        <v>-2.7959160000000001</v>
      </c>
      <c r="R2268" t="s">
        <v>11038</v>
      </c>
      <c r="S2268" t="s">
        <v>10310</v>
      </c>
      <c r="W2268" s="2" t="s">
        <v>11202</v>
      </c>
    </row>
    <row r="2269" spans="1:23" hidden="1" x14ac:dyDescent="0.45">
      <c r="A2269" s="1" t="s">
        <v>2252</v>
      </c>
      <c r="B2269" t="s">
        <v>6199</v>
      </c>
      <c r="D2269" t="s">
        <v>7990</v>
      </c>
      <c r="E2269" t="s">
        <v>9442</v>
      </c>
      <c r="F2269" t="s">
        <v>10297</v>
      </c>
      <c r="G2269">
        <v>16</v>
      </c>
      <c r="H2269" t="s">
        <v>10310</v>
      </c>
      <c r="I2269" t="s">
        <v>10326</v>
      </c>
      <c r="L2269">
        <v>1953</v>
      </c>
      <c r="N2269">
        <v>38.175001999999999</v>
      </c>
      <c r="P2269">
        <v>-2.7959160000000001</v>
      </c>
      <c r="R2269" t="s">
        <v>11038</v>
      </c>
      <c r="S2269" t="s">
        <v>10310</v>
      </c>
      <c r="W2269" s="2" t="s">
        <v>11202</v>
      </c>
    </row>
    <row r="2270" spans="1:23" hidden="1" x14ac:dyDescent="0.45">
      <c r="A2270" s="1" t="s">
        <v>2253</v>
      </c>
      <c r="B2270" t="s">
        <v>6199</v>
      </c>
      <c r="D2270" t="s">
        <v>7990</v>
      </c>
      <c r="E2270" t="s">
        <v>9418</v>
      </c>
      <c r="F2270" t="s">
        <v>10297</v>
      </c>
      <c r="G2270">
        <v>1.05</v>
      </c>
      <c r="H2270" t="s">
        <v>10310</v>
      </c>
      <c r="I2270" t="s">
        <v>10325</v>
      </c>
      <c r="L2270">
        <v>1980</v>
      </c>
      <c r="R2270" t="s">
        <v>11038</v>
      </c>
      <c r="S2270" t="s">
        <v>10310</v>
      </c>
      <c r="W2270" s="2" t="s">
        <v>11202</v>
      </c>
    </row>
    <row r="2271" spans="1:23" hidden="1" x14ac:dyDescent="0.45">
      <c r="A2271" s="1" t="s">
        <v>2254</v>
      </c>
      <c r="B2271" t="s">
        <v>6199</v>
      </c>
      <c r="D2271" t="s">
        <v>7990</v>
      </c>
      <c r="E2271" t="s">
        <v>9418</v>
      </c>
      <c r="F2271" t="s">
        <v>10297</v>
      </c>
      <c r="G2271">
        <v>1.05</v>
      </c>
      <c r="H2271" t="s">
        <v>10310</v>
      </c>
      <c r="I2271" t="s">
        <v>10325</v>
      </c>
      <c r="L2271">
        <v>1980</v>
      </c>
      <c r="R2271" t="s">
        <v>11038</v>
      </c>
      <c r="S2271" t="s">
        <v>10310</v>
      </c>
      <c r="W2271" s="2" t="s">
        <v>11202</v>
      </c>
    </row>
    <row r="2272" spans="1:23" hidden="1" x14ac:dyDescent="0.45">
      <c r="A2272" s="1" t="s">
        <v>2255</v>
      </c>
      <c r="B2272" t="s">
        <v>6199</v>
      </c>
      <c r="D2272" t="s">
        <v>7990</v>
      </c>
      <c r="E2272" t="s">
        <v>9418</v>
      </c>
      <c r="F2272" t="s">
        <v>10297</v>
      </c>
      <c r="G2272">
        <v>1.05</v>
      </c>
      <c r="H2272" t="s">
        <v>10310</v>
      </c>
      <c r="I2272" t="s">
        <v>10325</v>
      </c>
      <c r="L2272">
        <v>1980</v>
      </c>
      <c r="R2272" t="s">
        <v>11038</v>
      </c>
      <c r="S2272" t="s">
        <v>10310</v>
      </c>
      <c r="W2272" s="2" t="s">
        <v>11202</v>
      </c>
    </row>
    <row r="2273" spans="1:23" hidden="1" x14ac:dyDescent="0.45">
      <c r="A2273" s="1" t="s">
        <v>2256</v>
      </c>
      <c r="B2273" t="s">
        <v>6199</v>
      </c>
      <c r="D2273" t="s">
        <v>7990</v>
      </c>
      <c r="E2273" t="s">
        <v>9443</v>
      </c>
      <c r="F2273" t="s">
        <v>10297</v>
      </c>
      <c r="G2273">
        <v>0.97</v>
      </c>
      <c r="H2273" t="s">
        <v>10310</v>
      </c>
      <c r="I2273" t="s">
        <v>10325</v>
      </c>
      <c r="L2273">
        <v>1946</v>
      </c>
      <c r="R2273" t="s">
        <v>11038</v>
      </c>
      <c r="S2273" t="s">
        <v>10310</v>
      </c>
      <c r="W2273" s="2" t="s">
        <v>11202</v>
      </c>
    </row>
    <row r="2274" spans="1:23" hidden="1" x14ac:dyDescent="0.45">
      <c r="A2274" s="1" t="s">
        <v>2257</v>
      </c>
      <c r="B2274" t="s">
        <v>6199</v>
      </c>
      <c r="D2274" t="s">
        <v>7990</v>
      </c>
      <c r="E2274" t="s">
        <v>9443</v>
      </c>
      <c r="F2274" t="s">
        <v>10297</v>
      </c>
      <c r="G2274">
        <v>0.96</v>
      </c>
      <c r="H2274" t="s">
        <v>10310</v>
      </c>
      <c r="I2274" t="s">
        <v>10325</v>
      </c>
      <c r="L2274">
        <v>1946</v>
      </c>
      <c r="R2274" t="s">
        <v>11038</v>
      </c>
      <c r="S2274" t="s">
        <v>10310</v>
      </c>
      <c r="W2274" s="2" t="s">
        <v>11202</v>
      </c>
    </row>
    <row r="2275" spans="1:23" hidden="1" x14ac:dyDescent="0.45">
      <c r="A2275" s="1" t="s">
        <v>2258</v>
      </c>
      <c r="B2275" t="s">
        <v>6199</v>
      </c>
      <c r="D2275" t="s">
        <v>7990</v>
      </c>
      <c r="E2275" t="s">
        <v>9444</v>
      </c>
      <c r="F2275" t="s">
        <v>10297</v>
      </c>
      <c r="G2275">
        <v>2.5</v>
      </c>
      <c r="H2275" t="s">
        <v>10310</v>
      </c>
      <c r="I2275" t="s">
        <v>10325</v>
      </c>
      <c r="L2275">
        <v>1948</v>
      </c>
      <c r="R2275" t="s">
        <v>11038</v>
      </c>
      <c r="S2275" t="s">
        <v>10310</v>
      </c>
      <c r="W2275" s="2" t="s">
        <v>11202</v>
      </c>
    </row>
    <row r="2276" spans="1:23" hidden="1" x14ac:dyDescent="0.45">
      <c r="A2276" s="1" t="s">
        <v>2259</v>
      </c>
      <c r="B2276" t="s">
        <v>6199</v>
      </c>
      <c r="D2276" t="s">
        <v>7990</v>
      </c>
      <c r="E2276" t="s">
        <v>9444</v>
      </c>
      <c r="F2276" t="s">
        <v>10297</v>
      </c>
      <c r="G2276">
        <v>2.5099999999999998</v>
      </c>
      <c r="H2276" t="s">
        <v>10310</v>
      </c>
      <c r="I2276" t="s">
        <v>10325</v>
      </c>
      <c r="L2276">
        <v>1948</v>
      </c>
      <c r="R2276" t="s">
        <v>11038</v>
      </c>
      <c r="S2276" t="s">
        <v>10310</v>
      </c>
      <c r="W2276" s="2" t="s">
        <v>11202</v>
      </c>
    </row>
    <row r="2277" spans="1:23" hidden="1" x14ac:dyDescent="0.45">
      <c r="A2277" s="1" t="s">
        <v>2260</v>
      </c>
      <c r="B2277" t="s">
        <v>6199</v>
      </c>
      <c r="D2277" t="s">
        <v>7990</v>
      </c>
      <c r="E2277" t="s">
        <v>9425</v>
      </c>
      <c r="F2277" t="s">
        <v>10297</v>
      </c>
      <c r="G2277">
        <v>10.210000000000001</v>
      </c>
      <c r="H2277" t="s">
        <v>10310</v>
      </c>
      <c r="I2277" t="s">
        <v>10326</v>
      </c>
      <c r="L2277">
        <v>1968</v>
      </c>
      <c r="R2277" t="s">
        <v>11038</v>
      </c>
      <c r="S2277" t="s">
        <v>10310</v>
      </c>
      <c r="W2277" s="2" t="s">
        <v>11202</v>
      </c>
    </row>
    <row r="2278" spans="1:23" hidden="1" x14ac:dyDescent="0.45">
      <c r="A2278" s="1" t="s">
        <v>2261</v>
      </c>
      <c r="B2278" t="s">
        <v>6199</v>
      </c>
      <c r="D2278" t="s">
        <v>7990</v>
      </c>
      <c r="E2278" t="s">
        <v>9425</v>
      </c>
      <c r="F2278" t="s">
        <v>10297</v>
      </c>
      <c r="G2278">
        <v>9.9600000000000009</v>
      </c>
      <c r="H2278" t="s">
        <v>10310</v>
      </c>
      <c r="I2278" t="s">
        <v>10326</v>
      </c>
      <c r="L2278">
        <v>1968</v>
      </c>
      <c r="R2278" t="s">
        <v>11038</v>
      </c>
      <c r="S2278" t="s">
        <v>10310</v>
      </c>
      <c r="W2278" s="2" t="s">
        <v>11202</v>
      </c>
    </row>
    <row r="2279" spans="1:23" hidden="1" x14ac:dyDescent="0.45">
      <c r="A2279" s="1" t="s">
        <v>2262</v>
      </c>
      <c r="B2279" t="s">
        <v>6199</v>
      </c>
      <c r="D2279" t="s">
        <v>7990</v>
      </c>
      <c r="E2279" t="s">
        <v>9445</v>
      </c>
      <c r="F2279" t="s">
        <v>10297</v>
      </c>
      <c r="G2279">
        <v>32</v>
      </c>
      <c r="H2279" t="s">
        <v>10310</v>
      </c>
      <c r="I2279" t="s">
        <v>10326</v>
      </c>
      <c r="L2279">
        <v>1965</v>
      </c>
      <c r="N2279">
        <v>42.693919000000001</v>
      </c>
      <c r="P2279">
        <v>0.91626600000000002</v>
      </c>
      <c r="R2279" t="s">
        <v>11038</v>
      </c>
      <c r="S2279" t="s">
        <v>10310</v>
      </c>
      <c r="W2279" s="2" t="s">
        <v>11202</v>
      </c>
    </row>
    <row r="2280" spans="1:23" hidden="1" x14ac:dyDescent="0.45">
      <c r="A2280" s="1" t="s">
        <v>2263</v>
      </c>
      <c r="B2280" t="s">
        <v>6199</v>
      </c>
      <c r="D2280" t="s">
        <v>7990</v>
      </c>
      <c r="E2280" t="s">
        <v>9445</v>
      </c>
      <c r="F2280" t="s">
        <v>10297</v>
      </c>
      <c r="G2280">
        <v>34</v>
      </c>
      <c r="H2280" t="s">
        <v>10310</v>
      </c>
      <c r="I2280" t="s">
        <v>10326</v>
      </c>
      <c r="L2280">
        <v>1955</v>
      </c>
      <c r="N2280">
        <v>42.700166000000003</v>
      </c>
      <c r="P2280">
        <v>0.87656200000000006</v>
      </c>
      <c r="R2280" t="s">
        <v>11038</v>
      </c>
      <c r="S2280" t="s">
        <v>10310</v>
      </c>
      <c r="W2280" s="2" t="s">
        <v>11202</v>
      </c>
    </row>
    <row r="2281" spans="1:23" hidden="1" x14ac:dyDescent="0.45">
      <c r="A2281" s="1" t="s">
        <v>2264</v>
      </c>
      <c r="B2281" t="s">
        <v>6199</v>
      </c>
      <c r="D2281" t="s">
        <v>7990</v>
      </c>
      <c r="E2281" t="s">
        <v>9445</v>
      </c>
      <c r="F2281" t="s">
        <v>10297</v>
      </c>
      <c r="G2281">
        <v>34</v>
      </c>
      <c r="H2281" t="s">
        <v>10310</v>
      </c>
      <c r="I2281" t="s">
        <v>10326</v>
      </c>
      <c r="L2281">
        <v>1955</v>
      </c>
      <c r="N2281">
        <v>42.700166000000003</v>
      </c>
      <c r="P2281">
        <v>0.87656200000000006</v>
      </c>
      <c r="R2281" t="s">
        <v>11038</v>
      </c>
      <c r="S2281" t="s">
        <v>10310</v>
      </c>
      <c r="W2281" s="2" t="s">
        <v>11202</v>
      </c>
    </row>
    <row r="2282" spans="1:23" hidden="1" x14ac:dyDescent="0.45">
      <c r="A2282" s="1" t="s">
        <v>2265</v>
      </c>
      <c r="B2282" t="s">
        <v>6199</v>
      </c>
      <c r="D2282" t="s">
        <v>7990</v>
      </c>
      <c r="E2282" t="s">
        <v>9446</v>
      </c>
      <c r="F2282" t="s">
        <v>10297</v>
      </c>
      <c r="G2282">
        <v>7.44</v>
      </c>
      <c r="H2282" t="s">
        <v>10310</v>
      </c>
      <c r="I2282" t="s">
        <v>10325</v>
      </c>
      <c r="L2282">
        <v>1960</v>
      </c>
      <c r="R2282" t="s">
        <v>11038</v>
      </c>
      <c r="S2282" t="s">
        <v>10310</v>
      </c>
      <c r="W2282" s="2" t="s">
        <v>11202</v>
      </c>
    </row>
    <row r="2283" spans="1:23" hidden="1" x14ac:dyDescent="0.45">
      <c r="A2283" s="1" t="s">
        <v>2266</v>
      </c>
      <c r="B2283" t="s">
        <v>6199</v>
      </c>
      <c r="D2283" t="s">
        <v>7990</v>
      </c>
      <c r="E2283" t="s">
        <v>9447</v>
      </c>
      <c r="F2283" t="s">
        <v>10297</v>
      </c>
      <c r="G2283">
        <v>16</v>
      </c>
      <c r="H2283" t="s">
        <v>10310</v>
      </c>
      <c r="I2283" t="s">
        <v>10325</v>
      </c>
      <c r="L2283">
        <v>1956</v>
      </c>
      <c r="R2283" t="s">
        <v>11038</v>
      </c>
      <c r="S2283" t="s">
        <v>10310</v>
      </c>
      <c r="W2283" s="2" t="s">
        <v>11202</v>
      </c>
    </row>
    <row r="2284" spans="1:23" hidden="1" x14ac:dyDescent="0.45">
      <c r="A2284" s="1" t="s">
        <v>2267</v>
      </c>
      <c r="B2284" t="s">
        <v>6199</v>
      </c>
      <c r="D2284" t="s">
        <v>7990</v>
      </c>
      <c r="E2284" t="s">
        <v>9447</v>
      </c>
      <c r="F2284" t="s">
        <v>10297</v>
      </c>
      <c r="G2284">
        <v>8</v>
      </c>
      <c r="H2284" t="s">
        <v>10310</v>
      </c>
      <c r="I2284" t="s">
        <v>10325</v>
      </c>
      <c r="L2284">
        <v>1952</v>
      </c>
      <c r="R2284" t="s">
        <v>11038</v>
      </c>
      <c r="S2284" t="s">
        <v>10310</v>
      </c>
      <c r="W2284" s="2" t="s">
        <v>11202</v>
      </c>
    </row>
    <row r="2285" spans="1:23" hidden="1" x14ac:dyDescent="0.45">
      <c r="A2285" s="1" t="s">
        <v>2268</v>
      </c>
      <c r="B2285" t="s">
        <v>6199</v>
      </c>
      <c r="D2285" t="s">
        <v>7990</v>
      </c>
      <c r="E2285" t="s">
        <v>9447</v>
      </c>
      <c r="F2285" t="s">
        <v>10297</v>
      </c>
      <c r="G2285">
        <v>8</v>
      </c>
      <c r="H2285" t="s">
        <v>10310</v>
      </c>
      <c r="I2285" t="s">
        <v>10325</v>
      </c>
      <c r="L2285">
        <v>1952</v>
      </c>
      <c r="R2285" t="s">
        <v>11038</v>
      </c>
      <c r="S2285" t="s">
        <v>10310</v>
      </c>
      <c r="W2285" s="2" t="s">
        <v>11202</v>
      </c>
    </row>
    <row r="2286" spans="1:23" hidden="1" x14ac:dyDescent="0.45">
      <c r="A2286" s="1" t="s">
        <v>2269</v>
      </c>
      <c r="B2286" t="s">
        <v>6199</v>
      </c>
      <c r="D2286" t="s">
        <v>7990</v>
      </c>
      <c r="E2286" t="s">
        <v>9448</v>
      </c>
      <c r="F2286" t="s">
        <v>10297</v>
      </c>
      <c r="G2286">
        <v>10.86</v>
      </c>
      <c r="H2286" t="s">
        <v>10310</v>
      </c>
      <c r="I2286" t="s">
        <v>10325</v>
      </c>
      <c r="L2286">
        <v>1956</v>
      </c>
      <c r="R2286" t="s">
        <v>11038</v>
      </c>
      <c r="S2286" t="s">
        <v>10310</v>
      </c>
      <c r="W2286" s="2" t="s">
        <v>11202</v>
      </c>
    </row>
    <row r="2287" spans="1:23" hidden="1" x14ac:dyDescent="0.45">
      <c r="A2287" s="1" t="s">
        <v>2270</v>
      </c>
      <c r="B2287" t="s">
        <v>6199</v>
      </c>
      <c r="D2287" t="s">
        <v>7990</v>
      </c>
      <c r="E2287" t="s">
        <v>9448</v>
      </c>
      <c r="F2287" t="s">
        <v>10297</v>
      </c>
      <c r="G2287">
        <v>10.98</v>
      </c>
      <c r="H2287" t="s">
        <v>10310</v>
      </c>
      <c r="I2287" t="s">
        <v>10325</v>
      </c>
      <c r="L2287">
        <v>1956</v>
      </c>
      <c r="R2287" t="s">
        <v>11038</v>
      </c>
      <c r="S2287" t="s">
        <v>10310</v>
      </c>
      <c r="W2287" s="2" t="s">
        <v>11202</v>
      </c>
    </row>
    <row r="2288" spans="1:23" hidden="1" x14ac:dyDescent="0.45">
      <c r="A2288" s="1" t="s">
        <v>2271</v>
      </c>
      <c r="B2288" t="s">
        <v>6199</v>
      </c>
      <c r="D2288" t="s">
        <v>7990</v>
      </c>
      <c r="E2288" t="s">
        <v>9449</v>
      </c>
      <c r="F2288" t="s">
        <v>10297</v>
      </c>
      <c r="G2288">
        <v>6.35</v>
      </c>
      <c r="H2288" t="s">
        <v>10310</v>
      </c>
      <c r="I2288" t="s">
        <v>10326</v>
      </c>
      <c r="L2288">
        <v>1989</v>
      </c>
      <c r="R2288" t="s">
        <v>11038</v>
      </c>
      <c r="S2288" t="s">
        <v>10310</v>
      </c>
      <c r="W2288" s="2" t="s">
        <v>11202</v>
      </c>
    </row>
    <row r="2289" spans="1:23" hidden="1" x14ac:dyDescent="0.45">
      <c r="A2289" s="1" t="s">
        <v>2272</v>
      </c>
      <c r="B2289" t="s">
        <v>6199</v>
      </c>
      <c r="D2289" t="s">
        <v>7990</v>
      </c>
      <c r="E2289" t="s">
        <v>9449</v>
      </c>
      <c r="F2289" t="s">
        <v>10297</v>
      </c>
      <c r="G2289">
        <v>6.35</v>
      </c>
      <c r="H2289" t="s">
        <v>10310</v>
      </c>
      <c r="I2289" t="s">
        <v>10326</v>
      </c>
      <c r="L2289">
        <v>1989</v>
      </c>
      <c r="R2289" t="s">
        <v>11038</v>
      </c>
      <c r="S2289" t="s">
        <v>10310</v>
      </c>
      <c r="W2289" s="2" t="s">
        <v>11202</v>
      </c>
    </row>
    <row r="2290" spans="1:23" hidden="1" x14ac:dyDescent="0.45">
      <c r="A2290" s="1" t="s">
        <v>2273</v>
      </c>
      <c r="B2290" t="s">
        <v>6199</v>
      </c>
      <c r="D2290" t="s">
        <v>7990</v>
      </c>
      <c r="E2290" t="s">
        <v>9449</v>
      </c>
      <c r="F2290" t="s">
        <v>10297</v>
      </c>
      <c r="G2290">
        <v>6.35</v>
      </c>
      <c r="H2290" t="s">
        <v>10310</v>
      </c>
      <c r="I2290" t="s">
        <v>10326</v>
      </c>
      <c r="L2290">
        <v>1989</v>
      </c>
      <c r="R2290" t="s">
        <v>11038</v>
      </c>
      <c r="S2290" t="s">
        <v>10310</v>
      </c>
      <c r="W2290" s="2" t="s">
        <v>11202</v>
      </c>
    </row>
    <row r="2291" spans="1:23" hidden="1" x14ac:dyDescent="0.45">
      <c r="A2291" s="1" t="s">
        <v>2274</v>
      </c>
      <c r="B2291" t="s">
        <v>6199</v>
      </c>
      <c r="D2291" t="s">
        <v>7990</v>
      </c>
      <c r="E2291" t="s">
        <v>9449</v>
      </c>
      <c r="F2291" t="s">
        <v>10297</v>
      </c>
      <c r="G2291">
        <v>6.35</v>
      </c>
      <c r="H2291" t="s">
        <v>10310</v>
      </c>
      <c r="I2291" t="s">
        <v>10326</v>
      </c>
      <c r="L2291">
        <v>1989</v>
      </c>
      <c r="R2291" t="s">
        <v>11038</v>
      </c>
      <c r="S2291" t="s">
        <v>10310</v>
      </c>
      <c r="W2291" s="2" t="s">
        <v>11202</v>
      </c>
    </row>
    <row r="2292" spans="1:23" hidden="1" x14ac:dyDescent="0.45">
      <c r="A2292" s="1" t="s">
        <v>2275</v>
      </c>
      <c r="B2292" t="s">
        <v>6199</v>
      </c>
      <c r="D2292" t="s">
        <v>7990</v>
      </c>
      <c r="E2292" t="s">
        <v>9449</v>
      </c>
      <c r="F2292" t="s">
        <v>10297</v>
      </c>
      <c r="G2292">
        <v>6.35</v>
      </c>
      <c r="H2292" t="s">
        <v>10310</v>
      </c>
      <c r="I2292" t="s">
        <v>10326</v>
      </c>
      <c r="L2292">
        <v>1989</v>
      </c>
      <c r="R2292" t="s">
        <v>11038</v>
      </c>
      <c r="S2292" t="s">
        <v>10310</v>
      </c>
      <c r="W2292" s="2" t="s">
        <v>11202</v>
      </c>
    </row>
    <row r="2293" spans="1:23" hidden="1" x14ac:dyDescent="0.45">
      <c r="A2293" s="1" t="s">
        <v>2276</v>
      </c>
      <c r="B2293" t="s">
        <v>6199</v>
      </c>
      <c r="D2293" t="s">
        <v>7990</v>
      </c>
      <c r="E2293" t="s">
        <v>9450</v>
      </c>
      <c r="F2293" t="s">
        <v>10297</v>
      </c>
      <c r="G2293">
        <v>15</v>
      </c>
      <c r="H2293" t="s">
        <v>10310</v>
      </c>
      <c r="I2293" t="s">
        <v>10326</v>
      </c>
      <c r="L2293">
        <v>1989</v>
      </c>
      <c r="N2293">
        <v>41.907888</v>
      </c>
      <c r="P2293">
        <v>0.886764</v>
      </c>
      <c r="R2293" t="s">
        <v>11038</v>
      </c>
      <c r="S2293" t="s">
        <v>10310</v>
      </c>
      <c r="W2293" s="2" t="s">
        <v>11202</v>
      </c>
    </row>
    <row r="2294" spans="1:23" hidden="1" x14ac:dyDescent="0.45">
      <c r="A2294" s="1" t="s">
        <v>2277</v>
      </c>
      <c r="B2294" t="s">
        <v>6199</v>
      </c>
      <c r="D2294" t="s">
        <v>7990</v>
      </c>
      <c r="E2294" t="s">
        <v>9450</v>
      </c>
      <c r="F2294" t="s">
        <v>10297</v>
      </c>
      <c r="G2294">
        <v>14.7</v>
      </c>
      <c r="H2294" t="s">
        <v>10310</v>
      </c>
      <c r="I2294" t="s">
        <v>10326</v>
      </c>
      <c r="L2294">
        <v>1989</v>
      </c>
      <c r="N2294">
        <v>41.907888</v>
      </c>
      <c r="P2294">
        <v>0.886764</v>
      </c>
      <c r="R2294" t="s">
        <v>11038</v>
      </c>
      <c r="S2294" t="s">
        <v>10310</v>
      </c>
      <c r="W2294" s="2" t="s">
        <v>11202</v>
      </c>
    </row>
    <row r="2295" spans="1:23" hidden="1" x14ac:dyDescent="0.45">
      <c r="A2295" s="1" t="s">
        <v>2278</v>
      </c>
      <c r="B2295" t="s">
        <v>6199</v>
      </c>
      <c r="D2295" t="s">
        <v>7990</v>
      </c>
      <c r="E2295" t="s">
        <v>9450</v>
      </c>
      <c r="F2295" t="s">
        <v>10297</v>
      </c>
      <c r="G2295">
        <v>14.5</v>
      </c>
      <c r="H2295" t="s">
        <v>10310</v>
      </c>
      <c r="I2295" t="s">
        <v>10326</v>
      </c>
      <c r="L2295">
        <v>1989</v>
      </c>
      <c r="N2295">
        <v>41.907888</v>
      </c>
      <c r="P2295">
        <v>0.886764</v>
      </c>
      <c r="R2295" t="s">
        <v>11038</v>
      </c>
      <c r="S2295" t="s">
        <v>10310</v>
      </c>
      <c r="W2295" s="2" t="s">
        <v>11202</v>
      </c>
    </row>
    <row r="2296" spans="1:23" hidden="1" x14ac:dyDescent="0.45">
      <c r="A2296" s="1" t="s">
        <v>2279</v>
      </c>
      <c r="B2296" t="s">
        <v>6199</v>
      </c>
      <c r="D2296" t="s">
        <v>7990</v>
      </c>
      <c r="E2296" t="s">
        <v>9450</v>
      </c>
      <c r="F2296" t="s">
        <v>10297</v>
      </c>
      <c r="G2296">
        <v>15</v>
      </c>
      <c r="H2296" t="s">
        <v>10310</v>
      </c>
      <c r="I2296" t="s">
        <v>10326</v>
      </c>
      <c r="L2296">
        <v>1989</v>
      </c>
      <c r="N2296">
        <v>41.907888</v>
      </c>
      <c r="P2296">
        <v>0.886764</v>
      </c>
      <c r="R2296" t="s">
        <v>11038</v>
      </c>
      <c r="S2296" t="s">
        <v>10310</v>
      </c>
      <c r="W2296" s="2" t="s">
        <v>11202</v>
      </c>
    </row>
    <row r="2297" spans="1:23" hidden="1" x14ac:dyDescent="0.45">
      <c r="A2297" s="1" t="s">
        <v>2280</v>
      </c>
      <c r="B2297" t="s">
        <v>6199</v>
      </c>
      <c r="D2297" t="s">
        <v>7990</v>
      </c>
      <c r="E2297" t="s">
        <v>9449</v>
      </c>
      <c r="F2297" t="s">
        <v>10297</v>
      </c>
      <c r="G2297">
        <v>111.5</v>
      </c>
      <c r="H2297" t="s">
        <v>10310</v>
      </c>
      <c r="I2297" t="s">
        <v>10324</v>
      </c>
      <c r="L2297">
        <v>1985</v>
      </c>
      <c r="N2297">
        <v>42.500622999999997</v>
      </c>
      <c r="P2297">
        <v>0.98921200000000009</v>
      </c>
      <c r="Q2297" t="s">
        <v>10749</v>
      </c>
      <c r="R2297" t="s">
        <v>11038</v>
      </c>
      <c r="S2297" t="s">
        <v>10310</v>
      </c>
      <c r="W2297" s="2" t="s">
        <v>11202</v>
      </c>
    </row>
    <row r="2298" spans="1:23" hidden="1" x14ac:dyDescent="0.45">
      <c r="A2298" s="1" t="s">
        <v>2281</v>
      </c>
      <c r="B2298" t="s">
        <v>6199</v>
      </c>
      <c r="D2298" t="s">
        <v>7990</v>
      </c>
      <c r="E2298" t="s">
        <v>9449</v>
      </c>
      <c r="F2298" t="s">
        <v>10297</v>
      </c>
      <c r="G2298">
        <v>111.5</v>
      </c>
      <c r="H2298" t="s">
        <v>10310</v>
      </c>
      <c r="I2298" t="s">
        <v>10324</v>
      </c>
      <c r="L2298">
        <v>1985</v>
      </c>
      <c r="N2298">
        <v>42.500622999999997</v>
      </c>
      <c r="P2298">
        <v>0.98921200000000009</v>
      </c>
      <c r="Q2298" t="s">
        <v>10749</v>
      </c>
      <c r="R2298" t="s">
        <v>11038</v>
      </c>
      <c r="S2298" t="s">
        <v>10310</v>
      </c>
      <c r="W2298" s="2" t="s">
        <v>11202</v>
      </c>
    </row>
    <row r="2299" spans="1:23" hidden="1" x14ac:dyDescent="0.45">
      <c r="A2299" s="1" t="s">
        <v>2282</v>
      </c>
      <c r="B2299" t="s">
        <v>6199</v>
      </c>
      <c r="D2299" t="s">
        <v>7990</v>
      </c>
      <c r="E2299" t="s">
        <v>9449</v>
      </c>
      <c r="F2299" t="s">
        <v>10297</v>
      </c>
      <c r="G2299">
        <v>111.5</v>
      </c>
      <c r="H2299" t="s">
        <v>10310</v>
      </c>
      <c r="I2299" t="s">
        <v>10324</v>
      </c>
      <c r="L2299">
        <v>1985</v>
      </c>
      <c r="N2299">
        <v>42.500622999999997</v>
      </c>
      <c r="P2299">
        <v>0.98921200000000009</v>
      </c>
      <c r="Q2299" t="s">
        <v>10749</v>
      </c>
      <c r="R2299" t="s">
        <v>11038</v>
      </c>
      <c r="S2299" t="s">
        <v>10310</v>
      </c>
      <c r="W2299" s="2" t="s">
        <v>11202</v>
      </c>
    </row>
    <row r="2300" spans="1:23" hidden="1" x14ac:dyDescent="0.45">
      <c r="A2300" s="1" t="s">
        <v>2283</v>
      </c>
      <c r="B2300" t="s">
        <v>6199</v>
      </c>
      <c r="D2300" t="s">
        <v>7990</v>
      </c>
      <c r="E2300" t="s">
        <v>9449</v>
      </c>
      <c r="F2300" t="s">
        <v>10297</v>
      </c>
      <c r="G2300">
        <v>111.5</v>
      </c>
      <c r="H2300" t="s">
        <v>10310</v>
      </c>
      <c r="I2300" t="s">
        <v>10324</v>
      </c>
      <c r="L2300">
        <v>1986</v>
      </c>
      <c r="N2300">
        <v>42.500622999999997</v>
      </c>
      <c r="P2300">
        <v>0.98921200000000009</v>
      </c>
      <c r="Q2300" t="s">
        <v>10749</v>
      </c>
      <c r="R2300" t="s">
        <v>11038</v>
      </c>
      <c r="S2300" t="s">
        <v>10310</v>
      </c>
      <c r="W2300" s="2" t="s">
        <v>11202</v>
      </c>
    </row>
    <row r="2301" spans="1:23" hidden="1" x14ac:dyDescent="0.45">
      <c r="A2301" s="1" t="s">
        <v>2284</v>
      </c>
      <c r="B2301" t="s">
        <v>6199</v>
      </c>
      <c r="D2301" t="s">
        <v>7990</v>
      </c>
      <c r="E2301" t="s">
        <v>9451</v>
      </c>
      <c r="F2301" t="s">
        <v>10297</v>
      </c>
      <c r="G2301">
        <v>10.63</v>
      </c>
      <c r="H2301" t="s">
        <v>10310</v>
      </c>
      <c r="I2301" t="s">
        <v>10326</v>
      </c>
      <c r="L2301">
        <v>1948</v>
      </c>
      <c r="R2301" t="s">
        <v>11038</v>
      </c>
      <c r="S2301" t="s">
        <v>10310</v>
      </c>
      <c r="W2301" s="2" t="s">
        <v>11202</v>
      </c>
    </row>
    <row r="2302" spans="1:23" hidden="1" x14ac:dyDescent="0.45">
      <c r="A2302" s="1" t="s">
        <v>2285</v>
      </c>
      <c r="B2302" t="s">
        <v>6199</v>
      </c>
      <c r="D2302" t="s">
        <v>7990</v>
      </c>
      <c r="E2302" t="s">
        <v>9451</v>
      </c>
      <c r="F2302" t="s">
        <v>10297</v>
      </c>
      <c r="G2302">
        <v>10.97</v>
      </c>
      <c r="H2302" t="s">
        <v>10310</v>
      </c>
      <c r="I2302" t="s">
        <v>10326</v>
      </c>
      <c r="L2302">
        <v>1948</v>
      </c>
      <c r="R2302" t="s">
        <v>11038</v>
      </c>
      <c r="S2302" t="s">
        <v>10310</v>
      </c>
      <c r="W2302" s="2" t="s">
        <v>11202</v>
      </c>
    </row>
    <row r="2303" spans="1:23" hidden="1" x14ac:dyDescent="0.45">
      <c r="A2303" s="1" t="s">
        <v>2286</v>
      </c>
      <c r="B2303" t="s">
        <v>6199</v>
      </c>
      <c r="D2303" t="s">
        <v>7990</v>
      </c>
      <c r="E2303" t="s">
        <v>9451</v>
      </c>
      <c r="F2303" t="s">
        <v>10297</v>
      </c>
      <c r="G2303">
        <v>10.63</v>
      </c>
      <c r="H2303" t="s">
        <v>10310</v>
      </c>
      <c r="I2303" t="s">
        <v>10326</v>
      </c>
      <c r="L2303">
        <v>1948</v>
      </c>
      <c r="R2303" t="s">
        <v>11038</v>
      </c>
      <c r="S2303" t="s">
        <v>10310</v>
      </c>
      <c r="W2303" s="2" t="s">
        <v>11202</v>
      </c>
    </row>
    <row r="2304" spans="1:23" hidden="1" x14ac:dyDescent="0.45">
      <c r="A2304" s="1" t="s">
        <v>2287</v>
      </c>
      <c r="B2304" t="s">
        <v>6199</v>
      </c>
      <c r="D2304" t="s">
        <v>7990</v>
      </c>
      <c r="E2304" t="s">
        <v>9451</v>
      </c>
      <c r="F2304" t="s">
        <v>10297</v>
      </c>
      <c r="G2304">
        <v>10.63</v>
      </c>
      <c r="H2304" t="s">
        <v>10310</v>
      </c>
      <c r="I2304" t="s">
        <v>10326</v>
      </c>
      <c r="L2304">
        <v>1948</v>
      </c>
      <c r="R2304" t="s">
        <v>11038</v>
      </c>
      <c r="S2304" t="s">
        <v>10310</v>
      </c>
      <c r="W2304" s="2" t="s">
        <v>11202</v>
      </c>
    </row>
    <row r="2305" spans="1:23" hidden="1" x14ac:dyDescent="0.45">
      <c r="A2305" s="1" t="s">
        <v>2288</v>
      </c>
      <c r="B2305" t="s">
        <v>6199</v>
      </c>
      <c r="D2305" t="s">
        <v>7990</v>
      </c>
      <c r="E2305" t="s">
        <v>9452</v>
      </c>
      <c r="F2305" t="s">
        <v>10297</v>
      </c>
      <c r="G2305">
        <v>11.5</v>
      </c>
      <c r="H2305" t="s">
        <v>10310</v>
      </c>
      <c r="I2305" t="s">
        <v>10325</v>
      </c>
      <c r="L2305">
        <v>1931</v>
      </c>
      <c r="R2305" t="s">
        <v>11038</v>
      </c>
      <c r="S2305" t="s">
        <v>10310</v>
      </c>
      <c r="W2305" s="2" t="s">
        <v>11202</v>
      </c>
    </row>
    <row r="2306" spans="1:23" hidden="1" x14ac:dyDescent="0.45">
      <c r="A2306" s="1" t="s">
        <v>2289</v>
      </c>
      <c r="B2306" t="s">
        <v>6199</v>
      </c>
      <c r="D2306" t="s">
        <v>7990</v>
      </c>
      <c r="E2306" t="s">
        <v>9452</v>
      </c>
      <c r="F2306" t="s">
        <v>10297</v>
      </c>
      <c r="G2306">
        <v>11.5</v>
      </c>
      <c r="H2306" t="s">
        <v>10310</v>
      </c>
      <c r="I2306" t="s">
        <v>10325</v>
      </c>
      <c r="L2306">
        <v>1931</v>
      </c>
      <c r="R2306" t="s">
        <v>11038</v>
      </c>
      <c r="S2306" t="s">
        <v>10310</v>
      </c>
      <c r="W2306" s="2" t="s">
        <v>11202</v>
      </c>
    </row>
    <row r="2307" spans="1:23" hidden="1" x14ac:dyDescent="0.45">
      <c r="A2307" s="1" t="s">
        <v>2290</v>
      </c>
      <c r="B2307" t="s">
        <v>6199</v>
      </c>
      <c r="D2307" t="s">
        <v>7990</v>
      </c>
      <c r="E2307" t="s">
        <v>9447</v>
      </c>
      <c r="F2307" t="s">
        <v>10297</v>
      </c>
      <c r="G2307">
        <v>20.399999999999999</v>
      </c>
      <c r="H2307" t="s">
        <v>10310</v>
      </c>
      <c r="I2307" t="s">
        <v>10325</v>
      </c>
      <c r="L2307">
        <v>1958</v>
      </c>
      <c r="R2307" t="s">
        <v>11038</v>
      </c>
      <c r="S2307" t="s">
        <v>10310</v>
      </c>
      <c r="W2307" s="2" t="s">
        <v>11202</v>
      </c>
    </row>
    <row r="2308" spans="1:23" hidden="1" x14ac:dyDescent="0.45">
      <c r="A2308" s="1" t="s">
        <v>2291</v>
      </c>
      <c r="B2308" t="s">
        <v>6199</v>
      </c>
      <c r="D2308" t="s">
        <v>7990</v>
      </c>
      <c r="E2308" t="s">
        <v>9453</v>
      </c>
      <c r="F2308" t="s">
        <v>10297</v>
      </c>
      <c r="G2308">
        <v>7.03</v>
      </c>
      <c r="H2308" t="s">
        <v>10310</v>
      </c>
      <c r="I2308" t="s">
        <v>10326</v>
      </c>
      <c r="L2308">
        <v>1989</v>
      </c>
      <c r="R2308" t="s">
        <v>11038</v>
      </c>
      <c r="S2308" t="s">
        <v>10310</v>
      </c>
      <c r="W2308" s="2" t="s">
        <v>11202</v>
      </c>
    </row>
    <row r="2309" spans="1:23" hidden="1" x14ac:dyDescent="0.45">
      <c r="A2309" s="1" t="s">
        <v>2292</v>
      </c>
      <c r="B2309" t="s">
        <v>6199</v>
      </c>
      <c r="D2309" t="s">
        <v>7990</v>
      </c>
      <c r="E2309" t="s">
        <v>9454</v>
      </c>
      <c r="F2309" t="s">
        <v>10297</v>
      </c>
      <c r="G2309">
        <v>12</v>
      </c>
      <c r="H2309" t="s">
        <v>10310</v>
      </c>
      <c r="I2309" t="s">
        <v>10325</v>
      </c>
      <c r="L2309">
        <v>1964</v>
      </c>
      <c r="R2309" t="s">
        <v>11038</v>
      </c>
      <c r="S2309" t="s">
        <v>10310</v>
      </c>
      <c r="W2309" s="2" t="s">
        <v>11202</v>
      </c>
    </row>
    <row r="2310" spans="1:23" hidden="1" x14ac:dyDescent="0.45">
      <c r="A2310" s="1" t="s">
        <v>2293</v>
      </c>
      <c r="B2310" t="s">
        <v>6199</v>
      </c>
      <c r="D2310" t="s">
        <v>7990</v>
      </c>
      <c r="E2310" t="s">
        <v>9455</v>
      </c>
      <c r="F2310" t="s">
        <v>10297</v>
      </c>
      <c r="G2310">
        <v>26.4</v>
      </c>
      <c r="H2310" t="s">
        <v>10310</v>
      </c>
      <c r="I2310" t="s">
        <v>10326</v>
      </c>
      <c r="L2310">
        <v>1966</v>
      </c>
      <c r="R2310" t="s">
        <v>11038</v>
      </c>
      <c r="S2310" t="s">
        <v>10310</v>
      </c>
      <c r="W2310" s="2" t="s">
        <v>11202</v>
      </c>
    </row>
    <row r="2311" spans="1:23" hidden="1" x14ac:dyDescent="0.45">
      <c r="A2311" s="1" t="s">
        <v>2294</v>
      </c>
      <c r="B2311" t="s">
        <v>6199</v>
      </c>
      <c r="D2311" t="s">
        <v>7990</v>
      </c>
      <c r="E2311" t="s">
        <v>9455</v>
      </c>
      <c r="F2311" t="s">
        <v>10297</v>
      </c>
      <c r="G2311">
        <v>26.4</v>
      </c>
      <c r="H2311" t="s">
        <v>10310</v>
      </c>
      <c r="I2311" t="s">
        <v>10326</v>
      </c>
      <c r="L2311">
        <v>1966</v>
      </c>
      <c r="R2311" t="s">
        <v>11038</v>
      </c>
      <c r="S2311" t="s">
        <v>10310</v>
      </c>
      <c r="W2311" s="2" t="s">
        <v>11202</v>
      </c>
    </row>
    <row r="2312" spans="1:23" hidden="1" x14ac:dyDescent="0.45">
      <c r="A2312" s="1" t="s">
        <v>2295</v>
      </c>
      <c r="B2312" t="s">
        <v>6199</v>
      </c>
      <c r="D2312" t="s">
        <v>7990</v>
      </c>
      <c r="E2312" t="s">
        <v>9456</v>
      </c>
      <c r="F2312" t="s">
        <v>10297</v>
      </c>
      <c r="G2312">
        <v>46.1</v>
      </c>
      <c r="H2312" t="s">
        <v>10310</v>
      </c>
      <c r="I2312" t="s">
        <v>10327</v>
      </c>
      <c r="L2312">
        <v>1974</v>
      </c>
      <c r="N2312">
        <v>42.673533999999997</v>
      </c>
      <c r="P2312">
        <v>1.2351380000000001</v>
      </c>
      <c r="R2312" t="s">
        <v>11038</v>
      </c>
      <c r="S2312" t="s">
        <v>10310</v>
      </c>
      <c r="W2312" s="2" t="s">
        <v>11202</v>
      </c>
    </row>
    <row r="2313" spans="1:23" hidden="1" x14ac:dyDescent="0.45">
      <c r="A2313" s="1" t="s">
        <v>2296</v>
      </c>
      <c r="B2313" t="s">
        <v>6199</v>
      </c>
      <c r="D2313" t="s">
        <v>7990</v>
      </c>
      <c r="E2313" t="s">
        <v>9456</v>
      </c>
      <c r="F2313" t="s">
        <v>10297</v>
      </c>
      <c r="G2313">
        <v>46.81</v>
      </c>
      <c r="H2313" t="s">
        <v>10310</v>
      </c>
      <c r="I2313" t="s">
        <v>10327</v>
      </c>
      <c r="L2313">
        <v>1974</v>
      </c>
      <c r="N2313">
        <v>42.673533999999997</v>
      </c>
      <c r="P2313">
        <v>1.2351380000000001</v>
      </c>
      <c r="R2313" t="s">
        <v>11038</v>
      </c>
      <c r="S2313" t="s">
        <v>10310</v>
      </c>
      <c r="W2313" s="2" t="s">
        <v>11202</v>
      </c>
    </row>
    <row r="2314" spans="1:23" hidden="1" x14ac:dyDescent="0.45">
      <c r="A2314" s="1" t="s">
        <v>2297</v>
      </c>
      <c r="B2314" t="s">
        <v>6199</v>
      </c>
      <c r="D2314" t="s">
        <v>7990</v>
      </c>
      <c r="E2314" t="s">
        <v>9457</v>
      </c>
      <c r="F2314" t="s">
        <v>10297</v>
      </c>
      <c r="G2314">
        <v>12.63</v>
      </c>
      <c r="H2314" t="s">
        <v>10310</v>
      </c>
      <c r="I2314" t="s">
        <v>10326</v>
      </c>
      <c r="L2314">
        <v>1956</v>
      </c>
      <c r="R2314" t="s">
        <v>11038</v>
      </c>
      <c r="S2314" t="s">
        <v>10310</v>
      </c>
      <c r="W2314" s="2" t="s">
        <v>11202</v>
      </c>
    </row>
    <row r="2315" spans="1:23" hidden="1" x14ac:dyDescent="0.45">
      <c r="A2315" s="1" t="s">
        <v>2298</v>
      </c>
      <c r="B2315" t="s">
        <v>6199</v>
      </c>
      <c r="D2315" t="s">
        <v>7990</v>
      </c>
      <c r="E2315" t="s">
        <v>9457</v>
      </c>
      <c r="F2315" t="s">
        <v>10297</v>
      </c>
      <c r="G2315">
        <v>12.63</v>
      </c>
      <c r="H2315" t="s">
        <v>10310</v>
      </c>
      <c r="I2315" t="s">
        <v>10326</v>
      </c>
      <c r="L2315">
        <v>1956</v>
      </c>
      <c r="R2315" t="s">
        <v>11038</v>
      </c>
      <c r="S2315" t="s">
        <v>10310</v>
      </c>
      <c r="W2315" s="2" t="s">
        <v>11202</v>
      </c>
    </row>
    <row r="2316" spans="1:23" hidden="1" x14ac:dyDescent="0.45">
      <c r="A2316" s="1" t="s">
        <v>2299</v>
      </c>
      <c r="B2316" t="s">
        <v>6199</v>
      </c>
      <c r="D2316" t="s">
        <v>7990</v>
      </c>
      <c r="E2316" t="s">
        <v>9457</v>
      </c>
      <c r="F2316" t="s">
        <v>10297</v>
      </c>
      <c r="G2316">
        <v>12.63</v>
      </c>
      <c r="H2316" t="s">
        <v>10310</v>
      </c>
      <c r="I2316" t="s">
        <v>10326</v>
      </c>
      <c r="L2316">
        <v>1965</v>
      </c>
      <c r="R2316" t="s">
        <v>11038</v>
      </c>
      <c r="S2316" t="s">
        <v>10310</v>
      </c>
      <c r="W2316" s="2" t="s">
        <v>11202</v>
      </c>
    </row>
    <row r="2317" spans="1:23" hidden="1" x14ac:dyDescent="0.45">
      <c r="A2317" s="1" t="s">
        <v>2300</v>
      </c>
      <c r="B2317" t="s">
        <v>6212</v>
      </c>
      <c r="D2317" t="s">
        <v>8000</v>
      </c>
      <c r="E2317" t="s">
        <v>9458</v>
      </c>
      <c r="F2317" t="s">
        <v>10297</v>
      </c>
      <c r="G2317">
        <v>6.62</v>
      </c>
      <c r="H2317" t="s">
        <v>10310</v>
      </c>
      <c r="I2317" t="s">
        <v>10325</v>
      </c>
      <c r="L2317">
        <v>1989</v>
      </c>
      <c r="R2317" t="s">
        <v>11038</v>
      </c>
      <c r="S2317" t="s">
        <v>10310</v>
      </c>
      <c r="W2317" s="2" t="s">
        <v>11202</v>
      </c>
    </row>
    <row r="2318" spans="1:23" hidden="1" x14ac:dyDescent="0.45">
      <c r="A2318" s="1" t="s">
        <v>2301</v>
      </c>
      <c r="B2318" t="s">
        <v>6212</v>
      </c>
      <c r="D2318" t="s">
        <v>8000</v>
      </c>
      <c r="E2318" t="s">
        <v>9458</v>
      </c>
      <c r="F2318" t="s">
        <v>10297</v>
      </c>
      <c r="G2318">
        <v>6.62</v>
      </c>
      <c r="H2318" t="s">
        <v>10310</v>
      </c>
      <c r="I2318" t="s">
        <v>10325</v>
      </c>
      <c r="L2318">
        <v>1989</v>
      </c>
      <c r="R2318" t="s">
        <v>11038</v>
      </c>
      <c r="S2318" t="s">
        <v>10310</v>
      </c>
      <c r="W2318" s="2" t="s">
        <v>11202</v>
      </c>
    </row>
    <row r="2319" spans="1:23" hidden="1" x14ac:dyDescent="0.45">
      <c r="A2319" s="1" t="s">
        <v>2302</v>
      </c>
      <c r="B2319" t="s">
        <v>6199</v>
      </c>
      <c r="D2319" t="s">
        <v>7990</v>
      </c>
      <c r="E2319" t="s">
        <v>9459</v>
      </c>
      <c r="F2319" t="s">
        <v>10297</v>
      </c>
      <c r="G2319">
        <v>23.2</v>
      </c>
      <c r="H2319" t="s">
        <v>10310</v>
      </c>
      <c r="I2319" t="s">
        <v>10326</v>
      </c>
      <c r="L2319">
        <v>1960</v>
      </c>
      <c r="N2319">
        <v>42.847566999999998</v>
      </c>
      <c r="P2319">
        <v>0.73527100000000001</v>
      </c>
      <c r="R2319" t="s">
        <v>11038</v>
      </c>
      <c r="S2319" t="s">
        <v>10310</v>
      </c>
      <c r="W2319" s="2" t="s">
        <v>11202</v>
      </c>
    </row>
    <row r="2320" spans="1:23" hidden="1" x14ac:dyDescent="0.45">
      <c r="A2320" s="1" t="s">
        <v>2303</v>
      </c>
      <c r="B2320" t="s">
        <v>6199</v>
      </c>
      <c r="D2320" t="s">
        <v>7990</v>
      </c>
      <c r="E2320" t="s">
        <v>9459</v>
      </c>
      <c r="F2320" t="s">
        <v>10297</v>
      </c>
      <c r="G2320">
        <v>23.2</v>
      </c>
      <c r="H2320" t="s">
        <v>10310</v>
      </c>
      <c r="I2320" t="s">
        <v>10326</v>
      </c>
      <c r="L2320">
        <v>1960</v>
      </c>
      <c r="N2320">
        <v>42.847566999999998</v>
      </c>
      <c r="P2320">
        <v>0.73527100000000001</v>
      </c>
      <c r="R2320" t="s">
        <v>11038</v>
      </c>
      <c r="S2320" t="s">
        <v>10310</v>
      </c>
      <c r="W2320" s="2" t="s">
        <v>11202</v>
      </c>
    </row>
    <row r="2321" spans="1:23" hidden="1" x14ac:dyDescent="0.45">
      <c r="A2321" s="1" t="s">
        <v>2304</v>
      </c>
      <c r="B2321" t="s">
        <v>6199</v>
      </c>
      <c r="D2321" t="s">
        <v>7990</v>
      </c>
      <c r="E2321" t="s">
        <v>9460</v>
      </c>
      <c r="F2321" t="s">
        <v>10297</v>
      </c>
      <c r="G2321">
        <v>11.15</v>
      </c>
      <c r="H2321" t="s">
        <v>10310</v>
      </c>
      <c r="I2321" t="s">
        <v>10326</v>
      </c>
      <c r="L2321">
        <v>1989</v>
      </c>
      <c r="R2321" t="s">
        <v>11038</v>
      </c>
      <c r="S2321" t="s">
        <v>10310</v>
      </c>
      <c r="W2321" s="2" t="s">
        <v>11202</v>
      </c>
    </row>
    <row r="2322" spans="1:23" hidden="1" x14ac:dyDescent="0.45">
      <c r="A2322" s="1" t="s">
        <v>2305</v>
      </c>
      <c r="B2322" t="s">
        <v>6199</v>
      </c>
      <c r="D2322" t="s">
        <v>7990</v>
      </c>
      <c r="E2322" t="s">
        <v>9460</v>
      </c>
      <c r="F2322" t="s">
        <v>10297</v>
      </c>
      <c r="G2322">
        <v>11.15</v>
      </c>
      <c r="H2322" t="s">
        <v>10310</v>
      </c>
      <c r="I2322" t="s">
        <v>10326</v>
      </c>
      <c r="L2322">
        <v>1989</v>
      </c>
      <c r="R2322" t="s">
        <v>11038</v>
      </c>
      <c r="S2322" t="s">
        <v>10310</v>
      </c>
      <c r="W2322" s="2" t="s">
        <v>11202</v>
      </c>
    </row>
    <row r="2323" spans="1:23" hidden="1" x14ac:dyDescent="0.45">
      <c r="A2323" s="1" t="s">
        <v>2306</v>
      </c>
      <c r="B2323" t="s">
        <v>6199</v>
      </c>
      <c r="D2323" t="s">
        <v>7990</v>
      </c>
      <c r="E2323" t="s">
        <v>9460</v>
      </c>
      <c r="F2323" t="s">
        <v>10297</v>
      </c>
      <c r="G2323">
        <v>11.15</v>
      </c>
      <c r="H2323" t="s">
        <v>10310</v>
      </c>
      <c r="I2323" t="s">
        <v>10326</v>
      </c>
      <c r="L2323">
        <v>1989</v>
      </c>
      <c r="R2323" t="s">
        <v>11038</v>
      </c>
      <c r="S2323" t="s">
        <v>10310</v>
      </c>
      <c r="W2323" s="2" t="s">
        <v>11202</v>
      </c>
    </row>
    <row r="2324" spans="1:23" hidden="1" x14ac:dyDescent="0.45">
      <c r="A2324" s="1" t="s">
        <v>2307</v>
      </c>
      <c r="B2324" t="s">
        <v>6199</v>
      </c>
      <c r="D2324" t="s">
        <v>7990</v>
      </c>
      <c r="E2324" t="s">
        <v>9460</v>
      </c>
      <c r="F2324" t="s">
        <v>10297</v>
      </c>
      <c r="G2324">
        <v>11.15</v>
      </c>
      <c r="H2324" t="s">
        <v>10310</v>
      </c>
      <c r="I2324" t="s">
        <v>10326</v>
      </c>
      <c r="L2324">
        <v>1989</v>
      </c>
      <c r="R2324" t="s">
        <v>11038</v>
      </c>
      <c r="S2324" t="s">
        <v>10310</v>
      </c>
      <c r="W2324" s="2" t="s">
        <v>11202</v>
      </c>
    </row>
    <row r="2325" spans="1:23" hidden="1" x14ac:dyDescent="0.45">
      <c r="A2325" s="1" t="s">
        <v>2308</v>
      </c>
      <c r="B2325" t="s">
        <v>6199</v>
      </c>
      <c r="D2325" t="s">
        <v>7990</v>
      </c>
      <c r="E2325" t="s">
        <v>9456</v>
      </c>
      <c r="F2325" t="s">
        <v>10297</v>
      </c>
      <c r="G2325">
        <v>32.04</v>
      </c>
      <c r="H2325" t="s">
        <v>10310</v>
      </c>
      <c r="I2325" t="s">
        <v>10326</v>
      </c>
      <c r="L2325">
        <v>1971</v>
      </c>
      <c r="R2325" t="s">
        <v>11038</v>
      </c>
      <c r="S2325" t="s">
        <v>10310</v>
      </c>
      <c r="W2325" s="2" t="s">
        <v>11202</v>
      </c>
    </row>
    <row r="2326" spans="1:23" hidden="1" x14ac:dyDescent="0.45">
      <c r="A2326" s="1" t="s">
        <v>2309</v>
      </c>
      <c r="B2326" t="s">
        <v>6199</v>
      </c>
      <c r="D2326" t="s">
        <v>7990</v>
      </c>
      <c r="E2326" t="s">
        <v>9456</v>
      </c>
      <c r="F2326" t="s">
        <v>10297</v>
      </c>
      <c r="G2326">
        <v>60.22</v>
      </c>
      <c r="H2326" t="s">
        <v>10310</v>
      </c>
      <c r="I2326" t="s">
        <v>10326</v>
      </c>
      <c r="L2326">
        <v>1971</v>
      </c>
      <c r="N2326">
        <v>42.637033000000002</v>
      </c>
      <c r="P2326">
        <v>1.251468</v>
      </c>
      <c r="R2326" t="s">
        <v>11038</v>
      </c>
      <c r="S2326" t="s">
        <v>10310</v>
      </c>
      <c r="W2326" s="2" t="s">
        <v>11202</v>
      </c>
    </row>
    <row r="2327" spans="1:23" hidden="1" x14ac:dyDescent="0.45">
      <c r="A2327" s="1" t="s">
        <v>2310</v>
      </c>
      <c r="B2327" t="s">
        <v>6199</v>
      </c>
      <c r="D2327" t="s">
        <v>7990</v>
      </c>
      <c r="E2327" t="s">
        <v>9456</v>
      </c>
      <c r="F2327" t="s">
        <v>10297</v>
      </c>
      <c r="G2327">
        <v>60.22</v>
      </c>
      <c r="H2327" t="s">
        <v>10310</v>
      </c>
      <c r="I2327" t="s">
        <v>10326</v>
      </c>
      <c r="L2327">
        <v>1971</v>
      </c>
      <c r="N2327">
        <v>42.637033000000002</v>
      </c>
      <c r="P2327">
        <v>1.251468</v>
      </c>
      <c r="R2327" t="s">
        <v>11038</v>
      </c>
      <c r="S2327" t="s">
        <v>10310</v>
      </c>
      <c r="W2327" s="2" t="s">
        <v>11202</v>
      </c>
    </row>
    <row r="2328" spans="1:23" hidden="1" x14ac:dyDescent="0.45">
      <c r="A2328" s="1" t="s">
        <v>2311</v>
      </c>
      <c r="B2328" t="s">
        <v>6199</v>
      </c>
      <c r="D2328" t="s">
        <v>7990</v>
      </c>
      <c r="E2328" t="s">
        <v>9461</v>
      </c>
      <c r="F2328" t="s">
        <v>10297</v>
      </c>
      <c r="G2328">
        <v>8.8000000000000007</v>
      </c>
      <c r="H2328" t="s">
        <v>10310</v>
      </c>
      <c r="I2328" t="s">
        <v>10326</v>
      </c>
      <c r="L2328">
        <v>1989</v>
      </c>
      <c r="R2328" t="s">
        <v>11038</v>
      </c>
      <c r="S2328" t="s">
        <v>10310</v>
      </c>
      <c r="W2328" s="2" t="s">
        <v>11202</v>
      </c>
    </row>
    <row r="2329" spans="1:23" hidden="1" x14ac:dyDescent="0.45">
      <c r="A2329" s="1" t="s">
        <v>2312</v>
      </c>
      <c r="B2329" t="s">
        <v>6199</v>
      </c>
      <c r="D2329" t="s">
        <v>7990</v>
      </c>
      <c r="E2329" t="s">
        <v>9461</v>
      </c>
      <c r="F2329" t="s">
        <v>10297</v>
      </c>
      <c r="G2329">
        <v>8.8000000000000007</v>
      </c>
      <c r="H2329" t="s">
        <v>10310</v>
      </c>
      <c r="I2329" t="s">
        <v>10326</v>
      </c>
      <c r="L2329">
        <v>1989</v>
      </c>
      <c r="R2329" t="s">
        <v>11038</v>
      </c>
      <c r="S2329" t="s">
        <v>10310</v>
      </c>
      <c r="W2329" s="2" t="s">
        <v>11202</v>
      </c>
    </row>
    <row r="2330" spans="1:23" hidden="1" x14ac:dyDescent="0.45">
      <c r="A2330" s="1" t="s">
        <v>2313</v>
      </c>
      <c r="B2330" t="s">
        <v>6199</v>
      </c>
      <c r="D2330" t="s">
        <v>7990</v>
      </c>
      <c r="E2330" t="s">
        <v>9461</v>
      </c>
      <c r="F2330" t="s">
        <v>10297</v>
      </c>
      <c r="G2330">
        <v>8.8000000000000007</v>
      </c>
      <c r="H2330" t="s">
        <v>10310</v>
      </c>
      <c r="I2330" t="s">
        <v>10326</v>
      </c>
      <c r="L2330">
        <v>1989</v>
      </c>
      <c r="R2330" t="s">
        <v>11038</v>
      </c>
      <c r="S2330" t="s">
        <v>10310</v>
      </c>
      <c r="W2330" s="2" t="s">
        <v>11202</v>
      </c>
    </row>
    <row r="2331" spans="1:23" hidden="1" x14ac:dyDescent="0.45">
      <c r="A2331" s="1" t="s">
        <v>2314</v>
      </c>
      <c r="B2331" t="s">
        <v>6199</v>
      </c>
      <c r="D2331" t="s">
        <v>7990</v>
      </c>
      <c r="E2331" t="s">
        <v>9461</v>
      </c>
      <c r="F2331" t="s">
        <v>10297</v>
      </c>
      <c r="G2331">
        <v>8.8000000000000007</v>
      </c>
      <c r="H2331" t="s">
        <v>10310</v>
      </c>
      <c r="I2331" t="s">
        <v>10326</v>
      </c>
      <c r="L2331">
        <v>1989</v>
      </c>
      <c r="R2331" t="s">
        <v>11038</v>
      </c>
      <c r="S2331" t="s">
        <v>10310</v>
      </c>
      <c r="W2331" s="2" t="s">
        <v>11202</v>
      </c>
    </row>
    <row r="2332" spans="1:23" hidden="1" x14ac:dyDescent="0.45">
      <c r="A2332" s="1" t="s">
        <v>2315</v>
      </c>
      <c r="B2332" t="s">
        <v>6199</v>
      </c>
      <c r="D2332" t="s">
        <v>7990</v>
      </c>
      <c r="E2332" t="s">
        <v>9462</v>
      </c>
      <c r="F2332" t="s">
        <v>10297</v>
      </c>
      <c r="G2332">
        <v>12</v>
      </c>
      <c r="H2332" t="s">
        <v>10310</v>
      </c>
      <c r="I2332" t="s">
        <v>10325</v>
      </c>
      <c r="L2332">
        <v>1964</v>
      </c>
      <c r="R2332" t="s">
        <v>11038</v>
      </c>
      <c r="S2332" t="s">
        <v>10310</v>
      </c>
      <c r="W2332" s="2" t="s">
        <v>11202</v>
      </c>
    </row>
    <row r="2333" spans="1:23" hidden="1" x14ac:dyDescent="0.45">
      <c r="A2333" s="1" t="s">
        <v>2316</v>
      </c>
      <c r="B2333" t="s">
        <v>6199</v>
      </c>
      <c r="D2333" t="s">
        <v>7990</v>
      </c>
      <c r="E2333" t="s">
        <v>9463</v>
      </c>
      <c r="F2333" t="s">
        <v>10297</v>
      </c>
      <c r="G2333">
        <v>16.25</v>
      </c>
      <c r="H2333" t="s">
        <v>10310</v>
      </c>
      <c r="I2333" t="s">
        <v>10326</v>
      </c>
      <c r="L2333">
        <v>1935</v>
      </c>
      <c r="N2333">
        <v>42.047604999999997</v>
      </c>
      <c r="P2333">
        <v>0.89438799999999996</v>
      </c>
      <c r="R2333" t="s">
        <v>11038</v>
      </c>
      <c r="S2333" t="s">
        <v>10310</v>
      </c>
      <c r="W2333" s="2" t="s">
        <v>11202</v>
      </c>
    </row>
    <row r="2334" spans="1:23" hidden="1" x14ac:dyDescent="0.45">
      <c r="A2334" s="1" t="s">
        <v>2317</v>
      </c>
      <c r="B2334" t="s">
        <v>6199</v>
      </c>
      <c r="D2334" t="s">
        <v>7990</v>
      </c>
      <c r="E2334" t="s">
        <v>9463</v>
      </c>
      <c r="F2334" t="s">
        <v>10297</v>
      </c>
      <c r="G2334">
        <v>16.25</v>
      </c>
      <c r="H2334" t="s">
        <v>10310</v>
      </c>
      <c r="I2334" t="s">
        <v>10326</v>
      </c>
      <c r="L2334">
        <v>1935</v>
      </c>
      <c r="N2334">
        <v>42.047604999999997</v>
      </c>
      <c r="P2334">
        <v>0.89438799999999996</v>
      </c>
      <c r="R2334" t="s">
        <v>11038</v>
      </c>
      <c r="S2334" t="s">
        <v>10310</v>
      </c>
      <c r="W2334" s="2" t="s">
        <v>11202</v>
      </c>
    </row>
    <row r="2335" spans="1:23" hidden="1" x14ac:dyDescent="0.45">
      <c r="A2335" s="1" t="s">
        <v>2318</v>
      </c>
      <c r="B2335" t="s">
        <v>6199</v>
      </c>
      <c r="D2335" t="s">
        <v>7990</v>
      </c>
      <c r="E2335" t="s">
        <v>9459</v>
      </c>
      <c r="F2335" t="s">
        <v>10297</v>
      </c>
      <c r="G2335">
        <v>13.2</v>
      </c>
      <c r="H2335" t="s">
        <v>10310</v>
      </c>
      <c r="I2335" t="s">
        <v>10326</v>
      </c>
      <c r="L2335">
        <v>1963</v>
      </c>
      <c r="R2335" t="s">
        <v>11038</v>
      </c>
      <c r="S2335" t="s">
        <v>10310</v>
      </c>
      <c r="W2335" s="2" t="s">
        <v>11202</v>
      </c>
    </row>
    <row r="2336" spans="1:23" hidden="1" x14ac:dyDescent="0.45">
      <c r="A2336" s="1" t="s">
        <v>2319</v>
      </c>
      <c r="B2336" t="s">
        <v>6199</v>
      </c>
      <c r="D2336" t="s">
        <v>7990</v>
      </c>
      <c r="E2336" t="s">
        <v>9464</v>
      </c>
      <c r="F2336" t="s">
        <v>10297</v>
      </c>
      <c r="G2336">
        <v>11</v>
      </c>
      <c r="H2336" t="s">
        <v>10310</v>
      </c>
      <c r="I2336" t="s">
        <v>10325</v>
      </c>
      <c r="L2336">
        <v>1947</v>
      </c>
      <c r="R2336" t="s">
        <v>11038</v>
      </c>
      <c r="S2336" t="s">
        <v>10310</v>
      </c>
      <c r="W2336" s="2" t="s">
        <v>11202</v>
      </c>
    </row>
    <row r="2337" spans="1:23" hidden="1" x14ac:dyDescent="0.45">
      <c r="A2337" s="1" t="s">
        <v>2320</v>
      </c>
      <c r="B2337" t="s">
        <v>6199</v>
      </c>
      <c r="D2337" t="s">
        <v>7990</v>
      </c>
      <c r="E2337" t="s">
        <v>9464</v>
      </c>
      <c r="F2337" t="s">
        <v>10297</v>
      </c>
      <c r="G2337">
        <v>11</v>
      </c>
      <c r="H2337" t="s">
        <v>10310</v>
      </c>
      <c r="I2337" t="s">
        <v>10325</v>
      </c>
      <c r="L2337">
        <v>1947</v>
      </c>
      <c r="R2337" t="s">
        <v>11038</v>
      </c>
      <c r="S2337" t="s">
        <v>10310</v>
      </c>
      <c r="W2337" s="2" t="s">
        <v>11202</v>
      </c>
    </row>
    <row r="2338" spans="1:23" hidden="1" x14ac:dyDescent="0.45">
      <c r="A2338" s="1" t="s">
        <v>2321</v>
      </c>
      <c r="B2338" t="s">
        <v>6199</v>
      </c>
      <c r="D2338" t="s">
        <v>7990</v>
      </c>
      <c r="E2338" t="s">
        <v>9465</v>
      </c>
      <c r="F2338" t="s">
        <v>10297</v>
      </c>
      <c r="G2338">
        <v>5.37</v>
      </c>
      <c r="H2338" t="s">
        <v>10310</v>
      </c>
      <c r="I2338" t="s">
        <v>10325</v>
      </c>
      <c r="L2338">
        <v>1962</v>
      </c>
      <c r="R2338" t="s">
        <v>11038</v>
      </c>
      <c r="S2338" t="s">
        <v>10310</v>
      </c>
      <c r="W2338" s="2" t="s">
        <v>11202</v>
      </c>
    </row>
    <row r="2339" spans="1:23" hidden="1" x14ac:dyDescent="0.45">
      <c r="A2339" s="1" t="s">
        <v>2322</v>
      </c>
      <c r="B2339" t="s">
        <v>6199</v>
      </c>
      <c r="D2339" t="s">
        <v>7990</v>
      </c>
      <c r="E2339" t="s">
        <v>9465</v>
      </c>
      <c r="F2339" t="s">
        <v>10297</v>
      </c>
      <c r="G2339">
        <v>6</v>
      </c>
      <c r="H2339" t="s">
        <v>10310</v>
      </c>
      <c r="I2339" t="s">
        <v>10326</v>
      </c>
      <c r="L2339">
        <v>1983</v>
      </c>
      <c r="R2339" t="s">
        <v>11038</v>
      </c>
      <c r="S2339" t="s">
        <v>10310</v>
      </c>
      <c r="W2339" s="2" t="s">
        <v>11202</v>
      </c>
    </row>
    <row r="2340" spans="1:23" hidden="1" x14ac:dyDescent="0.45">
      <c r="A2340" s="1" t="s">
        <v>2323</v>
      </c>
      <c r="B2340" t="s">
        <v>6199</v>
      </c>
      <c r="D2340" t="s">
        <v>7990</v>
      </c>
      <c r="E2340" t="s">
        <v>9466</v>
      </c>
      <c r="F2340" t="s">
        <v>10297</v>
      </c>
      <c r="G2340">
        <v>3.6</v>
      </c>
      <c r="H2340" t="s">
        <v>10310</v>
      </c>
      <c r="I2340" t="s">
        <v>10326</v>
      </c>
      <c r="L2340">
        <v>1984</v>
      </c>
      <c r="R2340" t="s">
        <v>11038</v>
      </c>
      <c r="S2340" t="s">
        <v>10310</v>
      </c>
      <c r="W2340" s="2" t="s">
        <v>11202</v>
      </c>
    </row>
    <row r="2341" spans="1:23" hidden="1" x14ac:dyDescent="0.45">
      <c r="A2341" s="1" t="s">
        <v>2324</v>
      </c>
      <c r="B2341" t="s">
        <v>6199</v>
      </c>
      <c r="D2341" t="s">
        <v>7990</v>
      </c>
      <c r="E2341" t="s">
        <v>9467</v>
      </c>
      <c r="F2341" t="s">
        <v>10297</v>
      </c>
      <c r="G2341">
        <v>8</v>
      </c>
      <c r="H2341" t="s">
        <v>10310</v>
      </c>
      <c r="I2341" t="s">
        <v>10325</v>
      </c>
      <c r="L2341">
        <v>1956</v>
      </c>
      <c r="R2341" t="s">
        <v>11038</v>
      </c>
      <c r="S2341" t="s">
        <v>10310</v>
      </c>
      <c r="W2341" s="2" t="s">
        <v>11202</v>
      </c>
    </row>
    <row r="2342" spans="1:23" hidden="1" x14ac:dyDescent="0.45">
      <c r="A2342" s="1" t="s">
        <v>2325</v>
      </c>
      <c r="B2342" t="s">
        <v>6199</v>
      </c>
      <c r="D2342" t="s">
        <v>7990</v>
      </c>
      <c r="E2342" t="s">
        <v>9467</v>
      </c>
      <c r="F2342" t="s">
        <v>10297</v>
      </c>
      <c r="G2342">
        <v>8</v>
      </c>
      <c r="H2342" t="s">
        <v>10310</v>
      </c>
      <c r="I2342" t="s">
        <v>10325</v>
      </c>
      <c r="L2342">
        <v>1956</v>
      </c>
      <c r="R2342" t="s">
        <v>11038</v>
      </c>
      <c r="S2342" t="s">
        <v>10310</v>
      </c>
      <c r="W2342" s="2" t="s">
        <v>11202</v>
      </c>
    </row>
    <row r="2343" spans="1:23" hidden="1" x14ac:dyDescent="0.45">
      <c r="A2343" s="1" t="s">
        <v>2326</v>
      </c>
      <c r="B2343" t="s">
        <v>6199</v>
      </c>
      <c r="D2343" t="s">
        <v>7990</v>
      </c>
      <c r="E2343" t="s">
        <v>9468</v>
      </c>
      <c r="F2343" t="s">
        <v>10297</v>
      </c>
      <c r="G2343">
        <v>1.88</v>
      </c>
      <c r="H2343" t="s">
        <v>10310</v>
      </c>
      <c r="I2343" t="s">
        <v>10325</v>
      </c>
      <c r="L2343">
        <v>1953</v>
      </c>
      <c r="R2343" t="s">
        <v>11038</v>
      </c>
      <c r="S2343" t="s">
        <v>10310</v>
      </c>
      <c r="W2343" s="2" t="s">
        <v>11202</v>
      </c>
    </row>
    <row r="2344" spans="1:23" hidden="1" x14ac:dyDescent="0.45">
      <c r="A2344" s="1" t="s">
        <v>2327</v>
      </c>
      <c r="B2344" t="s">
        <v>6199</v>
      </c>
      <c r="D2344" t="s">
        <v>7990</v>
      </c>
      <c r="E2344" t="s">
        <v>9468</v>
      </c>
      <c r="F2344" t="s">
        <v>10297</v>
      </c>
      <c r="G2344">
        <v>1.88</v>
      </c>
      <c r="H2344" t="s">
        <v>10310</v>
      </c>
      <c r="I2344" t="s">
        <v>10325</v>
      </c>
      <c r="L2344">
        <v>1953</v>
      </c>
      <c r="R2344" t="s">
        <v>11038</v>
      </c>
      <c r="S2344" t="s">
        <v>10310</v>
      </c>
      <c r="W2344" s="2" t="s">
        <v>11202</v>
      </c>
    </row>
    <row r="2345" spans="1:23" hidden="1" x14ac:dyDescent="0.45">
      <c r="A2345" s="1" t="s">
        <v>2328</v>
      </c>
      <c r="B2345" t="s">
        <v>6199</v>
      </c>
      <c r="D2345" t="s">
        <v>7990</v>
      </c>
      <c r="E2345" t="s">
        <v>9469</v>
      </c>
      <c r="F2345" t="s">
        <v>10297</v>
      </c>
      <c r="G2345">
        <v>0.14000000000000001</v>
      </c>
      <c r="H2345" t="s">
        <v>10310</v>
      </c>
      <c r="I2345" t="s">
        <v>10325</v>
      </c>
      <c r="L2345">
        <v>1984</v>
      </c>
      <c r="R2345" t="s">
        <v>11038</v>
      </c>
      <c r="S2345" t="s">
        <v>10310</v>
      </c>
      <c r="W2345" s="2" t="s">
        <v>11202</v>
      </c>
    </row>
    <row r="2346" spans="1:23" hidden="1" x14ac:dyDescent="0.45">
      <c r="A2346" s="1" t="s">
        <v>2329</v>
      </c>
      <c r="B2346" t="s">
        <v>6199</v>
      </c>
      <c r="D2346" t="s">
        <v>7990</v>
      </c>
      <c r="E2346" t="s">
        <v>9467</v>
      </c>
      <c r="F2346" t="s">
        <v>10297</v>
      </c>
      <c r="G2346">
        <v>16.32</v>
      </c>
      <c r="H2346" t="s">
        <v>10310</v>
      </c>
      <c r="I2346" t="s">
        <v>10326</v>
      </c>
      <c r="L2346">
        <v>1958</v>
      </c>
      <c r="N2346">
        <v>42.543480000000002</v>
      </c>
      <c r="P2346">
        <v>0.83693300000000004</v>
      </c>
      <c r="R2346" t="s">
        <v>11038</v>
      </c>
      <c r="S2346" t="s">
        <v>10310</v>
      </c>
      <c r="W2346" s="2" t="s">
        <v>11202</v>
      </c>
    </row>
    <row r="2347" spans="1:23" hidden="1" x14ac:dyDescent="0.45">
      <c r="A2347" s="1" t="s">
        <v>2330</v>
      </c>
      <c r="B2347" t="s">
        <v>6199</v>
      </c>
      <c r="D2347" t="s">
        <v>7990</v>
      </c>
      <c r="E2347" t="s">
        <v>9467</v>
      </c>
      <c r="F2347" t="s">
        <v>10297</v>
      </c>
      <c r="G2347">
        <v>16.32</v>
      </c>
      <c r="H2347" t="s">
        <v>10310</v>
      </c>
      <c r="I2347" t="s">
        <v>10326</v>
      </c>
      <c r="L2347">
        <v>1959</v>
      </c>
      <c r="N2347">
        <v>42.543480000000002</v>
      </c>
      <c r="P2347">
        <v>0.83693300000000004</v>
      </c>
      <c r="R2347" t="s">
        <v>11038</v>
      </c>
      <c r="S2347" t="s">
        <v>10310</v>
      </c>
      <c r="W2347" s="2" t="s">
        <v>11202</v>
      </c>
    </row>
    <row r="2348" spans="1:23" hidden="1" x14ac:dyDescent="0.45">
      <c r="A2348" s="1" t="s">
        <v>2331</v>
      </c>
      <c r="B2348" t="s">
        <v>6199</v>
      </c>
      <c r="D2348" t="s">
        <v>7990</v>
      </c>
      <c r="E2348" t="s">
        <v>9470</v>
      </c>
      <c r="F2348" t="s">
        <v>10297</v>
      </c>
      <c r="G2348">
        <v>36</v>
      </c>
      <c r="H2348" t="s">
        <v>10310</v>
      </c>
      <c r="I2348" t="s">
        <v>10326</v>
      </c>
      <c r="L2348">
        <v>1959</v>
      </c>
      <c r="N2348">
        <v>41.977825000000003</v>
      </c>
      <c r="P2348">
        <v>0.61113400000000007</v>
      </c>
      <c r="R2348" t="s">
        <v>11038</v>
      </c>
      <c r="S2348" t="s">
        <v>10310</v>
      </c>
      <c r="W2348" s="2" t="s">
        <v>11202</v>
      </c>
    </row>
    <row r="2349" spans="1:23" hidden="1" x14ac:dyDescent="0.45">
      <c r="A2349" s="1" t="s">
        <v>2332</v>
      </c>
      <c r="B2349" t="s">
        <v>6199</v>
      </c>
      <c r="D2349" t="s">
        <v>7990</v>
      </c>
      <c r="E2349" t="s">
        <v>9470</v>
      </c>
      <c r="F2349" t="s">
        <v>10297</v>
      </c>
      <c r="G2349">
        <v>36</v>
      </c>
      <c r="H2349" t="s">
        <v>10310</v>
      </c>
      <c r="I2349" t="s">
        <v>10326</v>
      </c>
      <c r="L2349">
        <v>1959</v>
      </c>
      <c r="N2349">
        <v>41.977825000000003</v>
      </c>
      <c r="P2349">
        <v>0.61113400000000007</v>
      </c>
      <c r="R2349" t="s">
        <v>11038</v>
      </c>
      <c r="S2349" t="s">
        <v>10310</v>
      </c>
      <c r="W2349" s="2" t="s">
        <v>11202</v>
      </c>
    </row>
    <row r="2350" spans="1:23" hidden="1" x14ac:dyDescent="0.45">
      <c r="A2350" s="1" t="s">
        <v>2333</v>
      </c>
      <c r="B2350" t="s">
        <v>6199</v>
      </c>
      <c r="D2350" t="s">
        <v>7990</v>
      </c>
      <c r="E2350" t="s">
        <v>9470</v>
      </c>
      <c r="F2350" t="s">
        <v>10297</v>
      </c>
      <c r="G2350">
        <v>36</v>
      </c>
      <c r="H2350" t="s">
        <v>10310</v>
      </c>
      <c r="I2350" t="s">
        <v>10326</v>
      </c>
      <c r="L2350">
        <v>1959</v>
      </c>
      <c r="N2350">
        <v>41.977825000000003</v>
      </c>
      <c r="P2350">
        <v>0.61113400000000007</v>
      </c>
      <c r="R2350" t="s">
        <v>11038</v>
      </c>
      <c r="S2350" t="s">
        <v>10310</v>
      </c>
      <c r="W2350" s="2" t="s">
        <v>11202</v>
      </c>
    </row>
    <row r="2351" spans="1:23" hidden="1" x14ac:dyDescent="0.45">
      <c r="A2351" s="1" t="s">
        <v>2334</v>
      </c>
      <c r="B2351" t="s">
        <v>6199</v>
      </c>
      <c r="D2351" t="s">
        <v>7990</v>
      </c>
      <c r="E2351" t="s">
        <v>9471</v>
      </c>
      <c r="F2351" t="s">
        <v>10297</v>
      </c>
      <c r="G2351">
        <v>12.01</v>
      </c>
      <c r="H2351" t="s">
        <v>10310</v>
      </c>
      <c r="I2351" t="s">
        <v>10326</v>
      </c>
      <c r="L2351">
        <v>1955</v>
      </c>
      <c r="R2351" t="s">
        <v>11038</v>
      </c>
      <c r="S2351" t="s">
        <v>10310</v>
      </c>
      <c r="W2351" s="2" t="s">
        <v>11202</v>
      </c>
    </row>
    <row r="2352" spans="1:23" hidden="1" x14ac:dyDescent="0.45">
      <c r="A2352" s="1" t="s">
        <v>2335</v>
      </c>
      <c r="B2352" t="s">
        <v>6199</v>
      </c>
      <c r="D2352" t="s">
        <v>7990</v>
      </c>
      <c r="E2352" t="s">
        <v>9471</v>
      </c>
      <c r="F2352" t="s">
        <v>10297</v>
      </c>
      <c r="G2352">
        <v>12.01</v>
      </c>
      <c r="H2352" t="s">
        <v>10310</v>
      </c>
      <c r="I2352" t="s">
        <v>10326</v>
      </c>
      <c r="L2352">
        <v>1955</v>
      </c>
      <c r="R2352" t="s">
        <v>11038</v>
      </c>
      <c r="S2352" t="s">
        <v>10310</v>
      </c>
      <c r="W2352" s="2" t="s">
        <v>11202</v>
      </c>
    </row>
    <row r="2353" spans="1:23" hidden="1" x14ac:dyDescent="0.45">
      <c r="A2353" s="1" t="s">
        <v>2336</v>
      </c>
      <c r="B2353" t="s">
        <v>6199</v>
      </c>
      <c r="D2353" t="s">
        <v>7990</v>
      </c>
      <c r="E2353" t="s">
        <v>9471</v>
      </c>
      <c r="F2353" t="s">
        <v>10297</v>
      </c>
      <c r="G2353">
        <v>12.01</v>
      </c>
      <c r="H2353" t="s">
        <v>10310</v>
      </c>
      <c r="I2353" t="s">
        <v>10326</v>
      </c>
      <c r="L2353">
        <v>1955</v>
      </c>
      <c r="R2353" t="s">
        <v>11038</v>
      </c>
      <c r="S2353" t="s">
        <v>10310</v>
      </c>
      <c r="W2353" s="2" t="s">
        <v>11202</v>
      </c>
    </row>
    <row r="2354" spans="1:23" hidden="1" x14ac:dyDescent="0.45">
      <c r="A2354" s="1" t="s">
        <v>2337</v>
      </c>
      <c r="B2354" t="s">
        <v>6213</v>
      </c>
      <c r="D2354" t="s">
        <v>8001</v>
      </c>
      <c r="E2354" t="s">
        <v>9472</v>
      </c>
      <c r="F2354" t="s">
        <v>10297</v>
      </c>
      <c r="G2354">
        <v>9.2799999999999994</v>
      </c>
      <c r="H2354" t="s">
        <v>10310</v>
      </c>
      <c r="I2354" t="s">
        <v>10326</v>
      </c>
      <c r="L2354">
        <v>1967</v>
      </c>
      <c r="R2354" t="s">
        <v>11038</v>
      </c>
      <c r="S2354" t="s">
        <v>10310</v>
      </c>
      <c r="W2354" s="2" t="s">
        <v>11202</v>
      </c>
    </row>
    <row r="2355" spans="1:23" hidden="1" x14ac:dyDescent="0.45">
      <c r="A2355" s="1" t="s">
        <v>2338</v>
      </c>
      <c r="B2355" t="s">
        <v>6213</v>
      </c>
      <c r="D2355" t="s">
        <v>8001</v>
      </c>
      <c r="E2355" t="s">
        <v>9472</v>
      </c>
      <c r="F2355" t="s">
        <v>10297</v>
      </c>
      <c r="G2355">
        <v>9.2799999999999994</v>
      </c>
      <c r="H2355" t="s">
        <v>10310</v>
      </c>
      <c r="I2355" t="s">
        <v>10326</v>
      </c>
      <c r="L2355">
        <v>1967</v>
      </c>
      <c r="R2355" t="s">
        <v>11038</v>
      </c>
      <c r="S2355" t="s">
        <v>10310</v>
      </c>
      <c r="W2355" s="2" t="s">
        <v>11202</v>
      </c>
    </row>
    <row r="2356" spans="1:23" hidden="1" x14ac:dyDescent="0.45">
      <c r="A2356" s="1" t="s">
        <v>2339</v>
      </c>
      <c r="B2356" t="s">
        <v>6213</v>
      </c>
      <c r="D2356" t="s">
        <v>8001</v>
      </c>
      <c r="E2356" t="s">
        <v>9472</v>
      </c>
      <c r="F2356" t="s">
        <v>10297</v>
      </c>
      <c r="G2356">
        <v>14.2</v>
      </c>
      <c r="H2356" t="s">
        <v>10310</v>
      </c>
      <c r="I2356" t="s">
        <v>10325</v>
      </c>
      <c r="L2356">
        <v>1968</v>
      </c>
      <c r="R2356" t="s">
        <v>11038</v>
      </c>
      <c r="S2356" t="s">
        <v>10310</v>
      </c>
      <c r="W2356" s="2" t="s">
        <v>11202</v>
      </c>
    </row>
    <row r="2357" spans="1:23" hidden="1" x14ac:dyDescent="0.45">
      <c r="A2357" s="1" t="s">
        <v>2340</v>
      </c>
      <c r="B2357" t="s">
        <v>6213</v>
      </c>
      <c r="D2357" t="s">
        <v>8001</v>
      </c>
      <c r="E2357" t="s">
        <v>9472</v>
      </c>
      <c r="F2357" t="s">
        <v>10297</v>
      </c>
      <c r="G2357">
        <v>13.8</v>
      </c>
      <c r="H2357" t="s">
        <v>10310</v>
      </c>
      <c r="I2357" t="s">
        <v>10325</v>
      </c>
      <c r="L2357">
        <v>1968</v>
      </c>
      <c r="R2357" t="s">
        <v>11038</v>
      </c>
      <c r="S2357" t="s">
        <v>10310</v>
      </c>
      <c r="W2357" s="2" t="s">
        <v>11202</v>
      </c>
    </row>
    <row r="2358" spans="1:23" hidden="1" x14ac:dyDescent="0.45">
      <c r="A2358" s="1" t="s">
        <v>2341</v>
      </c>
      <c r="B2358" t="s">
        <v>6199</v>
      </c>
      <c r="D2358" t="s">
        <v>7990</v>
      </c>
      <c r="E2358" t="s">
        <v>9473</v>
      </c>
      <c r="F2358" t="s">
        <v>10297</v>
      </c>
      <c r="G2358">
        <v>1</v>
      </c>
      <c r="H2358" t="s">
        <v>10310</v>
      </c>
      <c r="I2358" t="s">
        <v>10325</v>
      </c>
      <c r="L2358">
        <v>1980</v>
      </c>
      <c r="R2358" t="s">
        <v>11038</v>
      </c>
      <c r="S2358" t="s">
        <v>10310</v>
      </c>
      <c r="W2358" s="2" t="s">
        <v>11202</v>
      </c>
    </row>
    <row r="2359" spans="1:23" hidden="1" x14ac:dyDescent="0.45">
      <c r="A2359" s="1" t="s">
        <v>2342</v>
      </c>
      <c r="B2359" t="s">
        <v>6199</v>
      </c>
      <c r="D2359" t="s">
        <v>7990</v>
      </c>
      <c r="E2359" t="s">
        <v>9474</v>
      </c>
      <c r="F2359" t="s">
        <v>10297</v>
      </c>
      <c r="G2359">
        <v>6.24</v>
      </c>
      <c r="H2359" t="s">
        <v>10310</v>
      </c>
      <c r="I2359" t="s">
        <v>10325</v>
      </c>
      <c r="L2359">
        <v>1954</v>
      </c>
      <c r="R2359" t="s">
        <v>11038</v>
      </c>
      <c r="S2359" t="s">
        <v>10310</v>
      </c>
      <c r="W2359" s="2" t="s">
        <v>11202</v>
      </c>
    </row>
    <row r="2360" spans="1:23" hidden="1" x14ac:dyDescent="0.45">
      <c r="A2360" s="1" t="s">
        <v>2343</v>
      </c>
      <c r="B2360" t="s">
        <v>6199</v>
      </c>
      <c r="D2360" t="s">
        <v>7990</v>
      </c>
      <c r="E2360" t="s">
        <v>9474</v>
      </c>
      <c r="F2360" t="s">
        <v>10297</v>
      </c>
      <c r="G2360">
        <v>6.24</v>
      </c>
      <c r="H2360" t="s">
        <v>10310</v>
      </c>
      <c r="I2360" t="s">
        <v>10325</v>
      </c>
      <c r="L2360">
        <v>1953</v>
      </c>
      <c r="R2360" t="s">
        <v>11038</v>
      </c>
      <c r="S2360" t="s">
        <v>10310</v>
      </c>
      <c r="W2360" s="2" t="s">
        <v>11202</v>
      </c>
    </row>
    <row r="2361" spans="1:23" hidden="1" x14ac:dyDescent="0.45">
      <c r="A2361" s="1" t="s">
        <v>2344</v>
      </c>
      <c r="B2361" t="s">
        <v>6213</v>
      </c>
      <c r="D2361" t="s">
        <v>8001</v>
      </c>
      <c r="E2361" t="s">
        <v>9475</v>
      </c>
      <c r="F2361" t="s">
        <v>10297</v>
      </c>
      <c r="G2361">
        <v>33.86</v>
      </c>
      <c r="H2361" t="s">
        <v>10310</v>
      </c>
      <c r="I2361" t="s">
        <v>10326</v>
      </c>
      <c r="L2361">
        <v>1969</v>
      </c>
      <c r="N2361">
        <v>42.312945999999997</v>
      </c>
      <c r="P2361">
        <v>0.210984</v>
      </c>
      <c r="R2361" t="s">
        <v>11038</v>
      </c>
      <c r="S2361" t="s">
        <v>10310</v>
      </c>
      <c r="W2361" s="2" t="s">
        <v>11202</v>
      </c>
    </row>
    <row r="2362" spans="1:23" hidden="1" x14ac:dyDescent="0.45">
      <c r="A2362" s="1" t="s">
        <v>2345</v>
      </c>
      <c r="B2362" t="s">
        <v>6213</v>
      </c>
      <c r="D2362" t="s">
        <v>8001</v>
      </c>
      <c r="E2362" t="s">
        <v>9475</v>
      </c>
      <c r="F2362" t="s">
        <v>10297</v>
      </c>
      <c r="G2362">
        <v>33.86</v>
      </c>
      <c r="H2362" t="s">
        <v>10310</v>
      </c>
      <c r="I2362" t="s">
        <v>10326</v>
      </c>
      <c r="L2362">
        <v>1969</v>
      </c>
      <c r="N2362">
        <v>42.312945999999997</v>
      </c>
      <c r="P2362">
        <v>0.210984</v>
      </c>
      <c r="R2362" t="s">
        <v>11038</v>
      </c>
      <c r="S2362" t="s">
        <v>10310</v>
      </c>
      <c r="W2362" s="2" t="s">
        <v>11202</v>
      </c>
    </row>
    <row r="2363" spans="1:23" hidden="1" x14ac:dyDescent="0.45">
      <c r="A2363" s="1" t="s">
        <v>2346</v>
      </c>
      <c r="B2363" t="s">
        <v>6199</v>
      </c>
      <c r="D2363" t="s">
        <v>7990</v>
      </c>
      <c r="E2363" t="s">
        <v>9476</v>
      </c>
      <c r="F2363" t="s">
        <v>10297</v>
      </c>
      <c r="G2363">
        <v>81</v>
      </c>
      <c r="H2363" t="s">
        <v>10310</v>
      </c>
      <c r="I2363" t="s">
        <v>10326</v>
      </c>
      <c r="L2363">
        <v>1964</v>
      </c>
      <c r="N2363">
        <v>41.368983</v>
      </c>
      <c r="P2363">
        <v>0.27338099999999999</v>
      </c>
      <c r="R2363" t="s">
        <v>11038</v>
      </c>
      <c r="S2363" t="s">
        <v>10310</v>
      </c>
      <c r="W2363" s="2" t="s">
        <v>11202</v>
      </c>
    </row>
    <row r="2364" spans="1:23" hidden="1" x14ac:dyDescent="0.45">
      <c r="A2364" s="1" t="s">
        <v>2347</v>
      </c>
      <c r="B2364" t="s">
        <v>6199</v>
      </c>
      <c r="D2364" t="s">
        <v>7990</v>
      </c>
      <c r="E2364" t="s">
        <v>9476</v>
      </c>
      <c r="F2364" t="s">
        <v>10297</v>
      </c>
      <c r="G2364">
        <v>81</v>
      </c>
      <c r="H2364" t="s">
        <v>10310</v>
      </c>
      <c r="I2364" t="s">
        <v>10326</v>
      </c>
      <c r="L2364">
        <v>1964</v>
      </c>
      <c r="N2364">
        <v>41.368983</v>
      </c>
      <c r="P2364">
        <v>0.27338099999999999</v>
      </c>
      <c r="R2364" t="s">
        <v>11038</v>
      </c>
      <c r="S2364" t="s">
        <v>10310</v>
      </c>
      <c r="W2364" s="2" t="s">
        <v>11202</v>
      </c>
    </row>
    <row r="2365" spans="1:23" hidden="1" x14ac:dyDescent="0.45">
      <c r="A2365" s="1" t="s">
        <v>2348</v>
      </c>
      <c r="B2365" t="s">
        <v>6199</v>
      </c>
      <c r="D2365" t="s">
        <v>7990</v>
      </c>
      <c r="E2365" t="s">
        <v>9476</v>
      </c>
      <c r="F2365" t="s">
        <v>10297</v>
      </c>
      <c r="G2365">
        <v>81</v>
      </c>
      <c r="H2365" t="s">
        <v>10310</v>
      </c>
      <c r="I2365" t="s">
        <v>10326</v>
      </c>
      <c r="L2365">
        <v>1964</v>
      </c>
      <c r="N2365">
        <v>41.368983</v>
      </c>
      <c r="P2365">
        <v>0.27338099999999999</v>
      </c>
      <c r="R2365" t="s">
        <v>11038</v>
      </c>
      <c r="S2365" t="s">
        <v>10310</v>
      </c>
      <c r="W2365" s="2" t="s">
        <v>11202</v>
      </c>
    </row>
    <row r="2366" spans="1:23" hidden="1" x14ac:dyDescent="0.45">
      <c r="A2366" s="1" t="s">
        <v>2349</v>
      </c>
      <c r="B2366" t="s">
        <v>6199</v>
      </c>
      <c r="D2366" t="s">
        <v>7990</v>
      </c>
      <c r="E2366" t="s">
        <v>9476</v>
      </c>
      <c r="F2366" t="s">
        <v>10297</v>
      </c>
      <c r="G2366">
        <v>81</v>
      </c>
      <c r="H2366" t="s">
        <v>10310</v>
      </c>
      <c r="I2366" t="s">
        <v>10326</v>
      </c>
      <c r="L2366">
        <v>1964</v>
      </c>
      <c r="N2366">
        <v>41.368983</v>
      </c>
      <c r="P2366">
        <v>0.27338099999999999</v>
      </c>
      <c r="R2366" t="s">
        <v>11038</v>
      </c>
      <c r="S2366" t="s">
        <v>10310</v>
      </c>
      <c r="W2366" s="2" t="s">
        <v>11202</v>
      </c>
    </row>
    <row r="2367" spans="1:23" hidden="1" x14ac:dyDescent="0.45">
      <c r="A2367" s="1" t="s">
        <v>2350</v>
      </c>
      <c r="B2367" t="s">
        <v>6199</v>
      </c>
      <c r="D2367" t="s">
        <v>7990</v>
      </c>
      <c r="E2367" t="s">
        <v>9477</v>
      </c>
      <c r="F2367" t="s">
        <v>10297</v>
      </c>
      <c r="G2367">
        <v>0.75</v>
      </c>
      <c r="H2367" t="s">
        <v>10310</v>
      </c>
      <c r="I2367" t="s">
        <v>10325</v>
      </c>
      <c r="L2367">
        <v>1986</v>
      </c>
      <c r="R2367" t="s">
        <v>11038</v>
      </c>
      <c r="S2367" t="s">
        <v>10310</v>
      </c>
      <c r="W2367" s="2" t="s">
        <v>11202</v>
      </c>
    </row>
    <row r="2368" spans="1:23" hidden="1" x14ac:dyDescent="0.45">
      <c r="A2368" s="1" t="s">
        <v>2351</v>
      </c>
      <c r="B2368" t="s">
        <v>6199</v>
      </c>
      <c r="D2368" t="s">
        <v>7990</v>
      </c>
      <c r="E2368" t="s">
        <v>9478</v>
      </c>
      <c r="F2368" t="s">
        <v>10297</v>
      </c>
      <c r="G2368">
        <v>1.05</v>
      </c>
      <c r="H2368" t="s">
        <v>10310</v>
      </c>
      <c r="I2368" t="s">
        <v>10325</v>
      </c>
      <c r="L2368">
        <v>1986</v>
      </c>
      <c r="R2368" t="s">
        <v>11038</v>
      </c>
      <c r="S2368" t="s">
        <v>10310</v>
      </c>
      <c r="W2368" s="2" t="s">
        <v>11202</v>
      </c>
    </row>
    <row r="2369" spans="1:23" hidden="1" x14ac:dyDescent="0.45">
      <c r="A2369" s="1" t="s">
        <v>2352</v>
      </c>
      <c r="B2369" t="s">
        <v>6199</v>
      </c>
      <c r="D2369" t="s">
        <v>7990</v>
      </c>
      <c r="E2369" t="s">
        <v>9468</v>
      </c>
      <c r="F2369" t="s">
        <v>10297</v>
      </c>
      <c r="G2369">
        <v>73.66</v>
      </c>
      <c r="H2369" t="s">
        <v>10310</v>
      </c>
      <c r="I2369" t="s">
        <v>10324</v>
      </c>
      <c r="L2369">
        <v>1985</v>
      </c>
      <c r="N2369">
        <v>42.578699</v>
      </c>
      <c r="P2369">
        <v>0.75882700000000003</v>
      </c>
      <c r="R2369" t="s">
        <v>11038</v>
      </c>
      <c r="S2369" t="s">
        <v>10310</v>
      </c>
      <c r="W2369" s="2" t="s">
        <v>11202</v>
      </c>
    </row>
    <row r="2370" spans="1:23" hidden="1" x14ac:dyDescent="0.45">
      <c r="A2370" s="1" t="s">
        <v>2353</v>
      </c>
      <c r="B2370" t="s">
        <v>6199</v>
      </c>
      <c r="D2370" t="s">
        <v>7990</v>
      </c>
      <c r="E2370" t="s">
        <v>9468</v>
      </c>
      <c r="F2370" t="s">
        <v>10297</v>
      </c>
      <c r="G2370">
        <v>73.66</v>
      </c>
      <c r="H2370" t="s">
        <v>10310</v>
      </c>
      <c r="I2370" t="s">
        <v>10324</v>
      </c>
      <c r="L2370">
        <v>1985</v>
      </c>
      <c r="N2370">
        <v>42.578699</v>
      </c>
      <c r="P2370">
        <v>0.75882700000000003</v>
      </c>
      <c r="R2370" t="s">
        <v>11038</v>
      </c>
      <c r="S2370" t="s">
        <v>10310</v>
      </c>
      <c r="W2370" s="2" t="s">
        <v>11202</v>
      </c>
    </row>
    <row r="2371" spans="1:23" hidden="1" x14ac:dyDescent="0.45">
      <c r="A2371" s="1" t="s">
        <v>2354</v>
      </c>
      <c r="B2371" t="s">
        <v>6199</v>
      </c>
      <c r="D2371" t="s">
        <v>7990</v>
      </c>
      <c r="E2371" t="s">
        <v>9468</v>
      </c>
      <c r="F2371" t="s">
        <v>10297</v>
      </c>
      <c r="G2371">
        <v>73.66</v>
      </c>
      <c r="H2371" t="s">
        <v>10310</v>
      </c>
      <c r="I2371" t="s">
        <v>10324</v>
      </c>
      <c r="L2371">
        <v>1985</v>
      </c>
      <c r="N2371">
        <v>42.578699</v>
      </c>
      <c r="P2371">
        <v>0.75882700000000003</v>
      </c>
      <c r="R2371" t="s">
        <v>11038</v>
      </c>
      <c r="S2371" t="s">
        <v>10310</v>
      </c>
      <c r="W2371" s="2" t="s">
        <v>11202</v>
      </c>
    </row>
    <row r="2372" spans="1:23" hidden="1" x14ac:dyDescent="0.45">
      <c r="A2372" s="1" t="s">
        <v>2355</v>
      </c>
      <c r="B2372" t="s">
        <v>6199</v>
      </c>
      <c r="D2372" t="s">
        <v>7990</v>
      </c>
      <c r="E2372" t="s">
        <v>9479</v>
      </c>
      <c r="F2372" t="s">
        <v>10297</v>
      </c>
      <c r="G2372">
        <v>0.34</v>
      </c>
      <c r="H2372" t="s">
        <v>10310</v>
      </c>
      <c r="I2372" t="s">
        <v>10325</v>
      </c>
      <c r="L2372">
        <v>1984</v>
      </c>
      <c r="R2372" t="s">
        <v>11038</v>
      </c>
      <c r="S2372" t="s">
        <v>10310</v>
      </c>
      <c r="W2372" s="2" t="s">
        <v>11202</v>
      </c>
    </row>
    <row r="2373" spans="1:23" hidden="1" x14ac:dyDescent="0.45">
      <c r="A2373" s="1" t="s">
        <v>2356</v>
      </c>
      <c r="B2373" t="s">
        <v>6199</v>
      </c>
      <c r="D2373" t="s">
        <v>7990</v>
      </c>
      <c r="E2373" t="s">
        <v>9474</v>
      </c>
      <c r="F2373" t="s">
        <v>10297</v>
      </c>
      <c r="G2373">
        <v>7.84</v>
      </c>
      <c r="H2373" t="s">
        <v>10310</v>
      </c>
      <c r="I2373" t="s">
        <v>10325</v>
      </c>
      <c r="L2373">
        <v>1955</v>
      </c>
      <c r="R2373" t="s">
        <v>11038</v>
      </c>
      <c r="S2373" t="s">
        <v>10310</v>
      </c>
      <c r="W2373" s="2" t="s">
        <v>11202</v>
      </c>
    </row>
    <row r="2374" spans="1:23" hidden="1" x14ac:dyDescent="0.45">
      <c r="A2374" s="1" t="s">
        <v>2357</v>
      </c>
      <c r="B2374" t="s">
        <v>6199</v>
      </c>
      <c r="D2374" t="s">
        <v>7990</v>
      </c>
      <c r="E2374" t="s">
        <v>9474</v>
      </c>
      <c r="F2374" t="s">
        <v>10297</v>
      </c>
      <c r="G2374">
        <v>7.84</v>
      </c>
      <c r="H2374" t="s">
        <v>10310</v>
      </c>
      <c r="I2374" t="s">
        <v>10325</v>
      </c>
      <c r="L2374">
        <v>1955</v>
      </c>
      <c r="R2374" t="s">
        <v>11038</v>
      </c>
      <c r="S2374" t="s">
        <v>10310</v>
      </c>
      <c r="W2374" s="2" t="s">
        <v>11202</v>
      </c>
    </row>
    <row r="2375" spans="1:23" hidden="1" x14ac:dyDescent="0.45">
      <c r="A2375" s="1" t="s">
        <v>2358</v>
      </c>
      <c r="B2375" t="s">
        <v>6199</v>
      </c>
      <c r="D2375" t="s">
        <v>7990</v>
      </c>
      <c r="E2375" t="s">
        <v>9480</v>
      </c>
      <c r="F2375" t="s">
        <v>10297</v>
      </c>
      <c r="G2375">
        <v>22.4</v>
      </c>
      <c r="H2375" t="s">
        <v>10310</v>
      </c>
      <c r="I2375" t="s">
        <v>10325</v>
      </c>
      <c r="L2375">
        <v>1958</v>
      </c>
      <c r="R2375" t="s">
        <v>11038</v>
      </c>
      <c r="S2375" t="s">
        <v>10310</v>
      </c>
      <c r="W2375" s="2" t="s">
        <v>11202</v>
      </c>
    </row>
    <row r="2376" spans="1:23" hidden="1" x14ac:dyDescent="0.45">
      <c r="A2376" s="1" t="s">
        <v>2359</v>
      </c>
      <c r="B2376" t="s">
        <v>6199</v>
      </c>
      <c r="D2376" t="s">
        <v>7990</v>
      </c>
      <c r="E2376" t="s">
        <v>9480</v>
      </c>
      <c r="F2376" t="s">
        <v>10297</v>
      </c>
      <c r="G2376">
        <v>22.4</v>
      </c>
      <c r="H2376" t="s">
        <v>10310</v>
      </c>
      <c r="I2376" t="s">
        <v>10325</v>
      </c>
      <c r="L2376">
        <v>1958</v>
      </c>
      <c r="R2376" t="s">
        <v>11038</v>
      </c>
      <c r="S2376" t="s">
        <v>10310</v>
      </c>
      <c r="W2376" s="2" t="s">
        <v>11202</v>
      </c>
    </row>
    <row r="2377" spans="1:23" hidden="1" x14ac:dyDescent="0.45">
      <c r="A2377" s="1" t="s">
        <v>2360</v>
      </c>
      <c r="B2377" t="s">
        <v>6199</v>
      </c>
      <c r="D2377" t="s">
        <v>7990</v>
      </c>
      <c r="E2377" t="s">
        <v>9481</v>
      </c>
      <c r="F2377" t="s">
        <v>10297</v>
      </c>
      <c r="G2377">
        <v>65.7</v>
      </c>
      <c r="H2377" t="s">
        <v>10310</v>
      </c>
      <c r="I2377" t="s">
        <v>10326</v>
      </c>
      <c r="L2377">
        <v>1969</v>
      </c>
      <c r="N2377">
        <v>41.242604999999998</v>
      </c>
      <c r="P2377">
        <v>0.43054900000000002</v>
      </c>
      <c r="R2377" t="s">
        <v>11038</v>
      </c>
      <c r="S2377" t="s">
        <v>10310</v>
      </c>
      <c r="W2377" s="2" t="s">
        <v>11202</v>
      </c>
    </row>
    <row r="2378" spans="1:23" hidden="1" x14ac:dyDescent="0.45">
      <c r="A2378" s="1" t="s">
        <v>2361</v>
      </c>
      <c r="B2378" t="s">
        <v>6199</v>
      </c>
      <c r="D2378" t="s">
        <v>7990</v>
      </c>
      <c r="E2378" t="s">
        <v>9481</v>
      </c>
      <c r="F2378" t="s">
        <v>10297</v>
      </c>
      <c r="G2378">
        <v>65.7</v>
      </c>
      <c r="H2378" t="s">
        <v>10310</v>
      </c>
      <c r="I2378" t="s">
        <v>10326</v>
      </c>
      <c r="L2378">
        <v>1967</v>
      </c>
      <c r="N2378">
        <v>41.242604999999998</v>
      </c>
      <c r="P2378">
        <v>0.43054900000000002</v>
      </c>
      <c r="R2378" t="s">
        <v>11038</v>
      </c>
      <c r="S2378" t="s">
        <v>10310</v>
      </c>
      <c r="W2378" s="2" t="s">
        <v>11202</v>
      </c>
    </row>
    <row r="2379" spans="1:23" hidden="1" x14ac:dyDescent="0.45">
      <c r="A2379" s="1" t="s">
        <v>2362</v>
      </c>
      <c r="B2379" t="s">
        <v>6199</v>
      </c>
      <c r="D2379" t="s">
        <v>7990</v>
      </c>
      <c r="E2379" t="s">
        <v>9481</v>
      </c>
      <c r="F2379" t="s">
        <v>10297</v>
      </c>
      <c r="G2379">
        <v>65.7</v>
      </c>
      <c r="H2379" t="s">
        <v>10310</v>
      </c>
      <c r="I2379" t="s">
        <v>10326</v>
      </c>
      <c r="L2379">
        <v>1967</v>
      </c>
      <c r="N2379">
        <v>41.242604999999998</v>
      </c>
      <c r="P2379">
        <v>0.43054900000000002</v>
      </c>
      <c r="R2379" t="s">
        <v>11038</v>
      </c>
      <c r="S2379" t="s">
        <v>10310</v>
      </c>
      <c r="W2379" s="2" t="s">
        <v>11202</v>
      </c>
    </row>
    <row r="2380" spans="1:23" hidden="1" x14ac:dyDescent="0.45">
      <c r="A2380" s="1" t="s">
        <v>2363</v>
      </c>
      <c r="B2380" t="s">
        <v>6199</v>
      </c>
      <c r="D2380" t="s">
        <v>7990</v>
      </c>
      <c r="E2380" t="s">
        <v>9481</v>
      </c>
      <c r="F2380" t="s">
        <v>10297</v>
      </c>
      <c r="G2380">
        <v>65.7</v>
      </c>
      <c r="H2380" t="s">
        <v>10310</v>
      </c>
      <c r="I2380" t="s">
        <v>10326</v>
      </c>
      <c r="L2380">
        <v>1967</v>
      </c>
      <c r="N2380">
        <v>41.242604999999998</v>
      </c>
      <c r="P2380">
        <v>0.43054900000000002</v>
      </c>
      <c r="R2380" t="s">
        <v>11038</v>
      </c>
      <c r="S2380" t="s">
        <v>10310</v>
      </c>
      <c r="W2380" s="2" t="s">
        <v>11202</v>
      </c>
    </row>
    <row r="2381" spans="1:23" hidden="1" x14ac:dyDescent="0.45">
      <c r="A2381" s="1" t="s">
        <v>2364</v>
      </c>
      <c r="B2381" t="s">
        <v>6199</v>
      </c>
      <c r="D2381" t="s">
        <v>7990</v>
      </c>
      <c r="E2381" t="s">
        <v>9482</v>
      </c>
      <c r="F2381" t="s">
        <v>10297</v>
      </c>
      <c r="G2381">
        <v>15.2</v>
      </c>
      <c r="H2381" t="s">
        <v>10310</v>
      </c>
      <c r="I2381" t="s">
        <v>10326</v>
      </c>
      <c r="L2381">
        <v>1962</v>
      </c>
      <c r="N2381">
        <v>41.882328999999999</v>
      </c>
      <c r="P2381">
        <v>0.58047799999999994</v>
      </c>
      <c r="R2381" t="s">
        <v>11038</v>
      </c>
      <c r="S2381" t="s">
        <v>10310</v>
      </c>
      <c r="W2381" s="2" t="s">
        <v>11202</v>
      </c>
    </row>
    <row r="2382" spans="1:23" hidden="1" x14ac:dyDescent="0.45">
      <c r="A2382" s="1" t="s">
        <v>2365</v>
      </c>
      <c r="B2382" t="s">
        <v>6199</v>
      </c>
      <c r="D2382" t="s">
        <v>7990</v>
      </c>
      <c r="E2382" t="s">
        <v>9482</v>
      </c>
      <c r="F2382" t="s">
        <v>10297</v>
      </c>
      <c r="G2382">
        <v>15.2</v>
      </c>
      <c r="H2382" t="s">
        <v>10310</v>
      </c>
      <c r="I2382" t="s">
        <v>10326</v>
      </c>
      <c r="L2382">
        <v>1962</v>
      </c>
      <c r="N2382">
        <v>41.882328999999999</v>
      </c>
      <c r="P2382">
        <v>0.58047799999999994</v>
      </c>
      <c r="R2382" t="s">
        <v>11038</v>
      </c>
      <c r="S2382" t="s">
        <v>10310</v>
      </c>
      <c r="W2382" s="2" t="s">
        <v>11202</v>
      </c>
    </row>
    <row r="2383" spans="1:23" hidden="1" x14ac:dyDescent="0.45">
      <c r="A2383" s="1" t="s">
        <v>2366</v>
      </c>
      <c r="B2383" t="s">
        <v>6199</v>
      </c>
      <c r="D2383" t="s">
        <v>7990</v>
      </c>
      <c r="E2383" t="s">
        <v>9468</v>
      </c>
      <c r="F2383" t="s">
        <v>10297</v>
      </c>
      <c r="G2383">
        <v>4.32</v>
      </c>
      <c r="H2383" t="s">
        <v>10310</v>
      </c>
      <c r="I2383" t="s">
        <v>10325</v>
      </c>
      <c r="L2383">
        <v>1951</v>
      </c>
      <c r="R2383" t="s">
        <v>11038</v>
      </c>
      <c r="S2383" t="s">
        <v>10310</v>
      </c>
      <c r="W2383" s="2" t="s">
        <v>11202</v>
      </c>
    </row>
    <row r="2384" spans="1:23" hidden="1" x14ac:dyDescent="0.45">
      <c r="A2384" s="1" t="s">
        <v>2367</v>
      </c>
      <c r="B2384" t="s">
        <v>6199</v>
      </c>
      <c r="D2384" t="s">
        <v>7990</v>
      </c>
      <c r="E2384" t="s">
        <v>9468</v>
      </c>
      <c r="F2384" t="s">
        <v>10297</v>
      </c>
      <c r="G2384">
        <v>4.32</v>
      </c>
      <c r="H2384" t="s">
        <v>10310</v>
      </c>
      <c r="I2384" t="s">
        <v>10325</v>
      </c>
      <c r="L2384">
        <v>1951</v>
      </c>
      <c r="R2384" t="s">
        <v>11038</v>
      </c>
      <c r="S2384" t="s">
        <v>10310</v>
      </c>
      <c r="W2384" s="2" t="s">
        <v>11202</v>
      </c>
    </row>
    <row r="2385" spans="1:23" hidden="1" x14ac:dyDescent="0.45">
      <c r="A2385" s="1" t="s">
        <v>2368</v>
      </c>
      <c r="B2385" t="s">
        <v>6199</v>
      </c>
      <c r="D2385" t="s">
        <v>7990</v>
      </c>
      <c r="E2385" t="s">
        <v>9399</v>
      </c>
      <c r="F2385" t="s">
        <v>10297</v>
      </c>
      <c r="G2385">
        <v>1.57</v>
      </c>
      <c r="H2385" t="s">
        <v>10310</v>
      </c>
      <c r="I2385" t="s">
        <v>10325</v>
      </c>
      <c r="L2385">
        <v>1961</v>
      </c>
      <c r="R2385" t="s">
        <v>11038</v>
      </c>
      <c r="S2385" t="s">
        <v>10310</v>
      </c>
      <c r="W2385" s="2" t="s">
        <v>11202</v>
      </c>
    </row>
    <row r="2386" spans="1:23" hidden="1" x14ac:dyDescent="0.45">
      <c r="A2386" s="1" t="s">
        <v>2369</v>
      </c>
      <c r="B2386" t="s">
        <v>6199</v>
      </c>
      <c r="D2386" t="s">
        <v>7990</v>
      </c>
      <c r="E2386" t="s">
        <v>9465</v>
      </c>
      <c r="F2386" t="s">
        <v>10297</v>
      </c>
      <c r="G2386">
        <v>2.02</v>
      </c>
      <c r="H2386" t="s">
        <v>10310</v>
      </c>
      <c r="I2386" t="s">
        <v>10325</v>
      </c>
      <c r="L2386">
        <v>1952</v>
      </c>
      <c r="R2386" t="s">
        <v>11038</v>
      </c>
      <c r="S2386" t="s">
        <v>10310</v>
      </c>
      <c r="W2386" s="2" t="s">
        <v>11202</v>
      </c>
    </row>
    <row r="2387" spans="1:23" hidden="1" x14ac:dyDescent="0.45">
      <c r="A2387" s="1" t="s">
        <v>2370</v>
      </c>
      <c r="B2387" t="s">
        <v>6199</v>
      </c>
      <c r="D2387" t="s">
        <v>7990</v>
      </c>
      <c r="E2387" t="s">
        <v>9465</v>
      </c>
      <c r="F2387" t="s">
        <v>10297</v>
      </c>
      <c r="G2387">
        <v>2.06</v>
      </c>
      <c r="H2387" t="s">
        <v>10310</v>
      </c>
      <c r="I2387" t="s">
        <v>10325</v>
      </c>
      <c r="L2387">
        <v>1952</v>
      </c>
      <c r="R2387" t="s">
        <v>11038</v>
      </c>
      <c r="S2387" t="s">
        <v>10310</v>
      </c>
      <c r="W2387" s="2" t="s">
        <v>11202</v>
      </c>
    </row>
    <row r="2388" spans="1:23" hidden="1" x14ac:dyDescent="0.45">
      <c r="A2388" s="1" t="s">
        <v>2371</v>
      </c>
      <c r="B2388" t="s">
        <v>6211</v>
      </c>
      <c r="D2388" t="s">
        <v>7999</v>
      </c>
      <c r="E2388" t="s">
        <v>9483</v>
      </c>
      <c r="F2388" t="s">
        <v>10297</v>
      </c>
      <c r="G2388">
        <v>90.4</v>
      </c>
      <c r="H2388" t="s">
        <v>10310</v>
      </c>
      <c r="I2388" t="s">
        <v>10324</v>
      </c>
      <c r="L2388">
        <v>1982</v>
      </c>
      <c r="N2388">
        <v>43.095804000000001</v>
      </c>
      <c r="P2388">
        <v>-4.0006559999999993</v>
      </c>
      <c r="R2388" t="s">
        <v>11038</v>
      </c>
      <c r="S2388" t="s">
        <v>10310</v>
      </c>
      <c r="W2388" s="2" t="s">
        <v>11202</v>
      </c>
    </row>
    <row r="2389" spans="1:23" hidden="1" x14ac:dyDescent="0.45">
      <c r="A2389" s="1" t="s">
        <v>2372</v>
      </c>
      <c r="B2389" t="s">
        <v>6211</v>
      </c>
      <c r="D2389" t="s">
        <v>7999</v>
      </c>
      <c r="E2389" t="s">
        <v>9483</v>
      </c>
      <c r="F2389" t="s">
        <v>10297</v>
      </c>
      <c r="G2389">
        <v>89.6</v>
      </c>
      <c r="H2389" t="s">
        <v>10310</v>
      </c>
      <c r="I2389" t="s">
        <v>10324</v>
      </c>
      <c r="L2389">
        <v>1982</v>
      </c>
      <c r="N2389">
        <v>43.095804000000001</v>
      </c>
      <c r="P2389">
        <v>-4.0006559999999993</v>
      </c>
      <c r="R2389" t="s">
        <v>11038</v>
      </c>
      <c r="S2389" t="s">
        <v>10310</v>
      </c>
      <c r="W2389" s="2" t="s">
        <v>11202</v>
      </c>
    </row>
    <row r="2390" spans="1:23" hidden="1" x14ac:dyDescent="0.45">
      <c r="A2390" s="1" t="s">
        <v>2373</v>
      </c>
      <c r="B2390" t="s">
        <v>6211</v>
      </c>
      <c r="D2390" t="s">
        <v>7999</v>
      </c>
      <c r="E2390" t="s">
        <v>9483</v>
      </c>
      <c r="F2390" t="s">
        <v>10297</v>
      </c>
      <c r="G2390">
        <v>90.9</v>
      </c>
      <c r="H2390" t="s">
        <v>10310</v>
      </c>
      <c r="I2390" t="s">
        <v>10324</v>
      </c>
      <c r="L2390">
        <v>1983</v>
      </c>
      <c r="N2390">
        <v>43.095804000000001</v>
      </c>
      <c r="P2390">
        <v>-4.0006559999999993</v>
      </c>
      <c r="R2390" t="s">
        <v>11038</v>
      </c>
      <c r="S2390" t="s">
        <v>10310</v>
      </c>
      <c r="W2390" s="2" t="s">
        <v>11202</v>
      </c>
    </row>
    <row r="2391" spans="1:23" hidden="1" x14ac:dyDescent="0.45">
      <c r="A2391" s="1" t="s">
        <v>2374</v>
      </c>
      <c r="B2391" t="s">
        <v>6211</v>
      </c>
      <c r="D2391" t="s">
        <v>7999</v>
      </c>
      <c r="E2391" t="s">
        <v>9483</v>
      </c>
      <c r="F2391" t="s">
        <v>10297</v>
      </c>
      <c r="G2391">
        <v>91</v>
      </c>
      <c r="H2391" t="s">
        <v>10310</v>
      </c>
      <c r="I2391" t="s">
        <v>10324</v>
      </c>
      <c r="L2391">
        <v>1983</v>
      </c>
      <c r="N2391">
        <v>43.095804000000001</v>
      </c>
      <c r="P2391">
        <v>-4.0006559999999993</v>
      </c>
      <c r="R2391" t="s">
        <v>11038</v>
      </c>
      <c r="S2391" t="s">
        <v>10310</v>
      </c>
      <c r="W2391" s="2" t="s">
        <v>11202</v>
      </c>
    </row>
    <row r="2392" spans="1:23" hidden="1" x14ac:dyDescent="0.45">
      <c r="A2392" s="1" t="s">
        <v>2375</v>
      </c>
      <c r="B2392" t="s">
        <v>6211</v>
      </c>
      <c r="D2392" t="s">
        <v>7999</v>
      </c>
      <c r="E2392" t="s">
        <v>9484</v>
      </c>
      <c r="F2392" t="s">
        <v>10297</v>
      </c>
      <c r="G2392">
        <v>4.96</v>
      </c>
      <c r="H2392" t="s">
        <v>10310</v>
      </c>
      <c r="I2392" t="s">
        <v>10326</v>
      </c>
      <c r="L2392">
        <v>1964</v>
      </c>
      <c r="R2392" t="s">
        <v>11038</v>
      </c>
      <c r="S2392" t="s">
        <v>10310</v>
      </c>
      <c r="W2392" s="2" t="s">
        <v>11202</v>
      </c>
    </row>
    <row r="2393" spans="1:23" hidden="1" x14ac:dyDescent="0.45">
      <c r="A2393" s="1" t="s">
        <v>2376</v>
      </c>
      <c r="B2393" t="s">
        <v>6211</v>
      </c>
      <c r="D2393" t="s">
        <v>7999</v>
      </c>
      <c r="E2393" t="s">
        <v>9484</v>
      </c>
      <c r="F2393" t="s">
        <v>10297</v>
      </c>
      <c r="G2393">
        <v>5</v>
      </c>
      <c r="H2393" t="s">
        <v>10310</v>
      </c>
      <c r="I2393" t="s">
        <v>10326</v>
      </c>
      <c r="L2393">
        <v>1964</v>
      </c>
      <c r="R2393" t="s">
        <v>11038</v>
      </c>
      <c r="S2393" t="s">
        <v>10310</v>
      </c>
      <c r="W2393" s="2" t="s">
        <v>11202</v>
      </c>
    </row>
    <row r="2394" spans="1:23" hidden="1" x14ac:dyDescent="0.45">
      <c r="A2394" s="1" t="s">
        <v>2377</v>
      </c>
      <c r="B2394" t="s">
        <v>6211</v>
      </c>
      <c r="D2394" t="s">
        <v>7999</v>
      </c>
      <c r="E2394" t="s">
        <v>9485</v>
      </c>
      <c r="F2394" t="s">
        <v>10297</v>
      </c>
      <c r="G2394">
        <v>24.9</v>
      </c>
      <c r="H2394" t="s">
        <v>10310</v>
      </c>
      <c r="I2394" t="s">
        <v>10326</v>
      </c>
      <c r="L2394">
        <v>1967</v>
      </c>
      <c r="N2394">
        <v>43.477229000000001</v>
      </c>
      <c r="P2394">
        <v>-6.7301990000000007</v>
      </c>
      <c r="R2394" t="s">
        <v>11038</v>
      </c>
      <c r="S2394" t="s">
        <v>10310</v>
      </c>
      <c r="W2394" s="2" t="s">
        <v>11202</v>
      </c>
    </row>
    <row r="2395" spans="1:23" hidden="1" x14ac:dyDescent="0.45">
      <c r="A2395" s="1" t="s">
        <v>2378</v>
      </c>
      <c r="B2395" t="s">
        <v>6211</v>
      </c>
      <c r="D2395" t="s">
        <v>7999</v>
      </c>
      <c r="E2395" t="s">
        <v>9485</v>
      </c>
      <c r="F2395" t="s">
        <v>10297</v>
      </c>
      <c r="G2395">
        <v>24.9</v>
      </c>
      <c r="H2395" t="s">
        <v>10310</v>
      </c>
      <c r="I2395" t="s">
        <v>10326</v>
      </c>
      <c r="L2395">
        <v>1968</v>
      </c>
      <c r="N2395">
        <v>43.477229000000001</v>
      </c>
      <c r="P2395">
        <v>-6.7301990000000007</v>
      </c>
      <c r="R2395" t="s">
        <v>11038</v>
      </c>
      <c r="S2395" t="s">
        <v>10310</v>
      </c>
      <c r="W2395" s="2" t="s">
        <v>11202</v>
      </c>
    </row>
    <row r="2396" spans="1:23" hidden="1" x14ac:dyDescent="0.45">
      <c r="A2396" s="1" t="s">
        <v>2379</v>
      </c>
      <c r="B2396" t="s">
        <v>6211</v>
      </c>
      <c r="D2396" t="s">
        <v>7999</v>
      </c>
      <c r="E2396" t="s">
        <v>9400</v>
      </c>
      <c r="F2396" t="s">
        <v>10297</v>
      </c>
      <c r="G2396">
        <v>4.32</v>
      </c>
      <c r="H2396" t="s">
        <v>10310</v>
      </c>
      <c r="I2396" t="s">
        <v>10325</v>
      </c>
      <c r="L2396">
        <v>1958</v>
      </c>
      <c r="R2396" t="s">
        <v>11038</v>
      </c>
      <c r="S2396" t="s">
        <v>10310</v>
      </c>
      <c r="W2396" s="2" t="s">
        <v>11202</v>
      </c>
    </row>
    <row r="2397" spans="1:23" hidden="1" x14ac:dyDescent="0.45">
      <c r="A2397" s="1" t="s">
        <v>2380</v>
      </c>
      <c r="B2397" t="s">
        <v>6211</v>
      </c>
      <c r="D2397" t="s">
        <v>7999</v>
      </c>
      <c r="E2397" t="s">
        <v>9400</v>
      </c>
      <c r="F2397" t="s">
        <v>10297</v>
      </c>
      <c r="G2397">
        <v>4.16</v>
      </c>
      <c r="H2397" t="s">
        <v>10310</v>
      </c>
      <c r="I2397" t="s">
        <v>10325</v>
      </c>
      <c r="L2397">
        <v>1958</v>
      </c>
      <c r="R2397" t="s">
        <v>11038</v>
      </c>
      <c r="S2397" t="s">
        <v>10310</v>
      </c>
      <c r="W2397" s="2" t="s">
        <v>11202</v>
      </c>
    </row>
    <row r="2398" spans="1:23" hidden="1" x14ac:dyDescent="0.45">
      <c r="A2398" s="1" t="s">
        <v>2381</v>
      </c>
      <c r="B2398" t="s">
        <v>6211</v>
      </c>
      <c r="D2398" t="s">
        <v>7999</v>
      </c>
      <c r="E2398" t="s">
        <v>9486</v>
      </c>
      <c r="F2398" t="s">
        <v>10297</v>
      </c>
      <c r="G2398">
        <v>0.48</v>
      </c>
      <c r="H2398" t="s">
        <v>10310</v>
      </c>
      <c r="I2398" t="s">
        <v>10325</v>
      </c>
      <c r="L2398">
        <v>1956</v>
      </c>
      <c r="R2398" t="s">
        <v>11038</v>
      </c>
      <c r="S2398" t="s">
        <v>10310</v>
      </c>
      <c r="W2398" s="2" t="s">
        <v>11202</v>
      </c>
    </row>
    <row r="2399" spans="1:23" hidden="1" x14ac:dyDescent="0.45">
      <c r="A2399" s="1" t="s">
        <v>2382</v>
      </c>
      <c r="B2399" t="s">
        <v>6211</v>
      </c>
      <c r="D2399" t="s">
        <v>7999</v>
      </c>
      <c r="E2399" t="s">
        <v>9486</v>
      </c>
      <c r="F2399" t="s">
        <v>10297</v>
      </c>
      <c r="G2399">
        <v>1.72</v>
      </c>
      <c r="H2399" t="s">
        <v>10310</v>
      </c>
      <c r="I2399" t="s">
        <v>10325</v>
      </c>
      <c r="L2399">
        <v>1956</v>
      </c>
      <c r="R2399" t="s">
        <v>11038</v>
      </c>
      <c r="S2399" t="s">
        <v>10310</v>
      </c>
      <c r="W2399" s="2" t="s">
        <v>11202</v>
      </c>
    </row>
    <row r="2400" spans="1:23" hidden="1" x14ac:dyDescent="0.45">
      <c r="A2400" s="1" t="s">
        <v>2383</v>
      </c>
      <c r="B2400" t="s">
        <v>6214</v>
      </c>
      <c r="D2400" t="s">
        <v>8002</v>
      </c>
      <c r="E2400" t="s">
        <v>9487</v>
      </c>
      <c r="F2400" t="s">
        <v>10297</v>
      </c>
      <c r="G2400">
        <v>0.24</v>
      </c>
      <c r="H2400" t="s">
        <v>10310</v>
      </c>
      <c r="I2400" t="s">
        <v>10325</v>
      </c>
      <c r="L2400">
        <v>1921</v>
      </c>
      <c r="R2400" t="s">
        <v>11038</v>
      </c>
      <c r="S2400" t="s">
        <v>10310</v>
      </c>
      <c r="W2400" s="2" t="s">
        <v>11202</v>
      </c>
    </row>
    <row r="2401" spans="1:23" hidden="1" x14ac:dyDescent="0.45">
      <c r="A2401" s="1" t="s">
        <v>2384</v>
      </c>
      <c r="B2401" t="s">
        <v>6211</v>
      </c>
      <c r="D2401" t="s">
        <v>7999</v>
      </c>
      <c r="E2401" t="s">
        <v>9400</v>
      </c>
      <c r="F2401" t="s">
        <v>10297</v>
      </c>
      <c r="G2401">
        <v>6.66</v>
      </c>
      <c r="H2401" t="s">
        <v>10310</v>
      </c>
      <c r="I2401" t="s">
        <v>10325</v>
      </c>
      <c r="L2401">
        <v>1921</v>
      </c>
      <c r="R2401" t="s">
        <v>11038</v>
      </c>
      <c r="S2401" t="s">
        <v>10310</v>
      </c>
      <c r="W2401" s="2" t="s">
        <v>11202</v>
      </c>
    </row>
    <row r="2402" spans="1:23" hidden="1" x14ac:dyDescent="0.45">
      <c r="A2402" s="1" t="s">
        <v>2385</v>
      </c>
      <c r="B2402" t="s">
        <v>6214</v>
      </c>
      <c r="D2402" t="s">
        <v>8002</v>
      </c>
      <c r="E2402" t="s">
        <v>9488</v>
      </c>
      <c r="F2402" t="s">
        <v>10297</v>
      </c>
      <c r="G2402">
        <v>0.96</v>
      </c>
      <c r="H2402" t="s">
        <v>10310</v>
      </c>
      <c r="I2402" t="s">
        <v>10325</v>
      </c>
      <c r="L2402">
        <v>1947</v>
      </c>
      <c r="R2402" t="s">
        <v>11038</v>
      </c>
      <c r="S2402" t="s">
        <v>10310</v>
      </c>
      <c r="W2402" s="2" t="s">
        <v>11202</v>
      </c>
    </row>
    <row r="2403" spans="1:23" hidden="1" x14ac:dyDescent="0.45">
      <c r="A2403" s="1" t="s">
        <v>2386</v>
      </c>
      <c r="B2403" t="s">
        <v>6214</v>
      </c>
      <c r="D2403" t="s">
        <v>8002</v>
      </c>
      <c r="E2403" t="s">
        <v>9489</v>
      </c>
      <c r="F2403" t="s">
        <v>10297</v>
      </c>
      <c r="G2403">
        <v>0.28000000000000003</v>
      </c>
      <c r="H2403" t="s">
        <v>10310</v>
      </c>
      <c r="I2403" t="s">
        <v>10325</v>
      </c>
      <c r="L2403">
        <v>1909</v>
      </c>
      <c r="R2403" t="s">
        <v>11038</v>
      </c>
      <c r="S2403" t="s">
        <v>10310</v>
      </c>
      <c r="W2403" s="2" t="s">
        <v>11202</v>
      </c>
    </row>
    <row r="2404" spans="1:23" hidden="1" x14ac:dyDescent="0.45">
      <c r="A2404" s="1" t="s">
        <v>2387</v>
      </c>
      <c r="B2404" t="s">
        <v>6211</v>
      </c>
      <c r="D2404" t="s">
        <v>7999</v>
      </c>
      <c r="E2404" t="s">
        <v>9490</v>
      </c>
      <c r="F2404" t="s">
        <v>10297</v>
      </c>
      <c r="G2404">
        <v>23.92</v>
      </c>
      <c r="H2404" t="s">
        <v>10310</v>
      </c>
      <c r="I2404" t="s">
        <v>10326</v>
      </c>
      <c r="L2404">
        <v>1944</v>
      </c>
      <c r="N2404">
        <v>43.386159999999997</v>
      </c>
      <c r="P2404">
        <v>-6.8253779999999997</v>
      </c>
      <c r="R2404" t="s">
        <v>11038</v>
      </c>
      <c r="S2404" t="s">
        <v>10310</v>
      </c>
      <c r="W2404" s="2" t="s">
        <v>11202</v>
      </c>
    </row>
    <row r="2405" spans="1:23" hidden="1" x14ac:dyDescent="0.45">
      <c r="A2405" s="1" t="s">
        <v>2388</v>
      </c>
      <c r="B2405" t="s">
        <v>6211</v>
      </c>
      <c r="D2405" t="s">
        <v>7999</v>
      </c>
      <c r="E2405" t="s">
        <v>9490</v>
      </c>
      <c r="F2405" t="s">
        <v>10297</v>
      </c>
      <c r="G2405">
        <v>23.83</v>
      </c>
      <c r="H2405" t="s">
        <v>10310</v>
      </c>
      <c r="I2405" t="s">
        <v>10326</v>
      </c>
      <c r="L2405">
        <v>1944</v>
      </c>
      <c r="N2405">
        <v>43.386159999999997</v>
      </c>
      <c r="P2405">
        <v>-6.8253779999999997</v>
      </c>
      <c r="R2405" t="s">
        <v>11038</v>
      </c>
      <c r="S2405" t="s">
        <v>10310</v>
      </c>
      <c r="W2405" s="2" t="s">
        <v>11202</v>
      </c>
    </row>
    <row r="2406" spans="1:23" hidden="1" x14ac:dyDescent="0.45">
      <c r="A2406" s="1" t="s">
        <v>2389</v>
      </c>
      <c r="B2406" t="s">
        <v>6211</v>
      </c>
      <c r="D2406" t="s">
        <v>7999</v>
      </c>
      <c r="E2406" t="s">
        <v>9490</v>
      </c>
      <c r="F2406" t="s">
        <v>10297</v>
      </c>
      <c r="G2406">
        <v>14.4</v>
      </c>
      <c r="H2406" t="s">
        <v>10310</v>
      </c>
      <c r="I2406" t="s">
        <v>10326</v>
      </c>
      <c r="L2406">
        <v>1944</v>
      </c>
      <c r="N2406">
        <v>43.386159999999997</v>
      </c>
      <c r="P2406">
        <v>-6.8253779999999997</v>
      </c>
      <c r="R2406" t="s">
        <v>11038</v>
      </c>
      <c r="S2406" t="s">
        <v>10310</v>
      </c>
      <c r="W2406" s="2" t="s">
        <v>11202</v>
      </c>
    </row>
    <row r="2407" spans="1:23" hidden="1" x14ac:dyDescent="0.45">
      <c r="A2407" s="1" t="s">
        <v>2390</v>
      </c>
      <c r="B2407" t="s">
        <v>6211</v>
      </c>
      <c r="D2407" t="s">
        <v>7999</v>
      </c>
      <c r="E2407" t="s">
        <v>9491</v>
      </c>
      <c r="F2407" t="s">
        <v>10297</v>
      </c>
      <c r="G2407">
        <v>1.48</v>
      </c>
      <c r="H2407" t="s">
        <v>10310</v>
      </c>
      <c r="I2407" t="s">
        <v>10325</v>
      </c>
      <c r="L2407">
        <v>1919</v>
      </c>
      <c r="R2407" t="s">
        <v>11038</v>
      </c>
      <c r="S2407" t="s">
        <v>10310</v>
      </c>
      <c r="W2407" s="2" t="s">
        <v>11202</v>
      </c>
    </row>
    <row r="2408" spans="1:23" hidden="1" x14ac:dyDescent="0.45">
      <c r="A2408" s="1" t="s">
        <v>2391</v>
      </c>
      <c r="B2408" t="s">
        <v>6211</v>
      </c>
      <c r="D2408" t="s">
        <v>7999</v>
      </c>
      <c r="E2408" t="s">
        <v>9491</v>
      </c>
      <c r="F2408" t="s">
        <v>10297</v>
      </c>
      <c r="G2408">
        <v>1.1499999999999999</v>
      </c>
      <c r="H2408" t="s">
        <v>10310</v>
      </c>
      <c r="I2408" t="s">
        <v>10325</v>
      </c>
      <c r="L2408">
        <v>1921</v>
      </c>
      <c r="R2408" t="s">
        <v>11038</v>
      </c>
      <c r="S2408" t="s">
        <v>10310</v>
      </c>
      <c r="W2408" s="2" t="s">
        <v>11202</v>
      </c>
    </row>
    <row r="2409" spans="1:23" hidden="1" x14ac:dyDescent="0.45">
      <c r="A2409" s="1" t="s">
        <v>2392</v>
      </c>
      <c r="B2409" t="s">
        <v>6214</v>
      </c>
      <c r="D2409" t="s">
        <v>8002</v>
      </c>
      <c r="E2409" t="s">
        <v>9492</v>
      </c>
      <c r="F2409" t="s">
        <v>10297</v>
      </c>
      <c r="G2409">
        <v>0.34599999999999997</v>
      </c>
      <c r="H2409" t="s">
        <v>10310</v>
      </c>
      <c r="I2409" t="s">
        <v>10325</v>
      </c>
      <c r="L2409">
        <v>1900</v>
      </c>
      <c r="R2409" t="s">
        <v>11038</v>
      </c>
      <c r="S2409" t="s">
        <v>10310</v>
      </c>
      <c r="W2409" s="2" t="s">
        <v>11202</v>
      </c>
    </row>
    <row r="2410" spans="1:23" hidden="1" x14ac:dyDescent="0.45">
      <c r="A2410" s="1" t="s">
        <v>2393</v>
      </c>
      <c r="B2410" t="s">
        <v>6211</v>
      </c>
      <c r="D2410" t="s">
        <v>7999</v>
      </c>
      <c r="E2410" t="s">
        <v>9490</v>
      </c>
      <c r="F2410" t="s">
        <v>10297</v>
      </c>
      <c r="G2410">
        <v>40.83</v>
      </c>
      <c r="H2410" t="s">
        <v>10310</v>
      </c>
      <c r="I2410" t="s">
        <v>10326</v>
      </c>
      <c r="L2410">
        <v>1959</v>
      </c>
      <c r="N2410">
        <v>43.387117000000003</v>
      </c>
      <c r="P2410">
        <v>-6.8252329999999999</v>
      </c>
      <c r="R2410" t="s">
        <v>11038</v>
      </c>
      <c r="S2410" t="s">
        <v>10310</v>
      </c>
      <c r="W2410" s="2" t="s">
        <v>11202</v>
      </c>
    </row>
    <row r="2411" spans="1:23" hidden="1" x14ac:dyDescent="0.45">
      <c r="A2411" s="1" t="s">
        <v>2394</v>
      </c>
      <c r="B2411" t="s">
        <v>6211</v>
      </c>
      <c r="D2411" t="s">
        <v>7999</v>
      </c>
      <c r="E2411" t="s">
        <v>9490</v>
      </c>
      <c r="F2411" t="s">
        <v>10297</v>
      </c>
      <c r="G2411">
        <v>41.73</v>
      </c>
      <c r="H2411" t="s">
        <v>10310</v>
      </c>
      <c r="I2411" t="s">
        <v>10326</v>
      </c>
      <c r="L2411">
        <v>1964</v>
      </c>
      <c r="N2411">
        <v>43.387117000000003</v>
      </c>
      <c r="P2411">
        <v>-6.8252329999999999</v>
      </c>
      <c r="R2411" t="s">
        <v>11038</v>
      </c>
      <c r="S2411" t="s">
        <v>10310</v>
      </c>
      <c r="W2411" s="2" t="s">
        <v>11202</v>
      </c>
    </row>
    <row r="2412" spans="1:23" hidden="1" x14ac:dyDescent="0.45">
      <c r="A2412" s="1" t="s">
        <v>2395</v>
      </c>
      <c r="B2412" t="s">
        <v>6211</v>
      </c>
      <c r="D2412" t="s">
        <v>7999</v>
      </c>
      <c r="E2412" t="s">
        <v>9486</v>
      </c>
      <c r="F2412" t="s">
        <v>10297</v>
      </c>
      <c r="G2412">
        <v>4.55</v>
      </c>
      <c r="H2412" t="s">
        <v>10310</v>
      </c>
      <c r="I2412" t="s">
        <v>10326</v>
      </c>
      <c r="L2412">
        <v>1921</v>
      </c>
      <c r="R2412" t="s">
        <v>11038</v>
      </c>
      <c r="S2412" t="s">
        <v>10310</v>
      </c>
      <c r="W2412" s="2" t="s">
        <v>11202</v>
      </c>
    </row>
    <row r="2413" spans="1:23" hidden="1" x14ac:dyDescent="0.45">
      <c r="A2413" s="1" t="s">
        <v>2396</v>
      </c>
      <c r="B2413" t="s">
        <v>6211</v>
      </c>
      <c r="D2413" t="s">
        <v>7999</v>
      </c>
      <c r="E2413" t="s">
        <v>9486</v>
      </c>
      <c r="F2413" t="s">
        <v>10297</v>
      </c>
      <c r="G2413">
        <v>4.25</v>
      </c>
      <c r="H2413" t="s">
        <v>10310</v>
      </c>
      <c r="I2413" t="s">
        <v>10326</v>
      </c>
      <c r="L2413">
        <v>1921</v>
      </c>
      <c r="R2413" t="s">
        <v>11038</v>
      </c>
      <c r="S2413" t="s">
        <v>10310</v>
      </c>
      <c r="W2413" s="2" t="s">
        <v>11202</v>
      </c>
    </row>
    <row r="2414" spans="1:23" hidden="1" x14ac:dyDescent="0.45">
      <c r="A2414" s="1" t="s">
        <v>2397</v>
      </c>
      <c r="B2414" t="s">
        <v>6211</v>
      </c>
      <c r="D2414" t="s">
        <v>7999</v>
      </c>
      <c r="E2414" t="s">
        <v>9486</v>
      </c>
      <c r="F2414" t="s">
        <v>10297</v>
      </c>
      <c r="G2414">
        <v>5.65</v>
      </c>
      <c r="H2414" t="s">
        <v>10310</v>
      </c>
      <c r="I2414" t="s">
        <v>10326</v>
      </c>
      <c r="L2414">
        <v>1930</v>
      </c>
      <c r="R2414" t="s">
        <v>11038</v>
      </c>
      <c r="S2414" t="s">
        <v>10310</v>
      </c>
      <c r="W2414" s="2" t="s">
        <v>11202</v>
      </c>
    </row>
    <row r="2415" spans="1:23" hidden="1" x14ac:dyDescent="0.45">
      <c r="A2415" s="1" t="s">
        <v>2398</v>
      </c>
      <c r="B2415" t="s">
        <v>6211</v>
      </c>
      <c r="D2415" t="s">
        <v>7999</v>
      </c>
      <c r="E2415" t="s">
        <v>9493</v>
      </c>
      <c r="F2415" t="s">
        <v>10297</v>
      </c>
      <c r="G2415">
        <v>1.51</v>
      </c>
      <c r="H2415" t="s">
        <v>10310</v>
      </c>
      <c r="I2415" t="s">
        <v>10325</v>
      </c>
      <c r="L2415">
        <v>1910</v>
      </c>
      <c r="R2415" t="s">
        <v>11038</v>
      </c>
      <c r="S2415" t="s">
        <v>10310</v>
      </c>
      <c r="W2415" s="2" t="s">
        <v>11202</v>
      </c>
    </row>
    <row r="2416" spans="1:23" hidden="1" x14ac:dyDescent="0.45">
      <c r="A2416" s="1" t="s">
        <v>2399</v>
      </c>
      <c r="B2416" t="s">
        <v>6211</v>
      </c>
      <c r="D2416" t="s">
        <v>7999</v>
      </c>
      <c r="E2416" t="s">
        <v>9493</v>
      </c>
      <c r="F2416" t="s">
        <v>10297</v>
      </c>
      <c r="G2416">
        <v>1.7</v>
      </c>
      <c r="H2416" t="s">
        <v>10310</v>
      </c>
      <c r="I2416" t="s">
        <v>10325</v>
      </c>
      <c r="L2416">
        <v>1910</v>
      </c>
      <c r="R2416" t="s">
        <v>11038</v>
      </c>
      <c r="S2416" t="s">
        <v>10310</v>
      </c>
      <c r="W2416" s="2" t="s">
        <v>11202</v>
      </c>
    </row>
    <row r="2417" spans="1:23" hidden="1" x14ac:dyDescent="0.45">
      <c r="A2417" s="1" t="s">
        <v>2400</v>
      </c>
      <c r="B2417" t="s">
        <v>6211</v>
      </c>
      <c r="D2417" t="s">
        <v>7999</v>
      </c>
      <c r="E2417" t="s">
        <v>9493</v>
      </c>
      <c r="F2417" t="s">
        <v>10297</v>
      </c>
      <c r="G2417">
        <v>3.27</v>
      </c>
      <c r="H2417" t="s">
        <v>10310</v>
      </c>
      <c r="I2417" t="s">
        <v>10325</v>
      </c>
      <c r="L2417">
        <v>1915</v>
      </c>
      <c r="R2417" t="s">
        <v>11038</v>
      </c>
      <c r="S2417" t="s">
        <v>10310</v>
      </c>
      <c r="W2417" s="2" t="s">
        <v>11202</v>
      </c>
    </row>
    <row r="2418" spans="1:23" hidden="1" x14ac:dyDescent="0.45">
      <c r="A2418" s="1" t="s">
        <v>2401</v>
      </c>
      <c r="B2418" t="s">
        <v>6215</v>
      </c>
      <c r="D2418" t="s">
        <v>7989</v>
      </c>
      <c r="E2418" t="s">
        <v>9494</v>
      </c>
      <c r="F2418" t="s">
        <v>10297</v>
      </c>
      <c r="G2418">
        <v>284.2</v>
      </c>
      <c r="H2418" t="s">
        <v>10314</v>
      </c>
      <c r="L2418">
        <v>1971</v>
      </c>
      <c r="N2418">
        <v>42.792627000000003</v>
      </c>
      <c r="P2418">
        <v>-5.6351529999999999</v>
      </c>
      <c r="Q2418" t="s">
        <v>10750</v>
      </c>
      <c r="R2418" t="s">
        <v>11037</v>
      </c>
      <c r="S2418" t="s">
        <v>10314</v>
      </c>
      <c r="W2418" s="2" t="s">
        <v>11202</v>
      </c>
    </row>
    <row r="2419" spans="1:23" hidden="1" x14ac:dyDescent="0.45">
      <c r="A2419" s="1" t="s">
        <v>2402</v>
      </c>
      <c r="B2419" t="s">
        <v>6215</v>
      </c>
      <c r="D2419" t="s">
        <v>7989</v>
      </c>
      <c r="E2419" t="s">
        <v>9494</v>
      </c>
      <c r="F2419" t="s">
        <v>10297</v>
      </c>
      <c r="G2419">
        <v>370.7</v>
      </c>
      <c r="H2419" t="s">
        <v>10314</v>
      </c>
      <c r="L2419">
        <v>1984</v>
      </c>
      <c r="N2419">
        <v>42.792627000000003</v>
      </c>
      <c r="P2419">
        <v>-5.6351529999999999</v>
      </c>
      <c r="Q2419" t="s">
        <v>10751</v>
      </c>
      <c r="R2419" t="s">
        <v>11037</v>
      </c>
      <c r="S2419" t="s">
        <v>10314</v>
      </c>
      <c r="W2419" s="2" t="s">
        <v>11202</v>
      </c>
    </row>
    <row r="2420" spans="1:23" hidden="1" x14ac:dyDescent="0.45">
      <c r="A2420" s="1" t="s">
        <v>2403</v>
      </c>
      <c r="B2420" t="s">
        <v>6215</v>
      </c>
      <c r="D2420" t="s">
        <v>7989</v>
      </c>
      <c r="E2420" t="s">
        <v>9495</v>
      </c>
      <c r="F2420" t="s">
        <v>10297</v>
      </c>
      <c r="G2420">
        <v>580.46</v>
      </c>
      <c r="H2420" t="s">
        <v>10314</v>
      </c>
      <c r="L2420">
        <v>1980</v>
      </c>
      <c r="N2420">
        <v>43.168529999999997</v>
      </c>
      <c r="P2420">
        <v>-8.409357</v>
      </c>
      <c r="Q2420" t="s">
        <v>10752</v>
      </c>
      <c r="R2420" t="s">
        <v>11037</v>
      </c>
      <c r="S2420" t="s">
        <v>10314</v>
      </c>
      <c r="W2420" s="2" t="s">
        <v>11202</v>
      </c>
    </row>
    <row r="2421" spans="1:23" hidden="1" x14ac:dyDescent="0.45">
      <c r="A2421" s="1" t="s">
        <v>2404</v>
      </c>
      <c r="B2421" t="s">
        <v>6215</v>
      </c>
      <c r="D2421" t="s">
        <v>7989</v>
      </c>
      <c r="E2421" t="s">
        <v>9227</v>
      </c>
      <c r="F2421" t="s">
        <v>10297</v>
      </c>
      <c r="G2421">
        <v>166.4</v>
      </c>
      <c r="H2421" t="s">
        <v>10314</v>
      </c>
      <c r="L2421">
        <v>1969</v>
      </c>
      <c r="N2421">
        <v>43.292085999999998</v>
      </c>
      <c r="P2421">
        <v>-6.3940140000000003</v>
      </c>
      <c r="Q2421" t="s">
        <v>10753</v>
      </c>
      <c r="R2421" t="s">
        <v>11037</v>
      </c>
      <c r="S2421" t="s">
        <v>10314</v>
      </c>
      <c r="W2421" s="2" t="s">
        <v>11202</v>
      </c>
    </row>
    <row r="2422" spans="1:23" hidden="1" x14ac:dyDescent="0.45">
      <c r="A2422" s="1" t="s">
        <v>2405</v>
      </c>
      <c r="B2422" t="s">
        <v>6215</v>
      </c>
      <c r="D2422" t="s">
        <v>7989</v>
      </c>
      <c r="E2422" t="s">
        <v>9227</v>
      </c>
      <c r="F2422" t="s">
        <v>10297</v>
      </c>
      <c r="G2422">
        <v>364.1</v>
      </c>
      <c r="H2422" t="s">
        <v>10314</v>
      </c>
      <c r="L2422">
        <v>1984</v>
      </c>
      <c r="N2422">
        <v>43.292085999999998</v>
      </c>
      <c r="P2422">
        <v>-6.3940140000000003</v>
      </c>
      <c r="Q2422" t="s">
        <v>10754</v>
      </c>
      <c r="R2422" t="s">
        <v>11037</v>
      </c>
      <c r="S2422" t="s">
        <v>10314</v>
      </c>
      <c r="W2422" s="2" t="s">
        <v>11202</v>
      </c>
    </row>
    <row r="2423" spans="1:23" hidden="1" x14ac:dyDescent="0.45">
      <c r="A2423" s="1" t="s">
        <v>2406</v>
      </c>
      <c r="B2423" t="s">
        <v>6215</v>
      </c>
      <c r="D2423" t="s">
        <v>7989</v>
      </c>
      <c r="E2423" t="s">
        <v>9496</v>
      </c>
      <c r="F2423" t="s">
        <v>10297</v>
      </c>
      <c r="G2423">
        <v>68.099999999999994</v>
      </c>
      <c r="H2423" t="s">
        <v>10310</v>
      </c>
      <c r="I2423" t="s">
        <v>10326</v>
      </c>
      <c r="L2423">
        <v>1973</v>
      </c>
      <c r="N2423">
        <v>42.397711999999999</v>
      </c>
      <c r="P2423">
        <v>-8.1571759999999998</v>
      </c>
      <c r="R2423" t="s">
        <v>11038</v>
      </c>
      <c r="S2423" t="s">
        <v>10310</v>
      </c>
      <c r="W2423" s="2" t="s">
        <v>11202</v>
      </c>
    </row>
    <row r="2424" spans="1:23" hidden="1" x14ac:dyDescent="0.45">
      <c r="A2424" s="1" t="s">
        <v>2407</v>
      </c>
      <c r="B2424" t="s">
        <v>6215</v>
      </c>
      <c r="D2424" t="s">
        <v>7989</v>
      </c>
      <c r="E2424" t="s">
        <v>9497</v>
      </c>
      <c r="F2424" t="s">
        <v>10297</v>
      </c>
      <c r="G2424">
        <v>7.75</v>
      </c>
      <c r="H2424" t="s">
        <v>10310</v>
      </c>
      <c r="I2424" t="s">
        <v>10326</v>
      </c>
      <c r="L2424">
        <v>1968</v>
      </c>
      <c r="R2424" t="s">
        <v>11038</v>
      </c>
      <c r="S2424" t="s">
        <v>10310</v>
      </c>
      <c r="W2424" s="2" t="s">
        <v>11202</v>
      </c>
    </row>
    <row r="2425" spans="1:23" hidden="1" x14ac:dyDescent="0.45">
      <c r="A2425" s="1" t="s">
        <v>2408</v>
      </c>
      <c r="B2425" t="s">
        <v>6215</v>
      </c>
      <c r="D2425" t="s">
        <v>7989</v>
      </c>
      <c r="E2425" t="s">
        <v>9498</v>
      </c>
      <c r="F2425" t="s">
        <v>10297</v>
      </c>
      <c r="G2425">
        <v>3.52</v>
      </c>
      <c r="H2425" t="s">
        <v>10310</v>
      </c>
      <c r="I2425" t="s">
        <v>10326</v>
      </c>
      <c r="L2425">
        <v>1947</v>
      </c>
      <c r="R2425" t="s">
        <v>11038</v>
      </c>
      <c r="S2425" t="s">
        <v>10310</v>
      </c>
      <c r="W2425" s="2" t="s">
        <v>11202</v>
      </c>
    </row>
    <row r="2426" spans="1:23" hidden="1" x14ac:dyDescent="0.45">
      <c r="A2426" s="1" t="s">
        <v>2409</v>
      </c>
      <c r="B2426" t="s">
        <v>6215</v>
      </c>
      <c r="D2426" t="s">
        <v>7989</v>
      </c>
      <c r="E2426" t="s">
        <v>9498</v>
      </c>
      <c r="F2426" t="s">
        <v>10297</v>
      </c>
      <c r="G2426">
        <v>3.52</v>
      </c>
      <c r="H2426" t="s">
        <v>10310</v>
      </c>
      <c r="I2426" t="s">
        <v>10326</v>
      </c>
      <c r="L2426">
        <v>1947</v>
      </c>
      <c r="R2426" t="s">
        <v>11038</v>
      </c>
      <c r="S2426" t="s">
        <v>10310</v>
      </c>
      <c r="W2426" s="2" t="s">
        <v>11202</v>
      </c>
    </row>
    <row r="2427" spans="1:23" hidden="1" x14ac:dyDescent="0.45">
      <c r="A2427" s="1" t="s">
        <v>2410</v>
      </c>
      <c r="B2427" t="s">
        <v>6215</v>
      </c>
      <c r="D2427" t="s">
        <v>7989</v>
      </c>
      <c r="E2427" t="s">
        <v>9498</v>
      </c>
      <c r="F2427" t="s">
        <v>10297</v>
      </c>
      <c r="G2427">
        <v>3.52</v>
      </c>
      <c r="H2427" t="s">
        <v>10310</v>
      </c>
      <c r="I2427" t="s">
        <v>10326</v>
      </c>
      <c r="L2427">
        <v>1962</v>
      </c>
      <c r="R2427" t="s">
        <v>11038</v>
      </c>
      <c r="S2427" t="s">
        <v>10310</v>
      </c>
      <c r="W2427" s="2" t="s">
        <v>11202</v>
      </c>
    </row>
    <row r="2428" spans="1:23" hidden="1" x14ac:dyDescent="0.45">
      <c r="A2428" s="1" t="s">
        <v>2411</v>
      </c>
      <c r="B2428" t="s">
        <v>6215</v>
      </c>
      <c r="D2428" t="s">
        <v>7989</v>
      </c>
      <c r="E2428" t="s">
        <v>9499</v>
      </c>
      <c r="F2428" t="s">
        <v>10297</v>
      </c>
      <c r="G2428">
        <v>103.5</v>
      </c>
      <c r="H2428" t="s">
        <v>10310</v>
      </c>
      <c r="I2428" t="s">
        <v>10326</v>
      </c>
      <c r="L2428">
        <v>1963</v>
      </c>
      <c r="N2428">
        <v>42.628788</v>
      </c>
      <c r="P2428">
        <v>-7.7115720000000003</v>
      </c>
      <c r="R2428" t="s">
        <v>11038</v>
      </c>
      <c r="S2428" t="s">
        <v>10310</v>
      </c>
      <c r="W2428" s="2" t="s">
        <v>11202</v>
      </c>
    </row>
    <row r="2429" spans="1:23" hidden="1" x14ac:dyDescent="0.45">
      <c r="A2429" s="1" t="s">
        <v>2412</v>
      </c>
      <c r="B2429" t="s">
        <v>6215</v>
      </c>
      <c r="D2429" t="s">
        <v>7989</v>
      </c>
      <c r="E2429" t="s">
        <v>9499</v>
      </c>
      <c r="F2429" t="s">
        <v>10297</v>
      </c>
      <c r="G2429">
        <v>106.07</v>
      </c>
      <c r="H2429" t="s">
        <v>10310</v>
      </c>
      <c r="I2429" t="s">
        <v>10326</v>
      </c>
      <c r="L2429">
        <v>1963</v>
      </c>
      <c r="N2429">
        <v>42.628788</v>
      </c>
      <c r="P2429">
        <v>-7.7115720000000003</v>
      </c>
      <c r="R2429" t="s">
        <v>11038</v>
      </c>
      <c r="S2429" t="s">
        <v>10310</v>
      </c>
      <c r="W2429" s="2" t="s">
        <v>11202</v>
      </c>
    </row>
    <row r="2430" spans="1:23" hidden="1" x14ac:dyDescent="0.45">
      <c r="A2430" s="1" t="s">
        <v>2413</v>
      </c>
      <c r="B2430" t="s">
        <v>6215</v>
      </c>
      <c r="D2430" t="s">
        <v>7989</v>
      </c>
      <c r="E2430" t="s">
        <v>9499</v>
      </c>
      <c r="F2430" t="s">
        <v>10297</v>
      </c>
      <c r="G2430">
        <v>104.15</v>
      </c>
      <c r="H2430" t="s">
        <v>10310</v>
      </c>
      <c r="I2430" t="s">
        <v>10326</v>
      </c>
      <c r="L2430">
        <v>1963</v>
      </c>
      <c r="N2430">
        <v>42.628788</v>
      </c>
      <c r="P2430">
        <v>-7.7115720000000003</v>
      </c>
      <c r="R2430" t="s">
        <v>11038</v>
      </c>
      <c r="S2430" t="s">
        <v>10310</v>
      </c>
      <c r="W2430" s="2" t="s">
        <v>11202</v>
      </c>
    </row>
    <row r="2431" spans="1:23" hidden="1" x14ac:dyDescent="0.45">
      <c r="A2431" s="1" t="s">
        <v>2414</v>
      </c>
      <c r="B2431" t="s">
        <v>6215</v>
      </c>
      <c r="D2431" t="s">
        <v>7989</v>
      </c>
      <c r="E2431" t="s">
        <v>9500</v>
      </c>
      <c r="F2431" t="s">
        <v>10297</v>
      </c>
      <c r="G2431">
        <v>14</v>
      </c>
      <c r="H2431" t="s">
        <v>10310</v>
      </c>
      <c r="I2431" t="s">
        <v>10326</v>
      </c>
      <c r="L2431">
        <v>1954</v>
      </c>
      <c r="N2431">
        <v>40.362584000000012</v>
      </c>
      <c r="P2431">
        <v>-2.8193069999999998</v>
      </c>
      <c r="R2431" t="s">
        <v>11038</v>
      </c>
      <c r="S2431" t="s">
        <v>10310</v>
      </c>
      <c r="W2431" s="2" t="s">
        <v>11202</v>
      </c>
    </row>
    <row r="2432" spans="1:23" hidden="1" x14ac:dyDescent="0.45">
      <c r="A2432" s="1" t="s">
        <v>2415</v>
      </c>
      <c r="B2432" t="s">
        <v>6215</v>
      </c>
      <c r="D2432" t="s">
        <v>7989</v>
      </c>
      <c r="E2432" t="s">
        <v>9500</v>
      </c>
      <c r="F2432" t="s">
        <v>10297</v>
      </c>
      <c r="G2432">
        <v>14</v>
      </c>
      <c r="H2432" t="s">
        <v>10310</v>
      </c>
      <c r="I2432" t="s">
        <v>10326</v>
      </c>
      <c r="L2432">
        <v>1955</v>
      </c>
      <c r="N2432">
        <v>40.362584000000012</v>
      </c>
      <c r="P2432">
        <v>-2.8193069999999998</v>
      </c>
      <c r="R2432" t="s">
        <v>11038</v>
      </c>
      <c r="S2432" t="s">
        <v>10310</v>
      </c>
      <c r="W2432" s="2" t="s">
        <v>11202</v>
      </c>
    </row>
    <row r="2433" spans="1:23" hidden="1" x14ac:dyDescent="0.45">
      <c r="A2433" s="1" t="s">
        <v>2416</v>
      </c>
      <c r="B2433" t="s">
        <v>6215</v>
      </c>
      <c r="D2433" t="s">
        <v>7989</v>
      </c>
      <c r="E2433" t="s">
        <v>9501</v>
      </c>
      <c r="F2433" t="s">
        <v>10297</v>
      </c>
      <c r="G2433">
        <v>52</v>
      </c>
      <c r="H2433" t="s">
        <v>10310</v>
      </c>
      <c r="I2433" t="s">
        <v>10326</v>
      </c>
      <c r="L2433">
        <v>1973</v>
      </c>
      <c r="N2433">
        <v>40.362584000000012</v>
      </c>
      <c r="P2433">
        <v>-2.8193069999999998</v>
      </c>
      <c r="R2433" t="s">
        <v>11038</v>
      </c>
      <c r="S2433" t="s">
        <v>10310</v>
      </c>
      <c r="W2433" s="2" t="s">
        <v>11202</v>
      </c>
    </row>
    <row r="2434" spans="1:23" hidden="1" x14ac:dyDescent="0.45">
      <c r="A2434" s="1" t="s">
        <v>2417</v>
      </c>
      <c r="B2434" t="s">
        <v>6215</v>
      </c>
      <c r="D2434" t="s">
        <v>7989</v>
      </c>
      <c r="E2434" t="s">
        <v>9501</v>
      </c>
      <c r="F2434" t="s">
        <v>10297</v>
      </c>
      <c r="G2434">
        <v>52</v>
      </c>
      <c r="H2434" t="s">
        <v>10310</v>
      </c>
      <c r="I2434" t="s">
        <v>10326</v>
      </c>
      <c r="L2434">
        <v>1973</v>
      </c>
      <c r="N2434">
        <v>40.362584000000012</v>
      </c>
      <c r="P2434">
        <v>-2.8193069999999998</v>
      </c>
      <c r="R2434" t="s">
        <v>11038</v>
      </c>
      <c r="S2434" t="s">
        <v>10310</v>
      </c>
      <c r="W2434" s="2" t="s">
        <v>11202</v>
      </c>
    </row>
    <row r="2435" spans="1:23" hidden="1" x14ac:dyDescent="0.45">
      <c r="A2435" s="1" t="s">
        <v>2418</v>
      </c>
      <c r="B2435" t="s">
        <v>6215</v>
      </c>
      <c r="D2435" t="s">
        <v>7989</v>
      </c>
      <c r="E2435" t="s">
        <v>9501</v>
      </c>
      <c r="F2435" t="s">
        <v>10297</v>
      </c>
      <c r="G2435">
        <v>52</v>
      </c>
      <c r="H2435" t="s">
        <v>10310</v>
      </c>
      <c r="I2435" t="s">
        <v>10326</v>
      </c>
      <c r="L2435">
        <v>1973</v>
      </c>
      <c r="N2435">
        <v>40.362584000000012</v>
      </c>
      <c r="P2435">
        <v>-2.8193069999999998</v>
      </c>
      <c r="R2435" t="s">
        <v>11038</v>
      </c>
      <c r="S2435" t="s">
        <v>10310</v>
      </c>
      <c r="W2435" s="2" t="s">
        <v>11202</v>
      </c>
    </row>
    <row r="2436" spans="1:23" hidden="1" x14ac:dyDescent="0.45">
      <c r="A2436" s="1" t="s">
        <v>2419</v>
      </c>
      <c r="B2436" t="s">
        <v>6215</v>
      </c>
      <c r="D2436" t="s">
        <v>7989</v>
      </c>
      <c r="E2436" t="s">
        <v>9501</v>
      </c>
      <c r="F2436" t="s">
        <v>10297</v>
      </c>
      <c r="G2436">
        <v>52</v>
      </c>
      <c r="H2436" t="s">
        <v>10310</v>
      </c>
      <c r="I2436" t="s">
        <v>10326</v>
      </c>
      <c r="L2436">
        <v>1973</v>
      </c>
      <c r="N2436">
        <v>40.362584000000012</v>
      </c>
      <c r="P2436">
        <v>-2.8193069999999998</v>
      </c>
      <c r="R2436" t="s">
        <v>11038</v>
      </c>
      <c r="S2436" t="s">
        <v>10310</v>
      </c>
      <c r="W2436" s="2" t="s">
        <v>11202</v>
      </c>
    </row>
    <row r="2437" spans="1:23" hidden="1" x14ac:dyDescent="0.45">
      <c r="A2437" s="1" t="s">
        <v>2420</v>
      </c>
      <c r="B2437" t="s">
        <v>6215</v>
      </c>
      <c r="D2437" t="s">
        <v>7989</v>
      </c>
      <c r="E2437" t="s">
        <v>9502</v>
      </c>
      <c r="F2437" t="s">
        <v>10297</v>
      </c>
      <c r="G2437">
        <v>0.68500000000000005</v>
      </c>
      <c r="H2437" t="s">
        <v>10310</v>
      </c>
      <c r="I2437" t="s">
        <v>10326</v>
      </c>
      <c r="L2437">
        <v>1962</v>
      </c>
      <c r="R2437" t="s">
        <v>11038</v>
      </c>
      <c r="S2437" t="s">
        <v>10310</v>
      </c>
      <c r="W2437" s="2" t="s">
        <v>11202</v>
      </c>
    </row>
    <row r="2438" spans="1:23" hidden="1" x14ac:dyDescent="0.45">
      <c r="A2438" s="1" t="s">
        <v>2421</v>
      </c>
      <c r="B2438" t="s">
        <v>6215</v>
      </c>
      <c r="D2438" t="s">
        <v>7989</v>
      </c>
      <c r="E2438" t="s">
        <v>9502</v>
      </c>
      <c r="F2438" t="s">
        <v>10297</v>
      </c>
      <c r="G2438">
        <v>0.68500000000000005</v>
      </c>
      <c r="H2438" t="s">
        <v>10310</v>
      </c>
      <c r="I2438" t="s">
        <v>10326</v>
      </c>
      <c r="L2438">
        <v>1962</v>
      </c>
      <c r="R2438" t="s">
        <v>11038</v>
      </c>
      <c r="S2438" t="s">
        <v>10310</v>
      </c>
      <c r="W2438" s="2" t="s">
        <v>11202</v>
      </c>
    </row>
    <row r="2439" spans="1:23" hidden="1" x14ac:dyDescent="0.45">
      <c r="A2439" s="1" t="s">
        <v>2422</v>
      </c>
      <c r="B2439" t="s">
        <v>6215</v>
      </c>
      <c r="D2439" t="s">
        <v>7989</v>
      </c>
      <c r="E2439" t="s">
        <v>9502</v>
      </c>
      <c r="F2439" t="s">
        <v>10297</v>
      </c>
      <c r="G2439">
        <v>0.68500000000000005</v>
      </c>
      <c r="H2439" t="s">
        <v>10310</v>
      </c>
      <c r="I2439" t="s">
        <v>10326</v>
      </c>
      <c r="L2439">
        <v>1962</v>
      </c>
      <c r="R2439" t="s">
        <v>11038</v>
      </c>
      <c r="S2439" t="s">
        <v>10310</v>
      </c>
      <c r="W2439" s="2" t="s">
        <v>11202</v>
      </c>
    </row>
    <row r="2440" spans="1:23" hidden="1" x14ac:dyDescent="0.45">
      <c r="A2440" s="1" t="s">
        <v>2423</v>
      </c>
      <c r="B2440" t="s">
        <v>6215</v>
      </c>
      <c r="D2440" t="s">
        <v>7989</v>
      </c>
      <c r="E2440" t="s">
        <v>9503</v>
      </c>
      <c r="F2440" t="s">
        <v>10297</v>
      </c>
      <c r="G2440">
        <v>18.43</v>
      </c>
      <c r="H2440" t="s">
        <v>10310</v>
      </c>
      <c r="I2440" t="s">
        <v>10326</v>
      </c>
      <c r="L2440">
        <v>1956</v>
      </c>
      <c r="R2440" t="s">
        <v>11038</v>
      </c>
      <c r="S2440" t="s">
        <v>10310</v>
      </c>
      <c r="W2440" s="2" t="s">
        <v>11202</v>
      </c>
    </row>
    <row r="2441" spans="1:23" hidden="1" x14ac:dyDescent="0.45">
      <c r="A2441" s="1" t="s">
        <v>2424</v>
      </c>
      <c r="B2441" t="s">
        <v>6215</v>
      </c>
      <c r="D2441" t="s">
        <v>7989</v>
      </c>
      <c r="E2441" t="s">
        <v>9503</v>
      </c>
      <c r="F2441" t="s">
        <v>10297</v>
      </c>
      <c r="G2441">
        <v>18.43</v>
      </c>
      <c r="H2441" t="s">
        <v>10310</v>
      </c>
      <c r="I2441" t="s">
        <v>10326</v>
      </c>
      <c r="L2441">
        <v>1956</v>
      </c>
      <c r="R2441" t="s">
        <v>11038</v>
      </c>
      <c r="S2441" t="s">
        <v>10310</v>
      </c>
      <c r="W2441" s="2" t="s">
        <v>11202</v>
      </c>
    </row>
    <row r="2442" spans="1:23" hidden="1" x14ac:dyDescent="0.45">
      <c r="A2442" s="1" t="s">
        <v>2425</v>
      </c>
      <c r="B2442" t="s">
        <v>6215</v>
      </c>
      <c r="D2442" t="s">
        <v>7989</v>
      </c>
      <c r="E2442" t="s">
        <v>9503</v>
      </c>
      <c r="F2442" t="s">
        <v>10297</v>
      </c>
      <c r="G2442">
        <v>18.43</v>
      </c>
      <c r="H2442" t="s">
        <v>10310</v>
      </c>
      <c r="I2442" t="s">
        <v>10326</v>
      </c>
      <c r="L2442">
        <v>1956</v>
      </c>
      <c r="R2442" t="s">
        <v>11038</v>
      </c>
      <c r="S2442" t="s">
        <v>10310</v>
      </c>
      <c r="W2442" s="2" t="s">
        <v>11202</v>
      </c>
    </row>
    <row r="2443" spans="1:23" hidden="1" x14ac:dyDescent="0.45">
      <c r="A2443" s="1" t="s">
        <v>2426</v>
      </c>
      <c r="B2443" t="s">
        <v>6215</v>
      </c>
      <c r="D2443" t="s">
        <v>7989</v>
      </c>
      <c r="E2443" t="s">
        <v>9504</v>
      </c>
      <c r="F2443" t="s">
        <v>10297</v>
      </c>
      <c r="G2443">
        <v>0.48</v>
      </c>
      <c r="H2443" t="s">
        <v>10310</v>
      </c>
      <c r="I2443" t="s">
        <v>10326</v>
      </c>
      <c r="L2443">
        <v>1956</v>
      </c>
      <c r="R2443" t="s">
        <v>11038</v>
      </c>
      <c r="S2443" t="s">
        <v>10310</v>
      </c>
      <c r="W2443" s="2" t="s">
        <v>11202</v>
      </c>
    </row>
    <row r="2444" spans="1:23" hidden="1" x14ac:dyDescent="0.45">
      <c r="A2444" s="1" t="s">
        <v>2427</v>
      </c>
      <c r="B2444" t="s">
        <v>6215</v>
      </c>
      <c r="D2444" t="s">
        <v>7989</v>
      </c>
      <c r="E2444" t="s">
        <v>9504</v>
      </c>
      <c r="F2444" t="s">
        <v>10297</v>
      </c>
      <c r="G2444">
        <v>0.44</v>
      </c>
      <c r="H2444" t="s">
        <v>10310</v>
      </c>
      <c r="I2444" t="s">
        <v>10326</v>
      </c>
      <c r="L2444">
        <v>1956</v>
      </c>
      <c r="R2444" t="s">
        <v>11038</v>
      </c>
      <c r="S2444" t="s">
        <v>10310</v>
      </c>
      <c r="W2444" s="2" t="s">
        <v>11202</v>
      </c>
    </row>
    <row r="2445" spans="1:23" hidden="1" x14ac:dyDescent="0.45">
      <c r="A2445" s="1" t="s">
        <v>2428</v>
      </c>
      <c r="B2445" t="s">
        <v>6215</v>
      </c>
      <c r="D2445" t="s">
        <v>7989</v>
      </c>
      <c r="E2445" t="s">
        <v>9504</v>
      </c>
      <c r="F2445" t="s">
        <v>10297</v>
      </c>
      <c r="G2445">
        <v>0.48</v>
      </c>
      <c r="H2445" t="s">
        <v>10310</v>
      </c>
      <c r="I2445" t="s">
        <v>10326</v>
      </c>
      <c r="L2445">
        <v>1956</v>
      </c>
      <c r="R2445" t="s">
        <v>11038</v>
      </c>
      <c r="S2445" t="s">
        <v>10310</v>
      </c>
      <c r="W2445" s="2" t="s">
        <v>11202</v>
      </c>
    </row>
    <row r="2446" spans="1:23" hidden="1" x14ac:dyDescent="0.45">
      <c r="A2446" s="1" t="s">
        <v>2429</v>
      </c>
      <c r="B2446" t="s">
        <v>6215</v>
      </c>
      <c r="D2446" t="s">
        <v>7989</v>
      </c>
      <c r="E2446" t="s">
        <v>9504</v>
      </c>
      <c r="F2446" t="s">
        <v>10297</v>
      </c>
      <c r="G2446">
        <v>2.37</v>
      </c>
      <c r="H2446" t="s">
        <v>10310</v>
      </c>
      <c r="I2446" t="s">
        <v>10326</v>
      </c>
      <c r="L2446">
        <v>1956</v>
      </c>
      <c r="R2446" t="s">
        <v>11038</v>
      </c>
      <c r="S2446" t="s">
        <v>10310</v>
      </c>
      <c r="W2446" s="2" t="s">
        <v>11202</v>
      </c>
    </row>
    <row r="2447" spans="1:23" hidden="1" x14ac:dyDescent="0.45">
      <c r="A2447" s="1" t="s">
        <v>2430</v>
      </c>
      <c r="B2447" t="s">
        <v>6215</v>
      </c>
      <c r="D2447" t="s">
        <v>7989</v>
      </c>
      <c r="E2447" t="s">
        <v>9505</v>
      </c>
      <c r="F2447" t="s">
        <v>10297</v>
      </c>
      <c r="G2447">
        <v>19.97</v>
      </c>
      <c r="H2447" t="s">
        <v>10310</v>
      </c>
      <c r="I2447" t="s">
        <v>10326</v>
      </c>
      <c r="L2447">
        <v>1970</v>
      </c>
      <c r="N2447">
        <v>40.424446000000003</v>
      </c>
      <c r="P2447">
        <v>-4.5338919999999998</v>
      </c>
      <c r="R2447" t="s">
        <v>11038</v>
      </c>
      <c r="S2447" t="s">
        <v>10310</v>
      </c>
      <c r="W2447" s="2" t="s">
        <v>11202</v>
      </c>
    </row>
    <row r="2448" spans="1:23" hidden="1" x14ac:dyDescent="0.45">
      <c r="A2448" s="1" t="s">
        <v>2431</v>
      </c>
      <c r="B2448" t="s">
        <v>6215</v>
      </c>
      <c r="D2448" t="s">
        <v>7989</v>
      </c>
      <c r="E2448" t="s">
        <v>9505</v>
      </c>
      <c r="F2448" t="s">
        <v>10297</v>
      </c>
      <c r="G2448">
        <v>21.48</v>
      </c>
      <c r="H2448" t="s">
        <v>10310</v>
      </c>
      <c r="I2448" t="s">
        <v>10326</v>
      </c>
      <c r="L2448">
        <v>1930</v>
      </c>
      <c r="N2448">
        <v>40.424446000000003</v>
      </c>
      <c r="P2448">
        <v>-4.5338919999999998</v>
      </c>
      <c r="R2448" t="s">
        <v>11038</v>
      </c>
      <c r="S2448" t="s">
        <v>10310</v>
      </c>
      <c r="W2448" s="2" t="s">
        <v>11202</v>
      </c>
    </row>
    <row r="2449" spans="1:23" hidden="1" x14ac:dyDescent="0.45">
      <c r="A2449" s="1" t="s">
        <v>2432</v>
      </c>
      <c r="B2449" t="s">
        <v>6215</v>
      </c>
      <c r="D2449" t="s">
        <v>7989</v>
      </c>
      <c r="E2449" t="s">
        <v>9505</v>
      </c>
      <c r="F2449" t="s">
        <v>10297</v>
      </c>
      <c r="G2449">
        <v>21.31</v>
      </c>
      <c r="H2449" t="s">
        <v>10310</v>
      </c>
      <c r="I2449" t="s">
        <v>10326</v>
      </c>
      <c r="L2449">
        <v>1930</v>
      </c>
      <c r="N2449">
        <v>40.424446000000003</v>
      </c>
      <c r="P2449">
        <v>-4.5338919999999998</v>
      </c>
      <c r="R2449" t="s">
        <v>11038</v>
      </c>
      <c r="S2449" t="s">
        <v>10310</v>
      </c>
      <c r="W2449" s="2" t="s">
        <v>11202</v>
      </c>
    </row>
    <row r="2450" spans="1:23" hidden="1" x14ac:dyDescent="0.45">
      <c r="A2450" s="1" t="s">
        <v>2433</v>
      </c>
      <c r="B2450" t="s">
        <v>6215</v>
      </c>
      <c r="D2450" t="s">
        <v>7989</v>
      </c>
      <c r="E2450" t="s">
        <v>9506</v>
      </c>
      <c r="F2450" t="s">
        <v>10297</v>
      </c>
      <c r="G2450">
        <v>2.395</v>
      </c>
      <c r="H2450" t="s">
        <v>10310</v>
      </c>
      <c r="I2450" t="s">
        <v>10326</v>
      </c>
      <c r="L2450">
        <v>1960</v>
      </c>
      <c r="R2450" t="s">
        <v>11038</v>
      </c>
      <c r="S2450" t="s">
        <v>10310</v>
      </c>
      <c r="W2450" s="2" t="s">
        <v>11202</v>
      </c>
    </row>
    <row r="2451" spans="1:23" hidden="1" x14ac:dyDescent="0.45">
      <c r="A2451" s="1" t="s">
        <v>2434</v>
      </c>
      <c r="B2451" t="s">
        <v>6215</v>
      </c>
      <c r="D2451" t="s">
        <v>7989</v>
      </c>
      <c r="E2451" t="s">
        <v>9507</v>
      </c>
      <c r="F2451" t="s">
        <v>10297</v>
      </c>
      <c r="G2451">
        <v>20.100000000000001</v>
      </c>
      <c r="H2451" t="s">
        <v>10310</v>
      </c>
      <c r="I2451" t="s">
        <v>10326</v>
      </c>
      <c r="L2451">
        <v>1968</v>
      </c>
      <c r="R2451" t="s">
        <v>11038</v>
      </c>
      <c r="S2451" t="s">
        <v>10310</v>
      </c>
      <c r="W2451" s="2" t="s">
        <v>11202</v>
      </c>
    </row>
    <row r="2452" spans="1:23" hidden="1" x14ac:dyDescent="0.45">
      <c r="A2452" s="1" t="s">
        <v>2435</v>
      </c>
      <c r="B2452" t="s">
        <v>6215</v>
      </c>
      <c r="D2452" t="s">
        <v>7989</v>
      </c>
      <c r="E2452" t="s">
        <v>9507</v>
      </c>
      <c r="F2452" t="s">
        <v>10297</v>
      </c>
      <c r="G2452">
        <v>20.8</v>
      </c>
      <c r="H2452" t="s">
        <v>10310</v>
      </c>
      <c r="I2452" t="s">
        <v>10326</v>
      </c>
      <c r="L2452">
        <v>1968</v>
      </c>
      <c r="R2452" t="s">
        <v>11038</v>
      </c>
      <c r="S2452" t="s">
        <v>10310</v>
      </c>
      <c r="W2452" s="2" t="s">
        <v>11202</v>
      </c>
    </row>
    <row r="2453" spans="1:23" hidden="1" x14ac:dyDescent="0.45">
      <c r="A2453" s="1" t="s">
        <v>2436</v>
      </c>
      <c r="B2453" t="s">
        <v>6215</v>
      </c>
      <c r="D2453" t="s">
        <v>7989</v>
      </c>
      <c r="E2453" t="s">
        <v>9507</v>
      </c>
      <c r="F2453" t="s">
        <v>10297</v>
      </c>
      <c r="G2453">
        <v>20.399999999999999</v>
      </c>
      <c r="H2453" t="s">
        <v>10310</v>
      </c>
      <c r="I2453" t="s">
        <v>10326</v>
      </c>
      <c r="L2453">
        <v>1968</v>
      </c>
      <c r="R2453" t="s">
        <v>11038</v>
      </c>
      <c r="S2453" t="s">
        <v>10310</v>
      </c>
      <c r="W2453" s="2" t="s">
        <v>11202</v>
      </c>
    </row>
    <row r="2454" spans="1:23" hidden="1" x14ac:dyDescent="0.45">
      <c r="A2454" s="1" t="s">
        <v>2437</v>
      </c>
      <c r="B2454" t="s">
        <v>6215</v>
      </c>
      <c r="D2454" t="s">
        <v>7989</v>
      </c>
      <c r="E2454" t="s">
        <v>9507</v>
      </c>
      <c r="F2454" t="s">
        <v>10297</v>
      </c>
      <c r="G2454">
        <v>19.5</v>
      </c>
      <c r="H2454" t="s">
        <v>10310</v>
      </c>
      <c r="I2454" t="s">
        <v>10326</v>
      </c>
      <c r="L2454">
        <v>1968</v>
      </c>
      <c r="R2454" t="s">
        <v>11038</v>
      </c>
      <c r="S2454" t="s">
        <v>10310</v>
      </c>
      <c r="W2454" s="2" t="s">
        <v>11202</v>
      </c>
    </row>
    <row r="2455" spans="1:23" hidden="1" x14ac:dyDescent="0.45">
      <c r="A2455" s="1" t="s">
        <v>2438</v>
      </c>
      <c r="B2455" t="s">
        <v>6215</v>
      </c>
      <c r="D2455" t="s">
        <v>7989</v>
      </c>
      <c r="E2455" t="s">
        <v>9508</v>
      </c>
      <c r="F2455" t="s">
        <v>10297</v>
      </c>
      <c r="G2455">
        <v>68.55</v>
      </c>
      <c r="H2455" t="s">
        <v>10310</v>
      </c>
      <c r="I2455" t="s">
        <v>10326</v>
      </c>
      <c r="L2455">
        <v>1969</v>
      </c>
      <c r="N2455">
        <v>42.292456999999999</v>
      </c>
      <c r="P2455">
        <v>-8.1173470000000005</v>
      </c>
      <c r="R2455" t="s">
        <v>11038</v>
      </c>
      <c r="S2455" t="s">
        <v>10310</v>
      </c>
      <c r="W2455" s="2" t="s">
        <v>11202</v>
      </c>
    </row>
    <row r="2456" spans="1:23" hidden="1" x14ac:dyDescent="0.45">
      <c r="A2456" s="1" t="s">
        <v>2439</v>
      </c>
      <c r="B2456" t="s">
        <v>6215</v>
      </c>
      <c r="D2456" t="s">
        <v>7989</v>
      </c>
      <c r="E2456" t="s">
        <v>9508</v>
      </c>
      <c r="F2456" t="s">
        <v>10297</v>
      </c>
      <c r="G2456">
        <v>68.959999999999994</v>
      </c>
      <c r="H2456" t="s">
        <v>10310</v>
      </c>
      <c r="I2456" t="s">
        <v>10326</v>
      </c>
      <c r="L2456">
        <v>1969</v>
      </c>
      <c r="N2456">
        <v>42.292456999999999</v>
      </c>
      <c r="P2456">
        <v>-8.1173470000000005</v>
      </c>
      <c r="R2456" t="s">
        <v>11038</v>
      </c>
      <c r="S2456" t="s">
        <v>10310</v>
      </c>
      <c r="W2456" s="2" t="s">
        <v>11202</v>
      </c>
    </row>
    <row r="2457" spans="1:23" hidden="1" x14ac:dyDescent="0.45">
      <c r="A2457" s="1" t="s">
        <v>2440</v>
      </c>
      <c r="B2457" t="s">
        <v>6215</v>
      </c>
      <c r="D2457" t="s">
        <v>7989</v>
      </c>
      <c r="E2457" t="s">
        <v>9497</v>
      </c>
      <c r="F2457" t="s">
        <v>10297</v>
      </c>
      <c r="G2457">
        <v>7.75</v>
      </c>
      <c r="H2457" t="s">
        <v>10310</v>
      </c>
      <c r="I2457" t="s">
        <v>10326</v>
      </c>
      <c r="L2457">
        <v>1968</v>
      </c>
      <c r="R2457" t="s">
        <v>11038</v>
      </c>
      <c r="S2457" t="s">
        <v>10310</v>
      </c>
      <c r="W2457" s="2" t="s">
        <v>11202</v>
      </c>
    </row>
    <row r="2458" spans="1:23" hidden="1" x14ac:dyDescent="0.45">
      <c r="A2458" s="1" t="s">
        <v>2441</v>
      </c>
      <c r="B2458" t="s">
        <v>6215</v>
      </c>
      <c r="D2458" t="s">
        <v>7989</v>
      </c>
      <c r="E2458" t="s">
        <v>9509</v>
      </c>
      <c r="F2458" t="s">
        <v>10297</v>
      </c>
      <c r="G2458">
        <v>12.76</v>
      </c>
      <c r="H2458" t="s">
        <v>10310</v>
      </c>
      <c r="I2458" t="s">
        <v>10326</v>
      </c>
      <c r="L2458">
        <v>1949</v>
      </c>
      <c r="R2458" t="s">
        <v>11038</v>
      </c>
      <c r="S2458" t="s">
        <v>10310</v>
      </c>
      <c r="W2458" s="2" t="s">
        <v>11202</v>
      </c>
    </row>
    <row r="2459" spans="1:23" hidden="1" x14ac:dyDescent="0.45">
      <c r="A2459" s="1" t="s">
        <v>2442</v>
      </c>
      <c r="B2459" t="s">
        <v>6215</v>
      </c>
      <c r="D2459" t="s">
        <v>7989</v>
      </c>
      <c r="E2459" t="s">
        <v>9509</v>
      </c>
      <c r="F2459" t="s">
        <v>10297</v>
      </c>
      <c r="G2459">
        <v>12.84</v>
      </c>
      <c r="H2459" t="s">
        <v>10310</v>
      </c>
      <c r="I2459" t="s">
        <v>10326</v>
      </c>
      <c r="L2459">
        <v>1949</v>
      </c>
      <c r="R2459" t="s">
        <v>11038</v>
      </c>
      <c r="S2459" t="s">
        <v>10310</v>
      </c>
      <c r="W2459" s="2" t="s">
        <v>11202</v>
      </c>
    </row>
    <row r="2460" spans="1:23" hidden="1" x14ac:dyDescent="0.45">
      <c r="A2460" s="1" t="s">
        <v>2443</v>
      </c>
      <c r="B2460" t="s">
        <v>6215</v>
      </c>
      <c r="D2460" t="s">
        <v>7989</v>
      </c>
      <c r="E2460" t="s">
        <v>9509</v>
      </c>
      <c r="F2460" t="s">
        <v>10297</v>
      </c>
      <c r="G2460">
        <v>24.48</v>
      </c>
      <c r="H2460" t="s">
        <v>10310</v>
      </c>
      <c r="I2460" t="s">
        <v>10326</v>
      </c>
      <c r="L2460">
        <v>1973</v>
      </c>
      <c r="R2460" t="s">
        <v>11038</v>
      </c>
      <c r="S2460" t="s">
        <v>10310</v>
      </c>
      <c r="W2460" s="2" t="s">
        <v>11202</v>
      </c>
    </row>
    <row r="2461" spans="1:23" hidden="1" x14ac:dyDescent="0.45">
      <c r="A2461" s="1" t="s">
        <v>2444</v>
      </c>
      <c r="B2461" t="s">
        <v>6215</v>
      </c>
      <c r="D2461" t="s">
        <v>7989</v>
      </c>
      <c r="E2461" t="s">
        <v>9510</v>
      </c>
      <c r="F2461" t="s">
        <v>10297</v>
      </c>
      <c r="G2461">
        <v>18.43</v>
      </c>
      <c r="H2461" t="s">
        <v>10310</v>
      </c>
      <c r="I2461" t="s">
        <v>10326</v>
      </c>
      <c r="L2461">
        <v>1956</v>
      </c>
      <c r="R2461" t="s">
        <v>11038</v>
      </c>
      <c r="S2461" t="s">
        <v>10310</v>
      </c>
      <c r="W2461" s="2" t="s">
        <v>11202</v>
      </c>
    </row>
    <row r="2462" spans="1:23" hidden="1" x14ac:dyDescent="0.45">
      <c r="A2462" s="1" t="s">
        <v>2445</v>
      </c>
      <c r="B2462" t="s">
        <v>6215</v>
      </c>
      <c r="D2462" t="s">
        <v>7989</v>
      </c>
      <c r="E2462" t="s">
        <v>9510</v>
      </c>
      <c r="F2462" t="s">
        <v>10297</v>
      </c>
      <c r="G2462">
        <v>18.43</v>
      </c>
      <c r="H2462" t="s">
        <v>10310</v>
      </c>
      <c r="I2462" t="s">
        <v>10326</v>
      </c>
      <c r="L2462">
        <v>1956</v>
      </c>
      <c r="R2462" t="s">
        <v>11038</v>
      </c>
      <c r="S2462" t="s">
        <v>10310</v>
      </c>
      <c r="W2462" s="2" t="s">
        <v>11202</v>
      </c>
    </row>
    <row r="2463" spans="1:23" hidden="1" x14ac:dyDescent="0.45">
      <c r="A2463" s="1" t="s">
        <v>2446</v>
      </c>
      <c r="B2463" t="s">
        <v>6215</v>
      </c>
      <c r="D2463" t="s">
        <v>7989</v>
      </c>
      <c r="E2463" t="s">
        <v>9511</v>
      </c>
      <c r="F2463" t="s">
        <v>10297</v>
      </c>
      <c r="G2463">
        <v>8.0299999999999994</v>
      </c>
      <c r="H2463" t="s">
        <v>10310</v>
      </c>
      <c r="I2463" t="s">
        <v>10326</v>
      </c>
      <c r="L2463">
        <v>1964</v>
      </c>
      <c r="R2463" t="s">
        <v>11038</v>
      </c>
      <c r="S2463" t="s">
        <v>10310</v>
      </c>
      <c r="W2463" s="2" t="s">
        <v>11202</v>
      </c>
    </row>
    <row r="2464" spans="1:23" hidden="1" x14ac:dyDescent="0.45">
      <c r="A2464" s="1" t="s">
        <v>2447</v>
      </c>
      <c r="B2464" t="s">
        <v>6214</v>
      </c>
      <c r="D2464" t="s">
        <v>8002</v>
      </c>
      <c r="E2464" t="s">
        <v>9512</v>
      </c>
      <c r="F2464" t="s">
        <v>10297</v>
      </c>
      <c r="G2464">
        <v>1.24</v>
      </c>
      <c r="H2464" t="s">
        <v>10310</v>
      </c>
      <c r="I2464" t="s">
        <v>10325</v>
      </c>
      <c r="L2464">
        <v>1906</v>
      </c>
      <c r="R2464" t="s">
        <v>11038</v>
      </c>
      <c r="S2464" t="s">
        <v>10310</v>
      </c>
      <c r="W2464" s="2" t="s">
        <v>11202</v>
      </c>
    </row>
    <row r="2465" spans="1:23" hidden="1" x14ac:dyDescent="0.45">
      <c r="A2465" s="1" t="s">
        <v>2448</v>
      </c>
      <c r="B2465" t="s">
        <v>6214</v>
      </c>
      <c r="D2465" t="s">
        <v>8002</v>
      </c>
      <c r="E2465" t="s">
        <v>9512</v>
      </c>
      <c r="F2465" t="s">
        <v>10297</v>
      </c>
      <c r="G2465">
        <v>1.01</v>
      </c>
      <c r="H2465" t="s">
        <v>10310</v>
      </c>
      <c r="I2465" t="s">
        <v>10325</v>
      </c>
      <c r="L2465">
        <v>1906</v>
      </c>
      <c r="R2465" t="s">
        <v>11038</v>
      </c>
      <c r="S2465" t="s">
        <v>10310</v>
      </c>
      <c r="W2465" s="2" t="s">
        <v>11202</v>
      </c>
    </row>
    <row r="2466" spans="1:23" hidden="1" x14ac:dyDescent="0.45">
      <c r="A2466" s="1" t="s">
        <v>2449</v>
      </c>
      <c r="B2466" t="s">
        <v>6214</v>
      </c>
      <c r="D2466" t="s">
        <v>8002</v>
      </c>
      <c r="E2466" t="s">
        <v>9512</v>
      </c>
      <c r="F2466" t="s">
        <v>10297</v>
      </c>
      <c r="G2466">
        <v>0.128</v>
      </c>
      <c r="H2466" t="s">
        <v>10310</v>
      </c>
      <c r="I2466" t="s">
        <v>10325</v>
      </c>
      <c r="L2466">
        <v>1921</v>
      </c>
      <c r="R2466" t="s">
        <v>11038</v>
      </c>
      <c r="S2466" t="s">
        <v>10310</v>
      </c>
      <c r="W2466" s="2" t="s">
        <v>11202</v>
      </c>
    </row>
    <row r="2467" spans="1:23" hidden="1" x14ac:dyDescent="0.45">
      <c r="A2467" s="1" t="s">
        <v>2450</v>
      </c>
      <c r="B2467" t="s">
        <v>6215</v>
      </c>
      <c r="D2467" t="s">
        <v>7989</v>
      </c>
      <c r="E2467" t="s">
        <v>9513</v>
      </c>
      <c r="F2467" t="s">
        <v>10297</v>
      </c>
      <c r="G2467">
        <v>1.526</v>
      </c>
      <c r="H2467" t="s">
        <v>10310</v>
      </c>
      <c r="I2467" t="s">
        <v>10326</v>
      </c>
      <c r="L2467">
        <v>1985</v>
      </c>
      <c r="R2467" t="s">
        <v>11038</v>
      </c>
      <c r="S2467" t="s">
        <v>10310</v>
      </c>
      <c r="W2467" s="2" t="s">
        <v>11202</v>
      </c>
    </row>
    <row r="2468" spans="1:23" hidden="1" x14ac:dyDescent="0.45">
      <c r="A2468" s="1" t="s">
        <v>2451</v>
      </c>
      <c r="B2468" t="s">
        <v>6215</v>
      </c>
      <c r="D2468" t="s">
        <v>7989</v>
      </c>
      <c r="E2468" t="s">
        <v>9514</v>
      </c>
      <c r="F2468" t="s">
        <v>10297</v>
      </c>
      <c r="G2468">
        <v>81.430000000000007</v>
      </c>
      <c r="H2468" t="s">
        <v>10310</v>
      </c>
      <c r="I2468" t="s">
        <v>10326</v>
      </c>
      <c r="L2468">
        <v>1970</v>
      </c>
      <c r="N2468">
        <v>42.154699000000001</v>
      </c>
      <c r="P2468">
        <v>-8.1924670000000006</v>
      </c>
      <c r="R2468" t="s">
        <v>11038</v>
      </c>
      <c r="S2468" t="s">
        <v>10310</v>
      </c>
      <c r="W2468" s="2" t="s">
        <v>11202</v>
      </c>
    </row>
    <row r="2469" spans="1:23" hidden="1" x14ac:dyDescent="0.45">
      <c r="A2469" s="1" t="s">
        <v>2452</v>
      </c>
      <c r="B2469" t="s">
        <v>6215</v>
      </c>
      <c r="D2469" t="s">
        <v>7989</v>
      </c>
      <c r="E2469" t="s">
        <v>9514</v>
      </c>
      <c r="F2469" t="s">
        <v>10297</v>
      </c>
      <c r="G2469">
        <v>81.06</v>
      </c>
      <c r="H2469" t="s">
        <v>10310</v>
      </c>
      <c r="I2469" t="s">
        <v>10326</v>
      </c>
      <c r="L2469">
        <v>1970</v>
      </c>
      <c r="N2469">
        <v>42.154699000000001</v>
      </c>
      <c r="P2469">
        <v>-8.1924670000000006</v>
      </c>
      <c r="R2469" t="s">
        <v>11038</v>
      </c>
      <c r="S2469" t="s">
        <v>10310</v>
      </c>
      <c r="W2469" s="2" t="s">
        <v>11202</v>
      </c>
    </row>
    <row r="2470" spans="1:23" hidden="1" x14ac:dyDescent="0.45">
      <c r="A2470" s="1" t="s">
        <v>2453</v>
      </c>
      <c r="B2470" t="s">
        <v>6215</v>
      </c>
      <c r="D2470" t="s">
        <v>7989</v>
      </c>
      <c r="E2470" t="s">
        <v>9515</v>
      </c>
      <c r="F2470" t="s">
        <v>10297</v>
      </c>
      <c r="G2470">
        <v>1.518</v>
      </c>
      <c r="H2470" t="s">
        <v>10310</v>
      </c>
      <c r="I2470" t="s">
        <v>10326</v>
      </c>
      <c r="L2470">
        <v>1984</v>
      </c>
      <c r="R2470" t="s">
        <v>11038</v>
      </c>
      <c r="S2470" t="s">
        <v>10310</v>
      </c>
      <c r="W2470" s="2" t="s">
        <v>11202</v>
      </c>
    </row>
    <row r="2471" spans="1:23" hidden="1" x14ac:dyDescent="0.45">
      <c r="A2471" s="1" t="s">
        <v>2454</v>
      </c>
      <c r="B2471" t="s">
        <v>6215</v>
      </c>
      <c r="D2471" t="s">
        <v>7989</v>
      </c>
      <c r="E2471" t="s">
        <v>9516</v>
      </c>
      <c r="F2471" t="s">
        <v>10297</v>
      </c>
      <c r="G2471">
        <v>0.77500000000000002</v>
      </c>
      <c r="H2471" t="s">
        <v>10310</v>
      </c>
      <c r="I2471" t="s">
        <v>10326</v>
      </c>
      <c r="L2471">
        <v>1987</v>
      </c>
      <c r="R2471" t="s">
        <v>11038</v>
      </c>
      <c r="S2471" t="s">
        <v>10310</v>
      </c>
      <c r="W2471" s="2" t="s">
        <v>11202</v>
      </c>
    </row>
    <row r="2472" spans="1:23" hidden="1" x14ac:dyDescent="0.45">
      <c r="A2472" s="1" t="s">
        <v>2455</v>
      </c>
      <c r="B2472" t="s">
        <v>6209</v>
      </c>
      <c r="D2472" t="s">
        <v>7998</v>
      </c>
      <c r="E2472" t="s">
        <v>9517</v>
      </c>
      <c r="F2472" t="s">
        <v>10297</v>
      </c>
      <c r="G2472">
        <v>0.38</v>
      </c>
      <c r="H2472" t="s">
        <v>10310</v>
      </c>
      <c r="I2472" t="s">
        <v>10326</v>
      </c>
      <c r="L2472">
        <v>1926</v>
      </c>
      <c r="R2472" t="s">
        <v>11038</v>
      </c>
      <c r="S2472" t="s">
        <v>10310</v>
      </c>
      <c r="W2472" s="2" t="s">
        <v>11202</v>
      </c>
    </row>
    <row r="2473" spans="1:23" hidden="1" x14ac:dyDescent="0.45">
      <c r="A2473" s="1" t="s">
        <v>2456</v>
      </c>
      <c r="B2473" t="s">
        <v>6209</v>
      </c>
      <c r="D2473" t="s">
        <v>7998</v>
      </c>
      <c r="E2473" t="s">
        <v>9517</v>
      </c>
      <c r="F2473" t="s">
        <v>10297</v>
      </c>
      <c r="G2473">
        <v>0.8</v>
      </c>
      <c r="H2473" t="s">
        <v>10310</v>
      </c>
      <c r="I2473" t="s">
        <v>10326</v>
      </c>
      <c r="L2473">
        <v>1926</v>
      </c>
      <c r="R2473" t="s">
        <v>11038</v>
      </c>
      <c r="S2473" t="s">
        <v>10310</v>
      </c>
      <c r="W2473" s="2" t="s">
        <v>11202</v>
      </c>
    </row>
    <row r="2474" spans="1:23" hidden="1" x14ac:dyDescent="0.45">
      <c r="A2474" s="1" t="s">
        <v>2457</v>
      </c>
      <c r="B2474" t="s">
        <v>6215</v>
      </c>
      <c r="D2474" t="s">
        <v>7989</v>
      </c>
      <c r="E2474" t="s">
        <v>9518</v>
      </c>
      <c r="F2474" t="s">
        <v>10297</v>
      </c>
      <c r="G2474">
        <v>1.2</v>
      </c>
      <c r="H2474" t="s">
        <v>10310</v>
      </c>
      <c r="I2474" t="s">
        <v>10326</v>
      </c>
      <c r="L2474">
        <v>1947</v>
      </c>
      <c r="R2474" t="s">
        <v>11038</v>
      </c>
      <c r="S2474" t="s">
        <v>10310</v>
      </c>
      <c r="W2474" s="2" t="s">
        <v>11202</v>
      </c>
    </row>
    <row r="2475" spans="1:23" hidden="1" x14ac:dyDescent="0.45">
      <c r="A2475" s="1" t="s">
        <v>2458</v>
      </c>
      <c r="B2475" t="s">
        <v>6215</v>
      </c>
      <c r="D2475" t="s">
        <v>7989</v>
      </c>
      <c r="E2475" t="s">
        <v>9518</v>
      </c>
      <c r="F2475" t="s">
        <v>10297</v>
      </c>
      <c r="G2475">
        <v>1.2</v>
      </c>
      <c r="H2475" t="s">
        <v>10310</v>
      </c>
      <c r="I2475" t="s">
        <v>10326</v>
      </c>
      <c r="L2475">
        <v>1947</v>
      </c>
      <c r="R2475" t="s">
        <v>11038</v>
      </c>
      <c r="S2475" t="s">
        <v>10310</v>
      </c>
      <c r="W2475" s="2" t="s">
        <v>11202</v>
      </c>
    </row>
    <row r="2476" spans="1:23" hidden="1" x14ac:dyDescent="0.45">
      <c r="A2476" s="1" t="s">
        <v>2459</v>
      </c>
      <c r="B2476" t="s">
        <v>6215</v>
      </c>
      <c r="D2476" t="s">
        <v>7989</v>
      </c>
      <c r="E2476" t="s">
        <v>9519</v>
      </c>
      <c r="F2476" t="s">
        <v>10297</v>
      </c>
      <c r="G2476">
        <v>0.98</v>
      </c>
      <c r="H2476" t="s">
        <v>10310</v>
      </c>
      <c r="I2476" t="s">
        <v>10326</v>
      </c>
      <c r="L2476">
        <v>1961</v>
      </c>
      <c r="R2476" t="s">
        <v>11038</v>
      </c>
      <c r="S2476" t="s">
        <v>10310</v>
      </c>
      <c r="W2476" s="2" t="s">
        <v>11202</v>
      </c>
    </row>
    <row r="2477" spans="1:23" hidden="1" x14ac:dyDescent="0.45">
      <c r="A2477" s="1" t="s">
        <v>2460</v>
      </c>
      <c r="B2477" t="s">
        <v>6215</v>
      </c>
      <c r="D2477" t="s">
        <v>7989</v>
      </c>
      <c r="E2477" t="s">
        <v>9520</v>
      </c>
      <c r="F2477" t="s">
        <v>10297</v>
      </c>
      <c r="G2477">
        <v>0.54</v>
      </c>
      <c r="H2477" t="s">
        <v>10310</v>
      </c>
      <c r="I2477" t="s">
        <v>10326</v>
      </c>
      <c r="L2477">
        <v>1984</v>
      </c>
      <c r="R2477" t="s">
        <v>11038</v>
      </c>
      <c r="S2477" t="s">
        <v>10310</v>
      </c>
      <c r="W2477" s="2" t="s">
        <v>11202</v>
      </c>
    </row>
    <row r="2478" spans="1:23" hidden="1" x14ac:dyDescent="0.45">
      <c r="A2478" s="1" t="s">
        <v>2461</v>
      </c>
      <c r="B2478" t="s">
        <v>6215</v>
      </c>
      <c r="D2478" t="s">
        <v>7989</v>
      </c>
      <c r="E2478" t="s">
        <v>9520</v>
      </c>
      <c r="F2478" t="s">
        <v>10297</v>
      </c>
      <c r="G2478">
        <v>0.46</v>
      </c>
      <c r="H2478" t="s">
        <v>10310</v>
      </c>
      <c r="I2478" t="s">
        <v>10326</v>
      </c>
      <c r="L2478">
        <v>1984</v>
      </c>
      <c r="R2478" t="s">
        <v>11038</v>
      </c>
      <c r="S2478" t="s">
        <v>10310</v>
      </c>
      <c r="W2478" s="2" t="s">
        <v>11202</v>
      </c>
    </row>
    <row r="2479" spans="1:23" hidden="1" x14ac:dyDescent="0.45">
      <c r="A2479" s="1" t="s">
        <v>2462</v>
      </c>
      <c r="B2479" t="s">
        <v>6215</v>
      </c>
      <c r="D2479" t="s">
        <v>7989</v>
      </c>
      <c r="E2479" t="s">
        <v>9521</v>
      </c>
      <c r="F2479" t="s">
        <v>10297</v>
      </c>
      <c r="G2479">
        <v>60.85</v>
      </c>
      <c r="H2479" t="s">
        <v>10310</v>
      </c>
      <c r="I2479" t="s">
        <v>10326</v>
      </c>
      <c r="L2479">
        <v>1953</v>
      </c>
      <c r="N2479">
        <v>42.465274000000001</v>
      </c>
      <c r="P2479">
        <v>-7.7230179999999997</v>
      </c>
      <c r="R2479" t="s">
        <v>11038</v>
      </c>
      <c r="S2479" t="s">
        <v>10310</v>
      </c>
      <c r="W2479" s="2" t="s">
        <v>11202</v>
      </c>
    </row>
    <row r="2480" spans="1:23" hidden="1" x14ac:dyDescent="0.45">
      <c r="A2480" s="1" t="s">
        <v>2463</v>
      </c>
      <c r="B2480" t="s">
        <v>6215</v>
      </c>
      <c r="D2480" t="s">
        <v>7989</v>
      </c>
      <c r="E2480" t="s">
        <v>9521</v>
      </c>
      <c r="F2480" t="s">
        <v>10297</v>
      </c>
      <c r="G2480">
        <v>61.63</v>
      </c>
      <c r="H2480" t="s">
        <v>10310</v>
      </c>
      <c r="I2480" t="s">
        <v>10326</v>
      </c>
      <c r="L2480">
        <v>1954</v>
      </c>
      <c r="N2480">
        <v>42.465274000000001</v>
      </c>
      <c r="P2480">
        <v>-7.7230179999999997</v>
      </c>
      <c r="R2480" t="s">
        <v>11038</v>
      </c>
      <c r="S2480" t="s">
        <v>10310</v>
      </c>
      <c r="W2480" s="2" t="s">
        <v>11202</v>
      </c>
    </row>
    <row r="2481" spans="1:23" hidden="1" x14ac:dyDescent="0.45">
      <c r="A2481" s="1" t="s">
        <v>2464</v>
      </c>
      <c r="B2481" t="s">
        <v>6215</v>
      </c>
      <c r="D2481" t="s">
        <v>7989</v>
      </c>
      <c r="E2481" t="s">
        <v>9521</v>
      </c>
      <c r="F2481" t="s">
        <v>10297</v>
      </c>
      <c r="G2481">
        <v>61.53</v>
      </c>
      <c r="H2481" t="s">
        <v>10310</v>
      </c>
      <c r="I2481" t="s">
        <v>10326</v>
      </c>
      <c r="L2481">
        <v>1955</v>
      </c>
      <c r="N2481">
        <v>42.465274000000001</v>
      </c>
      <c r="P2481">
        <v>-7.7230179999999997</v>
      </c>
      <c r="R2481" t="s">
        <v>11038</v>
      </c>
      <c r="S2481" t="s">
        <v>10310</v>
      </c>
      <c r="W2481" s="2" t="s">
        <v>11202</v>
      </c>
    </row>
    <row r="2482" spans="1:23" hidden="1" x14ac:dyDescent="0.45">
      <c r="A2482" s="1" t="s">
        <v>2465</v>
      </c>
      <c r="B2482" t="s">
        <v>6215</v>
      </c>
      <c r="D2482" t="s">
        <v>7989</v>
      </c>
      <c r="E2482" t="s">
        <v>9522</v>
      </c>
      <c r="F2482" t="s">
        <v>10297</v>
      </c>
      <c r="G2482">
        <v>0.2</v>
      </c>
      <c r="H2482" t="s">
        <v>10310</v>
      </c>
      <c r="I2482" t="s">
        <v>10326</v>
      </c>
      <c r="L2482">
        <v>1925</v>
      </c>
      <c r="R2482" t="s">
        <v>11038</v>
      </c>
      <c r="S2482" t="s">
        <v>10310</v>
      </c>
      <c r="W2482" s="2" t="s">
        <v>11202</v>
      </c>
    </row>
    <row r="2483" spans="1:23" hidden="1" x14ac:dyDescent="0.45">
      <c r="A2483" s="1" t="s">
        <v>2466</v>
      </c>
      <c r="B2483" t="s">
        <v>6215</v>
      </c>
      <c r="D2483" t="s">
        <v>7989</v>
      </c>
      <c r="E2483" t="s">
        <v>9522</v>
      </c>
      <c r="F2483" t="s">
        <v>10297</v>
      </c>
      <c r="G2483">
        <v>0.35</v>
      </c>
      <c r="H2483" t="s">
        <v>10310</v>
      </c>
      <c r="I2483" t="s">
        <v>10326</v>
      </c>
      <c r="L2483">
        <v>1941</v>
      </c>
      <c r="R2483" t="s">
        <v>11038</v>
      </c>
      <c r="S2483" t="s">
        <v>10310</v>
      </c>
      <c r="W2483" s="2" t="s">
        <v>11202</v>
      </c>
    </row>
    <row r="2484" spans="1:23" hidden="1" x14ac:dyDescent="0.45">
      <c r="A2484" s="1" t="s">
        <v>2467</v>
      </c>
      <c r="B2484" t="s">
        <v>6215</v>
      </c>
      <c r="D2484" t="s">
        <v>7989</v>
      </c>
      <c r="E2484" t="s">
        <v>9523</v>
      </c>
      <c r="F2484" t="s">
        <v>10297</v>
      </c>
      <c r="G2484">
        <v>12.31</v>
      </c>
      <c r="H2484" t="s">
        <v>10310</v>
      </c>
      <c r="I2484" t="s">
        <v>10326</v>
      </c>
      <c r="L2484">
        <v>1952</v>
      </c>
      <c r="R2484" t="s">
        <v>11038</v>
      </c>
      <c r="S2484" t="s">
        <v>10310</v>
      </c>
      <c r="W2484" s="2" t="s">
        <v>11202</v>
      </c>
    </row>
    <row r="2485" spans="1:23" hidden="1" x14ac:dyDescent="0.45">
      <c r="A2485" s="1" t="s">
        <v>2468</v>
      </c>
      <c r="B2485" t="s">
        <v>6215</v>
      </c>
      <c r="D2485" t="s">
        <v>7989</v>
      </c>
      <c r="E2485" t="s">
        <v>9523</v>
      </c>
      <c r="F2485" t="s">
        <v>10297</v>
      </c>
      <c r="G2485">
        <v>12.33</v>
      </c>
      <c r="H2485" t="s">
        <v>10310</v>
      </c>
      <c r="I2485" t="s">
        <v>10326</v>
      </c>
      <c r="L2485">
        <v>1952</v>
      </c>
      <c r="R2485" t="s">
        <v>11038</v>
      </c>
      <c r="S2485" t="s">
        <v>10310</v>
      </c>
      <c r="W2485" s="2" t="s">
        <v>11202</v>
      </c>
    </row>
    <row r="2486" spans="1:23" hidden="1" x14ac:dyDescent="0.45">
      <c r="A2486" s="1" t="s">
        <v>2469</v>
      </c>
      <c r="B2486" t="s">
        <v>6215</v>
      </c>
      <c r="D2486" t="s">
        <v>7989</v>
      </c>
      <c r="E2486" t="s">
        <v>9524</v>
      </c>
      <c r="F2486" t="s">
        <v>10297</v>
      </c>
      <c r="G2486">
        <v>44.34</v>
      </c>
      <c r="H2486" t="s">
        <v>10310</v>
      </c>
      <c r="I2486" t="s">
        <v>10326</v>
      </c>
      <c r="L2486">
        <v>1968</v>
      </c>
      <c r="N2486">
        <v>42.855589999999999</v>
      </c>
      <c r="P2486">
        <v>-8.1908759999999994</v>
      </c>
      <c r="R2486" t="s">
        <v>11038</v>
      </c>
      <c r="S2486" t="s">
        <v>10310</v>
      </c>
      <c r="W2486" s="2" t="s">
        <v>11202</v>
      </c>
    </row>
    <row r="2487" spans="1:23" hidden="1" x14ac:dyDescent="0.45">
      <c r="A2487" s="1" t="s">
        <v>2470</v>
      </c>
      <c r="B2487" t="s">
        <v>6215</v>
      </c>
      <c r="D2487" t="s">
        <v>7989</v>
      </c>
      <c r="E2487" t="s">
        <v>9524</v>
      </c>
      <c r="F2487" t="s">
        <v>10297</v>
      </c>
      <c r="G2487">
        <v>44.59</v>
      </c>
      <c r="H2487" t="s">
        <v>10310</v>
      </c>
      <c r="I2487" t="s">
        <v>10326</v>
      </c>
      <c r="L2487">
        <v>1968</v>
      </c>
      <c r="N2487">
        <v>42.855589999999999</v>
      </c>
      <c r="P2487">
        <v>-8.1908759999999994</v>
      </c>
      <c r="R2487" t="s">
        <v>11038</v>
      </c>
      <c r="S2487" t="s">
        <v>10310</v>
      </c>
      <c r="W2487" s="2" t="s">
        <v>11202</v>
      </c>
    </row>
    <row r="2488" spans="1:23" hidden="1" x14ac:dyDescent="0.45">
      <c r="A2488" s="1" t="s">
        <v>2471</v>
      </c>
      <c r="B2488" t="s">
        <v>6215</v>
      </c>
      <c r="D2488" t="s">
        <v>7989</v>
      </c>
      <c r="E2488" t="s">
        <v>9525</v>
      </c>
      <c r="F2488" t="s">
        <v>10297</v>
      </c>
      <c r="G2488">
        <v>5.4</v>
      </c>
      <c r="H2488" t="s">
        <v>10310</v>
      </c>
      <c r="I2488" t="s">
        <v>10326</v>
      </c>
      <c r="L2488">
        <v>1929</v>
      </c>
      <c r="R2488" t="s">
        <v>11038</v>
      </c>
      <c r="S2488" t="s">
        <v>10310</v>
      </c>
      <c r="W2488" s="2" t="s">
        <v>11202</v>
      </c>
    </row>
    <row r="2489" spans="1:23" hidden="1" x14ac:dyDescent="0.45">
      <c r="A2489" s="1" t="s">
        <v>2472</v>
      </c>
      <c r="B2489" t="s">
        <v>6215</v>
      </c>
      <c r="D2489" t="s">
        <v>7989</v>
      </c>
      <c r="E2489" t="s">
        <v>9525</v>
      </c>
      <c r="F2489" t="s">
        <v>10297</v>
      </c>
      <c r="G2489">
        <v>6.89</v>
      </c>
      <c r="H2489" t="s">
        <v>10310</v>
      </c>
      <c r="I2489" t="s">
        <v>10326</v>
      </c>
      <c r="L2489">
        <v>1929</v>
      </c>
      <c r="R2489" t="s">
        <v>11038</v>
      </c>
      <c r="S2489" t="s">
        <v>10310</v>
      </c>
      <c r="W2489" s="2" t="s">
        <v>11202</v>
      </c>
    </row>
    <row r="2490" spans="1:23" hidden="1" x14ac:dyDescent="0.45">
      <c r="A2490" s="1" t="s">
        <v>2473</v>
      </c>
      <c r="B2490" t="s">
        <v>6215</v>
      </c>
      <c r="D2490" t="s">
        <v>7989</v>
      </c>
      <c r="E2490" t="s">
        <v>9525</v>
      </c>
      <c r="F2490" t="s">
        <v>10297</v>
      </c>
      <c r="G2490">
        <v>6.91</v>
      </c>
      <c r="H2490" t="s">
        <v>10310</v>
      </c>
      <c r="I2490" t="s">
        <v>10326</v>
      </c>
      <c r="L2490">
        <v>1929</v>
      </c>
      <c r="R2490" t="s">
        <v>11038</v>
      </c>
      <c r="S2490" t="s">
        <v>10310</v>
      </c>
      <c r="W2490" s="2" t="s">
        <v>11202</v>
      </c>
    </row>
    <row r="2491" spans="1:23" hidden="1" x14ac:dyDescent="0.45">
      <c r="A2491" s="1" t="s">
        <v>2474</v>
      </c>
      <c r="B2491" t="s">
        <v>6215</v>
      </c>
      <c r="D2491" t="s">
        <v>7989</v>
      </c>
      <c r="E2491" t="s">
        <v>9526</v>
      </c>
      <c r="F2491" t="s">
        <v>10297</v>
      </c>
      <c r="G2491">
        <v>14.4</v>
      </c>
      <c r="H2491" t="s">
        <v>10310</v>
      </c>
      <c r="I2491" t="s">
        <v>10326</v>
      </c>
      <c r="L2491">
        <v>1970</v>
      </c>
      <c r="N2491">
        <v>42.335656999999998</v>
      </c>
      <c r="P2491">
        <v>-7.5209149999999996</v>
      </c>
      <c r="R2491" t="s">
        <v>11038</v>
      </c>
      <c r="S2491" t="s">
        <v>10310</v>
      </c>
      <c r="W2491" s="2" t="s">
        <v>11202</v>
      </c>
    </row>
    <row r="2492" spans="1:23" hidden="1" x14ac:dyDescent="0.45">
      <c r="A2492" s="1" t="s">
        <v>2475</v>
      </c>
      <c r="B2492" t="s">
        <v>6215</v>
      </c>
      <c r="D2492" t="s">
        <v>7989</v>
      </c>
      <c r="E2492" t="s">
        <v>9526</v>
      </c>
      <c r="F2492" t="s">
        <v>10297</v>
      </c>
      <c r="G2492">
        <v>14.47</v>
      </c>
      <c r="H2492" t="s">
        <v>10310</v>
      </c>
      <c r="I2492" t="s">
        <v>10326</v>
      </c>
      <c r="L2492">
        <v>1970</v>
      </c>
      <c r="N2492">
        <v>42.335656999999998</v>
      </c>
      <c r="P2492">
        <v>-7.5209149999999996</v>
      </c>
      <c r="R2492" t="s">
        <v>11038</v>
      </c>
      <c r="S2492" t="s">
        <v>10310</v>
      </c>
      <c r="W2492" s="2" t="s">
        <v>11202</v>
      </c>
    </row>
    <row r="2493" spans="1:23" hidden="1" x14ac:dyDescent="0.45">
      <c r="A2493" s="1" t="s">
        <v>2476</v>
      </c>
      <c r="B2493" t="s">
        <v>6215</v>
      </c>
      <c r="D2493" t="s">
        <v>7989</v>
      </c>
      <c r="E2493" t="s">
        <v>9527</v>
      </c>
      <c r="F2493" t="s">
        <v>10297</v>
      </c>
      <c r="G2493">
        <v>53.1</v>
      </c>
      <c r="H2493" t="s">
        <v>10310</v>
      </c>
      <c r="I2493" t="s">
        <v>10326</v>
      </c>
      <c r="L2493">
        <v>1973</v>
      </c>
      <c r="N2493">
        <v>41.925663999999998</v>
      </c>
      <c r="P2493">
        <v>-7.9426240000000004</v>
      </c>
      <c r="R2493" t="s">
        <v>11038</v>
      </c>
      <c r="S2493" t="s">
        <v>10310</v>
      </c>
      <c r="W2493" s="2" t="s">
        <v>11202</v>
      </c>
    </row>
    <row r="2494" spans="1:23" hidden="1" x14ac:dyDescent="0.45">
      <c r="A2494" s="1" t="s">
        <v>2477</v>
      </c>
      <c r="B2494" t="s">
        <v>6215</v>
      </c>
      <c r="D2494" t="s">
        <v>7989</v>
      </c>
      <c r="E2494" t="s">
        <v>9528</v>
      </c>
      <c r="F2494" t="s">
        <v>10297</v>
      </c>
      <c r="G2494">
        <v>16.399999999999999</v>
      </c>
      <c r="H2494" t="s">
        <v>10310</v>
      </c>
      <c r="I2494" t="s">
        <v>10326</v>
      </c>
      <c r="L2494">
        <v>1955</v>
      </c>
      <c r="N2494">
        <v>42.849659000000003</v>
      </c>
      <c r="P2494">
        <v>-5.8634120000000003</v>
      </c>
      <c r="R2494" t="s">
        <v>11038</v>
      </c>
      <c r="S2494" t="s">
        <v>10310</v>
      </c>
      <c r="W2494" s="2" t="s">
        <v>11202</v>
      </c>
    </row>
    <row r="2495" spans="1:23" hidden="1" x14ac:dyDescent="0.45">
      <c r="A2495" s="1" t="s">
        <v>2478</v>
      </c>
      <c r="B2495" t="s">
        <v>6215</v>
      </c>
      <c r="D2495" t="s">
        <v>7989</v>
      </c>
      <c r="E2495" t="s">
        <v>9528</v>
      </c>
      <c r="F2495" t="s">
        <v>10297</v>
      </c>
      <c r="G2495">
        <v>16.53</v>
      </c>
      <c r="H2495" t="s">
        <v>10310</v>
      </c>
      <c r="I2495" t="s">
        <v>10326</v>
      </c>
      <c r="L2495">
        <v>1955</v>
      </c>
      <c r="N2495">
        <v>42.849659000000003</v>
      </c>
      <c r="P2495">
        <v>-5.8634120000000003</v>
      </c>
      <c r="R2495" t="s">
        <v>11038</v>
      </c>
      <c r="S2495" t="s">
        <v>10310</v>
      </c>
      <c r="W2495" s="2" t="s">
        <v>11202</v>
      </c>
    </row>
    <row r="2496" spans="1:23" hidden="1" x14ac:dyDescent="0.45">
      <c r="A2496" s="1" t="s">
        <v>2479</v>
      </c>
      <c r="B2496" t="s">
        <v>6215</v>
      </c>
      <c r="D2496" t="s">
        <v>7989</v>
      </c>
      <c r="E2496" t="s">
        <v>9528</v>
      </c>
      <c r="F2496" t="s">
        <v>10297</v>
      </c>
      <c r="G2496">
        <v>7.69</v>
      </c>
      <c r="H2496" t="s">
        <v>10310</v>
      </c>
      <c r="I2496" t="s">
        <v>10326</v>
      </c>
      <c r="L2496">
        <v>1955</v>
      </c>
      <c r="N2496">
        <v>42.849659000000003</v>
      </c>
      <c r="P2496">
        <v>-5.8634120000000003</v>
      </c>
      <c r="R2496" t="s">
        <v>11038</v>
      </c>
      <c r="S2496" t="s">
        <v>10310</v>
      </c>
      <c r="W2496" s="2" t="s">
        <v>11202</v>
      </c>
    </row>
    <row r="2497" spans="1:23" hidden="1" x14ac:dyDescent="0.45">
      <c r="A2497" s="1" t="s">
        <v>2480</v>
      </c>
      <c r="B2497" t="s">
        <v>6215</v>
      </c>
      <c r="D2497" t="s">
        <v>7989</v>
      </c>
      <c r="E2497" t="s">
        <v>9528</v>
      </c>
      <c r="F2497" t="s">
        <v>10297</v>
      </c>
      <c r="G2497">
        <v>7.6</v>
      </c>
      <c r="H2497" t="s">
        <v>10310</v>
      </c>
      <c r="I2497" t="s">
        <v>10326</v>
      </c>
      <c r="L2497">
        <v>1955</v>
      </c>
      <c r="N2497">
        <v>42.849659000000003</v>
      </c>
      <c r="P2497">
        <v>-5.8634120000000003</v>
      </c>
      <c r="R2497" t="s">
        <v>11038</v>
      </c>
      <c r="S2497" t="s">
        <v>10310</v>
      </c>
      <c r="W2497" s="2" t="s">
        <v>11202</v>
      </c>
    </row>
    <row r="2498" spans="1:23" hidden="1" x14ac:dyDescent="0.45">
      <c r="A2498" s="1" t="s">
        <v>2481</v>
      </c>
      <c r="B2498" t="s">
        <v>6215</v>
      </c>
      <c r="D2498" t="s">
        <v>7989</v>
      </c>
      <c r="E2498" t="s">
        <v>9529</v>
      </c>
      <c r="F2498" t="s">
        <v>10297</v>
      </c>
      <c r="G2498">
        <v>19.420000000000002</v>
      </c>
      <c r="H2498" t="s">
        <v>10310</v>
      </c>
      <c r="I2498" t="s">
        <v>10326</v>
      </c>
      <c r="L2498">
        <v>1955</v>
      </c>
      <c r="N2498">
        <v>40.372892</v>
      </c>
      <c r="P2498">
        <v>-4.3118720000000001</v>
      </c>
      <c r="R2498" t="s">
        <v>11038</v>
      </c>
      <c r="S2498" t="s">
        <v>10310</v>
      </c>
      <c r="W2498" s="2" t="s">
        <v>11202</v>
      </c>
    </row>
    <row r="2499" spans="1:23" hidden="1" x14ac:dyDescent="0.45">
      <c r="A2499" s="1" t="s">
        <v>2482</v>
      </c>
      <c r="B2499" t="s">
        <v>6215</v>
      </c>
      <c r="D2499" t="s">
        <v>7989</v>
      </c>
      <c r="E2499" t="s">
        <v>9529</v>
      </c>
      <c r="F2499" t="s">
        <v>10297</v>
      </c>
      <c r="G2499">
        <v>20.13</v>
      </c>
      <c r="H2499" t="s">
        <v>10310</v>
      </c>
      <c r="I2499" t="s">
        <v>10326</v>
      </c>
      <c r="L2499">
        <v>1956</v>
      </c>
      <c r="N2499">
        <v>40.372892</v>
      </c>
      <c r="P2499">
        <v>-4.3118720000000001</v>
      </c>
      <c r="R2499" t="s">
        <v>11038</v>
      </c>
      <c r="S2499" t="s">
        <v>10310</v>
      </c>
      <c r="W2499" s="2" t="s">
        <v>11202</v>
      </c>
    </row>
    <row r="2500" spans="1:23" hidden="1" x14ac:dyDescent="0.45">
      <c r="A2500" s="1" t="s">
        <v>2483</v>
      </c>
      <c r="B2500" t="s">
        <v>6215</v>
      </c>
      <c r="D2500" t="s">
        <v>7989</v>
      </c>
      <c r="E2500" t="s">
        <v>9530</v>
      </c>
      <c r="F2500" t="s">
        <v>10297</v>
      </c>
      <c r="G2500">
        <v>4.33</v>
      </c>
      <c r="H2500" t="s">
        <v>10310</v>
      </c>
      <c r="I2500" t="s">
        <v>10326</v>
      </c>
      <c r="L2500">
        <v>1927</v>
      </c>
      <c r="N2500">
        <v>42.836370000000002</v>
      </c>
      <c r="P2500">
        <v>-8.8497350000000008</v>
      </c>
      <c r="R2500" t="s">
        <v>11038</v>
      </c>
      <c r="S2500" t="s">
        <v>10310</v>
      </c>
      <c r="W2500" s="2" t="s">
        <v>11202</v>
      </c>
    </row>
    <row r="2501" spans="1:23" hidden="1" x14ac:dyDescent="0.45">
      <c r="A2501" s="1" t="s">
        <v>2484</v>
      </c>
      <c r="B2501" t="s">
        <v>6215</v>
      </c>
      <c r="D2501" t="s">
        <v>7989</v>
      </c>
      <c r="E2501" t="s">
        <v>9530</v>
      </c>
      <c r="F2501" t="s">
        <v>10297</v>
      </c>
      <c r="G2501">
        <v>4.42</v>
      </c>
      <c r="H2501" t="s">
        <v>10310</v>
      </c>
      <c r="I2501" t="s">
        <v>10326</v>
      </c>
      <c r="L2501">
        <v>1927</v>
      </c>
      <c r="N2501">
        <v>42.836370000000002</v>
      </c>
      <c r="P2501">
        <v>-8.8497350000000008</v>
      </c>
      <c r="R2501" t="s">
        <v>11038</v>
      </c>
      <c r="S2501" t="s">
        <v>10310</v>
      </c>
      <c r="W2501" s="2" t="s">
        <v>11202</v>
      </c>
    </row>
    <row r="2502" spans="1:23" hidden="1" x14ac:dyDescent="0.45">
      <c r="A2502" s="1" t="s">
        <v>2485</v>
      </c>
      <c r="B2502" t="s">
        <v>6215</v>
      </c>
      <c r="D2502" t="s">
        <v>7989</v>
      </c>
      <c r="E2502" t="s">
        <v>9530</v>
      </c>
      <c r="F2502" t="s">
        <v>10297</v>
      </c>
      <c r="G2502">
        <v>4.37</v>
      </c>
      <c r="H2502" t="s">
        <v>10310</v>
      </c>
      <c r="I2502" t="s">
        <v>10326</v>
      </c>
      <c r="L2502">
        <v>1927</v>
      </c>
      <c r="N2502">
        <v>42.836370000000002</v>
      </c>
      <c r="P2502">
        <v>-8.8497350000000008</v>
      </c>
      <c r="R2502" t="s">
        <v>11038</v>
      </c>
      <c r="S2502" t="s">
        <v>10310</v>
      </c>
      <c r="W2502" s="2" t="s">
        <v>11202</v>
      </c>
    </row>
    <row r="2503" spans="1:23" hidden="1" x14ac:dyDescent="0.45">
      <c r="A2503" s="1" t="s">
        <v>2486</v>
      </c>
      <c r="B2503" t="s">
        <v>6215</v>
      </c>
      <c r="D2503" t="s">
        <v>7989</v>
      </c>
      <c r="E2503" t="s">
        <v>9530</v>
      </c>
      <c r="F2503" t="s">
        <v>10297</v>
      </c>
      <c r="G2503">
        <v>10.45</v>
      </c>
      <c r="H2503" t="s">
        <v>10310</v>
      </c>
      <c r="I2503" t="s">
        <v>10326</v>
      </c>
      <c r="L2503">
        <v>1948</v>
      </c>
      <c r="N2503">
        <v>42.836370000000002</v>
      </c>
      <c r="P2503">
        <v>-8.8497350000000008</v>
      </c>
      <c r="R2503" t="s">
        <v>11038</v>
      </c>
      <c r="S2503" t="s">
        <v>10310</v>
      </c>
      <c r="W2503" s="2" t="s">
        <v>11202</v>
      </c>
    </row>
    <row r="2504" spans="1:23" hidden="1" x14ac:dyDescent="0.45">
      <c r="A2504" s="1" t="s">
        <v>2487</v>
      </c>
      <c r="B2504" t="s">
        <v>6215</v>
      </c>
      <c r="D2504" t="s">
        <v>7989</v>
      </c>
      <c r="E2504" t="s">
        <v>9530</v>
      </c>
      <c r="F2504" t="s">
        <v>10297</v>
      </c>
      <c r="G2504">
        <v>63.2</v>
      </c>
      <c r="H2504" t="s">
        <v>10310</v>
      </c>
      <c r="I2504" t="s">
        <v>10326</v>
      </c>
      <c r="L2504">
        <v>1975</v>
      </c>
      <c r="N2504">
        <v>42.836370000000002</v>
      </c>
      <c r="P2504">
        <v>-8.8497350000000008</v>
      </c>
      <c r="R2504" t="s">
        <v>11038</v>
      </c>
      <c r="S2504" t="s">
        <v>10310</v>
      </c>
      <c r="W2504" s="2" t="s">
        <v>11202</v>
      </c>
    </row>
    <row r="2505" spans="1:23" hidden="1" x14ac:dyDescent="0.45">
      <c r="A2505" s="1" t="s">
        <v>2488</v>
      </c>
      <c r="B2505" t="s">
        <v>6215</v>
      </c>
      <c r="D2505" t="s">
        <v>7989</v>
      </c>
      <c r="E2505" t="s">
        <v>9531</v>
      </c>
      <c r="F2505" t="s">
        <v>10297</v>
      </c>
      <c r="G2505">
        <v>46.65</v>
      </c>
      <c r="H2505" t="s">
        <v>10310</v>
      </c>
      <c r="I2505" t="s">
        <v>10326</v>
      </c>
      <c r="L2505">
        <v>1966</v>
      </c>
      <c r="N2505">
        <v>42.357771</v>
      </c>
      <c r="P2505">
        <v>-7.8514530000000002</v>
      </c>
      <c r="R2505" t="s">
        <v>11038</v>
      </c>
      <c r="S2505" t="s">
        <v>10310</v>
      </c>
      <c r="W2505" s="2" t="s">
        <v>11202</v>
      </c>
    </row>
    <row r="2506" spans="1:23" hidden="1" x14ac:dyDescent="0.45">
      <c r="A2506" s="1" t="s">
        <v>2489</v>
      </c>
      <c r="B2506" t="s">
        <v>6215</v>
      </c>
      <c r="D2506" t="s">
        <v>7989</v>
      </c>
      <c r="E2506" t="s">
        <v>9531</v>
      </c>
      <c r="F2506" t="s">
        <v>10297</v>
      </c>
      <c r="G2506">
        <v>41.18</v>
      </c>
      <c r="H2506" t="s">
        <v>10310</v>
      </c>
      <c r="I2506" t="s">
        <v>10326</v>
      </c>
      <c r="L2506">
        <v>1967</v>
      </c>
      <c r="N2506">
        <v>42.357771</v>
      </c>
      <c r="P2506">
        <v>-7.8514530000000002</v>
      </c>
      <c r="R2506" t="s">
        <v>11038</v>
      </c>
      <c r="S2506" t="s">
        <v>10310</v>
      </c>
      <c r="W2506" s="2" t="s">
        <v>11202</v>
      </c>
    </row>
    <row r="2507" spans="1:23" hidden="1" x14ac:dyDescent="0.45">
      <c r="A2507" s="1" t="s">
        <v>2490</v>
      </c>
      <c r="B2507" t="s">
        <v>6215</v>
      </c>
      <c r="D2507" t="s">
        <v>7989</v>
      </c>
      <c r="E2507" t="s">
        <v>9532</v>
      </c>
      <c r="F2507" t="s">
        <v>10297</v>
      </c>
      <c r="G2507">
        <v>2.2999999999999998</v>
      </c>
      <c r="H2507" t="s">
        <v>10310</v>
      </c>
      <c r="I2507" t="s">
        <v>10326</v>
      </c>
      <c r="L2507">
        <v>1962</v>
      </c>
      <c r="R2507" t="s">
        <v>11038</v>
      </c>
      <c r="S2507" t="s">
        <v>10310</v>
      </c>
      <c r="W2507" s="2" t="s">
        <v>11202</v>
      </c>
    </row>
    <row r="2508" spans="1:23" hidden="1" x14ac:dyDescent="0.45">
      <c r="A2508" s="1" t="s">
        <v>2491</v>
      </c>
      <c r="B2508" t="s">
        <v>6215</v>
      </c>
      <c r="D2508" t="s">
        <v>7989</v>
      </c>
      <c r="E2508" t="s">
        <v>9533</v>
      </c>
      <c r="F2508" t="s">
        <v>10297</v>
      </c>
      <c r="G2508">
        <v>5.2</v>
      </c>
      <c r="H2508" t="s">
        <v>10310</v>
      </c>
      <c r="I2508" t="s">
        <v>10326</v>
      </c>
      <c r="L2508">
        <v>1926</v>
      </c>
      <c r="R2508" t="s">
        <v>11038</v>
      </c>
      <c r="S2508" t="s">
        <v>10310</v>
      </c>
      <c r="W2508" s="2" t="s">
        <v>11202</v>
      </c>
    </row>
    <row r="2509" spans="1:23" hidden="1" x14ac:dyDescent="0.45">
      <c r="A2509" s="1" t="s">
        <v>2492</v>
      </c>
      <c r="B2509" t="s">
        <v>6215</v>
      </c>
      <c r="D2509" t="s">
        <v>7989</v>
      </c>
      <c r="E2509" t="s">
        <v>9533</v>
      </c>
      <c r="F2509" t="s">
        <v>10297</v>
      </c>
      <c r="G2509">
        <v>5.2</v>
      </c>
      <c r="H2509" t="s">
        <v>10310</v>
      </c>
      <c r="I2509" t="s">
        <v>10326</v>
      </c>
      <c r="L2509">
        <v>1926</v>
      </c>
      <c r="R2509" t="s">
        <v>11038</v>
      </c>
      <c r="S2509" t="s">
        <v>10310</v>
      </c>
      <c r="W2509" s="2" t="s">
        <v>11202</v>
      </c>
    </row>
    <row r="2510" spans="1:23" hidden="1" x14ac:dyDescent="0.45">
      <c r="A2510" s="1" t="s">
        <v>2493</v>
      </c>
      <c r="B2510" t="s">
        <v>6215</v>
      </c>
      <c r="D2510" t="s">
        <v>7989</v>
      </c>
      <c r="E2510" t="s">
        <v>9534</v>
      </c>
      <c r="F2510" t="s">
        <v>10297</v>
      </c>
      <c r="G2510">
        <v>3.52</v>
      </c>
      <c r="H2510" t="s">
        <v>10310</v>
      </c>
      <c r="I2510" t="s">
        <v>10326</v>
      </c>
      <c r="L2510">
        <v>1948</v>
      </c>
      <c r="R2510" t="s">
        <v>11038</v>
      </c>
      <c r="S2510" t="s">
        <v>10310</v>
      </c>
      <c r="W2510" s="2" t="s">
        <v>11202</v>
      </c>
    </row>
    <row r="2511" spans="1:23" hidden="1" x14ac:dyDescent="0.45">
      <c r="A2511" s="1" t="s">
        <v>2494</v>
      </c>
      <c r="B2511" t="s">
        <v>6215</v>
      </c>
      <c r="D2511" t="s">
        <v>7989</v>
      </c>
      <c r="E2511" t="s">
        <v>9534</v>
      </c>
      <c r="F2511" t="s">
        <v>10297</v>
      </c>
      <c r="G2511">
        <v>3.52</v>
      </c>
      <c r="H2511" t="s">
        <v>10310</v>
      </c>
      <c r="I2511" t="s">
        <v>10326</v>
      </c>
      <c r="L2511">
        <v>1948</v>
      </c>
      <c r="R2511" t="s">
        <v>11038</v>
      </c>
      <c r="S2511" t="s">
        <v>10310</v>
      </c>
      <c r="W2511" s="2" t="s">
        <v>11202</v>
      </c>
    </row>
    <row r="2512" spans="1:23" hidden="1" x14ac:dyDescent="0.45">
      <c r="A2512" s="1" t="s">
        <v>2495</v>
      </c>
      <c r="B2512" t="s">
        <v>6215</v>
      </c>
      <c r="D2512" t="s">
        <v>7989</v>
      </c>
      <c r="E2512" t="s">
        <v>9534</v>
      </c>
      <c r="F2512" t="s">
        <v>10297</v>
      </c>
      <c r="G2512">
        <v>3.52</v>
      </c>
      <c r="H2512" t="s">
        <v>10310</v>
      </c>
      <c r="I2512" t="s">
        <v>10326</v>
      </c>
      <c r="L2512">
        <v>1962</v>
      </c>
      <c r="R2512" t="s">
        <v>11038</v>
      </c>
      <c r="S2512" t="s">
        <v>10310</v>
      </c>
      <c r="W2512" s="2" t="s">
        <v>11202</v>
      </c>
    </row>
    <row r="2513" spans="1:23" hidden="1" x14ac:dyDescent="0.45">
      <c r="A2513" s="1" t="s">
        <v>2496</v>
      </c>
      <c r="B2513" t="s">
        <v>6213</v>
      </c>
      <c r="D2513" t="s">
        <v>8001</v>
      </c>
      <c r="E2513" t="s">
        <v>9535</v>
      </c>
      <c r="F2513" t="s">
        <v>10297</v>
      </c>
      <c r="G2513">
        <v>7.9</v>
      </c>
      <c r="H2513" t="s">
        <v>10310</v>
      </c>
      <c r="I2513" t="s">
        <v>10325</v>
      </c>
      <c r="L2513">
        <v>1990</v>
      </c>
      <c r="R2513" t="s">
        <v>11038</v>
      </c>
      <c r="S2513" t="s">
        <v>10310</v>
      </c>
      <c r="W2513" s="2" t="s">
        <v>11202</v>
      </c>
    </row>
    <row r="2514" spans="1:23" hidden="1" x14ac:dyDescent="0.45">
      <c r="A2514" s="1" t="s">
        <v>2497</v>
      </c>
      <c r="B2514" t="s">
        <v>6213</v>
      </c>
      <c r="D2514" t="s">
        <v>8001</v>
      </c>
      <c r="E2514" t="s">
        <v>9536</v>
      </c>
      <c r="F2514" t="s">
        <v>10297</v>
      </c>
      <c r="G2514">
        <v>0.3</v>
      </c>
      <c r="H2514" t="s">
        <v>10310</v>
      </c>
      <c r="I2514" t="s">
        <v>10325</v>
      </c>
      <c r="L2514">
        <v>1953</v>
      </c>
      <c r="R2514" t="s">
        <v>11038</v>
      </c>
      <c r="S2514" t="s">
        <v>10310</v>
      </c>
      <c r="W2514" s="2" t="s">
        <v>11202</v>
      </c>
    </row>
    <row r="2515" spans="1:23" hidden="1" x14ac:dyDescent="0.45">
      <c r="A2515" s="1" t="s">
        <v>2498</v>
      </c>
      <c r="B2515" t="s">
        <v>6216</v>
      </c>
      <c r="D2515" t="s">
        <v>8003</v>
      </c>
      <c r="E2515" t="s">
        <v>9537</v>
      </c>
      <c r="F2515" t="s">
        <v>10297</v>
      </c>
      <c r="G2515">
        <v>3.6</v>
      </c>
      <c r="H2515" t="s">
        <v>10310</v>
      </c>
      <c r="I2515" t="s">
        <v>10325</v>
      </c>
      <c r="L2515">
        <v>1930</v>
      </c>
      <c r="R2515" t="s">
        <v>11038</v>
      </c>
      <c r="S2515" t="s">
        <v>10310</v>
      </c>
      <c r="W2515" s="2" t="s">
        <v>11202</v>
      </c>
    </row>
    <row r="2516" spans="1:23" hidden="1" x14ac:dyDescent="0.45">
      <c r="A2516" s="1" t="s">
        <v>2499</v>
      </c>
      <c r="B2516" t="s">
        <v>6199</v>
      </c>
      <c r="D2516" t="s">
        <v>7990</v>
      </c>
      <c r="E2516" t="s">
        <v>9537</v>
      </c>
      <c r="F2516" t="s">
        <v>10297</v>
      </c>
      <c r="G2516">
        <v>1.6</v>
      </c>
      <c r="H2516" t="s">
        <v>10310</v>
      </c>
      <c r="I2516" t="s">
        <v>10325</v>
      </c>
      <c r="L2516">
        <v>1949</v>
      </c>
      <c r="R2516" t="s">
        <v>11038</v>
      </c>
      <c r="S2516" t="s">
        <v>10310</v>
      </c>
      <c r="W2516" s="2" t="s">
        <v>11202</v>
      </c>
    </row>
    <row r="2517" spans="1:23" hidden="1" x14ac:dyDescent="0.45">
      <c r="A2517" s="1" t="s">
        <v>2500</v>
      </c>
      <c r="B2517" t="s">
        <v>6213</v>
      </c>
      <c r="D2517" t="s">
        <v>8001</v>
      </c>
      <c r="E2517" t="s">
        <v>9538</v>
      </c>
      <c r="F2517" t="s">
        <v>10297</v>
      </c>
      <c r="G2517">
        <v>6.92</v>
      </c>
      <c r="H2517" t="s">
        <v>10310</v>
      </c>
      <c r="I2517" t="s">
        <v>10325</v>
      </c>
      <c r="L2517">
        <v>1967</v>
      </c>
      <c r="R2517" t="s">
        <v>11038</v>
      </c>
      <c r="S2517" t="s">
        <v>10310</v>
      </c>
      <c r="W2517" s="2" t="s">
        <v>11202</v>
      </c>
    </row>
    <row r="2518" spans="1:23" hidden="1" x14ac:dyDescent="0.45">
      <c r="A2518" s="1" t="s">
        <v>2501</v>
      </c>
      <c r="B2518" t="s">
        <v>6213</v>
      </c>
      <c r="D2518" t="s">
        <v>8001</v>
      </c>
      <c r="E2518" t="s">
        <v>9539</v>
      </c>
      <c r="F2518" t="s">
        <v>10297</v>
      </c>
      <c r="G2518">
        <v>4.9000000000000004</v>
      </c>
      <c r="H2518" t="s">
        <v>10310</v>
      </c>
      <c r="I2518" t="s">
        <v>10325</v>
      </c>
      <c r="L2518">
        <v>1981</v>
      </c>
      <c r="R2518" t="s">
        <v>11038</v>
      </c>
      <c r="S2518" t="s">
        <v>10310</v>
      </c>
      <c r="W2518" s="2" t="s">
        <v>11202</v>
      </c>
    </row>
    <row r="2519" spans="1:23" hidden="1" x14ac:dyDescent="0.45">
      <c r="A2519" s="1" t="s">
        <v>2502</v>
      </c>
      <c r="B2519" t="s">
        <v>6213</v>
      </c>
      <c r="D2519" t="s">
        <v>8001</v>
      </c>
      <c r="E2519" t="s">
        <v>9540</v>
      </c>
      <c r="F2519" t="s">
        <v>10297</v>
      </c>
      <c r="G2519">
        <v>0.59</v>
      </c>
      <c r="H2519" t="s">
        <v>10310</v>
      </c>
      <c r="I2519" t="s">
        <v>10325</v>
      </c>
      <c r="L2519">
        <v>1984</v>
      </c>
      <c r="R2519" t="s">
        <v>11038</v>
      </c>
      <c r="S2519" t="s">
        <v>10310</v>
      </c>
      <c r="W2519" s="2" t="s">
        <v>11202</v>
      </c>
    </row>
    <row r="2520" spans="1:23" hidden="1" x14ac:dyDescent="0.45">
      <c r="A2520" s="1" t="s">
        <v>2503</v>
      </c>
      <c r="B2520" t="s">
        <v>6213</v>
      </c>
      <c r="D2520" t="s">
        <v>8001</v>
      </c>
      <c r="E2520" t="s">
        <v>9541</v>
      </c>
      <c r="F2520" t="s">
        <v>10297</v>
      </c>
      <c r="G2520">
        <v>1.3</v>
      </c>
      <c r="H2520" t="s">
        <v>10310</v>
      </c>
      <c r="I2520" t="s">
        <v>10325</v>
      </c>
      <c r="L2520">
        <v>1986</v>
      </c>
      <c r="R2520" t="s">
        <v>11038</v>
      </c>
      <c r="S2520" t="s">
        <v>10310</v>
      </c>
      <c r="W2520" s="2" t="s">
        <v>11202</v>
      </c>
    </row>
    <row r="2521" spans="1:23" hidden="1" x14ac:dyDescent="0.45">
      <c r="A2521" s="1" t="s">
        <v>2504</v>
      </c>
      <c r="B2521" t="s">
        <v>6213</v>
      </c>
      <c r="D2521" t="s">
        <v>8001</v>
      </c>
      <c r="E2521" t="s">
        <v>9536</v>
      </c>
      <c r="F2521" t="s">
        <v>10297</v>
      </c>
      <c r="G2521">
        <v>1.1000000000000001</v>
      </c>
      <c r="H2521" t="s">
        <v>10310</v>
      </c>
      <c r="I2521" t="s">
        <v>10325</v>
      </c>
      <c r="L2521">
        <v>1984</v>
      </c>
      <c r="R2521" t="s">
        <v>11038</v>
      </c>
      <c r="S2521" t="s">
        <v>10310</v>
      </c>
      <c r="W2521" s="2" t="s">
        <v>11202</v>
      </c>
    </row>
    <row r="2522" spans="1:23" hidden="1" x14ac:dyDescent="0.45">
      <c r="A2522" s="1" t="s">
        <v>2505</v>
      </c>
      <c r="B2522" t="s">
        <v>6213</v>
      </c>
      <c r="D2522" t="s">
        <v>8001</v>
      </c>
      <c r="E2522" t="s">
        <v>9542</v>
      </c>
      <c r="F2522" t="s">
        <v>10297</v>
      </c>
      <c r="G2522">
        <v>6.44</v>
      </c>
      <c r="H2522" t="s">
        <v>10310</v>
      </c>
      <c r="I2522" t="s">
        <v>10325</v>
      </c>
      <c r="L2522">
        <v>1988</v>
      </c>
      <c r="R2522" t="s">
        <v>11038</v>
      </c>
      <c r="S2522" t="s">
        <v>10310</v>
      </c>
      <c r="W2522" s="2" t="s">
        <v>11202</v>
      </c>
    </row>
    <row r="2523" spans="1:23" hidden="1" x14ac:dyDescent="0.45">
      <c r="A2523" s="1" t="s">
        <v>2506</v>
      </c>
      <c r="B2523" t="s">
        <v>6213</v>
      </c>
      <c r="D2523" t="s">
        <v>8001</v>
      </c>
      <c r="E2523" t="s">
        <v>9542</v>
      </c>
      <c r="F2523" t="s">
        <v>10297</v>
      </c>
      <c r="G2523">
        <v>6.44</v>
      </c>
      <c r="H2523" t="s">
        <v>10310</v>
      </c>
      <c r="I2523" t="s">
        <v>10325</v>
      </c>
      <c r="L2523">
        <v>1988</v>
      </c>
      <c r="R2523" t="s">
        <v>11038</v>
      </c>
      <c r="S2523" t="s">
        <v>10310</v>
      </c>
      <c r="W2523" s="2" t="s">
        <v>11202</v>
      </c>
    </row>
    <row r="2524" spans="1:23" hidden="1" x14ac:dyDescent="0.45">
      <c r="A2524" s="1" t="s">
        <v>2507</v>
      </c>
      <c r="B2524" t="s">
        <v>6213</v>
      </c>
      <c r="D2524" t="s">
        <v>8001</v>
      </c>
      <c r="E2524" t="s">
        <v>9542</v>
      </c>
      <c r="F2524" t="s">
        <v>10297</v>
      </c>
      <c r="G2524">
        <v>6.44</v>
      </c>
      <c r="H2524" t="s">
        <v>10310</v>
      </c>
      <c r="I2524" t="s">
        <v>10325</v>
      </c>
      <c r="L2524">
        <v>1988</v>
      </c>
      <c r="R2524" t="s">
        <v>11038</v>
      </c>
      <c r="S2524" t="s">
        <v>10310</v>
      </c>
      <c r="W2524" s="2" t="s">
        <v>11202</v>
      </c>
    </row>
    <row r="2525" spans="1:23" hidden="1" x14ac:dyDescent="0.45">
      <c r="A2525" s="1" t="s">
        <v>2508</v>
      </c>
      <c r="B2525" t="s">
        <v>6213</v>
      </c>
      <c r="D2525" t="s">
        <v>8001</v>
      </c>
      <c r="E2525" t="s">
        <v>9543</v>
      </c>
      <c r="F2525" t="s">
        <v>10297</v>
      </c>
      <c r="G2525">
        <v>1.6</v>
      </c>
      <c r="H2525" t="s">
        <v>10310</v>
      </c>
      <c r="I2525" t="s">
        <v>10325</v>
      </c>
      <c r="L2525">
        <v>1934</v>
      </c>
      <c r="R2525" t="s">
        <v>11038</v>
      </c>
      <c r="S2525" t="s">
        <v>10310</v>
      </c>
      <c r="W2525" s="2" t="s">
        <v>11202</v>
      </c>
    </row>
    <row r="2526" spans="1:23" hidden="1" x14ac:dyDescent="0.45">
      <c r="A2526" s="1" t="s">
        <v>2509</v>
      </c>
      <c r="B2526" t="s">
        <v>6213</v>
      </c>
      <c r="D2526" t="s">
        <v>8001</v>
      </c>
      <c r="E2526" t="s">
        <v>9543</v>
      </c>
      <c r="F2526" t="s">
        <v>10297</v>
      </c>
      <c r="G2526">
        <v>1.23</v>
      </c>
      <c r="H2526" t="s">
        <v>10310</v>
      </c>
      <c r="I2526" t="s">
        <v>10325</v>
      </c>
      <c r="L2526">
        <v>1934</v>
      </c>
      <c r="R2526" t="s">
        <v>11038</v>
      </c>
      <c r="S2526" t="s">
        <v>10310</v>
      </c>
      <c r="W2526" s="2" t="s">
        <v>11202</v>
      </c>
    </row>
    <row r="2527" spans="1:23" hidden="1" x14ac:dyDescent="0.45">
      <c r="A2527" s="1" t="s">
        <v>2510</v>
      </c>
      <c r="B2527" t="s">
        <v>6213</v>
      </c>
      <c r="D2527" t="s">
        <v>8001</v>
      </c>
      <c r="E2527" t="s">
        <v>9535</v>
      </c>
      <c r="F2527" t="s">
        <v>10297</v>
      </c>
      <c r="G2527">
        <v>0.9</v>
      </c>
      <c r="H2527" t="s">
        <v>10310</v>
      </c>
      <c r="I2527" t="s">
        <v>10325</v>
      </c>
      <c r="L2527">
        <v>1982</v>
      </c>
      <c r="R2527" t="s">
        <v>11038</v>
      </c>
      <c r="S2527" t="s">
        <v>10310</v>
      </c>
      <c r="W2527" s="2" t="s">
        <v>11202</v>
      </c>
    </row>
    <row r="2528" spans="1:23" hidden="1" x14ac:dyDescent="0.45">
      <c r="A2528" s="1" t="s">
        <v>2511</v>
      </c>
      <c r="B2528" t="s">
        <v>6199</v>
      </c>
      <c r="D2528" t="s">
        <v>7990</v>
      </c>
      <c r="E2528" t="s">
        <v>9543</v>
      </c>
      <c r="F2528" t="s">
        <v>10297</v>
      </c>
      <c r="G2528">
        <v>0.32</v>
      </c>
      <c r="H2528" t="s">
        <v>10310</v>
      </c>
      <c r="I2528" t="s">
        <v>10325</v>
      </c>
      <c r="L2528">
        <v>1985</v>
      </c>
      <c r="R2528" t="s">
        <v>11038</v>
      </c>
      <c r="S2528" t="s">
        <v>10310</v>
      </c>
      <c r="W2528" s="2" t="s">
        <v>11202</v>
      </c>
    </row>
    <row r="2529" spans="1:23" hidden="1" x14ac:dyDescent="0.45">
      <c r="A2529" s="1" t="s">
        <v>2512</v>
      </c>
      <c r="B2529" t="s">
        <v>6213</v>
      </c>
      <c r="D2529" t="s">
        <v>8001</v>
      </c>
      <c r="E2529" t="s">
        <v>9538</v>
      </c>
      <c r="F2529" t="s">
        <v>10297</v>
      </c>
      <c r="G2529">
        <v>30.6</v>
      </c>
      <c r="H2529" t="s">
        <v>10310</v>
      </c>
      <c r="I2529" t="s">
        <v>10327</v>
      </c>
      <c r="L2529">
        <v>1969</v>
      </c>
      <c r="N2529">
        <v>42.722707</v>
      </c>
      <c r="P2529">
        <v>-0.46290599999999998</v>
      </c>
      <c r="R2529" t="s">
        <v>11038</v>
      </c>
      <c r="S2529" t="s">
        <v>10310</v>
      </c>
      <c r="W2529" s="2" t="s">
        <v>11202</v>
      </c>
    </row>
    <row r="2530" spans="1:23" hidden="1" x14ac:dyDescent="0.45">
      <c r="A2530" s="1" t="s">
        <v>2513</v>
      </c>
      <c r="B2530" t="s">
        <v>6213</v>
      </c>
      <c r="D2530" t="s">
        <v>8001</v>
      </c>
      <c r="E2530" t="s">
        <v>9538</v>
      </c>
      <c r="F2530" t="s">
        <v>10297</v>
      </c>
      <c r="G2530">
        <v>30.35</v>
      </c>
      <c r="H2530" t="s">
        <v>10310</v>
      </c>
      <c r="I2530" t="s">
        <v>10327</v>
      </c>
      <c r="L2530">
        <v>1969</v>
      </c>
      <c r="N2530">
        <v>42.722707</v>
      </c>
      <c r="P2530">
        <v>-0.46290599999999998</v>
      </c>
      <c r="R2530" t="s">
        <v>11038</v>
      </c>
      <c r="S2530" t="s">
        <v>10310</v>
      </c>
      <c r="W2530" s="2" t="s">
        <v>11202</v>
      </c>
    </row>
    <row r="2531" spans="1:23" hidden="1" x14ac:dyDescent="0.45">
      <c r="A2531" s="1" t="s">
        <v>2514</v>
      </c>
      <c r="B2531" t="s">
        <v>6213</v>
      </c>
      <c r="D2531" t="s">
        <v>8001</v>
      </c>
      <c r="E2531" t="s">
        <v>9538</v>
      </c>
      <c r="F2531" t="s">
        <v>10297</v>
      </c>
      <c r="G2531">
        <v>29.3</v>
      </c>
      <c r="H2531" t="s">
        <v>10310</v>
      </c>
      <c r="I2531" t="s">
        <v>10327</v>
      </c>
      <c r="L2531">
        <v>1969</v>
      </c>
      <c r="N2531">
        <v>42.722707</v>
      </c>
      <c r="P2531">
        <v>-0.46290599999999998</v>
      </c>
      <c r="R2531" t="s">
        <v>11038</v>
      </c>
      <c r="S2531" t="s">
        <v>10310</v>
      </c>
      <c r="W2531" s="2" t="s">
        <v>11202</v>
      </c>
    </row>
    <row r="2532" spans="1:23" hidden="1" x14ac:dyDescent="0.45">
      <c r="A2532" s="1" t="s">
        <v>2515</v>
      </c>
      <c r="B2532" t="s">
        <v>6213</v>
      </c>
      <c r="D2532" t="s">
        <v>8001</v>
      </c>
      <c r="E2532" t="s">
        <v>9544</v>
      </c>
      <c r="F2532" t="s">
        <v>10297</v>
      </c>
      <c r="G2532">
        <v>5</v>
      </c>
      <c r="H2532" t="s">
        <v>10310</v>
      </c>
      <c r="I2532" t="s">
        <v>10325</v>
      </c>
      <c r="L2532">
        <v>1961</v>
      </c>
      <c r="R2532" t="s">
        <v>11038</v>
      </c>
      <c r="S2532" t="s">
        <v>10310</v>
      </c>
      <c r="W2532" s="2" t="s">
        <v>11202</v>
      </c>
    </row>
    <row r="2533" spans="1:23" hidden="1" x14ac:dyDescent="0.45">
      <c r="A2533" s="1" t="s">
        <v>2516</v>
      </c>
      <c r="B2533" t="s">
        <v>6213</v>
      </c>
      <c r="D2533" t="s">
        <v>8001</v>
      </c>
      <c r="E2533" t="s">
        <v>9544</v>
      </c>
      <c r="F2533" t="s">
        <v>10297</v>
      </c>
      <c r="G2533">
        <v>5</v>
      </c>
      <c r="H2533" t="s">
        <v>10310</v>
      </c>
      <c r="I2533" t="s">
        <v>10325</v>
      </c>
      <c r="L2533">
        <v>1961</v>
      </c>
      <c r="R2533" t="s">
        <v>11038</v>
      </c>
      <c r="S2533" t="s">
        <v>10310</v>
      </c>
      <c r="W2533" s="2" t="s">
        <v>11202</v>
      </c>
    </row>
    <row r="2534" spans="1:23" hidden="1" x14ac:dyDescent="0.45">
      <c r="A2534" s="1" t="s">
        <v>2517</v>
      </c>
      <c r="B2534" t="s">
        <v>6213</v>
      </c>
      <c r="D2534" t="s">
        <v>8001</v>
      </c>
      <c r="E2534" t="s">
        <v>9544</v>
      </c>
      <c r="F2534" t="s">
        <v>10297</v>
      </c>
      <c r="G2534">
        <v>5</v>
      </c>
      <c r="H2534" t="s">
        <v>10310</v>
      </c>
      <c r="I2534" t="s">
        <v>10325</v>
      </c>
      <c r="L2534">
        <v>1961</v>
      </c>
      <c r="R2534" t="s">
        <v>11038</v>
      </c>
      <c r="S2534" t="s">
        <v>10310</v>
      </c>
      <c r="W2534" s="2" t="s">
        <v>11202</v>
      </c>
    </row>
    <row r="2535" spans="1:23" hidden="1" x14ac:dyDescent="0.45">
      <c r="A2535" s="1" t="s">
        <v>2518</v>
      </c>
      <c r="B2535" t="s">
        <v>6213</v>
      </c>
      <c r="D2535" t="s">
        <v>8001</v>
      </c>
      <c r="E2535" t="s">
        <v>9545</v>
      </c>
      <c r="F2535" t="s">
        <v>10297</v>
      </c>
      <c r="G2535">
        <v>7.75</v>
      </c>
      <c r="H2535" t="s">
        <v>10310</v>
      </c>
      <c r="I2535" t="s">
        <v>10325</v>
      </c>
      <c r="L2535">
        <v>1967</v>
      </c>
      <c r="R2535" t="s">
        <v>11038</v>
      </c>
      <c r="S2535" t="s">
        <v>10310</v>
      </c>
      <c r="W2535" s="2" t="s">
        <v>11202</v>
      </c>
    </row>
    <row r="2536" spans="1:23" hidden="1" x14ac:dyDescent="0.45">
      <c r="A2536" s="1" t="s">
        <v>2519</v>
      </c>
      <c r="B2536" t="s">
        <v>6213</v>
      </c>
      <c r="D2536" t="s">
        <v>8001</v>
      </c>
      <c r="E2536" t="s">
        <v>9545</v>
      </c>
      <c r="F2536" t="s">
        <v>10297</v>
      </c>
      <c r="G2536">
        <v>8.2899999999999991</v>
      </c>
      <c r="H2536" t="s">
        <v>10310</v>
      </c>
      <c r="I2536" t="s">
        <v>10325</v>
      </c>
      <c r="L2536">
        <v>1968</v>
      </c>
      <c r="R2536" t="s">
        <v>11038</v>
      </c>
      <c r="S2536" t="s">
        <v>10310</v>
      </c>
      <c r="W2536" s="2" t="s">
        <v>11202</v>
      </c>
    </row>
    <row r="2537" spans="1:23" hidden="1" x14ac:dyDescent="0.45">
      <c r="A2537" s="1" t="s">
        <v>2520</v>
      </c>
      <c r="B2537" t="s">
        <v>6213</v>
      </c>
      <c r="D2537" t="s">
        <v>8001</v>
      </c>
      <c r="E2537" t="s">
        <v>9535</v>
      </c>
      <c r="F2537" t="s">
        <v>10297</v>
      </c>
      <c r="G2537">
        <v>5.3</v>
      </c>
      <c r="H2537" t="s">
        <v>10310</v>
      </c>
      <c r="I2537" t="s">
        <v>10325</v>
      </c>
      <c r="L2537">
        <v>1966</v>
      </c>
      <c r="R2537" t="s">
        <v>11038</v>
      </c>
      <c r="S2537" t="s">
        <v>10310</v>
      </c>
      <c r="W2537" s="2" t="s">
        <v>11202</v>
      </c>
    </row>
    <row r="2538" spans="1:23" hidden="1" x14ac:dyDescent="0.45">
      <c r="A2538" s="1" t="s">
        <v>2521</v>
      </c>
      <c r="B2538" t="s">
        <v>6213</v>
      </c>
      <c r="D2538" t="s">
        <v>8001</v>
      </c>
      <c r="E2538" t="s">
        <v>9535</v>
      </c>
      <c r="F2538" t="s">
        <v>10297</v>
      </c>
      <c r="G2538">
        <v>5.3</v>
      </c>
      <c r="H2538" t="s">
        <v>10310</v>
      </c>
      <c r="I2538" t="s">
        <v>10325</v>
      </c>
      <c r="L2538">
        <v>1966</v>
      </c>
      <c r="R2538" t="s">
        <v>11038</v>
      </c>
      <c r="S2538" t="s">
        <v>10310</v>
      </c>
      <c r="W2538" s="2" t="s">
        <v>11202</v>
      </c>
    </row>
    <row r="2539" spans="1:23" hidden="1" x14ac:dyDescent="0.45">
      <c r="A2539" s="1" t="s">
        <v>2522</v>
      </c>
      <c r="B2539" t="s">
        <v>6213</v>
      </c>
      <c r="D2539" t="s">
        <v>8001</v>
      </c>
      <c r="E2539" t="s">
        <v>9546</v>
      </c>
      <c r="F2539" t="s">
        <v>10297</v>
      </c>
      <c r="G2539">
        <v>0.72</v>
      </c>
      <c r="H2539" t="s">
        <v>10310</v>
      </c>
      <c r="I2539" t="s">
        <v>10325</v>
      </c>
      <c r="L2539">
        <v>1985</v>
      </c>
      <c r="R2539" t="s">
        <v>11038</v>
      </c>
      <c r="S2539" t="s">
        <v>10310</v>
      </c>
      <c r="W2539" s="2" t="s">
        <v>11202</v>
      </c>
    </row>
    <row r="2540" spans="1:23" hidden="1" x14ac:dyDescent="0.45">
      <c r="A2540" s="1" t="s">
        <v>2523</v>
      </c>
      <c r="B2540" t="s">
        <v>6199</v>
      </c>
      <c r="D2540" t="s">
        <v>7990</v>
      </c>
      <c r="E2540" t="s">
        <v>9547</v>
      </c>
      <c r="F2540" t="s">
        <v>10297</v>
      </c>
      <c r="G2540">
        <v>20.7</v>
      </c>
      <c r="H2540" t="s">
        <v>10310</v>
      </c>
      <c r="I2540" t="s">
        <v>10326</v>
      </c>
      <c r="L2540">
        <v>1932</v>
      </c>
      <c r="N2540">
        <v>42.542878000000002</v>
      </c>
      <c r="P2540">
        <v>0.19802800000000001</v>
      </c>
      <c r="R2540" t="s">
        <v>11038</v>
      </c>
      <c r="S2540" t="s">
        <v>10310</v>
      </c>
      <c r="W2540" s="2" t="s">
        <v>11202</v>
      </c>
    </row>
    <row r="2541" spans="1:23" hidden="1" x14ac:dyDescent="0.45">
      <c r="A2541" s="1" t="s">
        <v>2524</v>
      </c>
      <c r="B2541" t="s">
        <v>6199</v>
      </c>
      <c r="D2541" t="s">
        <v>7990</v>
      </c>
      <c r="E2541" t="s">
        <v>9547</v>
      </c>
      <c r="F2541" t="s">
        <v>10297</v>
      </c>
      <c r="G2541">
        <v>20.7</v>
      </c>
      <c r="H2541" t="s">
        <v>10310</v>
      </c>
      <c r="I2541" t="s">
        <v>10326</v>
      </c>
      <c r="L2541">
        <v>1932</v>
      </c>
      <c r="N2541">
        <v>42.542878000000002</v>
      </c>
      <c r="P2541">
        <v>0.19802800000000001</v>
      </c>
      <c r="R2541" t="s">
        <v>11038</v>
      </c>
      <c r="S2541" t="s">
        <v>10310</v>
      </c>
      <c r="W2541" s="2" t="s">
        <v>11202</v>
      </c>
    </row>
    <row r="2542" spans="1:23" hidden="1" x14ac:dyDescent="0.45">
      <c r="A2542" s="1" t="s">
        <v>2525</v>
      </c>
      <c r="B2542" t="s">
        <v>6213</v>
      </c>
      <c r="D2542" t="s">
        <v>8001</v>
      </c>
      <c r="E2542" t="s">
        <v>9547</v>
      </c>
      <c r="F2542" t="s">
        <v>10297</v>
      </c>
      <c r="G2542">
        <v>14</v>
      </c>
      <c r="H2542" t="s">
        <v>10310</v>
      </c>
      <c r="I2542" t="s">
        <v>10326</v>
      </c>
      <c r="L2542">
        <v>1923</v>
      </c>
      <c r="N2542">
        <v>42.543495999999998</v>
      </c>
      <c r="P2542">
        <v>0.18304000000000001</v>
      </c>
      <c r="R2542" t="s">
        <v>11038</v>
      </c>
      <c r="S2542" t="s">
        <v>10310</v>
      </c>
      <c r="W2542" s="2" t="s">
        <v>11202</v>
      </c>
    </row>
    <row r="2543" spans="1:23" hidden="1" x14ac:dyDescent="0.45">
      <c r="A2543" s="1" t="s">
        <v>2526</v>
      </c>
      <c r="B2543" t="s">
        <v>6213</v>
      </c>
      <c r="D2543" t="s">
        <v>8001</v>
      </c>
      <c r="E2543" t="s">
        <v>9547</v>
      </c>
      <c r="F2543" t="s">
        <v>10297</v>
      </c>
      <c r="G2543">
        <v>14</v>
      </c>
      <c r="H2543" t="s">
        <v>10310</v>
      </c>
      <c r="I2543" t="s">
        <v>10326</v>
      </c>
      <c r="L2543">
        <v>1923</v>
      </c>
      <c r="N2543">
        <v>42.543495999999998</v>
      </c>
      <c r="P2543">
        <v>0.18304000000000001</v>
      </c>
      <c r="R2543" t="s">
        <v>11038</v>
      </c>
      <c r="S2543" t="s">
        <v>10310</v>
      </c>
      <c r="W2543" s="2" t="s">
        <v>11202</v>
      </c>
    </row>
    <row r="2544" spans="1:23" hidden="1" x14ac:dyDescent="0.45">
      <c r="A2544" s="1" t="s">
        <v>2527</v>
      </c>
      <c r="B2544" t="s">
        <v>6213</v>
      </c>
      <c r="D2544" t="s">
        <v>8001</v>
      </c>
      <c r="E2544" t="s">
        <v>9547</v>
      </c>
      <c r="F2544" t="s">
        <v>10297</v>
      </c>
      <c r="G2544">
        <v>14</v>
      </c>
      <c r="H2544" t="s">
        <v>10310</v>
      </c>
      <c r="I2544" t="s">
        <v>10326</v>
      </c>
      <c r="L2544">
        <v>1923</v>
      </c>
      <c r="N2544">
        <v>42.543495999999998</v>
      </c>
      <c r="P2544">
        <v>0.18304000000000001</v>
      </c>
      <c r="R2544" t="s">
        <v>11038</v>
      </c>
      <c r="S2544" t="s">
        <v>10310</v>
      </c>
      <c r="W2544" s="2" t="s">
        <v>11202</v>
      </c>
    </row>
    <row r="2545" spans="1:23" hidden="1" x14ac:dyDescent="0.45">
      <c r="A2545" s="1" t="s">
        <v>2528</v>
      </c>
      <c r="B2545" t="s">
        <v>6213</v>
      </c>
      <c r="D2545" t="s">
        <v>8001</v>
      </c>
      <c r="E2545" t="s">
        <v>9548</v>
      </c>
      <c r="F2545" t="s">
        <v>10297</v>
      </c>
      <c r="G2545">
        <v>7.23</v>
      </c>
      <c r="H2545" t="s">
        <v>10310</v>
      </c>
      <c r="I2545" t="s">
        <v>10326</v>
      </c>
      <c r="L2545">
        <v>1965</v>
      </c>
      <c r="R2545" t="s">
        <v>11038</v>
      </c>
      <c r="S2545" t="s">
        <v>10310</v>
      </c>
      <c r="W2545" s="2" t="s">
        <v>11202</v>
      </c>
    </row>
    <row r="2546" spans="1:23" hidden="1" x14ac:dyDescent="0.45">
      <c r="A2546" s="1" t="s">
        <v>2529</v>
      </c>
      <c r="B2546" t="s">
        <v>6213</v>
      </c>
      <c r="D2546" t="s">
        <v>8001</v>
      </c>
      <c r="E2546" t="s">
        <v>9548</v>
      </c>
      <c r="F2546" t="s">
        <v>10297</v>
      </c>
      <c r="G2546">
        <v>7.29</v>
      </c>
      <c r="H2546" t="s">
        <v>10310</v>
      </c>
      <c r="I2546" t="s">
        <v>10326</v>
      </c>
      <c r="L2546">
        <v>1965</v>
      </c>
      <c r="R2546" t="s">
        <v>11038</v>
      </c>
      <c r="S2546" t="s">
        <v>10310</v>
      </c>
      <c r="W2546" s="2" t="s">
        <v>11202</v>
      </c>
    </row>
    <row r="2547" spans="1:23" hidden="1" x14ac:dyDescent="0.45">
      <c r="A2547" s="1" t="s">
        <v>2530</v>
      </c>
      <c r="B2547" t="s">
        <v>6213</v>
      </c>
      <c r="D2547" t="s">
        <v>8001</v>
      </c>
      <c r="E2547" t="s">
        <v>9549</v>
      </c>
      <c r="F2547" t="s">
        <v>10297</v>
      </c>
      <c r="G2547">
        <v>3.47</v>
      </c>
      <c r="H2547" t="s">
        <v>10310</v>
      </c>
      <c r="I2547" t="s">
        <v>10325</v>
      </c>
      <c r="L2547">
        <v>1949</v>
      </c>
      <c r="R2547" t="s">
        <v>11038</v>
      </c>
      <c r="S2547" t="s">
        <v>10310</v>
      </c>
      <c r="W2547" s="2" t="s">
        <v>11202</v>
      </c>
    </row>
    <row r="2548" spans="1:23" hidden="1" x14ac:dyDescent="0.45">
      <c r="A2548" s="1" t="s">
        <v>2531</v>
      </c>
      <c r="B2548" t="s">
        <v>6213</v>
      </c>
      <c r="D2548" t="s">
        <v>8001</v>
      </c>
      <c r="E2548" t="s">
        <v>9549</v>
      </c>
      <c r="F2548" t="s">
        <v>10297</v>
      </c>
      <c r="G2548">
        <v>3.41</v>
      </c>
      <c r="H2548" t="s">
        <v>10310</v>
      </c>
      <c r="I2548" t="s">
        <v>10325</v>
      </c>
      <c r="L2548">
        <v>1978</v>
      </c>
      <c r="R2548" t="s">
        <v>11038</v>
      </c>
      <c r="S2548" t="s">
        <v>10310</v>
      </c>
      <c r="W2548" s="2" t="s">
        <v>11202</v>
      </c>
    </row>
    <row r="2549" spans="1:23" hidden="1" x14ac:dyDescent="0.45">
      <c r="A2549" s="1" t="s">
        <v>2532</v>
      </c>
      <c r="B2549" t="s">
        <v>6213</v>
      </c>
      <c r="D2549" t="s">
        <v>8001</v>
      </c>
      <c r="E2549" t="s">
        <v>9546</v>
      </c>
      <c r="F2549" t="s">
        <v>10297</v>
      </c>
      <c r="G2549">
        <v>0.48</v>
      </c>
      <c r="H2549" t="s">
        <v>10310</v>
      </c>
      <c r="I2549" t="s">
        <v>10325</v>
      </c>
      <c r="L2549">
        <v>1947</v>
      </c>
      <c r="R2549" t="s">
        <v>11038</v>
      </c>
      <c r="S2549" t="s">
        <v>10310</v>
      </c>
      <c r="W2549" s="2" t="s">
        <v>11202</v>
      </c>
    </row>
    <row r="2550" spans="1:23" hidden="1" x14ac:dyDescent="0.45">
      <c r="A2550" s="1" t="s">
        <v>2533</v>
      </c>
      <c r="B2550" t="s">
        <v>6213</v>
      </c>
      <c r="D2550" t="s">
        <v>8001</v>
      </c>
      <c r="E2550" t="s">
        <v>9546</v>
      </c>
      <c r="F2550" t="s">
        <v>10297</v>
      </c>
      <c r="G2550">
        <v>0.48</v>
      </c>
      <c r="H2550" t="s">
        <v>10310</v>
      </c>
      <c r="I2550" t="s">
        <v>10325</v>
      </c>
      <c r="L2550">
        <v>1947</v>
      </c>
      <c r="R2550" t="s">
        <v>11038</v>
      </c>
      <c r="S2550" t="s">
        <v>10310</v>
      </c>
      <c r="W2550" s="2" t="s">
        <v>11202</v>
      </c>
    </row>
    <row r="2551" spans="1:23" hidden="1" x14ac:dyDescent="0.45">
      <c r="A2551" s="1" t="s">
        <v>2534</v>
      </c>
      <c r="B2551" t="s">
        <v>6199</v>
      </c>
      <c r="D2551" t="s">
        <v>7990</v>
      </c>
      <c r="E2551" t="s">
        <v>9550</v>
      </c>
      <c r="F2551" t="s">
        <v>10297</v>
      </c>
      <c r="G2551">
        <v>0.32</v>
      </c>
      <c r="H2551" t="s">
        <v>10310</v>
      </c>
      <c r="I2551" t="s">
        <v>10325</v>
      </c>
      <c r="L2551">
        <v>1985</v>
      </c>
      <c r="R2551" t="s">
        <v>11038</v>
      </c>
      <c r="S2551" t="s">
        <v>10310</v>
      </c>
      <c r="W2551" s="2" t="s">
        <v>11202</v>
      </c>
    </row>
    <row r="2552" spans="1:23" hidden="1" x14ac:dyDescent="0.45">
      <c r="A2552" s="1" t="s">
        <v>2535</v>
      </c>
      <c r="B2552" t="s">
        <v>6213</v>
      </c>
      <c r="D2552" t="s">
        <v>8001</v>
      </c>
      <c r="E2552" t="s">
        <v>9550</v>
      </c>
      <c r="F2552" t="s">
        <v>10297</v>
      </c>
      <c r="G2552">
        <v>0.51</v>
      </c>
      <c r="H2552" t="s">
        <v>10310</v>
      </c>
      <c r="I2552" t="s">
        <v>10325</v>
      </c>
      <c r="L2552">
        <v>1985</v>
      </c>
      <c r="R2552" t="s">
        <v>11038</v>
      </c>
      <c r="S2552" t="s">
        <v>10310</v>
      </c>
      <c r="W2552" s="2" t="s">
        <v>11202</v>
      </c>
    </row>
    <row r="2553" spans="1:23" hidden="1" x14ac:dyDescent="0.45">
      <c r="A2553" s="1" t="s">
        <v>2536</v>
      </c>
      <c r="B2553" t="s">
        <v>6213</v>
      </c>
      <c r="D2553" t="s">
        <v>8001</v>
      </c>
      <c r="E2553" t="s">
        <v>9551</v>
      </c>
      <c r="F2553" t="s">
        <v>10297</v>
      </c>
      <c r="G2553">
        <v>2</v>
      </c>
      <c r="H2553" t="s">
        <v>10310</v>
      </c>
      <c r="I2553" t="s">
        <v>10325</v>
      </c>
      <c r="L2553">
        <v>1963</v>
      </c>
      <c r="R2553" t="s">
        <v>11038</v>
      </c>
      <c r="S2553" t="s">
        <v>10310</v>
      </c>
      <c r="W2553" s="2" t="s">
        <v>11202</v>
      </c>
    </row>
    <row r="2554" spans="1:23" hidden="1" x14ac:dyDescent="0.45">
      <c r="A2554" s="1" t="s">
        <v>2537</v>
      </c>
      <c r="B2554" t="s">
        <v>6213</v>
      </c>
      <c r="D2554" t="s">
        <v>8001</v>
      </c>
      <c r="E2554" t="s">
        <v>9551</v>
      </c>
      <c r="F2554" t="s">
        <v>10297</v>
      </c>
      <c r="G2554">
        <v>2</v>
      </c>
      <c r="H2554" t="s">
        <v>10310</v>
      </c>
      <c r="I2554" t="s">
        <v>10325</v>
      </c>
      <c r="L2554">
        <v>1963</v>
      </c>
      <c r="R2554" t="s">
        <v>11038</v>
      </c>
      <c r="S2554" t="s">
        <v>10310</v>
      </c>
      <c r="W2554" s="2" t="s">
        <v>11202</v>
      </c>
    </row>
    <row r="2555" spans="1:23" hidden="1" x14ac:dyDescent="0.45">
      <c r="A2555" s="1" t="s">
        <v>2538</v>
      </c>
      <c r="B2555" t="s">
        <v>6213</v>
      </c>
      <c r="D2555" t="s">
        <v>8001</v>
      </c>
      <c r="E2555" t="s">
        <v>9552</v>
      </c>
      <c r="F2555" t="s">
        <v>10297</v>
      </c>
      <c r="G2555">
        <v>1.18</v>
      </c>
      <c r="H2555" t="s">
        <v>10310</v>
      </c>
      <c r="I2555" t="s">
        <v>10325</v>
      </c>
      <c r="L2555">
        <v>1989</v>
      </c>
      <c r="R2555" t="s">
        <v>11038</v>
      </c>
      <c r="S2555" t="s">
        <v>10310</v>
      </c>
      <c r="W2555" s="2" t="s">
        <v>11202</v>
      </c>
    </row>
    <row r="2556" spans="1:23" hidden="1" x14ac:dyDescent="0.45">
      <c r="A2556" s="1" t="s">
        <v>2539</v>
      </c>
      <c r="B2556" t="s">
        <v>6213</v>
      </c>
      <c r="D2556" t="s">
        <v>8001</v>
      </c>
      <c r="E2556" t="s">
        <v>9544</v>
      </c>
      <c r="F2556" t="s">
        <v>10297</v>
      </c>
      <c r="G2556">
        <v>3.4</v>
      </c>
      <c r="H2556" t="s">
        <v>10310</v>
      </c>
      <c r="I2556" t="s">
        <v>10325</v>
      </c>
      <c r="L2556">
        <v>1964</v>
      </c>
      <c r="R2556" t="s">
        <v>11038</v>
      </c>
      <c r="S2556" t="s">
        <v>10310</v>
      </c>
      <c r="W2556" s="2" t="s">
        <v>11202</v>
      </c>
    </row>
    <row r="2557" spans="1:23" hidden="1" x14ac:dyDescent="0.45">
      <c r="A2557" s="1" t="s">
        <v>2540</v>
      </c>
      <c r="B2557" t="s">
        <v>6213</v>
      </c>
      <c r="D2557" t="s">
        <v>8001</v>
      </c>
      <c r="E2557" t="s">
        <v>9544</v>
      </c>
      <c r="F2557" t="s">
        <v>10297</v>
      </c>
      <c r="G2557">
        <v>3.4</v>
      </c>
      <c r="H2557" t="s">
        <v>10310</v>
      </c>
      <c r="I2557" t="s">
        <v>10325</v>
      </c>
      <c r="L2557">
        <v>1964</v>
      </c>
      <c r="R2557" t="s">
        <v>11038</v>
      </c>
      <c r="S2557" t="s">
        <v>10310</v>
      </c>
      <c r="W2557" s="2" t="s">
        <v>11202</v>
      </c>
    </row>
    <row r="2558" spans="1:23" hidden="1" x14ac:dyDescent="0.45">
      <c r="A2558" s="1" t="s">
        <v>2541</v>
      </c>
      <c r="B2558" t="s">
        <v>6213</v>
      </c>
      <c r="D2558" t="s">
        <v>8001</v>
      </c>
      <c r="E2558" t="s">
        <v>9547</v>
      </c>
      <c r="F2558" t="s">
        <v>10297</v>
      </c>
      <c r="G2558">
        <v>2.4</v>
      </c>
      <c r="H2558" t="s">
        <v>10310</v>
      </c>
      <c r="I2558" t="s">
        <v>10325</v>
      </c>
      <c r="L2558">
        <v>1948</v>
      </c>
      <c r="R2558" t="s">
        <v>11038</v>
      </c>
      <c r="S2558" t="s">
        <v>10310</v>
      </c>
      <c r="W2558" s="2" t="s">
        <v>11202</v>
      </c>
    </row>
    <row r="2559" spans="1:23" hidden="1" x14ac:dyDescent="0.45">
      <c r="A2559" s="1" t="s">
        <v>2542</v>
      </c>
      <c r="B2559" t="s">
        <v>6213</v>
      </c>
      <c r="D2559" t="s">
        <v>8001</v>
      </c>
      <c r="E2559" t="s">
        <v>9553</v>
      </c>
      <c r="F2559" t="s">
        <v>10297</v>
      </c>
      <c r="G2559">
        <v>0.51</v>
      </c>
      <c r="H2559" t="s">
        <v>10310</v>
      </c>
      <c r="I2559" t="s">
        <v>10325</v>
      </c>
      <c r="L2559">
        <v>1959</v>
      </c>
      <c r="R2559" t="s">
        <v>11038</v>
      </c>
      <c r="S2559" t="s">
        <v>10310</v>
      </c>
      <c r="W2559" s="2" t="s">
        <v>11202</v>
      </c>
    </row>
    <row r="2560" spans="1:23" hidden="1" x14ac:dyDescent="0.45">
      <c r="A2560" s="1" t="s">
        <v>2543</v>
      </c>
      <c r="B2560" t="s">
        <v>6216</v>
      </c>
      <c r="D2560" t="s">
        <v>8003</v>
      </c>
      <c r="E2560" t="s">
        <v>9537</v>
      </c>
      <c r="F2560" t="s">
        <v>10297</v>
      </c>
      <c r="G2560">
        <v>3.6</v>
      </c>
      <c r="H2560" t="s">
        <v>10310</v>
      </c>
      <c r="I2560" t="s">
        <v>10326</v>
      </c>
      <c r="L2560">
        <v>1930</v>
      </c>
      <c r="R2560" t="s">
        <v>11038</v>
      </c>
      <c r="S2560" t="s">
        <v>10310</v>
      </c>
      <c r="W2560" s="2" t="s">
        <v>11202</v>
      </c>
    </row>
    <row r="2561" spans="1:23" hidden="1" x14ac:dyDescent="0.45">
      <c r="A2561" s="1" t="s">
        <v>2544</v>
      </c>
      <c r="B2561" t="s">
        <v>6216</v>
      </c>
      <c r="D2561" t="s">
        <v>8003</v>
      </c>
      <c r="E2561" t="s">
        <v>9537</v>
      </c>
      <c r="F2561" t="s">
        <v>10297</v>
      </c>
      <c r="G2561">
        <v>3.6</v>
      </c>
      <c r="H2561" t="s">
        <v>10310</v>
      </c>
      <c r="I2561" t="s">
        <v>10326</v>
      </c>
      <c r="L2561">
        <v>1930</v>
      </c>
      <c r="R2561" t="s">
        <v>11038</v>
      </c>
      <c r="S2561" t="s">
        <v>10310</v>
      </c>
      <c r="W2561" s="2" t="s">
        <v>11202</v>
      </c>
    </row>
    <row r="2562" spans="1:23" hidden="1" x14ac:dyDescent="0.45">
      <c r="A2562" s="1" t="s">
        <v>2545</v>
      </c>
      <c r="B2562" t="s">
        <v>6213</v>
      </c>
      <c r="D2562" t="s">
        <v>8001</v>
      </c>
      <c r="E2562" t="s">
        <v>9554</v>
      </c>
      <c r="F2562" t="s">
        <v>10297</v>
      </c>
      <c r="G2562">
        <v>11</v>
      </c>
      <c r="H2562" t="s">
        <v>10310</v>
      </c>
      <c r="I2562" t="s">
        <v>10325</v>
      </c>
      <c r="L2562">
        <v>1978</v>
      </c>
      <c r="R2562" t="s">
        <v>11038</v>
      </c>
      <c r="S2562" t="s">
        <v>10310</v>
      </c>
      <c r="W2562" s="2" t="s">
        <v>11202</v>
      </c>
    </row>
    <row r="2563" spans="1:23" hidden="1" x14ac:dyDescent="0.45">
      <c r="A2563" s="1" t="s">
        <v>2546</v>
      </c>
      <c r="B2563" t="s">
        <v>6213</v>
      </c>
      <c r="D2563" t="s">
        <v>8001</v>
      </c>
      <c r="E2563" t="s">
        <v>9555</v>
      </c>
      <c r="F2563" t="s">
        <v>10297</v>
      </c>
      <c r="G2563">
        <v>7.67</v>
      </c>
      <c r="H2563" t="s">
        <v>10310</v>
      </c>
      <c r="I2563" t="s">
        <v>10325</v>
      </c>
      <c r="L2563">
        <v>1948</v>
      </c>
      <c r="R2563" t="s">
        <v>11038</v>
      </c>
      <c r="S2563" t="s">
        <v>10310</v>
      </c>
      <c r="W2563" s="2" t="s">
        <v>11202</v>
      </c>
    </row>
    <row r="2564" spans="1:23" hidden="1" x14ac:dyDescent="0.45">
      <c r="A2564" s="1" t="s">
        <v>2547</v>
      </c>
      <c r="B2564" t="s">
        <v>6213</v>
      </c>
      <c r="D2564" t="s">
        <v>8001</v>
      </c>
      <c r="E2564" t="s">
        <v>9555</v>
      </c>
      <c r="F2564" t="s">
        <v>10297</v>
      </c>
      <c r="G2564">
        <v>7.26</v>
      </c>
      <c r="H2564" t="s">
        <v>10310</v>
      </c>
      <c r="I2564" t="s">
        <v>10325</v>
      </c>
      <c r="L2564">
        <v>1958</v>
      </c>
      <c r="R2564" t="s">
        <v>11038</v>
      </c>
      <c r="S2564" t="s">
        <v>10310</v>
      </c>
      <c r="W2564" s="2" t="s">
        <v>11202</v>
      </c>
    </row>
    <row r="2565" spans="1:23" hidden="1" x14ac:dyDescent="0.45">
      <c r="A2565" s="1" t="s">
        <v>2548</v>
      </c>
      <c r="B2565" t="s">
        <v>6199</v>
      </c>
      <c r="D2565" t="s">
        <v>7990</v>
      </c>
      <c r="E2565" t="s">
        <v>9556</v>
      </c>
      <c r="F2565" t="s">
        <v>10297</v>
      </c>
      <c r="G2565">
        <v>4.88</v>
      </c>
      <c r="H2565" t="s">
        <v>10310</v>
      </c>
      <c r="I2565" t="s">
        <v>10325</v>
      </c>
      <c r="L2565">
        <v>1953</v>
      </c>
      <c r="R2565" t="s">
        <v>11038</v>
      </c>
      <c r="S2565" t="s">
        <v>10310</v>
      </c>
      <c r="W2565" s="2" t="s">
        <v>11202</v>
      </c>
    </row>
    <row r="2566" spans="1:23" hidden="1" x14ac:dyDescent="0.45">
      <c r="A2566" s="1" t="s">
        <v>2549</v>
      </c>
      <c r="B2566" t="s">
        <v>6199</v>
      </c>
      <c r="D2566" t="s">
        <v>7990</v>
      </c>
      <c r="E2566" t="s">
        <v>9556</v>
      </c>
      <c r="F2566" t="s">
        <v>10297</v>
      </c>
      <c r="G2566">
        <v>4.88</v>
      </c>
      <c r="H2566" t="s">
        <v>10310</v>
      </c>
      <c r="I2566" t="s">
        <v>10325</v>
      </c>
      <c r="L2566">
        <v>1953</v>
      </c>
      <c r="R2566" t="s">
        <v>11038</v>
      </c>
      <c r="S2566" t="s">
        <v>10310</v>
      </c>
      <c r="W2566" s="2" t="s">
        <v>11202</v>
      </c>
    </row>
    <row r="2567" spans="1:23" hidden="1" x14ac:dyDescent="0.45">
      <c r="A2567" s="1" t="s">
        <v>2550</v>
      </c>
      <c r="B2567" t="s">
        <v>6199</v>
      </c>
      <c r="D2567" t="s">
        <v>7990</v>
      </c>
      <c r="E2567" t="s">
        <v>9557</v>
      </c>
      <c r="F2567" t="s">
        <v>10297</v>
      </c>
      <c r="G2567">
        <v>9.41</v>
      </c>
      <c r="H2567" t="s">
        <v>10310</v>
      </c>
      <c r="I2567" t="s">
        <v>10326</v>
      </c>
      <c r="L2567">
        <v>1958</v>
      </c>
      <c r="R2567" t="s">
        <v>11038</v>
      </c>
      <c r="S2567" t="s">
        <v>10310</v>
      </c>
      <c r="W2567" s="2" t="s">
        <v>11202</v>
      </c>
    </row>
    <row r="2568" spans="1:23" hidden="1" x14ac:dyDescent="0.45">
      <c r="A2568" s="1" t="s">
        <v>2551</v>
      </c>
      <c r="B2568" t="s">
        <v>6199</v>
      </c>
      <c r="D2568" t="s">
        <v>7990</v>
      </c>
      <c r="E2568" t="s">
        <v>9557</v>
      </c>
      <c r="F2568" t="s">
        <v>10297</v>
      </c>
      <c r="G2568">
        <v>9.07</v>
      </c>
      <c r="H2568" t="s">
        <v>10310</v>
      </c>
      <c r="I2568" t="s">
        <v>10326</v>
      </c>
      <c r="L2568">
        <v>1958</v>
      </c>
      <c r="R2568" t="s">
        <v>11038</v>
      </c>
      <c r="S2568" t="s">
        <v>10310</v>
      </c>
      <c r="W2568" s="2" t="s">
        <v>11202</v>
      </c>
    </row>
    <row r="2569" spans="1:23" hidden="1" x14ac:dyDescent="0.45">
      <c r="A2569" s="1" t="s">
        <v>2552</v>
      </c>
      <c r="B2569" t="s">
        <v>6199</v>
      </c>
      <c r="D2569" t="s">
        <v>7990</v>
      </c>
      <c r="E2569" t="s">
        <v>9557</v>
      </c>
      <c r="F2569" t="s">
        <v>10297</v>
      </c>
      <c r="G2569">
        <v>9.33</v>
      </c>
      <c r="H2569" t="s">
        <v>10310</v>
      </c>
      <c r="I2569" t="s">
        <v>10326</v>
      </c>
      <c r="L2569">
        <v>1984</v>
      </c>
      <c r="R2569" t="s">
        <v>11038</v>
      </c>
      <c r="S2569" t="s">
        <v>10310</v>
      </c>
      <c r="W2569" s="2" t="s">
        <v>11202</v>
      </c>
    </row>
    <row r="2570" spans="1:23" hidden="1" x14ac:dyDescent="0.45">
      <c r="A2570" s="1" t="s">
        <v>2553</v>
      </c>
      <c r="B2570" t="s">
        <v>6199</v>
      </c>
      <c r="D2570" t="s">
        <v>7990</v>
      </c>
      <c r="E2570" t="s">
        <v>9556</v>
      </c>
      <c r="F2570" t="s">
        <v>10297</v>
      </c>
      <c r="G2570">
        <v>0.9</v>
      </c>
      <c r="H2570" t="s">
        <v>10310</v>
      </c>
      <c r="I2570" t="s">
        <v>10325</v>
      </c>
      <c r="L2570">
        <v>1967</v>
      </c>
      <c r="R2570" t="s">
        <v>11038</v>
      </c>
      <c r="S2570" t="s">
        <v>10310</v>
      </c>
      <c r="W2570" s="2" t="s">
        <v>11202</v>
      </c>
    </row>
    <row r="2571" spans="1:23" hidden="1" x14ac:dyDescent="0.45">
      <c r="A2571" s="1" t="s">
        <v>2554</v>
      </c>
      <c r="B2571" t="s">
        <v>6199</v>
      </c>
      <c r="D2571" t="s">
        <v>7990</v>
      </c>
      <c r="E2571" t="s">
        <v>9558</v>
      </c>
      <c r="F2571" t="s">
        <v>10297</v>
      </c>
      <c r="G2571">
        <v>6.4</v>
      </c>
      <c r="H2571" t="s">
        <v>10310</v>
      </c>
      <c r="I2571" t="s">
        <v>10326</v>
      </c>
      <c r="L2571">
        <v>1962</v>
      </c>
      <c r="R2571" t="s">
        <v>11038</v>
      </c>
      <c r="S2571" t="s">
        <v>10310</v>
      </c>
      <c r="W2571" s="2" t="s">
        <v>11202</v>
      </c>
    </row>
    <row r="2572" spans="1:23" hidden="1" x14ac:dyDescent="0.45">
      <c r="A2572" s="1" t="s">
        <v>2555</v>
      </c>
      <c r="B2572" t="s">
        <v>6199</v>
      </c>
      <c r="D2572" t="s">
        <v>7990</v>
      </c>
      <c r="E2572" t="s">
        <v>9559</v>
      </c>
      <c r="F2572" t="s">
        <v>10297</v>
      </c>
      <c r="G2572">
        <v>0.88</v>
      </c>
      <c r="H2572" t="s">
        <v>10310</v>
      </c>
      <c r="I2572" t="s">
        <v>10325</v>
      </c>
      <c r="L2572">
        <v>1961</v>
      </c>
      <c r="R2572" t="s">
        <v>11038</v>
      </c>
      <c r="S2572" t="s">
        <v>10310</v>
      </c>
      <c r="W2572" s="2" t="s">
        <v>11202</v>
      </c>
    </row>
    <row r="2573" spans="1:23" hidden="1" x14ac:dyDescent="0.45">
      <c r="A2573" s="1" t="s">
        <v>2556</v>
      </c>
      <c r="B2573" t="s">
        <v>6199</v>
      </c>
      <c r="D2573" t="s">
        <v>7990</v>
      </c>
      <c r="E2573" t="s">
        <v>9559</v>
      </c>
      <c r="F2573" t="s">
        <v>10297</v>
      </c>
      <c r="G2573">
        <v>0.7</v>
      </c>
      <c r="H2573" t="s">
        <v>10310</v>
      </c>
      <c r="I2573" t="s">
        <v>10325</v>
      </c>
      <c r="L2573">
        <v>1962</v>
      </c>
      <c r="R2573" t="s">
        <v>11038</v>
      </c>
      <c r="S2573" t="s">
        <v>10310</v>
      </c>
      <c r="W2573" s="2" t="s">
        <v>11202</v>
      </c>
    </row>
    <row r="2574" spans="1:23" hidden="1" x14ac:dyDescent="0.45">
      <c r="A2574" s="1" t="s">
        <v>2557</v>
      </c>
      <c r="B2574" t="s">
        <v>6199</v>
      </c>
      <c r="D2574" t="s">
        <v>7990</v>
      </c>
      <c r="E2574" t="s">
        <v>9556</v>
      </c>
      <c r="F2574" t="s">
        <v>10297</v>
      </c>
      <c r="G2574">
        <v>5.03</v>
      </c>
      <c r="H2574" t="s">
        <v>10310</v>
      </c>
      <c r="I2574" t="s">
        <v>10326</v>
      </c>
      <c r="L2574">
        <v>1954</v>
      </c>
      <c r="R2574" t="s">
        <v>11038</v>
      </c>
      <c r="S2574" t="s">
        <v>10310</v>
      </c>
      <c r="W2574" s="2" t="s">
        <v>11202</v>
      </c>
    </row>
    <row r="2575" spans="1:23" hidden="1" x14ac:dyDescent="0.45">
      <c r="A2575" s="1" t="s">
        <v>2558</v>
      </c>
      <c r="B2575" t="s">
        <v>6199</v>
      </c>
      <c r="D2575" t="s">
        <v>7990</v>
      </c>
      <c r="E2575" t="s">
        <v>9556</v>
      </c>
      <c r="F2575" t="s">
        <v>10297</v>
      </c>
      <c r="G2575">
        <v>4.84</v>
      </c>
      <c r="H2575" t="s">
        <v>10310</v>
      </c>
      <c r="I2575" t="s">
        <v>10326</v>
      </c>
      <c r="L2575">
        <v>1954</v>
      </c>
      <c r="R2575" t="s">
        <v>11038</v>
      </c>
      <c r="S2575" t="s">
        <v>10310</v>
      </c>
      <c r="W2575" s="2" t="s">
        <v>11202</v>
      </c>
    </row>
    <row r="2576" spans="1:23" hidden="1" x14ac:dyDescent="0.45">
      <c r="A2576" s="1" t="s">
        <v>2559</v>
      </c>
      <c r="B2576" t="s">
        <v>6199</v>
      </c>
      <c r="D2576" t="s">
        <v>7990</v>
      </c>
      <c r="E2576" t="s">
        <v>9556</v>
      </c>
      <c r="F2576" t="s">
        <v>10297</v>
      </c>
      <c r="G2576">
        <v>5.2</v>
      </c>
      <c r="H2576" t="s">
        <v>10310</v>
      </c>
      <c r="I2576" t="s">
        <v>10326</v>
      </c>
      <c r="L2576">
        <v>1954</v>
      </c>
      <c r="R2576" t="s">
        <v>11038</v>
      </c>
      <c r="S2576" t="s">
        <v>10310</v>
      </c>
      <c r="W2576" s="2" t="s">
        <v>11202</v>
      </c>
    </row>
    <row r="2577" spans="1:23" hidden="1" x14ac:dyDescent="0.45">
      <c r="A2577" s="1" t="s">
        <v>2560</v>
      </c>
      <c r="B2577" t="s">
        <v>6199</v>
      </c>
      <c r="D2577" t="s">
        <v>7990</v>
      </c>
      <c r="E2577" t="s">
        <v>9560</v>
      </c>
      <c r="F2577" t="s">
        <v>10297</v>
      </c>
      <c r="G2577">
        <v>28</v>
      </c>
      <c r="H2577" t="s">
        <v>10310</v>
      </c>
      <c r="I2577" t="s">
        <v>10326</v>
      </c>
      <c r="L2577">
        <v>1963</v>
      </c>
      <c r="N2577">
        <v>41.968010999999997</v>
      </c>
      <c r="P2577">
        <v>2.4130180000000001</v>
      </c>
      <c r="R2577" t="s">
        <v>11038</v>
      </c>
      <c r="S2577" t="s">
        <v>10310</v>
      </c>
      <c r="W2577" s="2" t="s">
        <v>11202</v>
      </c>
    </row>
    <row r="2578" spans="1:23" hidden="1" x14ac:dyDescent="0.45">
      <c r="A2578" s="1" t="s">
        <v>2561</v>
      </c>
      <c r="B2578" t="s">
        <v>6199</v>
      </c>
      <c r="D2578" t="s">
        <v>7990</v>
      </c>
      <c r="E2578" t="s">
        <v>9560</v>
      </c>
      <c r="F2578" t="s">
        <v>10297</v>
      </c>
      <c r="G2578">
        <v>28</v>
      </c>
      <c r="H2578" t="s">
        <v>10310</v>
      </c>
      <c r="I2578" t="s">
        <v>10326</v>
      </c>
      <c r="L2578">
        <v>1964</v>
      </c>
      <c r="N2578">
        <v>41.968010999999997</v>
      </c>
      <c r="P2578">
        <v>2.4130180000000001</v>
      </c>
      <c r="R2578" t="s">
        <v>11038</v>
      </c>
      <c r="S2578" t="s">
        <v>10310</v>
      </c>
      <c r="W2578" s="2" t="s">
        <v>11202</v>
      </c>
    </row>
    <row r="2579" spans="1:23" hidden="1" x14ac:dyDescent="0.45">
      <c r="A2579" s="1" t="s">
        <v>2562</v>
      </c>
      <c r="B2579" t="s">
        <v>6213</v>
      </c>
      <c r="D2579" t="s">
        <v>8001</v>
      </c>
      <c r="E2579" t="s">
        <v>9561</v>
      </c>
      <c r="F2579" t="s">
        <v>10297</v>
      </c>
      <c r="G2579">
        <v>8.89</v>
      </c>
      <c r="H2579" t="s">
        <v>10310</v>
      </c>
      <c r="I2579" t="s">
        <v>10325</v>
      </c>
      <c r="L2579">
        <v>1996</v>
      </c>
      <c r="R2579" t="s">
        <v>11038</v>
      </c>
      <c r="S2579" t="s">
        <v>10310</v>
      </c>
      <c r="W2579" s="2" t="s">
        <v>11202</v>
      </c>
    </row>
    <row r="2580" spans="1:23" hidden="1" x14ac:dyDescent="0.45">
      <c r="A2580" s="1" t="s">
        <v>2563</v>
      </c>
      <c r="B2580" t="s">
        <v>6213</v>
      </c>
      <c r="D2580" t="s">
        <v>8001</v>
      </c>
      <c r="E2580" t="s">
        <v>9561</v>
      </c>
      <c r="F2580" t="s">
        <v>10297</v>
      </c>
      <c r="G2580">
        <v>8.8000000000000007</v>
      </c>
      <c r="H2580" t="s">
        <v>10310</v>
      </c>
      <c r="I2580" t="s">
        <v>10325</v>
      </c>
      <c r="L2580">
        <v>1996</v>
      </c>
      <c r="R2580" t="s">
        <v>11038</v>
      </c>
      <c r="S2580" t="s">
        <v>10310</v>
      </c>
      <c r="W2580" s="2" t="s">
        <v>11202</v>
      </c>
    </row>
    <row r="2581" spans="1:23" hidden="1" x14ac:dyDescent="0.45">
      <c r="A2581" s="1" t="s">
        <v>2564</v>
      </c>
      <c r="B2581" t="s">
        <v>6213</v>
      </c>
      <c r="D2581" t="s">
        <v>8001</v>
      </c>
      <c r="E2581" t="s">
        <v>9561</v>
      </c>
      <c r="F2581" t="s">
        <v>10297</v>
      </c>
      <c r="G2581">
        <v>19.3</v>
      </c>
      <c r="H2581" t="s">
        <v>10310</v>
      </c>
      <c r="I2581" t="s">
        <v>10325</v>
      </c>
      <c r="L2581">
        <v>1996</v>
      </c>
      <c r="R2581" t="s">
        <v>11038</v>
      </c>
      <c r="S2581" t="s">
        <v>10310</v>
      </c>
      <c r="W2581" s="2" t="s">
        <v>11202</v>
      </c>
    </row>
    <row r="2582" spans="1:23" hidden="1" x14ac:dyDescent="0.45">
      <c r="A2582" s="1" t="s">
        <v>2565</v>
      </c>
      <c r="B2582" t="s">
        <v>6199</v>
      </c>
      <c r="D2582" t="s">
        <v>7990</v>
      </c>
      <c r="E2582" t="s">
        <v>9562</v>
      </c>
      <c r="F2582" t="s">
        <v>10297</v>
      </c>
      <c r="G2582">
        <v>39.229999999999997</v>
      </c>
      <c r="H2582" t="s">
        <v>10310</v>
      </c>
      <c r="I2582" t="s">
        <v>10326</v>
      </c>
      <c r="L2582">
        <v>1967</v>
      </c>
      <c r="N2582">
        <v>41.980234000000003</v>
      </c>
      <c r="P2582">
        <v>2.525604</v>
      </c>
      <c r="R2582" t="s">
        <v>11038</v>
      </c>
      <c r="S2582" t="s">
        <v>10310</v>
      </c>
      <c r="W2582" s="2" t="s">
        <v>11202</v>
      </c>
    </row>
    <row r="2583" spans="1:23" hidden="1" x14ac:dyDescent="0.45">
      <c r="A2583" s="1" t="s">
        <v>2566</v>
      </c>
      <c r="B2583" t="s">
        <v>6199</v>
      </c>
      <c r="D2583" t="s">
        <v>7990</v>
      </c>
      <c r="E2583" t="s">
        <v>9562</v>
      </c>
      <c r="F2583" t="s">
        <v>10297</v>
      </c>
      <c r="G2583">
        <v>36.9</v>
      </c>
      <c r="H2583" t="s">
        <v>10310</v>
      </c>
      <c r="I2583" t="s">
        <v>10326</v>
      </c>
      <c r="L2583">
        <v>1967</v>
      </c>
      <c r="N2583">
        <v>41.980234000000003</v>
      </c>
      <c r="P2583">
        <v>2.525604</v>
      </c>
      <c r="R2583" t="s">
        <v>11038</v>
      </c>
      <c r="S2583" t="s">
        <v>10310</v>
      </c>
      <c r="W2583" s="2" t="s">
        <v>11202</v>
      </c>
    </row>
    <row r="2584" spans="1:23" hidden="1" x14ac:dyDescent="0.45">
      <c r="A2584" s="1" t="s">
        <v>2567</v>
      </c>
      <c r="B2584" t="s">
        <v>6199</v>
      </c>
      <c r="D2584" t="s">
        <v>7990</v>
      </c>
      <c r="E2584" t="s">
        <v>9562</v>
      </c>
      <c r="F2584" t="s">
        <v>10297</v>
      </c>
      <c r="G2584">
        <v>13.44</v>
      </c>
      <c r="H2584" t="s">
        <v>10310</v>
      </c>
      <c r="I2584" t="s">
        <v>10326</v>
      </c>
      <c r="L2584">
        <v>1981</v>
      </c>
      <c r="N2584">
        <v>41.980234000000003</v>
      </c>
      <c r="P2584">
        <v>2.525604</v>
      </c>
      <c r="R2584" t="s">
        <v>11038</v>
      </c>
      <c r="S2584" t="s">
        <v>10310</v>
      </c>
      <c r="W2584" s="2" t="s">
        <v>11202</v>
      </c>
    </row>
    <row r="2585" spans="1:23" hidden="1" x14ac:dyDescent="0.45">
      <c r="A2585" s="1" t="s">
        <v>2568</v>
      </c>
      <c r="B2585" t="s">
        <v>6199</v>
      </c>
      <c r="D2585" t="s">
        <v>7990</v>
      </c>
      <c r="E2585" t="s">
        <v>9556</v>
      </c>
      <c r="F2585" t="s">
        <v>10297</v>
      </c>
      <c r="G2585">
        <v>4.2300000000000004</v>
      </c>
      <c r="H2585" t="s">
        <v>10310</v>
      </c>
      <c r="I2585" t="s">
        <v>10326</v>
      </c>
      <c r="L2585">
        <v>1955</v>
      </c>
      <c r="R2585" t="s">
        <v>11038</v>
      </c>
      <c r="S2585" t="s">
        <v>10310</v>
      </c>
      <c r="W2585" s="2" t="s">
        <v>11202</v>
      </c>
    </row>
    <row r="2586" spans="1:23" hidden="1" x14ac:dyDescent="0.45">
      <c r="A2586" s="1" t="s">
        <v>2569</v>
      </c>
      <c r="B2586" t="s">
        <v>6199</v>
      </c>
      <c r="D2586" t="s">
        <v>7990</v>
      </c>
      <c r="E2586" t="s">
        <v>9557</v>
      </c>
      <c r="F2586" t="s">
        <v>10297</v>
      </c>
      <c r="G2586">
        <v>8</v>
      </c>
      <c r="H2586" t="s">
        <v>10310</v>
      </c>
      <c r="I2586" t="s">
        <v>10325</v>
      </c>
      <c r="L2586">
        <v>1955</v>
      </c>
      <c r="R2586" t="s">
        <v>11038</v>
      </c>
      <c r="S2586" t="s">
        <v>10310</v>
      </c>
      <c r="W2586" s="2" t="s">
        <v>11202</v>
      </c>
    </row>
    <row r="2587" spans="1:23" hidden="1" x14ac:dyDescent="0.45">
      <c r="A2587" s="1" t="s">
        <v>2570</v>
      </c>
      <c r="B2587" t="s">
        <v>6202</v>
      </c>
      <c r="D2587" t="s">
        <v>7991</v>
      </c>
      <c r="E2587" t="s">
        <v>9297</v>
      </c>
      <c r="F2587" t="s">
        <v>10297</v>
      </c>
      <c r="G2587">
        <v>158</v>
      </c>
      <c r="H2587" t="s">
        <v>10310</v>
      </c>
      <c r="I2587" t="s">
        <v>10326</v>
      </c>
      <c r="L2587">
        <v>1999</v>
      </c>
      <c r="N2587">
        <v>41.526915000000002</v>
      </c>
      <c r="P2587">
        <v>-5.9866330000000003</v>
      </c>
      <c r="R2587" t="s">
        <v>11038</v>
      </c>
      <c r="S2587" t="s">
        <v>10310</v>
      </c>
      <c r="W2587" s="2" t="s">
        <v>11202</v>
      </c>
    </row>
    <row r="2588" spans="1:23" hidden="1" x14ac:dyDescent="0.45">
      <c r="A2588" s="1" t="s">
        <v>2571</v>
      </c>
      <c r="B2588" t="s">
        <v>6205</v>
      </c>
      <c r="D2588" t="s">
        <v>7994</v>
      </c>
      <c r="E2588" t="s">
        <v>9262</v>
      </c>
      <c r="F2588" t="s">
        <v>10297</v>
      </c>
      <c r="G2588">
        <v>0.34</v>
      </c>
      <c r="H2588" t="s">
        <v>10310</v>
      </c>
      <c r="I2588" t="s">
        <v>10326</v>
      </c>
      <c r="L2588">
        <v>1928</v>
      </c>
      <c r="R2588" t="s">
        <v>11038</v>
      </c>
      <c r="S2588" t="s">
        <v>10310</v>
      </c>
      <c r="W2588" s="2" t="s">
        <v>11202</v>
      </c>
    </row>
    <row r="2589" spans="1:23" hidden="1" x14ac:dyDescent="0.45">
      <c r="A2589" s="1" t="s">
        <v>2572</v>
      </c>
      <c r="B2589" t="s">
        <v>6215</v>
      </c>
      <c r="D2589" t="s">
        <v>7989</v>
      </c>
      <c r="E2589" t="s">
        <v>9519</v>
      </c>
      <c r="F2589" t="s">
        <v>10297</v>
      </c>
      <c r="G2589">
        <v>0.88</v>
      </c>
      <c r="H2589" t="s">
        <v>10310</v>
      </c>
      <c r="I2589" t="s">
        <v>10326</v>
      </c>
      <c r="L2589">
        <v>1961</v>
      </c>
      <c r="R2589" t="s">
        <v>11038</v>
      </c>
      <c r="S2589" t="s">
        <v>10310</v>
      </c>
      <c r="W2589" s="2" t="s">
        <v>11202</v>
      </c>
    </row>
    <row r="2590" spans="1:23" hidden="1" x14ac:dyDescent="0.45">
      <c r="A2590" s="1" t="s">
        <v>2573</v>
      </c>
      <c r="B2590" t="s">
        <v>6215</v>
      </c>
      <c r="D2590" t="s">
        <v>7989</v>
      </c>
      <c r="E2590" t="s">
        <v>9515</v>
      </c>
      <c r="F2590" t="s">
        <v>10297</v>
      </c>
      <c r="G2590">
        <v>1.4730000000000001</v>
      </c>
      <c r="H2590" t="s">
        <v>10310</v>
      </c>
      <c r="I2590" t="s">
        <v>10326</v>
      </c>
      <c r="L2590">
        <v>1984</v>
      </c>
      <c r="R2590" t="s">
        <v>11038</v>
      </c>
      <c r="S2590" t="s">
        <v>10310</v>
      </c>
      <c r="W2590" s="2" t="s">
        <v>11202</v>
      </c>
    </row>
    <row r="2591" spans="1:23" hidden="1" x14ac:dyDescent="0.45">
      <c r="A2591" s="1" t="s">
        <v>2574</v>
      </c>
      <c r="B2591" t="s">
        <v>6215</v>
      </c>
      <c r="D2591" t="s">
        <v>7989</v>
      </c>
      <c r="E2591" t="s">
        <v>9563</v>
      </c>
      <c r="F2591" t="s">
        <v>10297</v>
      </c>
      <c r="G2591">
        <v>373.09</v>
      </c>
      <c r="H2591" t="s">
        <v>10314</v>
      </c>
      <c r="I2591" t="s">
        <v>10321</v>
      </c>
      <c r="L2591">
        <v>2002</v>
      </c>
      <c r="N2591">
        <v>36.195639</v>
      </c>
      <c r="P2591">
        <v>-5.4136280000000001</v>
      </c>
      <c r="Q2591" t="s">
        <v>10755</v>
      </c>
      <c r="R2591" t="s">
        <v>11037</v>
      </c>
      <c r="S2591" t="s">
        <v>10314</v>
      </c>
      <c r="W2591" s="2" t="s">
        <v>11202</v>
      </c>
    </row>
    <row r="2592" spans="1:23" hidden="1" x14ac:dyDescent="0.45">
      <c r="A2592" s="1" t="s">
        <v>2575</v>
      </c>
      <c r="B2592" t="s">
        <v>6199</v>
      </c>
      <c r="D2592" t="s">
        <v>7990</v>
      </c>
      <c r="E2592" t="s">
        <v>9563</v>
      </c>
      <c r="F2592" t="s">
        <v>10297</v>
      </c>
      <c r="G2592">
        <v>366.77</v>
      </c>
      <c r="H2592" t="s">
        <v>10314</v>
      </c>
      <c r="I2592" t="s">
        <v>10321</v>
      </c>
      <c r="L2592">
        <v>2002</v>
      </c>
      <c r="N2592">
        <v>36.195639</v>
      </c>
      <c r="P2592">
        <v>-5.4136280000000001</v>
      </c>
      <c r="Q2592" t="s">
        <v>10756</v>
      </c>
      <c r="R2592" t="s">
        <v>11037</v>
      </c>
      <c r="S2592" t="s">
        <v>10314</v>
      </c>
      <c r="W2592" s="2" t="s">
        <v>11202</v>
      </c>
    </row>
    <row r="2593" spans="1:23" hidden="1" x14ac:dyDescent="0.45">
      <c r="A2593" s="1" t="s">
        <v>2576</v>
      </c>
      <c r="B2593" t="s">
        <v>6200</v>
      </c>
      <c r="D2593" t="s">
        <v>7991</v>
      </c>
      <c r="E2593" t="s">
        <v>9564</v>
      </c>
      <c r="F2593" t="s">
        <v>10297</v>
      </c>
      <c r="G2593">
        <v>793.19</v>
      </c>
      <c r="H2593" t="s">
        <v>10314</v>
      </c>
      <c r="I2593" t="s">
        <v>10321</v>
      </c>
      <c r="L2593">
        <v>2002</v>
      </c>
      <c r="R2593" t="s">
        <v>11037</v>
      </c>
      <c r="S2593" t="s">
        <v>10314</v>
      </c>
      <c r="W2593" s="2" t="s">
        <v>11202</v>
      </c>
    </row>
    <row r="2594" spans="1:23" hidden="1" x14ac:dyDescent="0.45">
      <c r="A2594" s="1" t="s">
        <v>2577</v>
      </c>
      <c r="B2594" t="s">
        <v>6199</v>
      </c>
      <c r="D2594" t="s">
        <v>7990</v>
      </c>
      <c r="E2594" t="s">
        <v>9565</v>
      </c>
      <c r="F2594" t="s">
        <v>10297</v>
      </c>
      <c r="G2594">
        <v>419.32</v>
      </c>
      <c r="H2594" t="s">
        <v>10314</v>
      </c>
      <c r="I2594" t="s">
        <v>10321</v>
      </c>
      <c r="L2594">
        <v>2002</v>
      </c>
      <c r="R2594" t="s">
        <v>11037</v>
      </c>
      <c r="S2594" t="s">
        <v>10314</v>
      </c>
      <c r="W2594" s="2" t="s">
        <v>11202</v>
      </c>
    </row>
    <row r="2595" spans="1:23" hidden="1" x14ac:dyDescent="0.45">
      <c r="A2595" s="1" t="s">
        <v>2578</v>
      </c>
      <c r="B2595" t="s">
        <v>6197</v>
      </c>
      <c r="D2595" t="s">
        <v>7988</v>
      </c>
      <c r="E2595" t="s">
        <v>9566</v>
      </c>
      <c r="F2595" t="s">
        <v>10297</v>
      </c>
      <c r="G2595">
        <v>429.24</v>
      </c>
      <c r="H2595" t="s">
        <v>10314</v>
      </c>
      <c r="I2595" t="s">
        <v>10321</v>
      </c>
      <c r="L2595">
        <v>2002</v>
      </c>
      <c r="R2595" t="s">
        <v>11037</v>
      </c>
      <c r="S2595" t="s">
        <v>10314</v>
      </c>
      <c r="W2595" s="2" t="s">
        <v>11202</v>
      </c>
    </row>
    <row r="2596" spans="1:23" hidden="1" x14ac:dyDescent="0.45">
      <c r="A2596" s="1" t="s">
        <v>2579</v>
      </c>
      <c r="B2596" t="s">
        <v>6215</v>
      </c>
      <c r="D2596" t="s">
        <v>7989</v>
      </c>
      <c r="E2596" t="s">
        <v>9565</v>
      </c>
      <c r="F2596" t="s">
        <v>10297</v>
      </c>
      <c r="G2596">
        <v>406.58</v>
      </c>
      <c r="H2596" t="s">
        <v>10314</v>
      </c>
      <c r="I2596" t="s">
        <v>10321</v>
      </c>
      <c r="L2596">
        <v>2002</v>
      </c>
      <c r="R2596" t="s">
        <v>11037</v>
      </c>
      <c r="S2596" t="s">
        <v>10314</v>
      </c>
      <c r="W2596" s="2" t="s">
        <v>11202</v>
      </c>
    </row>
    <row r="2597" spans="1:23" hidden="1" x14ac:dyDescent="0.45">
      <c r="A2597" s="1" t="s">
        <v>2580</v>
      </c>
      <c r="B2597" t="s">
        <v>6217</v>
      </c>
      <c r="D2597" t="s">
        <v>8004</v>
      </c>
      <c r="E2597" t="s">
        <v>9567</v>
      </c>
      <c r="F2597" t="s">
        <v>10297</v>
      </c>
      <c r="G2597">
        <v>754.87</v>
      </c>
      <c r="H2597" t="s">
        <v>10314</v>
      </c>
      <c r="I2597" t="s">
        <v>10321</v>
      </c>
      <c r="L2597">
        <v>2003</v>
      </c>
      <c r="N2597">
        <v>43.359034999999999</v>
      </c>
      <c r="P2597">
        <v>-3.0921099999999999</v>
      </c>
      <c r="Q2597" t="s">
        <v>10757</v>
      </c>
      <c r="R2597" t="s">
        <v>11037</v>
      </c>
      <c r="S2597" t="s">
        <v>10314</v>
      </c>
      <c r="W2597" s="2" t="s">
        <v>11202</v>
      </c>
    </row>
    <row r="2598" spans="1:23" hidden="1" x14ac:dyDescent="0.45">
      <c r="A2598" s="1" t="s">
        <v>2581</v>
      </c>
      <c r="B2598" t="s">
        <v>6218</v>
      </c>
      <c r="D2598" t="s">
        <v>8005</v>
      </c>
      <c r="E2598" t="s">
        <v>9568</v>
      </c>
      <c r="F2598" t="s">
        <v>10297</v>
      </c>
      <c r="G2598">
        <v>93</v>
      </c>
      <c r="H2598" t="s">
        <v>10314</v>
      </c>
      <c r="I2598" t="s">
        <v>8</v>
      </c>
      <c r="K2598" t="s">
        <v>10332</v>
      </c>
      <c r="N2598">
        <v>43.360548999999999</v>
      </c>
      <c r="P2598">
        <v>-4.0590739999999998</v>
      </c>
      <c r="R2598" t="s">
        <v>11037</v>
      </c>
      <c r="S2598" t="s">
        <v>10314</v>
      </c>
      <c r="W2598" s="2" t="s">
        <v>11202</v>
      </c>
    </row>
    <row r="2599" spans="1:23" hidden="1" x14ac:dyDescent="0.45">
      <c r="A2599" s="1" t="s">
        <v>2582</v>
      </c>
      <c r="B2599" t="s">
        <v>6219</v>
      </c>
      <c r="D2599" t="s">
        <v>8006</v>
      </c>
      <c r="E2599" t="s">
        <v>9569</v>
      </c>
      <c r="F2599" t="s">
        <v>10297</v>
      </c>
      <c r="G2599">
        <v>91.346999999999994</v>
      </c>
      <c r="H2599" t="s">
        <v>10314</v>
      </c>
      <c r="I2599" t="s">
        <v>8</v>
      </c>
      <c r="K2599" t="s">
        <v>10332</v>
      </c>
      <c r="L2599">
        <v>1999</v>
      </c>
      <c r="N2599">
        <v>41.190916999999999</v>
      </c>
      <c r="P2599">
        <v>1.2213639999999999</v>
      </c>
      <c r="R2599" t="s">
        <v>11037</v>
      </c>
      <c r="S2599" t="s">
        <v>10314</v>
      </c>
      <c r="W2599" s="2" t="s">
        <v>11202</v>
      </c>
    </row>
    <row r="2600" spans="1:23" hidden="1" x14ac:dyDescent="0.45">
      <c r="A2600" s="1" t="s">
        <v>2583</v>
      </c>
      <c r="B2600" t="s">
        <v>6219</v>
      </c>
      <c r="D2600" t="s">
        <v>8006</v>
      </c>
      <c r="E2600" t="s">
        <v>9570</v>
      </c>
      <c r="F2600" t="s">
        <v>10297</v>
      </c>
      <c r="G2600">
        <v>75.7</v>
      </c>
      <c r="H2600" t="s">
        <v>10314</v>
      </c>
      <c r="I2600" t="s">
        <v>8</v>
      </c>
      <c r="K2600" t="s">
        <v>10332</v>
      </c>
      <c r="L2600">
        <v>2001</v>
      </c>
      <c r="R2600" t="s">
        <v>11037</v>
      </c>
      <c r="S2600" t="s">
        <v>10314</v>
      </c>
      <c r="W2600" s="2" t="s">
        <v>11202</v>
      </c>
    </row>
    <row r="2601" spans="1:23" hidden="1" x14ac:dyDescent="0.45">
      <c r="A2601" s="1" t="s">
        <v>2584</v>
      </c>
      <c r="B2601" t="s">
        <v>6220</v>
      </c>
      <c r="D2601" t="s">
        <v>8006</v>
      </c>
      <c r="E2601" t="s">
        <v>9571</v>
      </c>
      <c r="F2601" t="s">
        <v>10297</v>
      </c>
      <c r="G2601">
        <v>84</v>
      </c>
      <c r="H2601" t="s">
        <v>10314</v>
      </c>
      <c r="I2601" t="s">
        <v>8</v>
      </c>
      <c r="K2601" t="s">
        <v>10332</v>
      </c>
      <c r="L2601">
        <v>1994</v>
      </c>
      <c r="N2601">
        <v>38.673984999999988</v>
      </c>
      <c r="P2601">
        <v>-4.0531760000000006</v>
      </c>
      <c r="R2601" t="s">
        <v>11037</v>
      </c>
      <c r="S2601" t="s">
        <v>10314</v>
      </c>
      <c r="W2601" s="2" t="s">
        <v>11202</v>
      </c>
    </row>
    <row r="2602" spans="1:23" hidden="1" x14ac:dyDescent="0.45">
      <c r="A2602" s="1" t="s">
        <v>2585</v>
      </c>
      <c r="B2602" t="s">
        <v>6220</v>
      </c>
      <c r="D2602" t="s">
        <v>8006</v>
      </c>
      <c r="E2602" t="s">
        <v>9572</v>
      </c>
      <c r="F2602" t="s">
        <v>10297</v>
      </c>
      <c r="G2602">
        <v>83.57</v>
      </c>
      <c r="H2602" t="s">
        <v>10314</v>
      </c>
      <c r="I2602" t="s">
        <v>8</v>
      </c>
      <c r="K2602" t="s">
        <v>10332</v>
      </c>
      <c r="L2602">
        <v>2000</v>
      </c>
      <c r="R2602" t="s">
        <v>11037</v>
      </c>
      <c r="S2602" t="s">
        <v>10314</v>
      </c>
      <c r="W2602" s="2" t="s">
        <v>11202</v>
      </c>
    </row>
    <row r="2603" spans="1:23" hidden="1" x14ac:dyDescent="0.45">
      <c r="A2603" s="1" t="s">
        <v>2586</v>
      </c>
      <c r="B2603" t="s">
        <v>6220</v>
      </c>
      <c r="D2603" t="s">
        <v>8006</v>
      </c>
      <c r="E2603" t="s">
        <v>9573</v>
      </c>
      <c r="F2603" t="s">
        <v>10297</v>
      </c>
      <c r="G2603">
        <v>93.78</v>
      </c>
      <c r="H2603" t="s">
        <v>10314</v>
      </c>
      <c r="I2603" t="s">
        <v>8</v>
      </c>
      <c r="K2603" t="s">
        <v>10332</v>
      </c>
      <c r="L2603">
        <v>2001</v>
      </c>
      <c r="R2603" t="s">
        <v>11037</v>
      </c>
      <c r="S2603" t="s">
        <v>10314</v>
      </c>
      <c r="W2603" s="2" t="s">
        <v>11202</v>
      </c>
    </row>
    <row r="2604" spans="1:23" hidden="1" x14ac:dyDescent="0.45">
      <c r="A2604" s="1" t="s">
        <v>2587</v>
      </c>
      <c r="B2604" t="s">
        <v>6200</v>
      </c>
      <c r="D2604" t="s">
        <v>7991</v>
      </c>
      <c r="E2604" t="s">
        <v>9566</v>
      </c>
      <c r="F2604" t="s">
        <v>10297</v>
      </c>
      <c r="G2604">
        <v>380.77199999999999</v>
      </c>
      <c r="H2604" t="s">
        <v>10314</v>
      </c>
      <c r="I2604" t="s">
        <v>10321</v>
      </c>
      <c r="L2604">
        <v>2003</v>
      </c>
      <c r="R2604" t="s">
        <v>11037</v>
      </c>
      <c r="S2604" t="s">
        <v>10314</v>
      </c>
      <c r="W2604" s="2" t="s">
        <v>11202</v>
      </c>
    </row>
    <row r="2605" spans="1:23" hidden="1" x14ac:dyDescent="0.45">
      <c r="A2605" s="1" t="s">
        <v>2588</v>
      </c>
      <c r="B2605" t="s">
        <v>6221</v>
      </c>
      <c r="D2605" t="s">
        <v>8007</v>
      </c>
      <c r="E2605" t="s">
        <v>9574</v>
      </c>
      <c r="F2605" t="s">
        <v>10297</v>
      </c>
      <c r="G2605">
        <v>423.7</v>
      </c>
      <c r="H2605" t="s">
        <v>10314</v>
      </c>
      <c r="I2605" t="s">
        <v>10321</v>
      </c>
      <c r="L2605">
        <v>2004</v>
      </c>
      <c r="N2605">
        <v>41.110242</v>
      </c>
      <c r="P2605">
        <v>1.180547</v>
      </c>
      <c r="Q2605" t="s">
        <v>10758</v>
      </c>
      <c r="R2605" t="s">
        <v>11037</v>
      </c>
      <c r="S2605" t="s">
        <v>10314</v>
      </c>
      <c r="W2605" s="2" t="s">
        <v>11202</v>
      </c>
    </row>
    <row r="2606" spans="1:23" hidden="1" x14ac:dyDescent="0.45">
      <c r="A2606" s="1" t="s">
        <v>2589</v>
      </c>
      <c r="B2606" t="s">
        <v>6222</v>
      </c>
      <c r="D2606" t="s">
        <v>8008</v>
      </c>
      <c r="E2606" t="s">
        <v>9575</v>
      </c>
      <c r="F2606" t="s">
        <v>10297</v>
      </c>
      <c r="G2606">
        <v>98.557000000000002</v>
      </c>
      <c r="H2606" t="s">
        <v>10314</v>
      </c>
      <c r="L2606">
        <v>2004</v>
      </c>
      <c r="R2606" t="s">
        <v>11037</v>
      </c>
      <c r="S2606" t="s">
        <v>10314</v>
      </c>
      <c r="W2606" s="2" t="s">
        <v>11202</v>
      </c>
    </row>
    <row r="2607" spans="1:23" hidden="1" x14ac:dyDescent="0.45">
      <c r="A2607" s="1" t="s">
        <v>2590</v>
      </c>
      <c r="B2607" t="s">
        <v>6215</v>
      </c>
      <c r="D2607" t="s">
        <v>7989</v>
      </c>
      <c r="E2607" t="s">
        <v>9563</v>
      </c>
      <c r="F2607" t="s">
        <v>10297</v>
      </c>
      <c r="G2607">
        <v>384.61</v>
      </c>
      <c r="H2607" t="s">
        <v>10314</v>
      </c>
      <c r="I2607" t="s">
        <v>10321</v>
      </c>
      <c r="L2607">
        <v>2004</v>
      </c>
      <c r="N2607">
        <v>36.183458999999999</v>
      </c>
      <c r="P2607">
        <v>-5.3929140000000002</v>
      </c>
      <c r="Q2607" t="s">
        <v>10759</v>
      </c>
      <c r="R2607" t="s">
        <v>11037</v>
      </c>
      <c r="S2607" t="s">
        <v>10314</v>
      </c>
      <c r="W2607" s="2" t="s">
        <v>11202</v>
      </c>
    </row>
    <row r="2608" spans="1:23" hidden="1" x14ac:dyDescent="0.45">
      <c r="A2608" s="1" t="s">
        <v>2591</v>
      </c>
      <c r="B2608" t="s">
        <v>6223</v>
      </c>
      <c r="D2608" t="s">
        <v>8006</v>
      </c>
      <c r="E2608" t="s">
        <v>9563</v>
      </c>
      <c r="F2608" t="s">
        <v>10297</v>
      </c>
      <c r="G2608">
        <v>378.79</v>
      </c>
      <c r="H2608" t="s">
        <v>10314</v>
      </c>
      <c r="I2608" t="s">
        <v>10321</v>
      </c>
      <c r="L2608">
        <v>2004</v>
      </c>
      <c r="N2608">
        <v>36.183458999999999</v>
      </c>
      <c r="P2608">
        <v>-5.3929140000000002</v>
      </c>
      <c r="Q2608" t="s">
        <v>10760</v>
      </c>
      <c r="R2608" t="s">
        <v>11037</v>
      </c>
      <c r="S2608" t="s">
        <v>10314</v>
      </c>
      <c r="W2608" s="2" t="s">
        <v>11202</v>
      </c>
    </row>
    <row r="2609" spans="1:23" hidden="1" x14ac:dyDescent="0.45">
      <c r="A2609" s="1" t="s">
        <v>2592</v>
      </c>
      <c r="B2609" t="s">
        <v>6224</v>
      </c>
      <c r="D2609" t="s">
        <v>8009</v>
      </c>
      <c r="E2609" t="s">
        <v>9238</v>
      </c>
      <c r="F2609" t="s">
        <v>10297</v>
      </c>
      <c r="G2609">
        <v>91.6</v>
      </c>
      <c r="H2609" t="s">
        <v>10314</v>
      </c>
      <c r="I2609" t="s">
        <v>8</v>
      </c>
      <c r="K2609" t="s">
        <v>10332</v>
      </c>
      <c r="L2609">
        <v>2004</v>
      </c>
      <c r="R2609" t="s">
        <v>11037</v>
      </c>
      <c r="S2609" t="s">
        <v>10314</v>
      </c>
      <c r="W2609" s="2" t="s">
        <v>11202</v>
      </c>
    </row>
    <row r="2610" spans="1:23" hidden="1" x14ac:dyDescent="0.45">
      <c r="A2610" s="1" t="s">
        <v>2593</v>
      </c>
      <c r="B2610" t="s">
        <v>6200</v>
      </c>
      <c r="D2610" t="s">
        <v>7991</v>
      </c>
      <c r="E2610" t="s">
        <v>9241</v>
      </c>
      <c r="F2610" t="s">
        <v>10297</v>
      </c>
      <c r="G2610">
        <v>402.64</v>
      </c>
      <c r="H2610" t="s">
        <v>10314</v>
      </c>
      <c r="I2610" t="s">
        <v>10321</v>
      </c>
      <c r="L2610">
        <v>2005</v>
      </c>
      <c r="N2610">
        <v>43.339095999999998</v>
      </c>
      <c r="P2610">
        <v>-3.0529380000000002</v>
      </c>
      <c r="Q2610" t="s">
        <v>10761</v>
      </c>
      <c r="R2610" t="s">
        <v>11037</v>
      </c>
      <c r="S2610" t="s">
        <v>10314</v>
      </c>
      <c r="W2610" s="2" t="s">
        <v>11202</v>
      </c>
    </row>
    <row r="2611" spans="1:23" hidden="1" x14ac:dyDescent="0.45">
      <c r="A2611" s="1" t="s">
        <v>2594</v>
      </c>
      <c r="B2611" t="s">
        <v>6215</v>
      </c>
      <c r="D2611" t="s">
        <v>7989</v>
      </c>
      <c r="E2611" t="s">
        <v>9576</v>
      </c>
      <c r="F2611" t="s">
        <v>10297</v>
      </c>
      <c r="G2611">
        <v>394.08</v>
      </c>
      <c r="H2611" t="s">
        <v>10314</v>
      </c>
      <c r="I2611" t="s">
        <v>10321</v>
      </c>
      <c r="L2611">
        <v>2004</v>
      </c>
      <c r="N2611">
        <v>37.183318</v>
      </c>
      <c r="P2611">
        <v>-6.8863179999999993</v>
      </c>
      <c r="Q2611" t="s">
        <v>10762</v>
      </c>
      <c r="R2611" t="s">
        <v>11037</v>
      </c>
      <c r="S2611" t="s">
        <v>10314</v>
      </c>
      <c r="W2611" s="2" t="s">
        <v>11202</v>
      </c>
    </row>
    <row r="2612" spans="1:23" hidden="1" x14ac:dyDescent="0.45">
      <c r="A2612" s="1" t="s">
        <v>2595</v>
      </c>
      <c r="B2612" t="s">
        <v>6200</v>
      </c>
      <c r="D2612" t="s">
        <v>7991</v>
      </c>
      <c r="E2612" t="s">
        <v>9577</v>
      </c>
      <c r="F2612" t="s">
        <v>10297</v>
      </c>
      <c r="G2612">
        <v>379.36</v>
      </c>
      <c r="H2612" t="s">
        <v>10314</v>
      </c>
      <c r="I2612" t="s">
        <v>10321</v>
      </c>
      <c r="L2612">
        <v>2005</v>
      </c>
      <c r="N2612">
        <v>36.673001999999997</v>
      </c>
      <c r="P2612">
        <v>-5.8161319999999996</v>
      </c>
      <c r="Q2612" t="s">
        <v>10763</v>
      </c>
      <c r="R2612" t="s">
        <v>11037</v>
      </c>
      <c r="S2612" t="s">
        <v>10314</v>
      </c>
      <c r="W2612" s="2" t="s">
        <v>11202</v>
      </c>
    </row>
    <row r="2613" spans="1:23" hidden="1" x14ac:dyDescent="0.45">
      <c r="A2613" s="1" t="s">
        <v>2596</v>
      </c>
      <c r="B2613" t="s">
        <v>6225</v>
      </c>
      <c r="D2613" t="s">
        <v>8010</v>
      </c>
      <c r="E2613" t="s">
        <v>9578</v>
      </c>
      <c r="F2613" t="s">
        <v>10297</v>
      </c>
      <c r="G2613">
        <v>402.15</v>
      </c>
      <c r="H2613" t="s">
        <v>10314</v>
      </c>
      <c r="I2613" t="s">
        <v>10321</v>
      </c>
      <c r="L2613">
        <v>2005</v>
      </c>
      <c r="R2613" t="s">
        <v>11037</v>
      </c>
      <c r="S2613" t="s">
        <v>10314</v>
      </c>
      <c r="W2613" s="2" t="s">
        <v>11202</v>
      </c>
    </row>
    <row r="2614" spans="1:23" hidden="1" x14ac:dyDescent="0.45">
      <c r="A2614" s="1" t="s">
        <v>2597</v>
      </c>
      <c r="B2614" t="s">
        <v>6225</v>
      </c>
      <c r="D2614" t="s">
        <v>8010</v>
      </c>
      <c r="E2614" t="s">
        <v>9578</v>
      </c>
      <c r="F2614" t="s">
        <v>10297</v>
      </c>
      <c r="G2614">
        <v>396.99</v>
      </c>
      <c r="H2614" t="s">
        <v>10314</v>
      </c>
      <c r="I2614" t="s">
        <v>10321</v>
      </c>
      <c r="L2614">
        <v>2005</v>
      </c>
      <c r="R2614" t="s">
        <v>11037</v>
      </c>
      <c r="S2614" t="s">
        <v>10314</v>
      </c>
      <c r="W2614" s="2" t="s">
        <v>11202</v>
      </c>
    </row>
    <row r="2615" spans="1:23" hidden="1" x14ac:dyDescent="0.45">
      <c r="A2615" s="1" t="s">
        <v>2598</v>
      </c>
      <c r="B2615" t="s">
        <v>6226</v>
      </c>
      <c r="D2615" t="s">
        <v>8011</v>
      </c>
      <c r="E2615" t="s">
        <v>9579</v>
      </c>
      <c r="F2615" t="s">
        <v>10297</v>
      </c>
      <c r="G2615">
        <v>60</v>
      </c>
      <c r="H2615" t="s">
        <v>10314</v>
      </c>
      <c r="L2615">
        <v>1982</v>
      </c>
      <c r="R2615" t="s">
        <v>11037</v>
      </c>
      <c r="S2615" t="s">
        <v>10314</v>
      </c>
      <c r="W2615" s="2" t="s">
        <v>11202</v>
      </c>
    </row>
    <row r="2616" spans="1:23" hidden="1" x14ac:dyDescent="0.45">
      <c r="A2616" s="1" t="s">
        <v>2599</v>
      </c>
      <c r="B2616" t="s">
        <v>6226</v>
      </c>
      <c r="D2616" t="s">
        <v>8011</v>
      </c>
      <c r="E2616" t="s">
        <v>9579</v>
      </c>
      <c r="F2616" t="s">
        <v>10297</v>
      </c>
      <c r="G2616">
        <v>60</v>
      </c>
      <c r="H2616" t="s">
        <v>10314</v>
      </c>
      <c r="L2616">
        <v>1984</v>
      </c>
      <c r="R2616" t="s">
        <v>11037</v>
      </c>
      <c r="S2616" t="s">
        <v>10314</v>
      </c>
      <c r="W2616" s="2" t="s">
        <v>11202</v>
      </c>
    </row>
    <row r="2617" spans="1:23" hidden="1" x14ac:dyDescent="0.45">
      <c r="A2617" s="1" t="s">
        <v>2600</v>
      </c>
      <c r="B2617" t="s">
        <v>6226</v>
      </c>
      <c r="D2617" t="s">
        <v>8011</v>
      </c>
      <c r="E2617" t="s">
        <v>9580</v>
      </c>
      <c r="F2617" t="s">
        <v>10297</v>
      </c>
      <c r="G2617">
        <v>80</v>
      </c>
      <c r="H2617" t="s">
        <v>10314</v>
      </c>
      <c r="L2617">
        <v>1996</v>
      </c>
      <c r="R2617" t="s">
        <v>11037</v>
      </c>
      <c r="S2617" t="s">
        <v>10314</v>
      </c>
      <c r="W2617" s="2" t="s">
        <v>11202</v>
      </c>
    </row>
    <row r="2618" spans="1:23" hidden="1" x14ac:dyDescent="0.45">
      <c r="A2618" s="1" t="s">
        <v>2601</v>
      </c>
      <c r="B2618" t="s">
        <v>6226</v>
      </c>
      <c r="D2618" t="s">
        <v>8011</v>
      </c>
      <c r="E2618" t="s">
        <v>9580</v>
      </c>
      <c r="F2618" t="s">
        <v>10297</v>
      </c>
      <c r="G2618">
        <v>80</v>
      </c>
      <c r="H2618" t="s">
        <v>10314</v>
      </c>
      <c r="L2618">
        <v>1996</v>
      </c>
      <c r="R2618" t="s">
        <v>11037</v>
      </c>
      <c r="S2618" t="s">
        <v>10314</v>
      </c>
      <c r="W2618" s="2" t="s">
        <v>11202</v>
      </c>
    </row>
    <row r="2619" spans="1:23" hidden="1" x14ac:dyDescent="0.45">
      <c r="A2619" s="1" t="s">
        <v>2602</v>
      </c>
      <c r="B2619" t="s">
        <v>6226</v>
      </c>
      <c r="D2619" t="s">
        <v>8011</v>
      </c>
      <c r="E2619" t="s">
        <v>9580</v>
      </c>
      <c r="F2619" t="s">
        <v>10297</v>
      </c>
      <c r="G2619">
        <v>75</v>
      </c>
      <c r="H2619" t="s">
        <v>10314</v>
      </c>
      <c r="I2619" t="s">
        <v>10321</v>
      </c>
      <c r="L2619">
        <v>2003</v>
      </c>
      <c r="R2619" t="s">
        <v>11037</v>
      </c>
      <c r="S2619" t="s">
        <v>10314</v>
      </c>
      <c r="W2619" s="2" t="s">
        <v>11202</v>
      </c>
    </row>
    <row r="2620" spans="1:23" hidden="1" x14ac:dyDescent="0.45">
      <c r="A2620" s="1" t="s">
        <v>2603</v>
      </c>
      <c r="B2620" t="s">
        <v>6226</v>
      </c>
      <c r="D2620" t="s">
        <v>8011</v>
      </c>
      <c r="E2620" t="s">
        <v>9580</v>
      </c>
      <c r="F2620" t="s">
        <v>10297</v>
      </c>
      <c r="G2620">
        <v>75</v>
      </c>
      <c r="H2620" t="s">
        <v>10314</v>
      </c>
      <c r="I2620" t="s">
        <v>10321</v>
      </c>
      <c r="L2620">
        <v>2003</v>
      </c>
      <c r="R2620" t="s">
        <v>11037</v>
      </c>
      <c r="S2620" t="s">
        <v>10314</v>
      </c>
      <c r="W2620" s="2" t="s">
        <v>11202</v>
      </c>
    </row>
    <row r="2621" spans="1:23" hidden="1" x14ac:dyDescent="0.45">
      <c r="A2621" s="1" t="s">
        <v>2604</v>
      </c>
      <c r="B2621" t="s">
        <v>6226</v>
      </c>
      <c r="D2621" t="s">
        <v>8011</v>
      </c>
      <c r="E2621" t="s">
        <v>9581</v>
      </c>
      <c r="F2621" t="s">
        <v>10297</v>
      </c>
      <c r="G2621">
        <v>80</v>
      </c>
      <c r="H2621" t="s">
        <v>10314</v>
      </c>
      <c r="L2621">
        <v>1995</v>
      </c>
      <c r="R2621" t="s">
        <v>11037</v>
      </c>
      <c r="S2621" t="s">
        <v>10314</v>
      </c>
      <c r="W2621" s="2" t="s">
        <v>11202</v>
      </c>
    </row>
    <row r="2622" spans="1:23" hidden="1" x14ac:dyDescent="0.45">
      <c r="A2622" s="1" t="s">
        <v>2605</v>
      </c>
      <c r="B2622" t="s">
        <v>6226</v>
      </c>
      <c r="D2622" t="s">
        <v>8011</v>
      </c>
      <c r="E2622" t="s">
        <v>9581</v>
      </c>
      <c r="F2622" t="s">
        <v>10297</v>
      </c>
      <c r="G2622">
        <v>80</v>
      </c>
      <c r="H2622" t="s">
        <v>10314</v>
      </c>
      <c r="L2622">
        <v>1995</v>
      </c>
      <c r="R2622" t="s">
        <v>11037</v>
      </c>
      <c r="S2622" t="s">
        <v>10314</v>
      </c>
      <c r="W2622" s="2" t="s">
        <v>11202</v>
      </c>
    </row>
    <row r="2623" spans="1:23" hidden="1" x14ac:dyDescent="0.45">
      <c r="A2623" s="1" t="s">
        <v>2606</v>
      </c>
      <c r="B2623" t="s">
        <v>6226</v>
      </c>
      <c r="D2623" t="s">
        <v>8011</v>
      </c>
      <c r="E2623" t="s">
        <v>9581</v>
      </c>
      <c r="F2623" t="s">
        <v>10297</v>
      </c>
      <c r="G2623">
        <v>75</v>
      </c>
      <c r="H2623" t="s">
        <v>10314</v>
      </c>
      <c r="I2623" t="s">
        <v>10321</v>
      </c>
      <c r="L2623">
        <v>2003</v>
      </c>
      <c r="R2623" t="s">
        <v>11037</v>
      </c>
      <c r="S2623" t="s">
        <v>10314</v>
      </c>
      <c r="W2623" s="2" t="s">
        <v>11202</v>
      </c>
    </row>
    <row r="2624" spans="1:23" hidden="1" x14ac:dyDescent="0.45">
      <c r="A2624" s="1" t="s">
        <v>2607</v>
      </c>
      <c r="B2624" t="s">
        <v>6226</v>
      </c>
      <c r="D2624" t="s">
        <v>8011</v>
      </c>
      <c r="E2624" t="s">
        <v>9581</v>
      </c>
      <c r="F2624" t="s">
        <v>10297</v>
      </c>
      <c r="G2624">
        <v>75</v>
      </c>
      <c r="H2624" t="s">
        <v>10314</v>
      </c>
      <c r="I2624" t="s">
        <v>10321</v>
      </c>
      <c r="L2624">
        <v>2004</v>
      </c>
      <c r="R2624" t="s">
        <v>11037</v>
      </c>
      <c r="S2624" t="s">
        <v>10314</v>
      </c>
      <c r="W2624" s="2" t="s">
        <v>11202</v>
      </c>
    </row>
    <row r="2625" spans="1:23" hidden="1" x14ac:dyDescent="0.45">
      <c r="A2625" s="1" t="s">
        <v>2608</v>
      </c>
      <c r="B2625" t="s">
        <v>6222</v>
      </c>
      <c r="D2625" t="s">
        <v>8008</v>
      </c>
      <c r="E2625" t="s">
        <v>9575</v>
      </c>
      <c r="F2625" t="s">
        <v>10297</v>
      </c>
      <c r="G2625">
        <v>90</v>
      </c>
      <c r="H2625" t="s">
        <v>10314</v>
      </c>
      <c r="R2625" t="s">
        <v>11037</v>
      </c>
      <c r="S2625" t="s">
        <v>10314</v>
      </c>
      <c r="W2625" s="2" t="s">
        <v>11202</v>
      </c>
    </row>
    <row r="2626" spans="1:23" hidden="1" x14ac:dyDescent="0.45">
      <c r="A2626" s="1" t="s">
        <v>2609</v>
      </c>
      <c r="B2626" t="s">
        <v>6200</v>
      </c>
      <c r="D2626" t="s">
        <v>7991</v>
      </c>
      <c r="E2626" t="s">
        <v>9577</v>
      </c>
      <c r="F2626" t="s">
        <v>10297</v>
      </c>
      <c r="G2626">
        <v>395.6</v>
      </c>
      <c r="H2626" t="s">
        <v>10314</v>
      </c>
      <c r="I2626" t="s">
        <v>10321</v>
      </c>
      <c r="L2626">
        <v>2005</v>
      </c>
      <c r="N2626">
        <v>36.673001999999997</v>
      </c>
      <c r="P2626">
        <v>-5.8161319999999996</v>
      </c>
      <c r="Q2626" t="s">
        <v>10764</v>
      </c>
      <c r="R2626" t="s">
        <v>11037</v>
      </c>
      <c r="S2626" t="s">
        <v>10314</v>
      </c>
      <c r="W2626" s="2" t="s">
        <v>11202</v>
      </c>
    </row>
    <row r="2627" spans="1:23" hidden="1" x14ac:dyDescent="0.45">
      <c r="A2627" s="1" t="s">
        <v>2610</v>
      </c>
      <c r="B2627" t="s">
        <v>6215</v>
      </c>
      <c r="D2627" t="s">
        <v>7989</v>
      </c>
      <c r="E2627" t="s">
        <v>9576</v>
      </c>
      <c r="F2627" t="s">
        <v>10297</v>
      </c>
      <c r="G2627">
        <v>395.63</v>
      </c>
      <c r="H2627" t="s">
        <v>10314</v>
      </c>
      <c r="I2627" t="s">
        <v>10321</v>
      </c>
      <c r="L2627">
        <v>2005</v>
      </c>
      <c r="N2627">
        <v>37.183318</v>
      </c>
      <c r="P2627">
        <v>-6.8863179999999993</v>
      </c>
      <c r="Q2627" t="s">
        <v>10765</v>
      </c>
      <c r="R2627" t="s">
        <v>11037</v>
      </c>
      <c r="S2627" t="s">
        <v>10314</v>
      </c>
      <c r="W2627" s="2" t="s">
        <v>11202</v>
      </c>
    </row>
    <row r="2628" spans="1:23" hidden="1" x14ac:dyDescent="0.45">
      <c r="A2628" s="1" t="s">
        <v>2611</v>
      </c>
      <c r="B2628" t="s">
        <v>6227</v>
      </c>
      <c r="D2628" t="s">
        <v>8012</v>
      </c>
      <c r="E2628" t="s">
        <v>9582</v>
      </c>
      <c r="F2628" t="s">
        <v>10297</v>
      </c>
      <c r="G2628">
        <v>795.43</v>
      </c>
      <c r="H2628" t="s">
        <v>10314</v>
      </c>
      <c r="I2628" t="s">
        <v>10321</v>
      </c>
      <c r="L2628">
        <v>2005</v>
      </c>
      <c r="N2628">
        <v>43.234596999999987</v>
      </c>
      <c r="P2628">
        <v>-2.749908</v>
      </c>
      <c r="Q2628" t="s">
        <v>10766</v>
      </c>
      <c r="R2628" t="s">
        <v>11037</v>
      </c>
      <c r="S2628" t="s">
        <v>10314</v>
      </c>
      <c r="W2628" s="2" t="s">
        <v>11202</v>
      </c>
    </row>
    <row r="2629" spans="1:23" hidden="1" x14ac:dyDescent="0.45">
      <c r="A2629" s="1" t="s">
        <v>2612</v>
      </c>
      <c r="B2629" t="s">
        <v>6215</v>
      </c>
      <c r="D2629" t="s">
        <v>7989</v>
      </c>
      <c r="E2629" t="s">
        <v>9576</v>
      </c>
      <c r="F2629" t="s">
        <v>10297</v>
      </c>
      <c r="G2629">
        <v>397.83</v>
      </c>
      <c r="H2629" t="s">
        <v>10314</v>
      </c>
      <c r="I2629" t="s">
        <v>10321</v>
      </c>
      <c r="L2629">
        <v>2005</v>
      </c>
      <c r="N2629">
        <v>37.183318</v>
      </c>
      <c r="P2629">
        <v>-6.8863179999999993</v>
      </c>
      <c r="Q2629" t="s">
        <v>10767</v>
      </c>
      <c r="R2629" t="s">
        <v>11037</v>
      </c>
      <c r="S2629" t="s">
        <v>10314</v>
      </c>
      <c r="W2629" s="2" t="s">
        <v>11202</v>
      </c>
    </row>
    <row r="2630" spans="1:23" hidden="1" x14ac:dyDescent="0.45">
      <c r="A2630" s="1" t="s">
        <v>2613</v>
      </c>
      <c r="B2630" t="s">
        <v>6200</v>
      </c>
      <c r="D2630" t="s">
        <v>7991</v>
      </c>
      <c r="E2630" t="s">
        <v>9244</v>
      </c>
      <c r="F2630" t="s">
        <v>10297</v>
      </c>
      <c r="G2630">
        <v>391.53</v>
      </c>
      <c r="H2630" t="s">
        <v>10314</v>
      </c>
      <c r="I2630" t="s">
        <v>10321</v>
      </c>
      <c r="L2630">
        <v>2005</v>
      </c>
      <c r="N2630">
        <v>39.943972000000002</v>
      </c>
      <c r="P2630">
        <v>-3.854838</v>
      </c>
      <c r="Q2630" t="s">
        <v>10768</v>
      </c>
      <c r="R2630" t="s">
        <v>11037</v>
      </c>
      <c r="S2630" t="s">
        <v>10314</v>
      </c>
      <c r="W2630" s="2" t="s">
        <v>11202</v>
      </c>
    </row>
    <row r="2631" spans="1:23" hidden="1" x14ac:dyDescent="0.45">
      <c r="A2631" s="1" t="s">
        <v>2614</v>
      </c>
      <c r="B2631" t="s">
        <v>6226</v>
      </c>
      <c r="D2631" t="s">
        <v>8011</v>
      </c>
      <c r="E2631" t="s">
        <v>9581</v>
      </c>
      <c r="F2631" t="s">
        <v>10297</v>
      </c>
      <c r="G2631">
        <v>78.400000000000006</v>
      </c>
      <c r="H2631" t="s">
        <v>10314</v>
      </c>
      <c r="I2631" t="s">
        <v>10321</v>
      </c>
      <c r="L2631">
        <v>2011</v>
      </c>
      <c r="R2631" t="s">
        <v>11037</v>
      </c>
      <c r="S2631" t="s">
        <v>10314</v>
      </c>
      <c r="W2631" s="2" t="s">
        <v>11202</v>
      </c>
    </row>
    <row r="2632" spans="1:23" hidden="1" x14ac:dyDescent="0.45">
      <c r="A2632" s="1" t="s">
        <v>2615</v>
      </c>
      <c r="B2632" t="s">
        <v>6228</v>
      </c>
      <c r="D2632" t="s">
        <v>8013</v>
      </c>
      <c r="E2632" t="s">
        <v>9583</v>
      </c>
      <c r="F2632" t="s">
        <v>10297</v>
      </c>
      <c r="G2632">
        <v>125</v>
      </c>
      <c r="H2632" t="s">
        <v>10314</v>
      </c>
      <c r="I2632" t="s">
        <v>10323</v>
      </c>
      <c r="L2632">
        <v>1981</v>
      </c>
      <c r="R2632" t="s">
        <v>11037</v>
      </c>
      <c r="S2632" t="s">
        <v>10314</v>
      </c>
      <c r="W2632" s="2" t="s">
        <v>11202</v>
      </c>
    </row>
    <row r="2633" spans="1:23" hidden="1" x14ac:dyDescent="0.45">
      <c r="A2633" s="1" t="s">
        <v>2616</v>
      </c>
      <c r="B2633" t="s">
        <v>6228</v>
      </c>
      <c r="D2633" t="s">
        <v>8013</v>
      </c>
      <c r="E2633" t="s">
        <v>9583</v>
      </c>
      <c r="F2633" t="s">
        <v>10297</v>
      </c>
      <c r="G2633">
        <v>125</v>
      </c>
      <c r="H2633" t="s">
        <v>10314</v>
      </c>
      <c r="I2633" t="s">
        <v>10323</v>
      </c>
      <c r="L2633">
        <v>1982</v>
      </c>
      <c r="R2633" t="s">
        <v>11037</v>
      </c>
      <c r="S2633" t="s">
        <v>10314</v>
      </c>
      <c r="W2633" s="2" t="s">
        <v>11202</v>
      </c>
    </row>
    <row r="2634" spans="1:23" hidden="1" x14ac:dyDescent="0.45">
      <c r="A2634" s="1" t="s">
        <v>2617</v>
      </c>
      <c r="B2634" t="s">
        <v>6228</v>
      </c>
      <c r="D2634" t="s">
        <v>8013</v>
      </c>
      <c r="E2634" t="s">
        <v>9583</v>
      </c>
      <c r="F2634" t="s">
        <v>10297</v>
      </c>
      <c r="G2634">
        <v>130</v>
      </c>
      <c r="H2634" t="s">
        <v>10314</v>
      </c>
      <c r="I2634" t="s">
        <v>10323</v>
      </c>
      <c r="L2634">
        <v>1997</v>
      </c>
      <c r="R2634" t="s">
        <v>11037</v>
      </c>
      <c r="S2634" t="s">
        <v>10314</v>
      </c>
      <c r="W2634" s="2" t="s">
        <v>11202</v>
      </c>
    </row>
    <row r="2635" spans="1:23" hidden="1" x14ac:dyDescent="0.45">
      <c r="A2635" s="1" t="s">
        <v>2618</v>
      </c>
      <c r="B2635" t="s">
        <v>6228</v>
      </c>
      <c r="D2635" t="s">
        <v>8013</v>
      </c>
      <c r="E2635" t="s">
        <v>9583</v>
      </c>
      <c r="F2635" t="s">
        <v>10297</v>
      </c>
      <c r="G2635">
        <v>130</v>
      </c>
      <c r="H2635" t="s">
        <v>10314</v>
      </c>
      <c r="I2635" t="s">
        <v>10323</v>
      </c>
      <c r="L2635">
        <v>1997</v>
      </c>
      <c r="R2635" t="s">
        <v>11037</v>
      </c>
      <c r="S2635" t="s">
        <v>10314</v>
      </c>
      <c r="W2635" s="2" t="s">
        <v>11202</v>
      </c>
    </row>
    <row r="2636" spans="1:23" hidden="1" x14ac:dyDescent="0.45">
      <c r="A2636" s="1" t="s">
        <v>2619</v>
      </c>
      <c r="B2636" t="s">
        <v>6228</v>
      </c>
      <c r="D2636" t="s">
        <v>8013</v>
      </c>
      <c r="E2636" t="s">
        <v>9584</v>
      </c>
      <c r="F2636" t="s">
        <v>10297</v>
      </c>
      <c r="G2636">
        <v>52.8</v>
      </c>
      <c r="H2636" t="s">
        <v>10314</v>
      </c>
      <c r="I2636" t="s">
        <v>10321</v>
      </c>
      <c r="L2636">
        <v>2001</v>
      </c>
      <c r="R2636" t="s">
        <v>11037</v>
      </c>
      <c r="S2636" t="s">
        <v>10314</v>
      </c>
      <c r="W2636" s="2" t="s">
        <v>11202</v>
      </c>
    </row>
    <row r="2637" spans="1:23" hidden="1" x14ac:dyDescent="0.45">
      <c r="A2637" s="1" t="s">
        <v>2620</v>
      </c>
      <c r="B2637" t="s">
        <v>6228</v>
      </c>
      <c r="D2637" t="s">
        <v>8013</v>
      </c>
      <c r="E2637" t="s">
        <v>9584</v>
      </c>
      <c r="F2637" t="s">
        <v>10297</v>
      </c>
      <c r="G2637">
        <v>52.8</v>
      </c>
      <c r="H2637" t="s">
        <v>10314</v>
      </c>
      <c r="I2637" t="s">
        <v>10321</v>
      </c>
      <c r="L2637">
        <v>2001</v>
      </c>
      <c r="R2637" t="s">
        <v>11037</v>
      </c>
      <c r="S2637" t="s">
        <v>10314</v>
      </c>
      <c r="W2637" s="2" t="s">
        <v>11202</v>
      </c>
    </row>
    <row r="2638" spans="1:23" hidden="1" x14ac:dyDescent="0.45">
      <c r="A2638" s="1" t="s">
        <v>2621</v>
      </c>
      <c r="B2638" t="s">
        <v>6228</v>
      </c>
      <c r="D2638" t="s">
        <v>8013</v>
      </c>
      <c r="E2638" t="s">
        <v>9584</v>
      </c>
      <c r="F2638" t="s">
        <v>10297</v>
      </c>
      <c r="G2638">
        <v>52.8</v>
      </c>
      <c r="H2638" t="s">
        <v>10314</v>
      </c>
      <c r="I2638" t="s">
        <v>10321</v>
      </c>
      <c r="L2638">
        <v>2001</v>
      </c>
      <c r="R2638" t="s">
        <v>11037</v>
      </c>
      <c r="S2638" t="s">
        <v>10314</v>
      </c>
      <c r="W2638" s="2" t="s">
        <v>11202</v>
      </c>
    </row>
    <row r="2639" spans="1:23" hidden="1" x14ac:dyDescent="0.45">
      <c r="A2639" s="1" t="s">
        <v>2622</v>
      </c>
      <c r="B2639" t="s">
        <v>6228</v>
      </c>
      <c r="D2639" t="s">
        <v>8013</v>
      </c>
      <c r="E2639" t="s">
        <v>9584</v>
      </c>
      <c r="F2639" t="s">
        <v>10297</v>
      </c>
      <c r="G2639">
        <v>75.5</v>
      </c>
      <c r="H2639" t="s">
        <v>10314</v>
      </c>
      <c r="I2639" t="s">
        <v>10321</v>
      </c>
      <c r="L2639">
        <v>2003</v>
      </c>
      <c r="R2639" t="s">
        <v>11037</v>
      </c>
      <c r="S2639" t="s">
        <v>10314</v>
      </c>
      <c r="W2639" s="2" t="s">
        <v>11202</v>
      </c>
    </row>
    <row r="2640" spans="1:23" hidden="1" x14ac:dyDescent="0.45">
      <c r="A2640" s="1" t="s">
        <v>2623</v>
      </c>
      <c r="B2640" t="s">
        <v>6228</v>
      </c>
      <c r="D2640" t="s">
        <v>8013</v>
      </c>
      <c r="E2640" t="s">
        <v>9584</v>
      </c>
      <c r="F2640" t="s">
        <v>10297</v>
      </c>
      <c r="G2640">
        <v>75.5</v>
      </c>
      <c r="H2640" t="s">
        <v>10314</v>
      </c>
      <c r="I2640" t="s">
        <v>10321</v>
      </c>
      <c r="L2640">
        <v>2003</v>
      </c>
      <c r="R2640" t="s">
        <v>11037</v>
      </c>
      <c r="S2640" t="s">
        <v>10314</v>
      </c>
      <c r="W2640" s="2" t="s">
        <v>11202</v>
      </c>
    </row>
    <row r="2641" spans="1:23" hidden="1" x14ac:dyDescent="0.45">
      <c r="A2641" s="1" t="s">
        <v>2624</v>
      </c>
      <c r="B2641" t="s">
        <v>6228</v>
      </c>
      <c r="D2641" t="s">
        <v>8013</v>
      </c>
      <c r="E2641" t="s">
        <v>9584</v>
      </c>
      <c r="F2641" t="s">
        <v>10297</v>
      </c>
      <c r="G2641">
        <v>74.400000000000006</v>
      </c>
      <c r="H2641" t="s">
        <v>10314</v>
      </c>
      <c r="I2641" t="s">
        <v>10321</v>
      </c>
      <c r="L2641">
        <v>2002</v>
      </c>
      <c r="R2641" t="s">
        <v>11037</v>
      </c>
      <c r="S2641" t="s">
        <v>10314</v>
      </c>
      <c r="W2641" s="2" t="s">
        <v>11202</v>
      </c>
    </row>
    <row r="2642" spans="1:23" hidden="1" x14ac:dyDescent="0.45">
      <c r="A2642" s="1" t="s">
        <v>2625</v>
      </c>
      <c r="B2642" t="s">
        <v>6228</v>
      </c>
      <c r="D2642" t="s">
        <v>8013</v>
      </c>
      <c r="E2642" t="s">
        <v>9585</v>
      </c>
      <c r="F2642" t="s">
        <v>10297</v>
      </c>
      <c r="G2642">
        <v>45</v>
      </c>
      <c r="H2642" t="s">
        <v>10314</v>
      </c>
      <c r="I2642" t="s">
        <v>10322</v>
      </c>
      <c r="L2642">
        <v>2004</v>
      </c>
      <c r="R2642" t="s">
        <v>11037</v>
      </c>
      <c r="S2642" t="s">
        <v>10314</v>
      </c>
      <c r="W2642" s="2" t="s">
        <v>11202</v>
      </c>
    </row>
    <row r="2643" spans="1:23" hidden="1" x14ac:dyDescent="0.45">
      <c r="A2643" s="1" t="s">
        <v>2626</v>
      </c>
      <c r="B2643" t="s">
        <v>6228</v>
      </c>
      <c r="D2643" t="s">
        <v>8013</v>
      </c>
      <c r="E2643" t="s">
        <v>9584</v>
      </c>
      <c r="F2643" t="s">
        <v>10297</v>
      </c>
      <c r="G2643">
        <v>75</v>
      </c>
      <c r="H2643" t="s">
        <v>10314</v>
      </c>
      <c r="I2643" t="s">
        <v>10321</v>
      </c>
      <c r="L2643">
        <v>2005</v>
      </c>
      <c r="R2643" t="s">
        <v>11037</v>
      </c>
      <c r="S2643" t="s">
        <v>10314</v>
      </c>
      <c r="W2643" s="2" t="s">
        <v>11202</v>
      </c>
    </row>
    <row r="2644" spans="1:23" hidden="1" x14ac:dyDescent="0.45">
      <c r="A2644" s="1" t="s">
        <v>2627</v>
      </c>
      <c r="B2644" t="s">
        <v>6229</v>
      </c>
      <c r="D2644" t="s">
        <v>8014</v>
      </c>
      <c r="E2644" t="s">
        <v>9238</v>
      </c>
      <c r="F2644" t="s">
        <v>10297</v>
      </c>
      <c r="G2644">
        <v>408.56</v>
      </c>
      <c r="H2644" t="s">
        <v>10314</v>
      </c>
      <c r="I2644" t="s">
        <v>10321</v>
      </c>
      <c r="L2644">
        <v>2006</v>
      </c>
      <c r="N2644">
        <v>37.573128999999987</v>
      </c>
      <c r="P2644">
        <v>-0.93890899999999999</v>
      </c>
      <c r="Q2644" t="s">
        <v>10769</v>
      </c>
      <c r="R2644" t="s">
        <v>11037</v>
      </c>
      <c r="S2644" t="s">
        <v>10314</v>
      </c>
      <c r="W2644" s="2" t="s">
        <v>11202</v>
      </c>
    </row>
    <row r="2645" spans="1:23" hidden="1" x14ac:dyDescent="0.45">
      <c r="A2645" s="1" t="s">
        <v>2628</v>
      </c>
      <c r="B2645" t="s">
        <v>6229</v>
      </c>
      <c r="D2645" t="s">
        <v>8014</v>
      </c>
      <c r="E2645" t="s">
        <v>9238</v>
      </c>
      <c r="F2645" t="s">
        <v>10297</v>
      </c>
      <c r="G2645">
        <v>408.35</v>
      </c>
      <c r="H2645" t="s">
        <v>10314</v>
      </c>
      <c r="I2645" t="s">
        <v>10321</v>
      </c>
      <c r="L2645">
        <v>2006</v>
      </c>
      <c r="N2645">
        <v>37.573128999999987</v>
      </c>
      <c r="P2645">
        <v>-0.93890899999999999</v>
      </c>
      <c r="Q2645" t="s">
        <v>10770</v>
      </c>
      <c r="R2645" t="s">
        <v>11037</v>
      </c>
      <c r="S2645" t="s">
        <v>10314</v>
      </c>
      <c r="W2645" s="2" t="s">
        <v>11202</v>
      </c>
    </row>
    <row r="2646" spans="1:23" hidden="1" x14ac:dyDescent="0.45">
      <c r="A2646" s="1" t="s">
        <v>2629</v>
      </c>
      <c r="B2646" t="s">
        <v>6229</v>
      </c>
      <c r="D2646" t="s">
        <v>8014</v>
      </c>
      <c r="E2646" t="s">
        <v>9238</v>
      </c>
      <c r="F2646" t="s">
        <v>10297</v>
      </c>
      <c r="G2646">
        <v>401.97</v>
      </c>
      <c r="H2646" t="s">
        <v>10314</v>
      </c>
      <c r="I2646" t="s">
        <v>10321</v>
      </c>
      <c r="L2646">
        <v>2006</v>
      </c>
      <c r="N2646">
        <v>37.573128999999987</v>
      </c>
      <c r="P2646">
        <v>-0.93890899999999999</v>
      </c>
      <c r="Q2646" t="s">
        <v>10771</v>
      </c>
      <c r="R2646" t="s">
        <v>11037</v>
      </c>
      <c r="S2646" t="s">
        <v>10314</v>
      </c>
      <c r="W2646" s="2" t="s">
        <v>11202</v>
      </c>
    </row>
    <row r="2647" spans="1:23" hidden="1" x14ac:dyDescent="0.45">
      <c r="A2647" s="1" t="s">
        <v>2630</v>
      </c>
      <c r="B2647" t="s">
        <v>6200</v>
      </c>
      <c r="D2647" t="s">
        <v>7991</v>
      </c>
      <c r="E2647" t="s">
        <v>9577</v>
      </c>
      <c r="F2647" t="s">
        <v>10297</v>
      </c>
      <c r="G2647">
        <v>812</v>
      </c>
      <c r="H2647" t="s">
        <v>10314</v>
      </c>
      <c r="I2647" t="s">
        <v>10321</v>
      </c>
      <c r="L2647">
        <v>2006</v>
      </c>
      <c r="N2647">
        <v>36.673001999999997</v>
      </c>
      <c r="P2647">
        <v>-5.8161319999999996</v>
      </c>
      <c r="Q2647" t="s">
        <v>10772</v>
      </c>
      <c r="R2647" t="s">
        <v>11037</v>
      </c>
      <c r="S2647" t="s">
        <v>10314</v>
      </c>
      <c r="W2647" s="2" t="s">
        <v>11202</v>
      </c>
    </row>
    <row r="2648" spans="1:23" hidden="1" x14ac:dyDescent="0.45">
      <c r="A2648" s="1" t="s">
        <v>2631</v>
      </c>
      <c r="B2648" t="s">
        <v>6215</v>
      </c>
      <c r="D2648" t="s">
        <v>7989</v>
      </c>
      <c r="E2648" t="s">
        <v>9238</v>
      </c>
      <c r="F2648" t="s">
        <v>10297</v>
      </c>
      <c r="G2648">
        <v>424.51</v>
      </c>
      <c r="H2648" t="s">
        <v>10314</v>
      </c>
      <c r="I2648" t="s">
        <v>10321</v>
      </c>
      <c r="L2648">
        <v>2006</v>
      </c>
      <c r="N2648">
        <v>37.572744</v>
      </c>
      <c r="P2648">
        <v>-0.93840800000000002</v>
      </c>
      <c r="Q2648" t="s">
        <v>10773</v>
      </c>
      <c r="R2648" t="s">
        <v>11037</v>
      </c>
      <c r="S2648" t="s">
        <v>10314</v>
      </c>
      <c r="W2648" s="2" t="s">
        <v>11202</v>
      </c>
    </row>
    <row r="2649" spans="1:23" hidden="1" x14ac:dyDescent="0.45">
      <c r="A2649" s="1" t="s">
        <v>2632</v>
      </c>
      <c r="B2649" t="s">
        <v>6215</v>
      </c>
      <c r="D2649" t="s">
        <v>7989</v>
      </c>
      <c r="E2649" t="s">
        <v>9238</v>
      </c>
      <c r="F2649" t="s">
        <v>10297</v>
      </c>
      <c r="G2649">
        <v>424.56</v>
      </c>
      <c r="H2649" t="s">
        <v>10314</v>
      </c>
      <c r="I2649" t="s">
        <v>10321</v>
      </c>
      <c r="L2649">
        <v>2006</v>
      </c>
      <c r="N2649">
        <v>37.572744</v>
      </c>
      <c r="P2649">
        <v>-0.93840800000000002</v>
      </c>
      <c r="Q2649" t="s">
        <v>10774</v>
      </c>
      <c r="R2649" t="s">
        <v>11037</v>
      </c>
      <c r="S2649" t="s">
        <v>10314</v>
      </c>
      <c r="W2649" s="2" t="s">
        <v>11202</v>
      </c>
    </row>
    <row r="2650" spans="1:23" hidden="1" x14ac:dyDescent="0.45">
      <c r="A2650" s="1" t="s">
        <v>2633</v>
      </c>
      <c r="B2650" t="s">
        <v>6215</v>
      </c>
      <c r="D2650" t="s">
        <v>7989</v>
      </c>
      <c r="E2650" t="s">
        <v>9238</v>
      </c>
      <c r="F2650" t="s">
        <v>10297</v>
      </c>
      <c r="G2650">
        <v>419.28</v>
      </c>
      <c r="H2650" t="s">
        <v>10314</v>
      </c>
      <c r="I2650" t="s">
        <v>10321</v>
      </c>
      <c r="L2650">
        <v>2006</v>
      </c>
      <c r="N2650">
        <v>37.572744</v>
      </c>
      <c r="P2650">
        <v>-0.93840800000000002</v>
      </c>
      <c r="Q2650" t="s">
        <v>10775</v>
      </c>
      <c r="R2650" t="s">
        <v>11037</v>
      </c>
      <c r="S2650" t="s">
        <v>10314</v>
      </c>
      <c r="W2650" s="2" t="s">
        <v>11202</v>
      </c>
    </row>
    <row r="2651" spans="1:23" hidden="1" x14ac:dyDescent="0.45">
      <c r="A2651" s="1" t="s">
        <v>2634</v>
      </c>
      <c r="B2651" t="s">
        <v>6199</v>
      </c>
      <c r="D2651" t="s">
        <v>7990</v>
      </c>
      <c r="E2651" t="s">
        <v>9586</v>
      </c>
      <c r="F2651" t="s">
        <v>10297</v>
      </c>
      <c r="G2651">
        <v>397.77</v>
      </c>
      <c r="H2651" t="s">
        <v>10314</v>
      </c>
      <c r="I2651" t="s">
        <v>10321</v>
      </c>
      <c r="L2651">
        <v>2006</v>
      </c>
      <c r="N2651">
        <v>37.216397000000001</v>
      </c>
      <c r="P2651">
        <v>-6.9436330000000002</v>
      </c>
      <c r="Q2651" t="s">
        <v>10776</v>
      </c>
      <c r="R2651" t="s">
        <v>11037</v>
      </c>
      <c r="S2651" t="s">
        <v>10314</v>
      </c>
      <c r="W2651" s="2" t="s">
        <v>11202</v>
      </c>
    </row>
    <row r="2652" spans="1:23" hidden="1" x14ac:dyDescent="0.45">
      <c r="A2652" s="1" t="s">
        <v>2635</v>
      </c>
      <c r="B2652" t="s">
        <v>6215</v>
      </c>
      <c r="D2652" t="s">
        <v>7989</v>
      </c>
      <c r="E2652" t="s">
        <v>9244</v>
      </c>
      <c r="F2652" t="s">
        <v>10297</v>
      </c>
      <c r="G2652">
        <v>379.3</v>
      </c>
      <c r="H2652" t="s">
        <v>10314</v>
      </c>
      <c r="I2652" t="s">
        <v>10321</v>
      </c>
      <c r="L2652">
        <v>2006</v>
      </c>
      <c r="N2652">
        <v>39.943972000000002</v>
      </c>
      <c r="P2652">
        <v>-3.854838</v>
      </c>
      <c r="Q2652" t="s">
        <v>10777</v>
      </c>
      <c r="R2652" t="s">
        <v>11037</v>
      </c>
      <c r="S2652" t="s">
        <v>10314</v>
      </c>
      <c r="W2652" s="2" t="s">
        <v>11202</v>
      </c>
    </row>
    <row r="2653" spans="1:23" hidden="1" x14ac:dyDescent="0.45">
      <c r="A2653" s="1" t="s">
        <v>2636</v>
      </c>
      <c r="B2653" t="s">
        <v>6230</v>
      </c>
      <c r="D2653" t="s">
        <v>8014</v>
      </c>
      <c r="E2653" t="s">
        <v>9587</v>
      </c>
      <c r="F2653" t="s">
        <v>10297</v>
      </c>
      <c r="G2653">
        <v>797.83</v>
      </c>
      <c r="H2653" t="s">
        <v>10314</v>
      </c>
      <c r="I2653" t="s">
        <v>10321</v>
      </c>
      <c r="L2653">
        <v>2006</v>
      </c>
      <c r="N2653">
        <v>41.216920999999999</v>
      </c>
      <c r="P2653">
        <v>-0.29420499999999999</v>
      </c>
      <c r="Q2653" t="s">
        <v>10778</v>
      </c>
      <c r="R2653" t="s">
        <v>11037</v>
      </c>
      <c r="S2653" t="s">
        <v>10314</v>
      </c>
      <c r="W2653" s="2" t="s">
        <v>11202</v>
      </c>
    </row>
    <row r="2654" spans="1:23" hidden="1" x14ac:dyDescent="0.45">
      <c r="A2654" s="1" t="s">
        <v>2637</v>
      </c>
      <c r="B2654" t="s">
        <v>6200</v>
      </c>
      <c r="D2654" t="s">
        <v>7991</v>
      </c>
      <c r="E2654" t="s">
        <v>9238</v>
      </c>
      <c r="F2654" t="s">
        <v>10297</v>
      </c>
      <c r="G2654">
        <v>830.89</v>
      </c>
      <c r="H2654" t="s">
        <v>10314</v>
      </c>
      <c r="I2654" t="s">
        <v>10321</v>
      </c>
      <c r="L2654">
        <v>2006</v>
      </c>
      <c r="N2654">
        <v>37.564700000000002</v>
      </c>
      <c r="P2654">
        <v>-0.95132399999999995</v>
      </c>
      <c r="Q2654" t="s">
        <v>10779</v>
      </c>
      <c r="R2654" t="s">
        <v>11037</v>
      </c>
      <c r="S2654" t="s">
        <v>10314</v>
      </c>
      <c r="W2654" s="2" t="s">
        <v>11202</v>
      </c>
    </row>
    <row r="2655" spans="1:23" hidden="1" x14ac:dyDescent="0.45">
      <c r="A2655" s="1" t="s">
        <v>2638</v>
      </c>
      <c r="B2655" t="s">
        <v>6226</v>
      </c>
      <c r="D2655" t="s">
        <v>8011</v>
      </c>
      <c r="E2655" t="s">
        <v>9581</v>
      </c>
      <c r="F2655" t="s">
        <v>10297</v>
      </c>
      <c r="G2655">
        <v>75</v>
      </c>
      <c r="H2655" t="s">
        <v>10314</v>
      </c>
      <c r="I2655" t="s">
        <v>10321</v>
      </c>
      <c r="L2655">
        <v>2005</v>
      </c>
      <c r="R2655" t="s">
        <v>11037</v>
      </c>
      <c r="S2655" t="s">
        <v>10314</v>
      </c>
      <c r="W2655" s="2" t="s">
        <v>11202</v>
      </c>
    </row>
    <row r="2656" spans="1:23" hidden="1" x14ac:dyDescent="0.45">
      <c r="A2656" s="1" t="s">
        <v>2639</v>
      </c>
      <c r="B2656" t="s">
        <v>6215</v>
      </c>
      <c r="D2656" t="s">
        <v>7989</v>
      </c>
      <c r="E2656" t="s">
        <v>9242</v>
      </c>
      <c r="F2656" t="s">
        <v>10297</v>
      </c>
      <c r="G2656">
        <v>425.6</v>
      </c>
      <c r="H2656" t="s">
        <v>10314</v>
      </c>
      <c r="I2656" t="s">
        <v>10321</v>
      </c>
      <c r="L2656">
        <v>2007</v>
      </c>
      <c r="N2656">
        <v>40.959398</v>
      </c>
      <c r="P2656">
        <v>0.86963600000000008</v>
      </c>
      <c r="Q2656" t="s">
        <v>10780</v>
      </c>
      <c r="R2656" t="s">
        <v>11037</v>
      </c>
      <c r="S2656" t="s">
        <v>10314</v>
      </c>
      <c r="W2656" s="2" t="s">
        <v>11202</v>
      </c>
    </row>
    <row r="2657" spans="1:23" hidden="1" x14ac:dyDescent="0.45">
      <c r="A2657" s="1" t="s">
        <v>2640</v>
      </c>
      <c r="B2657" t="s">
        <v>6215</v>
      </c>
      <c r="D2657" t="s">
        <v>7989</v>
      </c>
      <c r="E2657" t="s">
        <v>9588</v>
      </c>
      <c r="F2657" t="s">
        <v>10297</v>
      </c>
      <c r="G2657">
        <v>417.28</v>
      </c>
      <c r="H2657" t="s">
        <v>10314</v>
      </c>
      <c r="I2657" t="s">
        <v>10321</v>
      </c>
      <c r="L2657">
        <v>2007</v>
      </c>
      <c r="N2657">
        <v>39.642474999999997</v>
      </c>
      <c r="P2657">
        <v>-0.233208</v>
      </c>
      <c r="Q2657" t="s">
        <v>10781</v>
      </c>
      <c r="R2657" t="s">
        <v>11037</v>
      </c>
      <c r="S2657" t="s">
        <v>10314</v>
      </c>
      <c r="W2657" s="2" t="s">
        <v>11202</v>
      </c>
    </row>
    <row r="2658" spans="1:23" hidden="1" x14ac:dyDescent="0.45">
      <c r="A2658" s="1" t="s">
        <v>2641</v>
      </c>
      <c r="B2658" t="s">
        <v>6231</v>
      </c>
      <c r="D2658" t="s">
        <v>8015</v>
      </c>
      <c r="E2658" t="s">
        <v>9242</v>
      </c>
      <c r="F2658" t="s">
        <v>10297</v>
      </c>
      <c r="G2658">
        <v>420.99</v>
      </c>
      <c r="H2658" t="s">
        <v>10314</v>
      </c>
      <c r="I2658" t="s">
        <v>10321</v>
      </c>
      <c r="L2658">
        <v>2007</v>
      </c>
      <c r="N2658">
        <v>40.959398</v>
      </c>
      <c r="P2658">
        <v>0.86963600000000008</v>
      </c>
      <c r="Q2658" t="s">
        <v>10782</v>
      </c>
      <c r="R2658" t="s">
        <v>11037</v>
      </c>
      <c r="S2658" t="s">
        <v>10314</v>
      </c>
      <c r="W2658" s="2" t="s">
        <v>11202</v>
      </c>
    </row>
    <row r="2659" spans="1:23" hidden="1" x14ac:dyDescent="0.45">
      <c r="A2659" s="1" t="s">
        <v>2642</v>
      </c>
      <c r="B2659" t="s">
        <v>6215</v>
      </c>
      <c r="D2659" t="s">
        <v>7989</v>
      </c>
      <c r="E2659" t="s">
        <v>9588</v>
      </c>
      <c r="F2659" t="s">
        <v>10297</v>
      </c>
      <c r="G2659">
        <v>419.59</v>
      </c>
      <c r="H2659" t="s">
        <v>10314</v>
      </c>
      <c r="I2659" t="s">
        <v>10321</v>
      </c>
      <c r="L2659">
        <v>2007</v>
      </c>
      <c r="N2659">
        <v>39.642474999999997</v>
      </c>
      <c r="P2659">
        <v>-0.233208</v>
      </c>
      <c r="Q2659" t="s">
        <v>10783</v>
      </c>
      <c r="R2659" t="s">
        <v>11037</v>
      </c>
      <c r="S2659" t="s">
        <v>10314</v>
      </c>
      <c r="W2659" s="2" t="s">
        <v>11202</v>
      </c>
    </row>
    <row r="2660" spans="1:23" hidden="1" x14ac:dyDescent="0.45">
      <c r="A2660" s="1" t="s">
        <v>2643</v>
      </c>
      <c r="B2660" t="s">
        <v>6232</v>
      </c>
      <c r="D2660" t="s">
        <v>8016</v>
      </c>
      <c r="E2660" t="s">
        <v>9382</v>
      </c>
      <c r="F2660" t="s">
        <v>10297</v>
      </c>
      <c r="G2660">
        <v>282.22000000000003</v>
      </c>
      <c r="H2660" t="s">
        <v>10314</v>
      </c>
      <c r="I2660" t="s">
        <v>10321</v>
      </c>
      <c r="L2660">
        <v>2007</v>
      </c>
      <c r="R2660" t="s">
        <v>11037</v>
      </c>
      <c r="S2660" t="s">
        <v>10314</v>
      </c>
      <c r="W2660" s="2" t="s">
        <v>11202</v>
      </c>
    </row>
    <row r="2661" spans="1:23" hidden="1" x14ac:dyDescent="0.45">
      <c r="A2661" s="1" t="s">
        <v>2644</v>
      </c>
      <c r="B2661" t="s">
        <v>6215</v>
      </c>
      <c r="D2661" t="s">
        <v>7989</v>
      </c>
      <c r="E2661" t="s">
        <v>9588</v>
      </c>
      <c r="F2661" t="s">
        <v>10297</v>
      </c>
      <c r="G2661">
        <v>418.55</v>
      </c>
      <c r="H2661" t="s">
        <v>10314</v>
      </c>
      <c r="I2661" t="s">
        <v>10321</v>
      </c>
      <c r="L2661">
        <v>2007</v>
      </c>
      <c r="N2661">
        <v>39.642474999999997</v>
      </c>
      <c r="P2661">
        <v>-0.233208</v>
      </c>
      <c r="Q2661" t="s">
        <v>10784</v>
      </c>
      <c r="R2661" t="s">
        <v>11037</v>
      </c>
      <c r="S2661" t="s">
        <v>10314</v>
      </c>
      <c r="W2661" s="2" t="s">
        <v>11202</v>
      </c>
    </row>
    <row r="2662" spans="1:23" hidden="1" x14ac:dyDescent="0.45">
      <c r="A2662" s="1" t="s">
        <v>2645</v>
      </c>
      <c r="B2662" t="s">
        <v>6199</v>
      </c>
      <c r="D2662" t="s">
        <v>7990</v>
      </c>
      <c r="E2662" t="s">
        <v>9385</v>
      </c>
      <c r="F2662" t="s">
        <v>10297</v>
      </c>
      <c r="G2662">
        <v>870.43</v>
      </c>
      <c r="H2662" t="s">
        <v>10314</v>
      </c>
      <c r="I2662" t="s">
        <v>10321</v>
      </c>
      <c r="L2662">
        <v>2008</v>
      </c>
      <c r="N2662">
        <v>43.444417999999999</v>
      </c>
      <c r="P2662">
        <v>-7.8643339999999986</v>
      </c>
      <c r="Q2662" t="s">
        <v>10785</v>
      </c>
      <c r="R2662" t="s">
        <v>11037</v>
      </c>
      <c r="S2662" t="s">
        <v>10314</v>
      </c>
      <c r="W2662" s="2" t="s">
        <v>11202</v>
      </c>
    </row>
    <row r="2663" spans="1:23" hidden="1" x14ac:dyDescent="0.45">
      <c r="A2663" s="1" t="s">
        <v>2646</v>
      </c>
      <c r="B2663" t="s">
        <v>6215</v>
      </c>
      <c r="D2663" t="s">
        <v>7989</v>
      </c>
      <c r="E2663" t="s">
        <v>9573</v>
      </c>
      <c r="F2663" t="s">
        <v>10297</v>
      </c>
      <c r="G2663">
        <v>397.44</v>
      </c>
      <c r="H2663" t="s">
        <v>10314</v>
      </c>
      <c r="I2663" t="s">
        <v>10321</v>
      </c>
      <c r="L2663">
        <v>2008</v>
      </c>
      <c r="N2663">
        <v>43.329639</v>
      </c>
      <c r="P2663">
        <v>-8.5019860000000005</v>
      </c>
      <c r="Q2663" t="s">
        <v>10786</v>
      </c>
      <c r="R2663" t="s">
        <v>11037</v>
      </c>
      <c r="S2663" t="s">
        <v>10314</v>
      </c>
      <c r="W2663" s="2" t="s">
        <v>11202</v>
      </c>
    </row>
    <row r="2664" spans="1:23" hidden="1" x14ac:dyDescent="0.45">
      <c r="A2664" s="1" t="s">
        <v>2647</v>
      </c>
      <c r="B2664" t="s">
        <v>6211</v>
      </c>
      <c r="D2664" t="s">
        <v>7999</v>
      </c>
      <c r="E2664" t="s">
        <v>9382</v>
      </c>
      <c r="F2664" t="s">
        <v>10297</v>
      </c>
      <c r="G2664">
        <v>818.5</v>
      </c>
      <c r="H2664" t="s">
        <v>10314</v>
      </c>
      <c r="I2664" t="s">
        <v>10321</v>
      </c>
      <c r="L2664">
        <v>2008</v>
      </c>
      <c r="R2664" t="s">
        <v>11037</v>
      </c>
      <c r="S2664" t="s">
        <v>10314</v>
      </c>
      <c r="W2664" s="2" t="s">
        <v>11202</v>
      </c>
    </row>
    <row r="2665" spans="1:23" hidden="1" x14ac:dyDescent="0.45">
      <c r="A2665" s="1" t="s">
        <v>2648</v>
      </c>
      <c r="B2665" t="s">
        <v>6200</v>
      </c>
      <c r="D2665" t="s">
        <v>7991</v>
      </c>
      <c r="E2665" t="s">
        <v>9564</v>
      </c>
      <c r="F2665" t="s">
        <v>10297</v>
      </c>
      <c r="G2665">
        <v>853.77</v>
      </c>
      <c r="H2665" t="s">
        <v>10314</v>
      </c>
      <c r="I2665" t="s">
        <v>10321</v>
      </c>
      <c r="L2665">
        <v>2008</v>
      </c>
      <c r="R2665" t="s">
        <v>11037</v>
      </c>
      <c r="S2665" t="s">
        <v>10314</v>
      </c>
      <c r="W2665" s="2" t="s">
        <v>11202</v>
      </c>
    </row>
    <row r="2666" spans="1:23" hidden="1" x14ac:dyDescent="0.45">
      <c r="A2666" s="1" t="s">
        <v>2649</v>
      </c>
      <c r="B2666" t="s">
        <v>6233</v>
      </c>
      <c r="D2666" t="s">
        <v>7988</v>
      </c>
      <c r="E2666" t="s">
        <v>9225</v>
      </c>
      <c r="F2666" t="s">
        <v>10297</v>
      </c>
      <c r="G2666">
        <v>431.86</v>
      </c>
      <c r="H2666" t="s">
        <v>10314</v>
      </c>
      <c r="I2666" t="s">
        <v>10321</v>
      </c>
      <c r="L2666">
        <v>2008</v>
      </c>
      <c r="N2666">
        <v>43.316242000000003</v>
      </c>
      <c r="P2666">
        <v>-5.8769369999999999</v>
      </c>
      <c r="Q2666" t="s">
        <v>10787</v>
      </c>
      <c r="R2666" t="s">
        <v>11037</v>
      </c>
      <c r="S2666" t="s">
        <v>10314</v>
      </c>
      <c r="W2666" s="2" t="s">
        <v>11202</v>
      </c>
    </row>
    <row r="2667" spans="1:23" hidden="1" x14ac:dyDescent="0.45">
      <c r="A2667" s="1" t="s">
        <v>2650</v>
      </c>
      <c r="B2667" t="s">
        <v>6226</v>
      </c>
      <c r="D2667" t="s">
        <v>8011</v>
      </c>
      <c r="E2667" t="s">
        <v>9580</v>
      </c>
      <c r="F2667" t="s">
        <v>10297</v>
      </c>
      <c r="G2667">
        <v>79.650000000000006</v>
      </c>
      <c r="H2667" t="s">
        <v>10314</v>
      </c>
      <c r="I2667" t="s">
        <v>10321</v>
      </c>
      <c r="L2667">
        <v>2008</v>
      </c>
      <c r="R2667" t="s">
        <v>11037</v>
      </c>
      <c r="S2667" t="s">
        <v>10314</v>
      </c>
      <c r="W2667" s="2" t="s">
        <v>11202</v>
      </c>
    </row>
    <row r="2668" spans="1:23" hidden="1" x14ac:dyDescent="0.45">
      <c r="A2668" s="1" t="s">
        <v>2651</v>
      </c>
      <c r="B2668" t="s">
        <v>6215</v>
      </c>
      <c r="D2668" t="s">
        <v>7989</v>
      </c>
      <c r="E2668" t="s">
        <v>9589</v>
      </c>
      <c r="F2668" t="s">
        <v>10297</v>
      </c>
      <c r="G2668">
        <v>421.036</v>
      </c>
      <c r="H2668" t="s">
        <v>10314</v>
      </c>
      <c r="I2668" t="s">
        <v>10321</v>
      </c>
      <c r="L2668">
        <v>2009</v>
      </c>
      <c r="N2668">
        <v>36.748362999999998</v>
      </c>
      <c r="P2668">
        <v>-4.5628310000000001</v>
      </c>
      <c r="Q2668" t="s">
        <v>10788</v>
      </c>
      <c r="R2668" t="s">
        <v>11037</v>
      </c>
      <c r="S2668" t="s">
        <v>10314</v>
      </c>
      <c r="W2668" s="2" t="s">
        <v>11202</v>
      </c>
    </row>
    <row r="2669" spans="1:23" hidden="1" x14ac:dyDescent="0.45">
      <c r="A2669" s="1" t="s">
        <v>2652</v>
      </c>
      <c r="B2669" t="s">
        <v>6211</v>
      </c>
      <c r="D2669" t="s">
        <v>7999</v>
      </c>
      <c r="E2669" t="s">
        <v>9563</v>
      </c>
      <c r="F2669" t="s">
        <v>10297</v>
      </c>
      <c r="G2669">
        <v>830.90700000000004</v>
      </c>
      <c r="H2669" t="s">
        <v>10314</v>
      </c>
      <c r="I2669" t="s">
        <v>10321</v>
      </c>
      <c r="L2669">
        <v>2009</v>
      </c>
      <c r="R2669" t="s">
        <v>11037</v>
      </c>
      <c r="S2669" t="s">
        <v>10314</v>
      </c>
      <c r="W2669" s="2" t="s">
        <v>11202</v>
      </c>
    </row>
    <row r="2670" spans="1:23" hidden="1" x14ac:dyDescent="0.45">
      <c r="A2670" s="1" t="s">
        <v>2653</v>
      </c>
      <c r="B2670" t="s">
        <v>6199</v>
      </c>
      <c r="D2670" t="s">
        <v>7990</v>
      </c>
      <c r="E2670" t="s">
        <v>9565</v>
      </c>
      <c r="F2670" t="s">
        <v>10297</v>
      </c>
      <c r="G2670">
        <v>873.23</v>
      </c>
      <c r="H2670" t="s">
        <v>10314</v>
      </c>
      <c r="I2670" t="s">
        <v>10321</v>
      </c>
      <c r="L2670">
        <v>2010</v>
      </c>
      <c r="R2670" t="s">
        <v>11037</v>
      </c>
      <c r="S2670" t="s">
        <v>10314</v>
      </c>
      <c r="W2670" s="2" t="s">
        <v>11202</v>
      </c>
    </row>
    <row r="2671" spans="1:23" hidden="1" x14ac:dyDescent="0.45">
      <c r="A2671" s="1" t="s">
        <v>2654</v>
      </c>
      <c r="B2671" t="s">
        <v>6215</v>
      </c>
      <c r="D2671" t="s">
        <v>7989</v>
      </c>
      <c r="E2671" t="s">
        <v>9590</v>
      </c>
      <c r="F2671" t="s">
        <v>10297</v>
      </c>
      <c r="G2671">
        <v>447.16</v>
      </c>
      <c r="H2671" t="s">
        <v>10314</v>
      </c>
      <c r="I2671" t="s">
        <v>10321</v>
      </c>
      <c r="L2671">
        <v>2010</v>
      </c>
      <c r="N2671">
        <v>41.336824999999997</v>
      </c>
      <c r="P2671">
        <v>2.1589580000000002</v>
      </c>
      <c r="Q2671" t="s">
        <v>10789</v>
      </c>
      <c r="R2671" t="s">
        <v>11037</v>
      </c>
      <c r="S2671" t="s">
        <v>10314</v>
      </c>
      <c r="W2671" s="2" t="s">
        <v>11202</v>
      </c>
    </row>
    <row r="2672" spans="1:23" hidden="1" x14ac:dyDescent="0.45">
      <c r="A2672" s="1" t="s">
        <v>2655</v>
      </c>
      <c r="B2672" t="s">
        <v>6215</v>
      </c>
      <c r="D2672" t="s">
        <v>7989</v>
      </c>
      <c r="E2672" t="s">
        <v>9590</v>
      </c>
      <c r="F2672" t="s">
        <v>10297</v>
      </c>
      <c r="G2672">
        <v>444.5</v>
      </c>
      <c r="H2672" t="s">
        <v>10314</v>
      </c>
      <c r="I2672" t="s">
        <v>10321</v>
      </c>
      <c r="L2672">
        <v>2010</v>
      </c>
      <c r="N2672">
        <v>41.336824999999997</v>
      </c>
      <c r="P2672">
        <v>2.1589580000000002</v>
      </c>
      <c r="Q2672" t="s">
        <v>10790</v>
      </c>
      <c r="R2672" t="s">
        <v>11037</v>
      </c>
      <c r="S2672" t="s">
        <v>10314</v>
      </c>
      <c r="W2672" s="2" t="s">
        <v>11202</v>
      </c>
    </row>
    <row r="2673" spans="1:23" hidden="1" x14ac:dyDescent="0.45">
      <c r="A2673" s="1" t="s">
        <v>2656</v>
      </c>
      <c r="B2673" t="s">
        <v>6197</v>
      </c>
      <c r="D2673" t="s">
        <v>7988</v>
      </c>
      <c r="E2673" t="s">
        <v>9225</v>
      </c>
      <c r="F2673" t="s">
        <v>10297</v>
      </c>
      <c r="G2673">
        <v>433.63</v>
      </c>
      <c r="H2673" t="s">
        <v>10314</v>
      </c>
      <c r="I2673" t="s">
        <v>10321</v>
      </c>
      <c r="L2673">
        <v>2011</v>
      </c>
      <c r="N2673">
        <v>43.316242000000003</v>
      </c>
      <c r="P2673">
        <v>-5.8769369999999999</v>
      </c>
      <c r="Q2673" t="s">
        <v>10791</v>
      </c>
      <c r="R2673" t="s">
        <v>11037</v>
      </c>
      <c r="S2673" t="s">
        <v>10314</v>
      </c>
      <c r="W2673" s="2" t="s">
        <v>11202</v>
      </c>
    </row>
    <row r="2674" spans="1:23" hidden="1" x14ac:dyDescent="0.45">
      <c r="A2674" s="1" t="s">
        <v>2657</v>
      </c>
      <c r="B2674" t="s">
        <v>6228</v>
      </c>
      <c r="D2674" t="s">
        <v>8013</v>
      </c>
      <c r="E2674" t="s">
        <v>9584</v>
      </c>
      <c r="F2674" t="s">
        <v>10297</v>
      </c>
      <c r="G2674">
        <v>78.8</v>
      </c>
      <c r="H2674" t="s">
        <v>10314</v>
      </c>
      <c r="I2674" t="s">
        <v>10321</v>
      </c>
      <c r="L2674">
        <v>2009</v>
      </c>
      <c r="R2674" t="s">
        <v>11037</v>
      </c>
      <c r="S2674" t="s">
        <v>10314</v>
      </c>
      <c r="W2674" s="2" t="s">
        <v>11202</v>
      </c>
    </row>
    <row r="2675" spans="1:23" hidden="1" x14ac:dyDescent="0.45">
      <c r="A2675" s="1" t="s">
        <v>2658</v>
      </c>
      <c r="B2675" t="s">
        <v>6228</v>
      </c>
      <c r="D2675" t="s">
        <v>8013</v>
      </c>
      <c r="E2675" t="s">
        <v>9584</v>
      </c>
      <c r="F2675" t="s">
        <v>10297</v>
      </c>
      <c r="G2675">
        <v>78.8</v>
      </c>
      <c r="H2675" t="s">
        <v>10314</v>
      </c>
      <c r="I2675" t="s">
        <v>10321</v>
      </c>
      <c r="L2675">
        <v>2009</v>
      </c>
      <c r="R2675" t="s">
        <v>11037</v>
      </c>
      <c r="S2675" t="s">
        <v>10314</v>
      </c>
      <c r="W2675" s="2" t="s">
        <v>11202</v>
      </c>
    </row>
    <row r="2676" spans="1:23" hidden="1" x14ac:dyDescent="0.45">
      <c r="A2676" s="1" t="s">
        <v>2659</v>
      </c>
      <c r="B2676" t="s">
        <v>6228</v>
      </c>
      <c r="D2676" t="s">
        <v>8013</v>
      </c>
      <c r="E2676" t="s">
        <v>9584</v>
      </c>
      <c r="F2676" t="s">
        <v>10297</v>
      </c>
      <c r="G2676">
        <v>78.8</v>
      </c>
      <c r="H2676" t="s">
        <v>10314</v>
      </c>
      <c r="I2676" t="s">
        <v>10321</v>
      </c>
      <c r="L2676">
        <v>2010</v>
      </c>
      <c r="R2676" t="s">
        <v>11037</v>
      </c>
      <c r="S2676" t="s">
        <v>10314</v>
      </c>
      <c r="W2676" s="2" t="s">
        <v>11202</v>
      </c>
    </row>
    <row r="2677" spans="1:23" hidden="1" x14ac:dyDescent="0.45">
      <c r="A2677" s="1" t="s">
        <v>2660</v>
      </c>
      <c r="B2677" t="s">
        <v>6226</v>
      </c>
      <c r="D2677" t="s">
        <v>8011</v>
      </c>
      <c r="E2677" t="s">
        <v>9581</v>
      </c>
      <c r="F2677" t="s">
        <v>10297</v>
      </c>
      <c r="G2677">
        <v>76.7</v>
      </c>
      <c r="H2677" t="s">
        <v>10314</v>
      </c>
      <c r="I2677" t="s">
        <v>10321</v>
      </c>
      <c r="L2677">
        <v>2010</v>
      </c>
      <c r="R2677" t="s">
        <v>11037</v>
      </c>
      <c r="S2677" t="s">
        <v>10314</v>
      </c>
      <c r="W2677" s="2" t="s">
        <v>11202</v>
      </c>
    </row>
    <row r="2678" spans="1:23" hidden="1" x14ac:dyDescent="0.45">
      <c r="A2678" s="1" t="s">
        <v>2661</v>
      </c>
      <c r="B2678" t="s">
        <v>6226</v>
      </c>
      <c r="D2678" t="s">
        <v>8011</v>
      </c>
      <c r="E2678" t="s">
        <v>9581</v>
      </c>
      <c r="F2678" t="s">
        <v>10297</v>
      </c>
      <c r="G2678">
        <v>76.7</v>
      </c>
      <c r="H2678" t="s">
        <v>10314</v>
      </c>
      <c r="I2678" t="s">
        <v>10321</v>
      </c>
      <c r="L2678">
        <v>2010</v>
      </c>
      <c r="R2678" t="s">
        <v>11037</v>
      </c>
      <c r="S2678" t="s">
        <v>10314</v>
      </c>
      <c r="W2678" s="2" t="s">
        <v>11202</v>
      </c>
    </row>
    <row r="2679" spans="1:23" hidden="1" x14ac:dyDescent="0.45">
      <c r="A2679" s="1" t="s">
        <v>2662</v>
      </c>
      <c r="B2679" t="s">
        <v>6202</v>
      </c>
      <c r="D2679" t="s">
        <v>7991</v>
      </c>
      <c r="E2679" t="s">
        <v>9350</v>
      </c>
      <c r="F2679" t="s">
        <v>10297</v>
      </c>
      <c r="G2679">
        <v>188.25</v>
      </c>
      <c r="H2679" t="s">
        <v>10310</v>
      </c>
      <c r="I2679" t="s">
        <v>10326</v>
      </c>
      <c r="L2679">
        <v>2012</v>
      </c>
      <c r="N2679">
        <v>42.41433</v>
      </c>
      <c r="P2679">
        <v>-7.6496949999999986</v>
      </c>
      <c r="R2679" t="s">
        <v>11038</v>
      </c>
      <c r="S2679" t="s">
        <v>10310</v>
      </c>
      <c r="W2679" s="2" t="s">
        <v>11202</v>
      </c>
    </row>
    <row r="2680" spans="1:23" hidden="1" x14ac:dyDescent="0.45">
      <c r="A2680" s="1" t="s">
        <v>2663</v>
      </c>
      <c r="B2680" t="s">
        <v>6202</v>
      </c>
      <c r="D2680" t="s">
        <v>7991</v>
      </c>
      <c r="E2680" t="s">
        <v>9287</v>
      </c>
      <c r="F2680" t="s">
        <v>10297</v>
      </c>
      <c r="G2680">
        <v>220.04</v>
      </c>
      <c r="H2680" t="s">
        <v>10310</v>
      </c>
      <c r="I2680" t="s">
        <v>10324</v>
      </c>
      <c r="N2680">
        <v>39.243580999999999</v>
      </c>
      <c r="P2680">
        <v>-0.93170900000000001</v>
      </c>
      <c r="Q2680" t="s">
        <v>10736</v>
      </c>
      <c r="R2680" t="s">
        <v>11038</v>
      </c>
      <c r="S2680" t="s">
        <v>10310</v>
      </c>
      <c r="W2680" s="2" t="s">
        <v>11202</v>
      </c>
    </row>
    <row r="2681" spans="1:23" hidden="1" x14ac:dyDescent="0.45">
      <c r="A2681" s="1" t="s">
        <v>2664</v>
      </c>
      <c r="B2681" t="s">
        <v>6202</v>
      </c>
      <c r="D2681" t="s">
        <v>7991</v>
      </c>
      <c r="E2681" t="s">
        <v>9287</v>
      </c>
      <c r="F2681" t="s">
        <v>10297</v>
      </c>
      <c r="G2681">
        <v>220.13</v>
      </c>
      <c r="H2681" t="s">
        <v>10310</v>
      </c>
      <c r="I2681" t="s">
        <v>10324</v>
      </c>
      <c r="N2681">
        <v>39.243580999999999</v>
      </c>
      <c r="P2681">
        <v>-0.93170900000000001</v>
      </c>
      <c r="Q2681" t="s">
        <v>10736</v>
      </c>
      <c r="R2681" t="s">
        <v>11038</v>
      </c>
      <c r="S2681" t="s">
        <v>10310</v>
      </c>
      <c r="W2681" s="2" t="s">
        <v>11202</v>
      </c>
    </row>
    <row r="2682" spans="1:23" hidden="1" x14ac:dyDescent="0.45">
      <c r="A2682" s="1" t="s">
        <v>2665</v>
      </c>
      <c r="B2682" t="s">
        <v>6202</v>
      </c>
      <c r="D2682" t="s">
        <v>7991</v>
      </c>
      <c r="E2682" t="s">
        <v>9287</v>
      </c>
      <c r="F2682" t="s">
        <v>10297</v>
      </c>
      <c r="G2682">
        <v>222.14</v>
      </c>
      <c r="H2682" t="s">
        <v>10310</v>
      </c>
      <c r="I2682" t="s">
        <v>10324</v>
      </c>
      <c r="N2682">
        <v>39.243580999999999</v>
      </c>
      <c r="P2682">
        <v>-0.93170900000000001</v>
      </c>
      <c r="Q2682" t="s">
        <v>10736</v>
      </c>
      <c r="R2682" t="s">
        <v>11038</v>
      </c>
      <c r="S2682" t="s">
        <v>10310</v>
      </c>
      <c r="W2682" s="2" t="s">
        <v>11202</v>
      </c>
    </row>
    <row r="2683" spans="1:23" hidden="1" x14ac:dyDescent="0.45">
      <c r="A2683" s="1" t="s">
        <v>2666</v>
      </c>
      <c r="B2683" t="s">
        <v>6202</v>
      </c>
      <c r="D2683" t="s">
        <v>7991</v>
      </c>
      <c r="E2683" t="s">
        <v>9287</v>
      </c>
      <c r="F2683" t="s">
        <v>10297</v>
      </c>
      <c r="G2683">
        <v>219.42</v>
      </c>
      <c r="H2683" t="s">
        <v>10310</v>
      </c>
      <c r="I2683" t="s">
        <v>10324</v>
      </c>
      <c r="N2683">
        <v>39.243580999999999</v>
      </c>
      <c r="P2683">
        <v>-0.93170900000000001</v>
      </c>
      <c r="Q2683" t="s">
        <v>10736</v>
      </c>
      <c r="R2683" t="s">
        <v>11038</v>
      </c>
      <c r="S2683" t="s">
        <v>10310</v>
      </c>
      <c r="W2683" s="2" t="s">
        <v>11202</v>
      </c>
    </row>
    <row r="2684" spans="1:23" hidden="1" x14ac:dyDescent="0.45">
      <c r="A2684" s="1" t="s">
        <v>2667</v>
      </c>
      <c r="B2684" t="s">
        <v>6202</v>
      </c>
      <c r="D2684" t="s">
        <v>7991</v>
      </c>
      <c r="E2684" t="s">
        <v>9350</v>
      </c>
      <c r="F2684" t="s">
        <v>10297</v>
      </c>
      <c r="G2684">
        <v>26.12</v>
      </c>
      <c r="H2684" t="s">
        <v>10310</v>
      </c>
      <c r="I2684" t="s">
        <v>10326</v>
      </c>
      <c r="R2684" t="s">
        <v>11038</v>
      </c>
      <c r="S2684" t="s">
        <v>10310</v>
      </c>
      <c r="W2684" s="2" t="s">
        <v>11202</v>
      </c>
    </row>
    <row r="2685" spans="1:23" hidden="1" x14ac:dyDescent="0.45">
      <c r="A2685" s="1" t="s">
        <v>2668</v>
      </c>
      <c r="B2685" t="s">
        <v>6197</v>
      </c>
      <c r="D2685" t="s">
        <v>7988</v>
      </c>
      <c r="E2685" t="s">
        <v>9491</v>
      </c>
      <c r="F2685" t="s">
        <v>10297</v>
      </c>
      <c r="G2685">
        <v>1.56</v>
      </c>
      <c r="H2685" t="s">
        <v>10310</v>
      </c>
      <c r="I2685" t="s">
        <v>10325</v>
      </c>
      <c r="L2685">
        <v>1966</v>
      </c>
      <c r="R2685" t="s">
        <v>11038</v>
      </c>
      <c r="S2685" t="s">
        <v>10310</v>
      </c>
      <c r="W2685" s="2" t="s">
        <v>11202</v>
      </c>
    </row>
    <row r="2686" spans="1:23" hidden="1" x14ac:dyDescent="0.45">
      <c r="A2686" s="1" t="s">
        <v>2669</v>
      </c>
      <c r="B2686" t="s">
        <v>6197</v>
      </c>
      <c r="D2686" t="s">
        <v>7988</v>
      </c>
      <c r="E2686" t="s">
        <v>9491</v>
      </c>
      <c r="F2686" t="s">
        <v>10297</v>
      </c>
      <c r="G2686">
        <v>1.56</v>
      </c>
      <c r="H2686" t="s">
        <v>10310</v>
      </c>
      <c r="I2686" t="s">
        <v>10325</v>
      </c>
      <c r="L2686">
        <v>1966</v>
      </c>
      <c r="R2686" t="s">
        <v>11038</v>
      </c>
      <c r="S2686" t="s">
        <v>10310</v>
      </c>
      <c r="W2686" s="2" t="s">
        <v>11202</v>
      </c>
    </row>
    <row r="2687" spans="1:23" hidden="1" x14ac:dyDescent="0.45">
      <c r="A2687" s="1" t="s">
        <v>2670</v>
      </c>
      <c r="B2687" t="s">
        <v>6234</v>
      </c>
      <c r="D2687" t="s">
        <v>8017</v>
      </c>
      <c r="E2687" t="s">
        <v>9591</v>
      </c>
      <c r="F2687" t="s">
        <v>10297</v>
      </c>
      <c r="G2687">
        <v>3.55</v>
      </c>
      <c r="H2687" t="s">
        <v>10314</v>
      </c>
      <c r="L2687">
        <v>1995</v>
      </c>
      <c r="R2687" t="s">
        <v>11037</v>
      </c>
      <c r="S2687" t="s">
        <v>10314</v>
      </c>
      <c r="W2687" s="2" t="s">
        <v>11202</v>
      </c>
    </row>
    <row r="2688" spans="1:23" hidden="1" x14ac:dyDescent="0.45">
      <c r="A2688" s="1" t="s">
        <v>2671</v>
      </c>
      <c r="B2688" t="s">
        <v>6234</v>
      </c>
      <c r="D2688" t="s">
        <v>8017</v>
      </c>
      <c r="E2688" t="s">
        <v>9591</v>
      </c>
      <c r="F2688" t="s">
        <v>10297</v>
      </c>
      <c r="G2688">
        <v>4.7</v>
      </c>
      <c r="H2688" t="s">
        <v>10314</v>
      </c>
      <c r="L2688">
        <v>2000</v>
      </c>
      <c r="R2688" t="s">
        <v>11037</v>
      </c>
      <c r="S2688" t="s">
        <v>10314</v>
      </c>
      <c r="W2688" s="2" t="s">
        <v>11202</v>
      </c>
    </row>
    <row r="2689" spans="1:23" hidden="1" x14ac:dyDescent="0.45">
      <c r="A2689" s="1" t="s">
        <v>2672</v>
      </c>
      <c r="B2689" t="s">
        <v>6213</v>
      </c>
      <c r="D2689" t="s">
        <v>8001</v>
      </c>
      <c r="E2689" t="s">
        <v>9592</v>
      </c>
      <c r="F2689" t="s">
        <v>10297</v>
      </c>
      <c r="G2689">
        <v>31</v>
      </c>
      <c r="H2689" t="s">
        <v>10310</v>
      </c>
      <c r="I2689" t="s">
        <v>10326</v>
      </c>
      <c r="L2689">
        <v>1969</v>
      </c>
      <c r="N2689">
        <v>42.629227</v>
      </c>
      <c r="P2689">
        <v>-0.31593199999999999</v>
      </c>
      <c r="R2689" t="s">
        <v>11038</v>
      </c>
      <c r="S2689" t="s">
        <v>10310</v>
      </c>
      <c r="W2689" s="2" t="s">
        <v>11202</v>
      </c>
    </row>
    <row r="2690" spans="1:23" hidden="1" x14ac:dyDescent="0.45">
      <c r="A2690" s="1" t="s">
        <v>2673</v>
      </c>
      <c r="B2690" t="s">
        <v>6213</v>
      </c>
      <c r="D2690" t="s">
        <v>8001</v>
      </c>
      <c r="E2690" t="s">
        <v>9592</v>
      </c>
      <c r="F2690" t="s">
        <v>10297</v>
      </c>
      <c r="G2690">
        <v>31</v>
      </c>
      <c r="H2690" t="s">
        <v>10310</v>
      </c>
      <c r="I2690" t="s">
        <v>10326</v>
      </c>
      <c r="L2690">
        <v>1969</v>
      </c>
      <c r="N2690">
        <v>42.629227</v>
      </c>
      <c r="P2690">
        <v>-0.31593199999999999</v>
      </c>
      <c r="R2690" t="s">
        <v>11038</v>
      </c>
      <c r="S2690" t="s">
        <v>10310</v>
      </c>
      <c r="W2690" s="2" t="s">
        <v>11202</v>
      </c>
    </row>
    <row r="2691" spans="1:23" hidden="1" x14ac:dyDescent="0.45">
      <c r="A2691" s="1" t="s">
        <v>2674</v>
      </c>
      <c r="B2691" t="s">
        <v>6213</v>
      </c>
      <c r="D2691" t="s">
        <v>8001</v>
      </c>
      <c r="E2691" t="s">
        <v>9593</v>
      </c>
      <c r="F2691" t="s">
        <v>10297</v>
      </c>
      <c r="G2691">
        <v>44.9</v>
      </c>
      <c r="H2691" t="s">
        <v>10310</v>
      </c>
      <c r="I2691" t="s">
        <v>10326</v>
      </c>
      <c r="L2691">
        <v>1969</v>
      </c>
      <c r="N2691">
        <v>42.583678000000013</v>
      </c>
      <c r="P2691">
        <v>0.48324800000000001</v>
      </c>
      <c r="R2691" t="s">
        <v>11038</v>
      </c>
      <c r="S2691" t="s">
        <v>10310</v>
      </c>
      <c r="W2691" s="2" t="s">
        <v>11202</v>
      </c>
    </row>
    <row r="2692" spans="1:23" hidden="1" x14ac:dyDescent="0.45">
      <c r="A2692" s="1" t="s">
        <v>2675</v>
      </c>
      <c r="B2692" t="s">
        <v>6213</v>
      </c>
      <c r="D2692" t="s">
        <v>8001</v>
      </c>
      <c r="E2692" t="s">
        <v>9593</v>
      </c>
      <c r="F2692" t="s">
        <v>10297</v>
      </c>
      <c r="G2692">
        <v>43.64</v>
      </c>
      <c r="H2692" t="s">
        <v>10310</v>
      </c>
      <c r="I2692" t="s">
        <v>10326</v>
      </c>
      <c r="L2692">
        <v>1969</v>
      </c>
      <c r="N2692">
        <v>42.583678000000013</v>
      </c>
      <c r="P2692">
        <v>0.48324800000000001</v>
      </c>
      <c r="R2692" t="s">
        <v>11038</v>
      </c>
      <c r="S2692" t="s">
        <v>10310</v>
      </c>
      <c r="W2692" s="2" t="s">
        <v>11202</v>
      </c>
    </row>
    <row r="2693" spans="1:23" hidden="1" x14ac:dyDescent="0.45">
      <c r="A2693" s="1" t="s">
        <v>2676</v>
      </c>
      <c r="B2693" t="s">
        <v>6213</v>
      </c>
      <c r="D2693" t="s">
        <v>8001</v>
      </c>
      <c r="E2693" t="s">
        <v>9594</v>
      </c>
      <c r="F2693" t="s">
        <v>10297</v>
      </c>
      <c r="G2693">
        <v>24.9</v>
      </c>
      <c r="H2693" t="s">
        <v>10310</v>
      </c>
      <c r="I2693" t="s">
        <v>10326</v>
      </c>
      <c r="L2693">
        <v>1977</v>
      </c>
      <c r="N2693">
        <v>42.750252000000003</v>
      </c>
      <c r="P2693">
        <v>-0.31446499999999999</v>
      </c>
      <c r="R2693" t="s">
        <v>11038</v>
      </c>
      <c r="S2693" t="s">
        <v>10310</v>
      </c>
      <c r="W2693" s="2" t="s">
        <v>11202</v>
      </c>
    </row>
    <row r="2694" spans="1:23" hidden="1" x14ac:dyDescent="0.45">
      <c r="A2694" s="1" t="s">
        <v>2677</v>
      </c>
      <c r="B2694" t="s">
        <v>6213</v>
      </c>
      <c r="D2694" t="s">
        <v>8001</v>
      </c>
      <c r="E2694" t="s">
        <v>9594</v>
      </c>
      <c r="F2694" t="s">
        <v>10297</v>
      </c>
      <c r="G2694">
        <v>24.9</v>
      </c>
      <c r="H2694" t="s">
        <v>10310</v>
      </c>
      <c r="I2694" t="s">
        <v>10326</v>
      </c>
      <c r="L2694">
        <v>1977</v>
      </c>
      <c r="N2694">
        <v>42.750252000000003</v>
      </c>
      <c r="P2694">
        <v>-0.31446499999999999</v>
      </c>
      <c r="R2694" t="s">
        <v>11038</v>
      </c>
      <c r="S2694" t="s">
        <v>10310</v>
      </c>
      <c r="W2694" s="2" t="s">
        <v>11202</v>
      </c>
    </row>
    <row r="2695" spans="1:23" hidden="1" x14ac:dyDescent="0.45">
      <c r="A2695" s="1" t="s">
        <v>2678</v>
      </c>
      <c r="B2695" t="s">
        <v>6199</v>
      </c>
      <c r="D2695" t="s">
        <v>7990</v>
      </c>
      <c r="E2695" t="s">
        <v>9595</v>
      </c>
      <c r="F2695" t="s">
        <v>10297</v>
      </c>
      <c r="G2695">
        <v>5.76</v>
      </c>
      <c r="H2695" t="s">
        <v>10314</v>
      </c>
      <c r="L2695">
        <v>1980</v>
      </c>
      <c r="R2695" t="s">
        <v>11037</v>
      </c>
      <c r="S2695" t="s">
        <v>10314</v>
      </c>
      <c r="W2695" s="2" t="s">
        <v>11202</v>
      </c>
    </row>
    <row r="2696" spans="1:23" hidden="1" x14ac:dyDescent="0.45">
      <c r="A2696" s="1" t="s">
        <v>2679</v>
      </c>
      <c r="B2696" t="s">
        <v>6235</v>
      </c>
      <c r="D2696" t="s">
        <v>8018</v>
      </c>
      <c r="E2696" t="s">
        <v>9596</v>
      </c>
      <c r="F2696" t="s">
        <v>10297</v>
      </c>
      <c r="G2696">
        <v>2</v>
      </c>
      <c r="H2696" t="s">
        <v>10314</v>
      </c>
      <c r="L2696">
        <v>2000</v>
      </c>
      <c r="R2696" t="s">
        <v>11037</v>
      </c>
      <c r="S2696" t="s">
        <v>10314</v>
      </c>
      <c r="W2696" s="2" t="s">
        <v>11202</v>
      </c>
    </row>
    <row r="2697" spans="1:23" hidden="1" x14ac:dyDescent="0.45">
      <c r="A2697" s="1" t="s">
        <v>2680</v>
      </c>
      <c r="B2697" t="s">
        <v>6199</v>
      </c>
      <c r="D2697" t="s">
        <v>7990</v>
      </c>
      <c r="E2697" t="s">
        <v>9595</v>
      </c>
      <c r="F2697" t="s">
        <v>10297</v>
      </c>
      <c r="G2697">
        <v>5.76</v>
      </c>
      <c r="H2697" t="s">
        <v>10314</v>
      </c>
      <c r="L2697">
        <v>1986</v>
      </c>
      <c r="R2697" t="s">
        <v>11037</v>
      </c>
      <c r="S2697" t="s">
        <v>10314</v>
      </c>
      <c r="W2697" s="2" t="s">
        <v>11202</v>
      </c>
    </row>
    <row r="2698" spans="1:23" hidden="1" x14ac:dyDescent="0.45">
      <c r="A2698" s="1" t="s">
        <v>2681</v>
      </c>
      <c r="B2698" t="s">
        <v>6199</v>
      </c>
      <c r="D2698" t="s">
        <v>7990</v>
      </c>
      <c r="E2698" t="s">
        <v>9595</v>
      </c>
      <c r="F2698" t="s">
        <v>10297</v>
      </c>
      <c r="G2698">
        <v>6.72</v>
      </c>
      <c r="H2698" t="s">
        <v>10314</v>
      </c>
      <c r="L2698">
        <v>1993</v>
      </c>
      <c r="R2698" t="s">
        <v>11037</v>
      </c>
      <c r="S2698" t="s">
        <v>10314</v>
      </c>
      <c r="W2698" s="2" t="s">
        <v>11202</v>
      </c>
    </row>
    <row r="2699" spans="1:23" hidden="1" x14ac:dyDescent="0.45">
      <c r="A2699" s="1" t="s">
        <v>2682</v>
      </c>
      <c r="B2699" t="s">
        <v>6199</v>
      </c>
      <c r="D2699" t="s">
        <v>7990</v>
      </c>
      <c r="E2699" t="s">
        <v>9597</v>
      </c>
      <c r="F2699" t="s">
        <v>10297</v>
      </c>
      <c r="G2699">
        <v>5.76</v>
      </c>
      <c r="H2699" t="s">
        <v>10314</v>
      </c>
      <c r="L2699">
        <v>1980</v>
      </c>
      <c r="R2699" t="s">
        <v>11037</v>
      </c>
      <c r="S2699" t="s">
        <v>10314</v>
      </c>
      <c r="W2699" s="2" t="s">
        <v>11202</v>
      </c>
    </row>
    <row r="2700" spans="1:23" hidden="1" x14ac:dyDescent="0.45">
      <c r="A2700" s="1" t="s">
        <v>2683</v>
      </c>
      <c r="B2700" t="s">
        <v>6199</v>
      </c>
      <c r="D2700" t="s">
        <v>7990</v>
      </c>
      <c r="E2700" t="s">
        <v>9597</v>
      </c>
      <c r="F2700" t="s">
        <v>10297</v>
      </c>
      <c r="G2700">
        <v>5.76</v>
      </c>
      <c r="H2700" t="s">
        <v>10314</v>
      </c>
      <c r="L2700">
        <v>1980</v>
      </c>
      <c r="R2700" t="s">
        <v>11037</v>
      </c>
      <c r="S2700" t="s">
        <v>10314</v>
      </c>
      <c r="W2700" s="2" t="s">
        <v>11202</v>
      </c>
    </row>
    <row r="2701" spans="1:23" hidden="1" x14ac:dyDescent="0.45">
      <c r="A2701" s="1" t="s">
        <v>2684</v>
      </c>
      <c r="B2701" t="s">
        <v>6199</v>
      </c>
      <c r="D2701" t="s">
        <v>7990</v>
      </c>
      <c r="E2701" t="s">
        <v>9597</v>
      </c>
      <c r="F2701" t="s">
        <v>10297</v>
      </c>
      <c r="G2701">
        <v>14.7</v>
      </c>
      <c r="H2701" t="s">
        <v>10314</v>
      </c>
      <c r="I2701" t="s">
        <v>10322</v>
      </c>
      <c r="L2701">
        <v>1991</v>
      </c>
      <c r="R2701" t="s">
        <v>11037</v>
      </c>
      <c r="S2701" t="s">
        <v>10314</v>
      </c>
      <c r="W2701" s="2" t="s">
        <v>11202</v>
      </c>
    </row>
    <row r="2702" spans="1:23" hidden="1" x14ac:dyDescent="0.45">
      <c r="A2702" s="1" t="s">
        <v>2685</v>
      </c>
      <c r="B2702" t="s">
        <v>6199</v>
      </c>
      <c r="D2702" t="s">
        <v>7990</v>
      </c>
      <c r="E2702" t="s">
        <v>9597</v>
      </c>
      <c r="F2702" t="s">
        <v>10297</v>
      </c>
      <c r="G2702">
        <v>9.2799999999999994</v>
      </c>
      <c r="H2702" t="s">
        <v>10314</v>
      </c>
      <c r="L2702">
        <v>1997</v>
      </c>
      <c r="R2702" t="s">
        <v>11037</v>
      </c>
      <c r="S2702" t="s">
        <v>10314</v>
      </c>
      <c r="W2702" s="2" t="s">
        <v>11202</v>
      </c>
    </row>
    <row r="2703" spans="1:23" hidden="1" x14ac:dyDescent="0.45">
      <c r="A2703" s="1" t="s">
        <v>2686</v>
      </c>
      <c r="B2703" t="s">
        <v>6199</v>
      </c>
      <c r="D2703" t="s">
        <v>7990</v>
      </c>
      <c r="E2703" t="s">
        <v>9595</v>
      </c>
      <c r="F2703" t="s">
        <v>10297</v>
      </c>
      <c r="G2703">
        <v>5.76</v>
      </c>
      <c r="H2703" t="s">
        <v>10314</v>
      </c>
      <c r="L2703">
        <v>1980</v>
      </c>
      <c r="R2703" t="s">
        <v>11037</v>
      </c>
      <c r="S2703" t="s">
        <v>10314</v>
      </c>
      <c r="W2703" s="2" t="s">
        <v>11202</v>
      </c>
    </row>
    <row r="2704" spans="1:23" hidden="1" x14ac:dyDescent="0.45">
      <c r="A2704" s="1" t="s">
        <v>2687</v>
      </c>
      <c r="B2704" t="s">
        <v>6228</v>
      </c>
      <c r="D2704" t="s">
        <v>8013</v>
      </c>
      <c r="E2704" t="s">
        <v>9584</v>
      </c>
      <c r="F2704" t="s">
        <v>10297</v>
      </c>
      <c r="G2704">
        <v>38.5</v>
      </c>
      <c r="H2704" t="s">
        <v>10314</v>
      </c>
      <c r="I2704" t="s">
        <v>10322</v>
      </c>
      <c r="L2704">
        <v>2000</v>
      </c>
      <c r="R2704" t="s">
        <v>11037</v>
      </c>
      <c r="S2704" t="s">
        <v>10314</v>
      </c>
      <c r="W2704" s="2" t="s">
        <v>11202</v>
      </c>
    </row>
    <row r="2705" spans="1:23" hidden="1" x14ac:dyDescent="0.45">
      <c r="A2705" s="1" t="s">
        <v>2688</v>
      </c>
      <c r="B2705" t="s">
        <v>6228</v>
      </c>
      <c r="D2705" t="s">
        <v>8013</v>
      </c>
      <c r="E2705" t="s">
        <v>9584</v>
      </c>
      <c r="F2705" t="s">
        <v>10297</v>
      </c>
      <c r="G2705">
        <v>38.5</v>
      </c>
      <c r="H2705" t="s">
        <v>10314</v>
      </c>
      <c r="I2705" t="s">
        <v>10322</v>
      </c>
      <c r="L2705">
        <v>2000</v>
      </c>
      <c r="R2705" t="s">
        <v>11037</v>
      </c>
      <c r="S2705" t="s">
        <v>10314</v>
      </c>
      <c r="W2705" s="2" t="s">
        <v>11202</v>
      </c>
    </row>
    <row r="2706" spans="1:23" hidden="1" x14ac:dyDescent="0.45">
      <c r="A2706" s="1" t="s">
        <v>2689</v>
      </c>
      <c r="B2706" t="s">
        <v>6228</v>
      </c>
      <c r="D2706" t="s">
        <v>8013</v>
      </c>
      <c r="E2706" t="s">
        <v>9584</v>
      </c>
      <c r="F2706" t="s">
        <v>10297</v>
      </c>
      <c r="G2706">
        <v>38.5</v>
      </c>
      <c r="H2706" t="s">
        <v>10314</v>
      </c>
      <c r="I2706" t="s">
        <v>10322</v>
      </c>
      <c r="L2706">
        <v>2000</v>
      </c>
      <c r="R2706" t="s">
        <v>11037</v>
      </c>
      <c r="S2706" t="s">
        <v>10314</v>
      </c>
      <c r="W2706" s="2" t="s">
        <v>11202</v>
      </c>
    </row>
    <row r="2707" spans="1:23" hidden="1" x14ac:dyDescent="0.45">
      <c r="A2707" s="1" t="s">
        <v>2690</v>
      </c>
      <c r="B2707" t="s">
        <v>6228</v>
      </c>
      <c r="D2707" t="s">
        <v>8013</v>
      </c>
      <c r="E2707" t="s">
        <v>9584</v>
      </c>
      <c r="F2707" t="s">
        <v>10297</v>
      </c>
      <c r="G2707">
        <v>38.5</v>
      </c>
      <c r="H2707" t="s">
        <v>10314</v>
      </c>
      <c r="I2707" t="s">
        <v>10322</v>
      </c>
      <c r="L2707">
        <v>2000</v>
      </c>
      <c r="R2707" t="s">
        <v>11037</v>
      </c>
      <c r="S2707" t="s">
        <v>10314</v>
      </c>
      <c r="W2707" s="2" t="s">
        <v>11202</v>
      </c>
    </row>
    <row r="2708" spans="1:23" hidden="1" x14ac:dyDescent="0.45">
      <c r="A2708" s="1" t="s">
        <v>2691</v>
      </c>
      <c r="B2708" t="s">
        <v>6228</v>
      </c>
      <c r="D2708" t="s">
        <v>8013</v>
      </c>
      <c r="E2708" t="s">
        <v>9585</v>
      </c>
      <c r="F2708" t="s">
        <v>10297</v>
      </c>
      <c r="G2708">
        <v>15.8</v>
      </c>
      <c r="H2708" t="s">
        <v>10314</v>
      </c>
      <c r="L2708">
        <v>1991</v>
      </c>
      <c r="R2708" t="s">
        <v>11037</v>
      </c>
      <c r="S2708" t="s">
        <v>10314</v>
      </c>
      <c r="W2708" s="2" t="s">
        <v>11202</v>
      </c>
    </row>
    <row r="2709" spans="1:23" hidden="1" x14ac:dyDescent="0.45">
      <c r="A2709" s="1" t="s">
        <v>2692</v>
      </c>
      <c r="B2709" t="s">
        <v>6228</v>
      </c>
      <c r="D2709" t="s">
        <v>8013</v>
      </c>
      <c r="E2709" t="s">
        <v>9585</v>
      </c>
      <c r="F2709" t="s">
        <v>10297</v>
      </c>
      <c r="G2709">
        <v>15.8</v>
      </c>
      <c r="H2709" t="s">
        <v>10314</v>
      </c>
      <c r="L2709">
        <v>1991</v>
      </c>
      <c r="R2709" t="s">
        <v>11037</v>
      </c>
      <c r="S2709" t="s">
        <v>10314</v>
      </c>
      <c r="W2709" s="2" t="s">
        <v>11202</v>
      </c>
    </row>
    <row r="2710" spans="1:23" hidden="1" x14ac:dyDescent="0.45">
      <c r="A2710" s="1" t="s">
        <v>2693</v>
      </c>
      <c r="B2710" t="s">
        <v>6228</v>
      </c>
      <c r="D2710" t="s">
        <v>8013</v>
      </c>
      <c r="E2710" t="s">
        <v>9585</v>
      </c>
      <c r="F2710" t="s">
        <v>10297</v>
      </c>
      <c r="G2710">
        <v>15.8</v>
      </c>
      <c r="H2710" t="s">
        <v>10314</v>
      </c>
      <c r="L2710">
        <v>1991</v>
      </c>
      <c r="R2710" t="s">
        <v>11037</v>
      </c>
      <c r="S2710" t="s">
        <v>10314</v>
      </c>
      <c r="W2710" s="2" t="s">
        <v>11202</v>
      </c>
    </row>
    <row r="2711" spans="1:23" hidden="1" x14ac:dyDescent="0.45">
      <c r="A2711" s="1" t="s">
        <v>2694</v>
      </c>
      <c r="B2711" t="s">
        <v>6228</v>
      </c>
      <c r="D2711" t="s">
        <v>8013</v>
      </c>
      <c r="E2711" t="s">
        <v>9598</v>
      </c>
      <c r="F2711" t="s">
        <v>10297</v>
      </c>
      <c r="G2711">
        <v>16</v>
      </c>
      <c r="H2711" t="s">
        <v>10314</v>
      </c>
      <c r="L2711">
        <v>1993</v>
      </c>
      <c r="R2711" t="s">
        <v>11037</v>
      </c>
      <c r="S2711" t="s">
        <v>10314</v>
      </c>
      <c r="W2711" s="2" t="s">
        <v>11202</v>
      </c>
    </row>
    <row r="2712" spans="1:23" hidden="1" x14ac:dyDescent="0.45">
      <c r="A2712" s="1" t="s">
        <v>2695</v>
      </c>
      <c r="B2712" t="s">
        <v>6228</v>
      </c>
      <c r="D2712" t="s">
        <v>8013</v>
      </c>
      <c r="E2712" t="s">
        <v>9598</v>
      </c>
      <c r="F2712" t="s">
        <v>10297</v>
      </c>
      <c r="G2712">
        <v>16</v>
      </c>
      <c r="H2712" t="s">
        <v>10314</v>
      </c>
      <c r="L2712">
        <v>1993</v>
      </c>
      <c r="R2712" t="s">
        <v>11037</v>
      </c>
      <c r="S2712" t="s">
        <v>10314</v>
      </c>
      <c r="W2712" s="2" t="s">
        <v>11202</v>
      </c>
    </row>
    <row r="2713" spans="1:23" hidden="1" x14ac:dyDescent="0.45">
      <c r="A2713" s="1" t="s">
        <v>2696</v>
      </c>
      <c r="B2713" t="s">
        <v>6228</v>
      </c>
      <c r="D2713" t="s">
        <v>8013</v>
      </c>
      <c r="E2713" t="s">
        <v>9583</v>
      </c>
      <c r="F2713" t="s">
        <v>10297</v>
      </c>
      <c r="G2713">
        <v>37.5</v>
      </c>
      <c r="H2713" t="s">
        <v>10314</v>
      </c>
      <c r="I2713" t="s">
        <v>10322</v>
      </c>
      <c r="L2713">
        <v>1989</v>
      </c>
      <c r="R2713" t="s">
        <v>11037</v>
      </c>
      <c r="S2713" t="s">
        <v>10314</v>
      </c>
      <c r="W2713" s="2" t="s">
        <v>11202</v>
      </c>
    </row>
    <row r="2714" spans="1:23" hidden="1" x14ac:dyDescent="0.45">
      <c r="A2714" s="1" t="s">
        <v>2697</v>
      </c>
      <c r="B2714" t="s">
        <v>6228</v>
      </c>
      <c r="D2714" t="s">
        <v>8013</v>
      </c>
      <c r="E2714" t="s">
        <v>9583</v>
      </c>
      <c r="F2714" t="s">
        <v>10297</v>
      </c>
      <c r="G2714">
        <v>37.5</v>
      </c>
      <c r="H2714" t="s">
        <v>10314</v>
      </c>
      <c r="I2714" t="s">
        <v>10322</v>
      </c>
      <c r="L2714">
        <v>1989</v>
      </c>
      <c r="R2714" t="s">
        <v>11037</v>
      </c>
      <c r="S2714" t="s">
        <v>10314</v>
      </c>
      <c r="W2714" s="2" t="s">
        <v>11202</v>
      </c>
    </row>
    <row r="2715" spans="1:23" hidden="1" x14ac:dyDescent="0.45">
      <c r="A2715" s="1" t="s">
        <v>2698</v>
      </c>
      <c r="B2715" t="s">
        <v>6228</v>
      </c>
      <c r="D2715" t="s">
        <v>8013</v>
      </c>
      <c r="E2715" t="s">
        <v>9598</v>
      </c>
      <c r="F2715" t="s">
        <v>10297</v>
      </c>
      <c r="G2715">
        <v>25</v>
      </c>
      <c r="H2715" t="s">
        <v>10314</v>
      </c>
      <c r="I2715" t="s">
        <v>10322</v>
      </c>
      <c r="L2715">
        <v>1988</v>
      </c>
      <c r="R2715" t="s">
        <v>11037</v>
      </c>
      <c r="S2715" t="s">
        <v>10314</v>
      </c>
      <c r="W2715" s="2" t="s">
        <v>11202</v>
      </c>
    </row>
    <row r="2716" spans="1:23" hidden="1" x14ac:dyDescent="0.45">
      <c r="A2716" s="1" t="s">
        <v>2699</v>
      </c>
      <c r="B2716" t="s">
        <v>6228</v>
      </c>
      <c r="D2716" t="s">
        <v>8013</v>
      </c>
      <c r="E2716" t="s">
        <v>9598</v>
      </c>
      <c r="F2716" t="s">
        <v>10297</v>
      </c>
      <c r="G2716">
        <v>14</v>
      </c>
      <c r="H2716" t="s">
        <v>10314</v>
      </c>
      <c r="I2716" t="s">
        <v>10322</v>
      </c>
      <c r="L2716">
        <v>1968</v>
      </c>
      <c r="R2716" t="s">
        <v>11037</v>
      </c>
      <c r="S2716" t="s">
        <v>10314</v>
      </c>
      <c r="W2716" s="2" t="s">
        <v>11202</v>
      </c>
    </row>
    <row r="2717" spans="1:23" hidden="1" x14ac:dyDescent="0.45">
      <c r="A2717" s="1" t="s">
        <v>2700</v>
      </c>
      <c r="B2717" t="s">
        <v>6228</v>
      </c>
      <c r="D2717" t="s">
        <v>8013</v>
      </c>
      <c r="E2717" t="s">
        <v>9585</v>
      </c>
      <c r="F2717" t="s">
        <v>10297</v>
      </c>
      <c r="G2717">
        <v>37.5</v>
      </c>
      <c r="H2717" t="s">
        <v>10314</v>
      </c>
      <c r="I2717" t="s">
        <v>10322</v>
      </c>
      <c r="L2717">
        <v>1994</v>
      </c>
      <c r="R2717" t="s">
        <v>11037</v>
      </c>
      <c r="S2717" t="s">
        <v>10314</v>
      </c>
      <c r="W2717" s="2" t="s">
        <v>11202</v>
      </c>
    </row>
    <row r="2718" spans="1:23" hidden="1" x14ac:dyDescent="0.45">
      <c r="A2718" s="1" t="s">
        <v>2701</v>
      </c>
      <c r="B2718" t="s">
        <v>6228</v>
      </c>
      <c r="D2718" t="s">
        <v>8013</v>
      </c>
      <c r="E2718" t="s">
        <v>9599</v>
      </c>
      <c r="F2718" t="s">
        <v>10297</v>
      </c>
      <c r="G2718">
        <v>14</v>
      </c>
      <c r="H2718" t="s">
        <v>10314</v>
      </c>
      <c r="I2718" t="s">
        <v>10322</v>
      </c>
      <c r="L2718">
        <v>1966</v>
      </c>
      <c r="R2718" t="s">
        <v>11037</v>
      </c>
      <c r="S2718" t="s">
        <v>10314</v>
      </c>
      <c r="W2718" s="2" t="s">
        <v>11202</v>
      </c>
    </row>
    <row r="2719" spans="1:23" hidden="1" x14ac:dyDescent="0.45">
      <c r="A2719" s="1" t="s">
        <v>2702</v>
      </c>
      <c r="B2719" t="s">
        <v>6202</v>
      </c>
      <c r="D2719" t="s">
        <v>7991</v>
      </c>
      <c r="E2719" t="s">
        <v>9600</v>
      </c>
      <c r="F2719" t="s">
        <v>10297</v>
      </c>
      <c r="G2719">
        <v>35.200000000000003</v>
      </c>
      <c r="H2719" t="s">
        <v>10310</v>
      </c>
      <c r="I2719" t="s">
        <v>10326</v>
      </c>
      <c r="L2719">
        <v>2003</v>
      </c>
      <c r="N2719">
        <v>39.223433</v>
      </c>
      <c r="P2719">
        <v>-0.71837299999999993</v>
      </c>
      <c r="R2719" t="s">
        <v>11038</v>
      </c>
      <c r="S2719" t="s">
        <v>10310</v>
      </c>
      <c r="W2719" s="2" t="s">
        <v>11202</v>
      </c>
    </row>
    <row r="2720" spans="1:23" hidden="1" x14ac:dyDescent="0.45">
      <c r="A2720" s="1" t="s">
        <v>2703</v>
      </c>
      <c r="B2720" t="s">
        <v>6202</v>
      </c>
      <c r="D2720" t="s">
        <v>7991</v>
      </c>
      <c r="E2720" t="s">
        <v>9600</v>
      </c>
      <c r="F2720" t="s">
        <v>10297</v>
      </c>
      <c r="G2720">
        <v>35.4</v>
      </c>
      <c r="H2720" t="s">
        <v>10310</v>
      </c>
      <c r="I2720" t="s">
        <v>10326</v>
      </c>
      <c r="L2720">
        <v>2003</v>
      </c>
      <c r="N2720">
        <v>39.223433</v>
      </c>
      <c r="P2720">
        <v>-0.71837299999999993</v>
      </c>
      <c r="R2720" t="s">
        <v>11038</v>
      </c>
      <c r="S2720" t="s">
        <v>10310</v>
      </c>
      <c r="W2720" s="2" t="s">
        <v>11202</v>
      </c>
    </row>
    <row r="2721" spans="1:23" hidden="1" x14ac:dyDescent="0.45">
      <c r="A2721" s="1" t="s">
        <v>2704</v>
      </c>
      <c r="B2721" t="s">
        <v>6228</v>
      </c>
      <c r="D2721" t="s">
        <v>8013</v>
      </c>
      <c r="E2721" t="s">
        <v>9601</v>
      </c>
      <c r="F2721" t="s">
        <v>10297</v>
      </c>
      <c r="G2721">
        <v>38.5</v>
      </c>
      <c r="H2721" t="s">
        <v>10314</v>
      </c>
      <c r="I2721" t="s">
        <v>10322</v>
      </c>
      <c r="L2721">
        <v>1999</v>
      </c>
      <c r="R2721" t="s">
        <v>11037</v>
      </c>
      <c r="S2721" t="s">
        <v>10314</v>
      </c>
      <c r="W2721" s="2" t="s">
        <v>11202</v>
      </c>
    </row>
    <row r="2722" spans="1:23" hidden="1" x14ac:dyDescent="0.45">
      <c r="A2722" s="1" t="s">
        <v>2705</v>
      </c>
      <c r="B2722" t="s">
        <v>6226</v>
      </c>
      <c r="D2722" t="s">
        <v>8011</v>
      </c>
      <c r="E2722" t="s">
        <v>9579</v>
      </c>
      <c r="F2722" t="s">
        <v>10297</v>
      </c>
      <c r="G2722">
        <v>12</v>
      </c>
      <c r="H2722" t="s">
        <v>10314</v>
      </c>
      <c r="L2722">
        <v>1973</v>
      </c>
      <c r="R2722" t="s">
        <v>11037</v>
      </c>
      <c r="S2722" t="s">
        <v>10314</v>
      </c>
      <c r="W2722" s="2" t="s">
        <v>11202</v>
      </c>
    </row>
    <row r="2723" spans="1:23" hidden="1" x14ac:dyDescent="0.45">
      <c r="A2723" s="1" t="s">
        <v>2706</v>
      </c>
      <c r="B2723" t="s">
        <v>6226</v>
      </c>
      <c r="D2723" t="s">
        <v>8011</v>
      </c>
      <c r="E2723" t="s">
        <v>9579</v>
      </c>
      <c r="F2723" t="s">
        <v>10297</v>
      </c>
      <c r="G2723">
        <v>12</v>
      </c>
      <c r="H2723" t="s">
        <v>10314</v>
      </c>
      <c r="L2723">
        <v>1973</v>
      </c>
      <c r="R2723" t="s">
        <v>11037</v>
      </c>
      <c r="S2723" t="s">
        <v>10314</v>
      </c>
      <c r="W2723" s="2" t="s">
        <v>11202</v>
      </c>
    </row>
    <row r="2724" spans="1:23" hidden="1" x14ac:dyDescent="0.45">
      <c r="A2724" s="1" t="s">
        <v>2707</v>
      </c>
      <c r="B2724" t="s">
        <v>6226</v>
      </c>
      <c r="D2724" t="s">
        <v>8011</v>
      </c>
      <c r="E2724" t="s">
        <v>9579</v>
      </c>
      <c r="F2724" t="s">
        <v>10297</v>
      </c>
      <c r="G2724">
        <v>12</v>
      </c>
      <c r="H2724" t="s">
        <v>10314</v>
      </c>
      <c r="L2724">
        <v>1974</v>
      </c>
      <c r="R2724" t="s">
        <v>11037</v>
      </c>
      <c r="S2724" t="s">
        <v>10314</v>
      </c>
      <c r="W2724" s="2" t="s">
        <v>11202</v>
      </c>
    </row>
    <row r="2725" spans="1:23" hidden="1" x14ac:dyDescent="0.45">
      <c r="A2725" s="1" t="s">
        <v>2708</v>
      </c>
      <c r="B2725" t="s">
        <v>6226</v>
      </c>
      <c r="D2725" t="s">
        <v>8011</v>
      </c>
      <c r="E2725" t="s">
        <v>9579</v>
      </c>
      <c r="F2725" t="s">
        <v>10297</v>
      </c>
      <c r="G2725">
        <v>24</v>
      </c>
      <c r="H2725" t="s">
        <v>10314</v>
      </c>
      <c r="L2725">
        <v>1990</v>
      </c>
      <c r="R2725" t="s">
        <v>11037</v>
      </c>
      <c r="S2725" t="s">
        <v>10314</v>
      </c>
      <c r="W2725" s="2" t="s">
        <v>11202</v>
      </c>
    </row>
    <row r="2726" spans="1:23" hidden="1" x14ac:dyDescent="0.45">
      <c r="A2726" s="1" t="s">
        <v>2709</v>
      </c>
      <c r="B2726" t="s">
        <v>6226</v>
      </c>
      <c r="D2726" t="s">
        <v>8011</v>
      </c>
      <c r="E2726" t="s">
        <v>9579</v>
      </c>
      <c r="F2726" t="s">
        <v>10297</v>
      </c>
      <c r="G2726">
        <v>24</v>
      </c>
      <c r="H2726" t="s">
        <v>10314</v>
      </c>
      <c r="L2726">
        <v>1990</v>
      </c>
      <c r="R2726" t="s">
        <v>11037</v>
      </c>
      <c r="S2726" t="s">
        <v>10314</v>
      </c>
      <c r="W2726" s="2" t="s">
        <v>11202</v>
      </c>
    </row>
    <row r="2727" spans="1:23" hidden="1" x14ac:dyDescent="0.45">
      <c r="A2727" s="1" t="s">
        <v>2710</v>
      </c>
      <c r="B2727" t="s">
        <v>6226</v>
      </c>
      <c r="D2727" t="s">
        <v>8011</v>
      </c>
      <c r="E2727" t="s">
        <v>9579</v>
      </c>
      <c r="F2727" t="s">
        <v>10297</v>
      </c>
      <c r="G2727">
        <v>23.45</v>
      </c>
      <c r="H2727" t="s">
        <v>10314</v>
      </c>
      <c r="I2727" t="s">
        <v>10322</v>
      </c>
      <c r="L2727">
        <v>1981</v>
      </c>
      <c r="R2727" t="s">
        <v>11037</v>
      </c>
      <c r="S2727" t="s">
        <v>10314</v>
      </c>
      <c r="W2727" s="2" t="s">
        <v>11202</v>
      </c>
    </row>
    <row r="2728" spans="1:23" hidden="1" x14ac:dyDescent="0.45">
      <c r="A2728" s="1" t="s">
        <v>2711</v>
      </c>
      <c r="B2728" t="s">
        <v>6226</v>
      </c>
      <c r="D2728" t="s">
        <v>8011</v>
      </c>
      <c r="E2728" t="s">
        <v>9579</v>
      </c>
      <c r="F2728" t="s">
        <v>10297</v>
      </c>
      <c r="G2728">
        <v>37.5</v>
      </c>
      <c r="H2728" t="s">
        <v>10314</v>
      </c>
      <c r="I2728" t="s">
        <v>10322</v>
      </c>
      <c r="L2728">
        <v>1989</v>
      </c>
      <c r="R2728" t="s">
        <v>11037</v>
      </c>
      <c r="S2728" t="s">
        <v>10314</v>
      </c>
      <c r="W2728" s="2" t="s">
        <v>11202</v>
      </c>
    </row>
    <row r="2729" spans="1:23" hidden="1" x14ac:dyDescent="0.45">
      <c r="A2729" s="1" t="s">
        <v>2712</v>
      </c>
      <c r="B2729" t="s">
        <v>6226</v>
      </c>
      <c r="D2729" t="s">
        <v>8011</v>
      </c>
      <c r="E2729" t="s">
        <v>9579</v>
      </c>
      <c r="F2729" t="s">
        <v>10297</v>
      </c>
      <c r="G2729">
        <v>37.5</v>
      </c>
      <c r="H2729" t="s">
        <v>10314</v>
      </c>
      <c r="I2729" t="s">
        <v>10322</v>
      </c>
      <c r="L2729">
        <v>1989</v>
      </c>
      <c r="R2729" t="s">
        <v>11037</v>
      </c>
      <c r="S2729" t="s">
        <v>10314</v>
      </c>
      <c r="W2729" s="2" t="s">
        <v>11202</v>
      </c>
    </row>
    <row r="2730" spans="1:23" hidden="1" x14ac:dyDescent="0.45">
      <c r="A2730" s="1" t="s">
        <v>2713</v>
      </c>
      <c r="B2730" t="s">
        <v>6226</v>
      </c>
      <c r="D2730" t="s">
        <v>8011</v>
      </c>
      <c r="E2730" t="s">
        <v>9580</v>
      </c>
      <c r="F2730" t="s">
        <v>10297</v>
      </c>
      <c r="G2730">
        <v>37.5</v>
      </c>
      <c r="H2730" t="s">
        <v>10314</v>
      </c>
      <c r="I2730" t="s">
        <v>10322</v>
      </c>
      <c r="L2730">
        <v>1992</v>
      </c>
      <c r="R2730" t="s">
        <v>11037</v>
      </c>
      <c r="S2730" t="s">
        <v>10314</v>
      </c>
      <c r="W2730" s="2" t="s">
        <v>11202</v>
      </c>
    </row>
    <row r="2731" spans="1:23" hidden="1" x14ac:dyDescent="0.45">
      <c r="A2731" s="1" t="s">
        <v>2714</v>
      </c>
      <c r="B2731" t="s">
        <v>6226</v>
      </c>
      <c r="D2731" t="s">
        <v>8011</v>
      </c>
      <c r="E2731" t="s">
        <v>9580</v>
      </c>
      <c r="F2731" t="s">
        <v>10297</v>
      </c>
      <c r="G2731">
        <v>37.5</v>
      </c>
      <c r="H2731" t="s">
        <v>10314</v>
      </c>
      <c r="I2731" t="s">
        <v>10322</v>
      </c>
      <c r="L2731">
        <v>1995</v>
      </c>
      <c r="R2731" t="s">
        <v>11037</v>
      </c>
      <c r="S2731" t="s">
        <v>10314</v>
      </c>
      <c r="W2731" s="2" t="s">
        <v>11202</v>
      </c>
    </row>
    <row r="2732" spans="1:23" hidden="1" x14ac:dyDescent="0.45">
      <c r="A2732" s="1" t="s">
        <v>2715</v>
      </c>
      <c r="B2732" t="s">
        <v>6226</v>
      </c>
      <c r="D2732" t="s">
        <v>8011</v>
      </c>
      <c r="E2732" t="s">
        <v>9602</v>
      </c>
      <c r="F2732" t="s">
        <v>10297</v>
      </c>
      <c r="G2732">
        <v>40</v>
      </c>
      <c r="H2732" t="s">
        <v>10314</v>
      </c>
      <c r="L2732">
        <v>1979</v>
      </c>
      <c r="R2732" t="s">
        <v>11037</v>
      </c>
      <c r="S2732" t="s">
        <v>10314</v>
      </c>
      <c r="W2732" s="2" t="s">
        <v>11202</v>
      </c>
    </row>
    <row r="2733" spans="1:23" hidden="1" x14ac:dyDescent="0.45">
      <c r="A2733" s="1" t="s">
        <v>2716</v>
      </c>
      <c r="B2733" t="s">
        <v>6226</v>
      </c>
      <c r="D2733" t="s">
        <v>8011</v>
      </c>
      <c r="E2733" t="s">
        <v>9602</v>
      </c>
      <c r="F2733" t="s">
        <v>10297</v>
      </c>
      <c r="G2733">
        <v>40</v>
      </c>
      <c r="H2733" t="s">
        <v>10314</v>
      </c>
      <c r="L2733">
        <v>1984</v>
      </c>
      <c r="R2733" t="s">
        <v>11037</v>
      </c>
      <c r="S2733" t="s">
        <v>10314</v>
      </c>
      <c r="W2733" s="2" t="s">
        <v>11202</v>
      </c>
    </row>
    <row r="2734" spans="1:23" hidden="1" x14ac:dyDescent="0.45">
      <c r="A2734" s="1" t="s">
        <v>2717</v>
      </c>
      <c r="B2734" t="s">
        <v>6226</v>
      </c>
      <c r="D2734" t="s">
        <v>8011</v>
      </c>
      <c r="E2734" t="s">
        <v>9602</v>
      </c>
      <c r="F2734" t="s">
        <v>10297</v>
      </c>
      <c r="G2734">
        <v>12</v>
      </c>
      <c r="H2734" t="s">
        <v>10314</v>
      </c>
      <c r="L2734">
        <v>1972</v>
      </c>
      <c r="R2734" t="s">
        <v>11037</v>
      </c>
      <c r="S2734" t="s">
        <v>10314</v>
      </c>
      <c r="W2734" s="2" t="s">
        <v>11202</v>
      </c>
    </row>
    <row r="2735" spans="1:23" hidden="1" x14ac:dyDescent="0.45">
      <c r="A2735" s="1" t="s">
        <v>2718</v>
      </c>
      <c r="B2735" t="s">
        <v>6226</v>
      </c>
      <c r="D2735" t="s">
        <v>8011</v>
      </c>
      <c r="E2735" t="s">
        <v>9602</v>
      </c>
      <c r="F2735" t="s">
        <v>10297</v>
      </c>
      <c r="G2735">
        <v>12</v>
      </c>
      <c r="H2735" t="s">
        <v>10314</v>
      </c>
      <c r="L2735">
        <v>1973</v>
      </c>
      <c r="R2735" t="s">
        <v>11037</v>
      </c>
      <c r="S2735" t="s">
        <v>10314</v>
      </c>
      <c r="W2735" s="2" t="s">
        <v>11202</v>
      </c>
    </row>
    <row r="2736" spans="1:23" hidden="1" x14ac:dyDescent="0.45">
      <c r="A2736" s="1" t="s">
        <v>2719</v>
      </c>
      <c r="B2736" t="s">
        <v>6226</v>
      </c>
      <c r="D2736" t="s">
        <v>8011</v>
      </c>
      <c r="E2736" t="s">
        <v>9602</v>
      </c>
      <c r="F2736" t="s">
        <v>10297</v>
      </c>
      <c r="G2736">
        <v>12</v>
      </c>
      <c r="H2736" t="s">
        <v>10314</v>
      </c>
      <c r="L2736">
        <v>1973</v>
      </c>
      <c r="R2736" t="s">
        <v>11037</v>
      </c>
      <c r="S2736" t="s">
        <v>10314</v>
      </c>
      <c r="W2736" s="2" t="s">
        <v>11202</v>
      </c>
    </row>
    <row r="2737" spans="1:23" hidden="1" x14ac:dyDescent="0.45">
      <c r="A2737" s="1" t="s">
        <v>2720</v>
      </c>
      <c r="B2737" t="s">
        <v>6226</v>
      </c>
      <c r="D2737" t="s">
        <v>8011</v>
      </c>
      <c r="E2737" t="s">
        <v>9602</v>
      </c>
      <c r="F2737" t="s">
        <v>10297</v>
      </c>
      <c r="G2737">
        <v>37.5</v>
      </c>
      <c r="H2737" t="s">
        <v>10314</v>
      </c>
      <c r="I2737" t="s">
        <v>10322</v>
      </c>
      <c r="L2737">
        <v>1988</v>
      </c>
      <c r="R2737" t="s">
        <v>11037</v>
      </c>
      <c r="S2737" t="s">
        <v>10314</v>
      </c>
      <c r="W2737" s="2" t="s">
        <v>11202</v>
      </c>
    </row>
    <row r="2738" spans="1:23" hidden="1" x14ac:dyDescent="0.45">
      <c r="A2738" s="1" t="s">
        <v>2721</v>
      </c>
      <c r="B2738" t="s">
        <v>6226</v>
      </c>
      <c r="D2738" t="s">
        <v>8011</v>
      </c>
      <c r="E2738" t="s">
        <v>9602</v>
      </c>
      <c r="F2738" t="s">
        <v>10297</v>
      </c>
      <c r="G2738">
        <v>37.5</v>
      </c>
      <c r="H2738" t="s">
        <v>10314</v>
      </c>
      <c r="I2738" t="s">
        <v>10322</v>
      </c>
      <c r="L2738">
        <v>1989</v>
      </c>
      <c r="R2738" t="s">
        <v>11037</v>
      </c>
      <c r="S2738" t="s">
        <v>10314</v>
      </c>
      <c r="W2738" s="2" t="s">
        <v>11202</v>
      </c>
    </row>
    <row r="2739" spans="1:23" hidden="1" x14ac:dyDescent="0.45">
      <c r="A2739" s="1" t="s">
        <v>2722</v>
      </c>
      <c r="B2739" t="s">
        <v>6226</v>
      </c>
      <c r="D2739" t="s">
        <v>8011</v>
      </c>
      <c r="E2739" t="s">
        <v>9602</v>
      </c>
      <c r="F2739" t="s">
        <v>10297</v>
      </c>
      <c r="G2739">
        <v>17.2</v>
      </c>
      <c r="H2739" t="s">
        <v>10314</v>
      </c>
      <c r="I2739" t="s">
        <v>10322</v>
      </c>
      <c r="L2739">
        <v>1972</v>
      </c>
      <c r="R2739" t="s">
        <v>11037</v>
      </c>
      <c r="S2739" t="s">
        <v>10314</v>
      </c>
      <c r="W2739" s="2" t="s">
        <v>11202</v>
      </c>
    </row>
    <row r="2740" spans="1:23" hidden="1" x14ac:dyDescent="0.45">
      <c r="A2740" s="1" t="s">
        <v>2723</v>
      </c>
      <c r="B2740" t="s">
        <v>6226</v>
      </c>
      <c r="D2740" t="s">
        <v>8011</v>
      </c>
      <c r="E2740" t="s">
        <v>9581</v>
      </c>
      <c r="F2740" t="s">
        <v>10297</v>
      </c>
      <c r="G2740">
        <v>24</v>
      </c>
      <c r="H2740" t="s">
        <v>10314</v>
      </c>
      <c r="L2740">
        <v>1991</v>
      </c>
      <c r="R2740" t="s">
        <v>11037</v>
      </c>
      <c r="S2740" t="s">
        <v>10314</v>
      </c>
      <c r="W2740" s="2" t="s">
        <v>11202</v>
      </c>
    </row>
    <row r="2741" spans="1:23" hidden="1" x14ac:dyDescent="0.45">
      <c r="A2741" s="1" t="s">
        <v>2724</v>
      </c>
      <c r="B2741" t="s">
        <v>6226</v>
      </c>
      <c r="D2741" t="s">
        <v>8011</v>
      </c>
      <c r="E2741" t="s">
        <v>9581</v>
      </c>
      <c r="F2741" t="s">
        <v>10297</v>
      </c>
      <c r="G2741">
        <v>24</v>
      </c>
      <c r="H2741" t="s">
        <v>10314</v>
      </c>
      <c r="L2741">
        <v>1991</v>
      </c>
      <c r="R2741" t="s">
        <v>11037</v>
      </c>
      <c r="S2741" t="s">
        <v>10314</v>
      </c>
      <c r="W2741" s="2" t="s">
        <v>11202</v>
      </c>
    </row>
    <row r="2742" spans="1:23" hidden="1" x14ac:dyDescent="0.45">
      <c r="A2742" s="1" t="s">
        <v>2725</v>
      </c>
      <c r="B2742" t="s">
        <v>6226</v>
      </c>
      <c r="D2742" t="s">
        <v>8011</v>
      </c>
      <c r="E2742" t="s">
        <v>9581</v>
      </c>
      <c r="F2742" t="s">
        <v>10297</v>
      </c>
      <c r="G2742">
        <v>37.5</v>
      </c>
      <c r="H2742" t="s">
        <v>10314</v>
      </c>
      <c r="I2742" t="s">
        <v>10322</v>
      </c>
      <c r="L2742">
        <v>1990</v>
      </c>
      <c r="R2742" t="s">
        <v>11037</v>
      </c>
      <c r="S2742" t="s">
        <v>10314</v>
      </c>
      <c r="W2742" s="2" t="s">
        <v>11202</v>
      </c>
    </row>
    <row r="2743" spans="1:23" hidden="1" x14ac:dyDescent="0.45">
      <c r="A2743" s="1" t="s">
        <v>2726</v>
      </c>
      <c r="B2743" t="s">
        <v>6226</v>
      </c>
      <c r="D2743" t="s">
        <v>8011</v>
      </c>
      <c r="E2743" t="s">
        <v>9581</v>
      </c>
      <c r="F2743" t="s">
        <v>10297</v>
      </c>
      <c r="G2743">
        <v>42</v>
      </c>
      <c r="H2743" t="s">
        <v>10314</v>
      </c>
      <c r="I2743" t="s">
        <v>10322</v>
      </c>
      <c r="L2743">
        <v>2001</v>
      </c>
      <c r="R2743" t="s">
        <v>11037</v>
      </c>
      <c r="S2743" t="s">
        <v>10314</v>
      </c>
      <c r="W2743" s="2" t="s">
        <v>11202</v>
      </c>
    </row>
    <row r="2744" spans="1:23" hidden="1" x14ac:dyDescent="0.45">
      <c r="A2744" s="1" t="s">
        <v>2727</v>
      </c>
      <c r="B2744" t="s">
        <v>6226</v>
      </c>
      <c r="D2744" t="s">
        <v>8011</v>
      </c>
      <c r="E2744" t="s">
        <v>9603</v>
      </c>
      <c r="F2744" t="s">
        <v>10297</v>
      </c>
      <c r="G2744">
        <v>25</v>
      </c>
      <c r="H2744" t="s">
        <v>10314</v>
      </c>
      <c r="I2744" t="s">
        <v>10322</v>
      </c>
      <c r="L2744">
        <v>2003</v>
      </c>
      <c r="R2744" t="s">
        <v>11037</v>
      </c>
      <c r="S2744" t="s">
        <v>10314</v>
      </c>
      <c r="W2744" s="2" t="s">
        <v>11202</v>
      </c>
    </row>
    <row r="2745" spans="1:23" hidden="1" x14ac:dyDescent="0.45">
      <c r="A2745" s="1" t="s">
        <v>2728</v>
      </c>
      <c r="B2745" t="s">
        <v>6226</v>
      </c>
      <c r="D2745" t="s">
        <v>8011</v>
      </c>
      <c r="E2745" t="s">
        <v>9603</v>
      </c>
      <c r="F2745" t="s">
        <v>10297</v>
      </c>
      <c r="G2745">
        <v>25</v>
      </c>
      <c r="H2745" t="s">
        <v>10314</v>
      </c>
      <c r="I2745" t="s">
        <v>10322</v>
      </c>
      <c r="L2745">
        <v>2003</v>
      </c>
      <c r="R2745" t="s">
        <v>11037</v>
      </c>
      <c r="S2745" t="s">
        <v>10314</v>
      </c>
      <c r="W2745" s="2" t="s">
        <v>11202</v>
      </c>
    </row>
    <row r="2746" spans="1:23" hidden="1" x14ac:dyDescent="0.45">
      <c r="A2746" s="1" t="s">
        <v>2729</v>
      </c>
      <c r="B2746" t="s">
        <v>6226</v>
      </c>
      <c r="D2746" t="s">
        <v>8011</v>
      </c>
      <c r="E2746" t="s">
        <v>9604</v>
      </c>
      <c r="F2746" t="s">
        <v>10297</v>
      </c>
      <c r="G2746">
        <v>7.52</v>
      </c>
      <c r="H2746" t="s">
        <v>10314</v>
      </c>
      <c r="L2746">
        <v>1986</v>
      </c>
      <c r="R2746" t="s">
        <v>11037</v>
      </c>
      <c r="S2746" t="s">
        <v>10314</v>
      </c>
      <c r="W2746" s="2" t="s">
        <v>11202</v>
      </c>
    </row>
    <row r="2747" spans="1:23" hidden="1" x14ac:dyDescent="0.45">
      <c r="A2747" s="1" t="s">
        <v>2730</v>
      </c>
      <c r="B2747" t="s">
        <v>6226</v>
      </c>
      <c r="D2747" t="s">
        <v>8011</v>
      </c>
      <c r="E2747" t="s">
        <v>9604</v>
      </c>
      <c r="F2747" t="s">
        <v>10297</v>
      </c>
      <c r="G2747">
        <v>7.52</v>
      </c>
      <c r="H2747" t="s">
        <v>10314</v>
      </c>
      <c r="L2747">
        <v>1986</v>
      </c>
      <c r="R2747" t="s">
        <v>11037</v>
      </c>
      <c r="S2747" t="s">
        <v>10314</v>
      </c>
      <c r="W2747" s="2" t="s">
        <v>11202</v>
      </c>
    </row>
    <row r="2748" spans="1:23" hidden="1" x14ac:dyDescent="0.45">
      <c r="A2748" s="1" t="s">
        <v>2731</v>
      </c>
      <c r="B2748" t="s">
        <v>6226</v>
      </c>
      <c r="D2748" t="s">
        <v>8011</v>
      </c>
      <c r="E2748" t="s">
        <v>9604</v>
      </c>
      <c r="F2748" t="s">
        <v>10297</v>
      </c>
      <c r="G2748">
        <v>7.52</v>
      </c>
      <c r="H2748" t="s">
        <v>10314</v>
      </c>
      <c r="L2748">
        <v>1987</v>
      </c>
      <c r="R2748" t="s">
        <v>11037</v>
      </c>
      <c r="S2748" t="s">
        <v>10314</v>
      </c>
      <c r="W2748" s="2" t="s">
        <v>11202</v>
      </c>
    </row>
    <row r="2749" spans="1:23" hidden="1" x14ac:dyDescent="0.45">
      <c r="A2749" s="1" t="s">
        <v>2732</v>
      </c>
      <c r="B2749" t="s">
        <v>6226</v>
      </c>
      <c r="D2749" t="s">
        <v>8011</v>
      </c>
      <c r="E2749" t="s">
        <v>9604</v>
      </c>
      <c r="F2749" t="s">
        <v>10297</v>
      </c>
      <c r="G2749">
        <v>15.5</v>
      </c>
      <c r="H2749" t="s">
        <v>10314</v>
      </c>
      <c r="L2749">
        <v>1989</v>
      </c>
      <c r="R2749" t="s">
        <v>11037</v>
      </c>
      <c r="S2749" t="s">
        <v>10314</v>
      </c>
      <c r="W2749" s="2" t="s">
        <v>11202</v>
      </c>
    </row>
    <row r="2750" spans="1:23" hidden="1" x14ac:dyDescent="0.45">
      <c r="A2750" s="1" t="s">
        <v>2733</v>
      </c>
      <c r="B2750" t="s">
        <v>6226</v>
      </c>
      <c r="D2750" t="s">
        <v>8011</v>
      </c>
      <c r="E2750" t="s">
        <v>9604</v>
      </c>
      <c r="F2750" t="s">
        <v>10297</v>
      </c>
      <c r="G2750">
        <v>15.5</v>
      </c>
      <c r="H2750" t="s">
        <v>10314</v>
      </c>
      <c r="L2750">
        <v>1989</v>
      </c>
      <c r="R2750" t="s">
        <v>11037</v>
      </c>
      <c r="S2750" t="s">
        <v>10314</v>
      </c>
      <c r="W2750" s="2" t="s">
        <v>11202</v>
      </c>
    </row>
    <row r="2751" spans="1:23" hidden="1" x14ac:dyDescent="0.45">
      <c r="A2751" s="1" t="s">
        <v>2734</v>
      </c>
      <c r="B2751" t="s">
        <v>6226</v>
      </c>
      <c r="D2751" t="s">
        <v>8011</v>
      </c>
      <c r="E2751" t="s">
        <v>9604</v>
      </c>
      <c r="F2751" t="s">
        <v>10297</v>
      </c>
      <c r="G2751">
        <v>24</v>
      </c>
      <c r="H2751" t="s">
        <v>10314</v>
      </c>
      <c r="L2751">
        <v>1992</v>
      </c>
      <c r="R2751" t="s">
        <v>11037</v>
      </c>
      <c r="S2751" t="s">
        <v>10314</v>
      </c>
      <c r="W2751" s="2" t="s">
        <v>11202</v>
      </c>
    </row>
    <row r="2752" spans="1:23" hidden="1" x14ac:dyDescent="0.45">
      <c r="A2752" s="1" t="s">
        <v>2735</v>
      </c>
      <c r="B2752" t="s">
        <v>6226</v>
      </c>
      <c r="D2752" t="s">
        <v>8011</v>
      </c>
      <c r="E2752" t="s">
        <v>9604</v>
      </c>
      <c r="F2752" t="s">
        <v>10297</v>
      </c>
      <c r="G2752">
        <v>18.399999999999999</v>
      </c>
      <c r="H2752" t="s">
        <v>10314</v>
      </c>
      <c r="L2752">
        <v>2002</v>
      </c>
      <c r="R2752" t="s">
        <v>11037</v>
      </c>
      <c r="S2752" t="s">
        <v>10314</v>
      </c>
      <c r="W2752" s="2" t="s">
        <v>11202</v>
      </c>
    </row>
    <row r="2753" spans="1:23" hidden="1" x14ac:dyDescent="0.45">
      <c r="A2753" s="1" t="s">
        <v>2736</v>
      </c>
      <c r="B2753" t="s">
        <v>6226</v>
      </c>
      <c r="D2753" t="s">
        <v>8011</v>
      </c>
      <c r="E2753" t="s">
        <v>9604</v>
      </c>
      <c r="F2753" t="s">
        <v>10297</v>
      </c>
      <c r="G2753">
        <v>18.399999999999999</v>
      </c>
      <c r="H2753" t="s">
        <v>10314</v>
      </c>
      <c r="L2753">
        <v>2002</v>
      </c>
      <c r="R2753" t="s">
        <v>11037</v>
      </c>
      <c r="S2753" t="s">
        <v>10314</v>
      </c>
      <c r="W2753" s="2" t="s">
        <v>11202</v>
      </c>
    </row>
    <row r="2754" spans="1:23" hidden="1" x14ac:dyDescent="0.45">
      <c r="A2754" s="1" t="s">
        <v>2737</v>
      </c>
      <c r="B2754" t="s">
        <v>6226</v>
      </c>
      <c r="D2754" t="s">
        <v>8011</v>
      </c>
      <c r="E2754" t="s">
        <v>9604</v>
      </c>
      <c r="F2754" t="s">
        <v>10297</v>
      </c>
      <c r="G2754">
        <v>25</v>
      </c>
      <c r="H2754" t="s">
        <v>10314</v>
      </c>
      <c r="I2754" t="s">
        <v>10322</v>
      </c>
      <c r="L2754">
        <v>1988</v>
      </c>
      <c r="R2754" t="s">
        <v>11037</v>
      </c>
      <c r="S2754" t="s">
        <v>10314</v>
      </c>
      <c r="W2754" s="2" t="s">
        <v>11202</v>
      </c>
    </row>
    <row r="2755" spans="1:23" hidden="1" x14ac:dyDescent="0.45">
      <c r="A2755" s="1" t="s">
        <v>2738</v>
      </c>
      <c r="B2755" t="s">
        <v>6226</v>
      </c>
      <c r="D2755" t="s">
        <v>8011</v>
      </c>
      <c r="E2755" t="s">
        <v>9604</v>
      </c>
      <c r="F2755" t="s">
        <v>10297</v>
      </c>
      <c r="G2755">
        <v>37.5</v>
      </c>
      <c r="H2755" t="s">
        <v>10314</v>
      </c>
      <c r="I2755" t="s">
        <v>10322</v>
      </c>
      <c r="L2755">
        <v>1998</v>
      </c>
      <c r="R2755" t="s">
        <v>11037</v>
      </c>
      <c r="S2755" t="s">
        <v>10314</v>
      </c>
      <c r="W2755" s="2" t="s">
        <v>11202</v>
      </c>
    </row>
    <row r="2756" spans="1:23" hidden="1" x14ac:dyDescent="0.45">
      <c r="A2756" s="1" t="s">
        <v>2739</v>
      </c>
      <c r="B2756" t="s">
        <v>6226</v>
      </c>
      <c r="D2756" t="s">
        <v>8011</v>
      </c>
      <c r="E2756" t="s">
        <v>9605</v>
      </c>
      <c r="F2756" t="s">
        <v>10297</v>
      </c>
      <c r="G2756">
        <v>4.32</v>
      </c>
      <c r="H2756" t="s">
        <v>10314</v>
      </c>
      <c r="L2756">
        <v>1975</v>
      </c>
      <c r="R2756" t="s">
        <v>11037</v>
      </c>
      <c r="S2756" t="s">
        <v>10314</v>
      </c>
      <c r="W2756" s="2" t="s">
        <v>11202</v>
      </c>
    </row>
    <row r="2757" spans="1:23" hidden="1" x14ac:dyDescent="0.45">
      <c r="A2757" s="1" t="s">
        <v>2740</v>
      </c>
      <c r="B2757" t="s">
        <v>6226</v>
      </c>
      <c r="D2757" t="s">
        <v>8011</v>
      </c>
      <c r="E2757" t="s">
        <v>9605</v>
      </c>
      <c r="F2757" t="s">
        <v>10297</v>
      </c>
      <c r="G2757">
        <v>4.32</v>
      </c>
      <c r="H2757" t="s">
        <v>10314</v>
      </c>
      <c r="L2757">
        <v>1976</v>
      </c>
      <c r="R2757" t="s">
        <v>11037</v>
      </c>
      <c r="S2757" t="s">
        <v>10314</v>
      </c>
      <c r="W2757" s="2" t="s">
        <v>11202</v>
      </c>
    </row>
    <row r="2758" spans="1:23" hidden="1" x14ac:dyDescent="0.45">
      <c r="A2758" s="1" t="s">
        <v>2741</v>
      </c>
      <c r="B2758" t="s">
        <v>6226</v>
      </c>
      <c r="D2758" t="s">
        <v>8011</v>
      </c>
      <c r="E2758" t="s">
        <v>9605</v>
      </c>
      <c r="F2758" t="s">
        <v>10297</v>
      </c>
      <c r="G2758">
        <v>5.04</v>
      </c>
      <c r="H2758" t="s">
        <v>10314</v>
      </c>
      <c r="L2758">
        <v>1980</v>
      </c>
      <c r="R2758" t="s">
        <v>11037</v>
      </c>
      <c r="S2758" t="s">
        <v>10314</v>
      </c>
      <c r="W2758" s="2" t="s">
        <v>11202</v>
      </c>
    </row>
    <row r="2759" spans="1:23" hidden="1" x14ac:dyDescent="0.45">
      <c r="A2759" s="1" t="s">
        <v>2742</v>
      </c>
      <c r="B2759" t="s">
        <v>6226</v>
      </c>
      <c r="D2759" t="s">
        <v>8011</v>
      </c>
      <c r="E2759" t="s">
        <v>9605</v>
      </c>
      <c r="F2759" t="s">
        <v>10297</v>
      </c>
      <c r="G2759">
        <v>7.52</v>
      </c>
      <c r="H2759" t="s">
        <v>10314</v>
      </c>
      <c r="L2759">
        <v>1981</v>
      </c>
      <c r="R2759" t="s">
        <v>11037</v>
      </c>
      <c r="S2759" t="s">
        <v>10314</v>
      </c>
      <c r="W2759" s="2" t="s">
        <v>11202</v>
      </c>
    </row>
    <row r="2760" spans="1:23" hidden="1" x14ac:dyDescent="0.45">
      <c r="A2760" s="1" t="s">
        <v>2743</v>
      </c>
      <c r="B2760" t="s">
        <v>6226</v>
      </c>
      <c r="D2760" t="s">
        <v>8011</v>
      </c>
      <c r="E2760" t="s">
        <v>9605</v>
      </c>
      <c r="F2760" t="s">
        <v>10297</v>
      </c>
      <c r="G2760">
        <v>7.52</v>
      </c>
      <c r="H2760" t="s">
        <v>10314</v>
      </c>
      <c r="L2760">
        <v>1981</v>
      </c>
      <c r="R2760" t="s">
        <v>11037</v>
      </c>
      <c r="S2760" t="s">
        <v>10314</v>
      </c>
      <c r="W2760" s="2" t="s">
        <v>11202</v>
      </c>
    </row>
    <row r="2761" spans="1:23" hidden="1" x14ac:dyDescent="0.45">
      <c r="A2761" s="1" t="s">
        <v>2744</v>
      </c>
      <c r="B2761" t="s">
        <v>6226</v>
      </c>
      <c r="D2761" t="s">
        <v>8011</v>
      </c>
      <c r="E2761" t="s">
        <v>9605</v>
      </c>
      <c r="F2761" t="s">
        <v>10297</v>
      </c>
      <c r="G2761">
        <v>24</v>
      </c>
      <c r="H2761" t="s">
        <v>10314</v>
      </c>
      <c r="L2761">
        <v>1990</v>
      </c>
      <c r="R2761" t="s">
        <v>11037</v>
      </c>
      <c r="S2761" t="s">
        <v>10314</v>
      </c>
      <c r="W2761" s="2" t="s">
        <v>11202</v>
      </c>
    </row>
    <row r="2762" spans="1:23" hidden="1" x14ac:dyDescent="0.45">
      <c r="A2762" s="1" t="s">
        <v>2745</v>
      </c>
      <c r="B2762" t="s">
        <v>6226</v>
      </c>
      <c r="D2762" t="s">
        <v>8011</v>
      </c>
      <c r="E2762" t="s">
        <v>9605</v>
      </c>
      <c r="F2762" t="s">
        <v>10297</v>
      </c>
      <c r="G2762">
        <v>25</v>
      </c>
      <c r="H2762" t="s">
        <v>10314</v>
      </c>
      <c r="I2762" t="s">
        <v>10322</v>
      </c>
      <c r="L2762">
        <v>1992</v>
      </c>
      <c r="R2762" t="s">
        <v>11037</v>
      </c>
      <c r="S2762" t="s">
        <v>10314</v>
      </c>
      <c r="W2762" s="2" t="s">
        <v>11202</v>
      </c>
    </row>
    <row r="2763" spans="1:23" hidden="1" x14ac:dyDescent="0.45">
      <c r="A2763" s="1" t="s">
        <v>2746</v>
      </c>
      <c r="B2763" t="s">
        <v>6226</v>
      </c>
      <c r="D2763" t="s">
        <v>8011</v>
      </c>
      <c r="E2763" t="s">
        <v>9605</v>
      </c>
      <c r="F2763" t="s">
        <v>10297</v>
      </c>
      <c r="G2763">
        <v>37.5</v>
      </c>
      <c r="H2763" t="s">
        <v>10314</v>
      </c>
      <c r="I2763" t="s">
        <v>10322</v>
      </c>
      <c r="L2763">
        <v>2000</v>
      </c>
      <c r="R2763" t="s">
        <v>11037</v>
      </c>
      <c r="S2763" t="s">
        <v>10314</v>
      </c>
      <c r="W2763" s="2" t="s">
        <v>11202</v>
      </c>
    </row>
    <row r="2764" spans="1:23" hidden="1" x14ac:dyDescent="0.45">
      <c r="A2764" s="1" t="s">
        <v>2747</v>
      </c>
      <c r="B2764" t="s">
        <v>6226</v>
      </c>
      <c r="D2764" t="s">
        <v>8011</v>
      </c>
      <c r="E2764" t="s">
        <v>9606</v>
      </c>
      <c r="F2764" t="s">
        <v>10297</v>
      </c>
      <c r="G2764">
        <v>4.32</v>
      </c>
      <c r="H2764" t="s">
        <v>10314</v>
      </c>
      <c r="L2764">
        <v>1973</v>
      </c>
      <c r="R2764" t="s">
        <v>11037</v>
      </c>
      <c r="S2764" t="s">
        <v>10314</v>
      </c>
      <c r="W2764" s="2" t="s">
        <v>11202</v>
      </c>
    </row>
    <row r="2765" spans="1:23" hidden="1" x14ac:dyDescent="0.45">
      <c r="A2765" s="1" t="s">
        <v>2748</v>
      </c>
      <c r="B2765" t="s">
        <v>6226</v>
      </c>
      <c r="D2765" t="s">
        <v>8011</v>
      </c>
      <c r="E2765" t="s">
        <v>9606</v>
      </c>
      <c r="F2765" t="s">
        <v>10297</v>
      </c>
      <c r="G2765">
        <v>4.32</v>
      </c>
      <c r="H2765" t="s">
        <v>10314</v>
      </c>
      <c r="L2765">
        <v>1973</v>
      </c>
      <c r="R2765" t="s">
        <v>11037</v>
      </c>
      <c r="S2765" t="s">
        <v>10314</v>
      </c>
      <c r="W2765" s="2" t="s">
        <v>11202</v>
      </c>
    </row>
    <row r="2766" spans="1:23" hidden="1" x14ac:dyDescent="0.45">
      <c r="A2766" s="1" t="s">
        <v>2749</v>
      </c>
      <c r="B2766" t="s">
        <v>6226</v>
      </c>
      <c r="D2766" t="s">
        <v>8011</v>
      </c>
      <c r="E2766" t="s">
        <v>9606</v>
      </c>
      <c r="F2766" t="s">
        <v>10297</v>
      </c>
      <c r="G2766">
        <v>4.32</v>
      </c>
      <c r="H2766" t="s">
        <v>10314</v>
      </c>
      <c r="L2766">
        <v>1975</v>
      </c>
      <c r="R2766" t="s">
        <v>11037</v>
      </c>
      <c r="S2766" t="s">
        <v>10314</v>
      </c>
      <c r="W2766" s="2" t="s">
        <v>11202</v>
      </c>
    </row>
    <row r="2767" spans="1:23" hidden="1" x14ac:dyDescent="0.45">
      <c r="A2767" s="1" t="s">
        <v>2750</v>
      </c>
      <c r="B2767" t="s">
        <v>6226</v>
      </c>
      <c r="D2767" t="s">
        <v>8011</v>
      </c>
      <c r="E2767" t="s">
        <v>9606</v>
      </c>
      <c r="F2767" t="s">
        <v>10297</v>
      </c>
      <c r="G2767">
        <v>5.04</v>
      </c>
      <c r="H2767" t="s">
        <v>10314</v>
      </c>
      <c r="L2767">
        <v>1980</v>
      </c>
      <c r="R2767" t="s">
        <v>11037</v>
      </c>
      <c r="S2767" t="s">
        <v>10314</v>
      </c>
      <c r="W2767" s="2" t="s">
        <v>11202</v>
      </c>
    </row>
    <row r="2768" spans="1:23" hidden="1" x14ac:dyDescent="0.45">
      <c r="A2768" s="1" t="s">
        <v>2751</v>
      </c>
      <c r="B2768" t="s">
        <v>6226</v>
      </c>
      <c r="D2768" t="s">
        <v>8011</v>
      </c>
      <c r="E2768" t="s">
        <v>9606</v>
      </c>
      <c r="F2768" t="s">
        <v>10297</v>
      </c>
      <c r="G2768">
        <v>7.52</v>
      </c>
      <c r="H2768" t="s">
        <v>10314</v>
      </c>
      <c r="L2768">
        <v>1983</v>
      </c>
      <c r="R2768" t="s">
        <v>11037</v>
      </c>
      <c r="S2768" t="s">
        <v>10314</v>
      </c>
      <c r="W2768" s="2" t="s">
        <v>11202</v>
      </c>
    </row>
    <row r="2769" spans="1:23" hidden="1" x14ac:dyDescent="0.45">
      <c r="A2769" s="1" t="s">
        <v>2752</v>
      </c>
      <c r="B2769" t="s">
        <v>6226</v>
      </c>
      <c r="D2769" t="s">
        <v>8011</v>
      </c>
      <c r="E2769" t="s">
        <v>9606</v>
      </c>
      <c r="F2769" t="s">
        <v>10297</v>
      </c>
      <c r="G2769">
        <v>7.52</v>
      </c>
      <c r="H2769" t="s">
        <v>10314</v>
      </c>
      <c r="L2769">
        <v>1995</v>
      </c>
      <c r="R2769" t="s">
        <v>11037</v>
      </c>
      <c r="S2769" t="s">
        <v>10314</v>
      </c>
      <c r="W2769" s="2" t="s">
        <v>11202</v>
      </c>
    </row>
    <row r="2770" spans="1:23" hidden="1" x14ac:dyDescent="0.45">
      <c r="A2770" s="1" t="s">
        <v>2753</v>
      </c>
      <c r="B2770" t="s">
        <v>6226</v>
      </c>
      <c r="D2770" t="s">
        <v>8011</v>
      </c>
      <c r="E2770" t="s">
        <v>9606</v>
      </c>
      <c r="F2770" t="s">
        <v>10297</v>
      </c>
      <c r="G2770">
        <v>12.3</v>
      </c>
      <c r="H2770" t="s">
        <v>10314</v>
      </c>
      <c r="L2770">
        <v>2001</v>
      </c>
      <c r="R2770" t="s">
        <v>11037</v>
      </c>
      <c r="S2770" t="s">
        <v>10314</v>
      </c>
      <c r="W2770" s="2" t="s">
        <v>11202</v>
      </c>
    </row>
    <row r="2771" spans="1:23" hidden="1" x14ac:dyDescent="0.45">
      <c r="A2771" s="1" t="s">
        <v>2754</v>
      </c>
      <c r="B2771" t="s">
        <v>6226</v>
      </c>
      <c r="D2771" t="s">
        <v>8011</v>
      </c>
      <c r="E2771" t="s">
        <v>9606</v>
      </c>
      <c r="F2771" t="s">
        <v>10297</v>
      </c>
      <c r="G2771">
        <v>12.3</v>
      </c>
      <c r="H2771" t="s">
        <v>10314</v>
      </c>
      <c r="L2771">
        <v>2003</v>
      </c>
      <c r="R2771" t="s">
        <v>11037</v>
      </c>
      <c r="S2771" t="s">
        <v>10314</v>
      </c>
      <c r="W2771" s="2" t="s">
        <v>11202</v>
      </c>
    </row>
    <row r="2772" spans="1:23" hidden="1" x14ac:dyDescent="0.45">
      <c r="A2772" s="1" t="s">
        <v>2755</v>
      </c>
      <c r="B2772" t="s">
        <v>6226</v>
      </c>
      <c r="D2772" t="s">
        <v>8011</v>
      </c>
      <c r="E2772" t="s">
        <v>9606</v>
      </c>
      <c r="F2772" t="s">
        <v>10297</v>
      </c>
      <c r="G2772">
        <v>16.600000000000001</v>
      </c>
      <c r="H2772" t="s">
        <v>10314</v>
      </c>
      <c r="I2772" t="s">
        <v>10322</v>
      </c>
      <c r="L2772">
        <v>1988</v>
      </c>
      <c r="R2772" t="s">
        <v>11037</v>
      </c>
      <c r="S2772" t="s">
        <v>10314</v>
      </c>
      <c r="W2772" s="2" t="s">
        <v>11202</v>
      </c>
    </row>
    <row r="2773" spans="1:23" hidden="1" x14ac:dyDescent="0.45">
      <c r="A2773" s="1" t="s">
        <v>2756</v>
      </c>
      <c r="B2773" t="s">
        <v>6226</v>
      </c>
      <c r="D2773" t="s">
        <v>8011</v>
      </c>
      <c r="E2773" t="s">
        <v>9607</v>
      </c>
      <c r="F2773" t="s">
        <v>10297</v>
      </c>
      <c r="G2773">
        <v>1.6</v>
      </c>
      <c r="H2773" t="s">
        <v>10314</v>
      </c>
      <c r="L2773">
        <v>1988</v>
      </c>
      <c r="R2773" t="s">
        <v>11037</v>
      </c>
      <c r="S2773" t="s">
        <v>10314</v>
      </c>
      <c r="W2773" s="2" t="s">
        <v>11202</v>
      </c>
    </row>
    <row r="2774" spans="1:23" hidden="1" x14ac:dyDescent="0.45">
      <c r="A2774" s="1" t="s">
        <v>2757</v>
      </c>
      <c r="B2774" t="s">
        <v>6226</v>
      </c>
      <c r="D2774" t="s">
        <v>8011</v>
      </c>
      <c r="E2774" t="s">
        <v>9607</v>
      </c>
      <c r="F2774" t="s">
        <v>10297</v>
      </c>
      <c r="G2774">
        <v>1.6</v>
      </c>
      <c r="H2774" t="s">
        <v>10314</v>
      </c>
      <c r="L2774">
        <v>1987</v>
      </c>
      <c r="R2774" t="s">
        <v>11037</v>
      </c>
      <c r="S2774" t="s">
        <v>10314</v>
      </c>
      <c r="W2774" s="2" t="s">
        <v>11202</v>
      </c>
    </row>
    <row r="2775" spans="1:23" hidden="1" x14ac:dyDescent="0.45">
      <c r="A2775" s="1" t="s">
        <v>2758</v>
      </c>
      <c r="B2775" t="s">
        <v>6226</v>
      </c>
      <c r="D2775" t="s">
        <v>8011</v>
      </c>
      <c r="E2775" t="s">
        <v>9607</v>
      </c>
      <c r="F2775" t="s">
        <v>10297</v>
      </c>
      <c r="G2775">
        <v>2.2400000000000002</v>
      </c>
      <c r="H2775" t="s">
        <v>10314</v>
      </c>
      <c r="L2775">
        <v>1987</v>
      </c>
      <c r="R2775" t="s">
        <v>11037</v>
      </c>
      <c r="S2775" t="s">
        <v>10314</v>
      </c>
      <c r="W2775" s="2" t="s">
        <v>11202</v>
      </c>
    </row>
    <row r="2776" spans="1:23" hidden="1" x14ac:dyDescent="0.45">
      <c r="A2776" s="1" t="s">
        <v>2759</v>
      </c>
      <c r="B2776" t="s">
        <v>6226</v>
      </c>
      <c r="D2776" t="s">
        <v>8011</v>
      </c>
      <c r="E2776" t="s">
        <v>9607</v>
      </c>
      <c r="F2776" t="s">
        <v>10297</v>
      </c>
      <c r="G2776">
        <v>2.2400000000000002</v>
      </c>
      <c r="H2776" t="s">
        <v>10314</v>
      </c>
      <c r="L2776">
        <v>1988</v>
      </c>
      <c r="R2776" t="s">
        <v>11037</v>
      </c>
      <c r="S2776" t="s">
        <v>10314</v>
      </c>
      <c r="W2776" s="2" t="s">
        <v>11202</v>
      </c>
    </row>
    <row r="2777" spans="1:23" hidden="1" x14ac:dyDescent="0.45">
      <c r="A2777" s="1" t="s">
        <v>2760</v>
      </c>
      <c r="B2777" t="s">
        <v>6226</v>
      </c>
      <c r="D2777" t="s">
        <v>8011</v>
      </c>
      <c r="E2777" t="s">
        <v>9607</v>
      </c>
      <c r="F2777" t="s">
        <v>10297</v>
      </c>
      <c r="G2777">
        <v>2.85</v>
      </c>
      <c r="H2777" t="s">
        <v>10314</v>
      </c>
      <c r="L2777">
        <v>1996</v>
      </c>
      <c r="R2777" t="s">
        <v>11037</v>
      </c>
      <c r="S2777" t="s">
        <v>10314</v>
      </c>
      <c r="W2777" s="2" t="s">
        <v>11202</v>
      </c>
    </row>
    <row r="2778" spans="1:23" hidden="1" x14ac:dyDescent="0.45">
      <c r="A2778" s="1" t="s">
        <v>2761</v>
      </c>
      <c r="B2778" t="s">
        <v>6226</v>
      </c>
      <c r="D2778" t="s">
        <v>8011</v>
      </c>
      <c r="E2778" t="s">
        <v>9607</v>
      </c>
      <c r="F2778" t="s">
        <v>10297</v>
      </c>
      <c r="G2778">
        <v>2.85</v>
      </c>
      <c r="H2778" t="s">
        <v>10314</v>
      </c>
      <c r="L2778">
        <v>2000</v>
      </c>
      <c r="R2778" t="s">
        <v>11037</v>
      </c>
      <c r="S2778" t="s">
        <v>10314</v>
      </c>
      <c r="W2778" s="2" t="s">
        <v>11202</v>
      </c>
    </row>
    <row r="2779" spans="1:23" hidden="1" x14ac:dyDescent="0.45">
      <c r="A2779" s="1" t="s">
        <v>2762</v>
      </c>
      <c r="B2779" t="s">
        <v>6226</v>
      </c>
      <c r="D2779" t="s">
        <v>8011</v>
      </c>
      <c r="E2779" t="s">
        <v>9607</v>
      </c>
      <c r="F2779" t="s">
        <v>10297</v>
      </c>
      <c r="G2779">
        <v>3.5</v>
      </c>
      <c r="H2779" t="s">
        <v>10314</v>
      </c>
      <c r="L2779">
        <v>2004</v>
      </c>
      <c r="R2779" t="s">
        <v>11037</v>
      </c>
      <c r="S2779" t="s">
        <v>10314</v>
      </c>
      <c r="W2779" s="2" t="s">
        <v>11202</v>
      </c>
    </row>
    <row r="2780" spans="1:23" hidden="1" x14ac:dyDescent="0.45">
      <c r="A2780" s="1" t="s">
        <v>2763</v>
      </c>
      <c r="B2780" t="s">
        <v>6226</v>
      </c>
      <c r="D2780" t="s">
        <v>8011</v>
      </c>
      <c r="E2780" t="s">
        <v>9607</v>
      </c>
      <c r="F2780" t="s">
        <v>10297</v>
      </c>
      <c r="G2780">
        <v>3.5</v>
      </c>
      <c r="H2780" t="s">
        <v>10314</v>
      </c>
      <c r="L2780">
        <v>2005</v>
      </c>
      <c r="R2780" t="s">
        <v>11037</v>
      </c>
      <c r="S2780" t="s">
        <v>10314</v>
      </c>
      <c r="W2780" s="2" t="s">
        <v>11202</v>
      </c>
    </row>
    <row r="2781" spans="1:23" hidden="1" x14ac:dyDescent="0.45">
      <c r="A2781" s="1" t="s">
        <v>2764</v>
      </c>
      <c r="B2781" t="s">
        <v>6226</v>
      </c>
      <c r="D2781" t="s">
        <v>8011</v>
      </c>
      <c r="E2781" t="s">
        <v>9608</v>
      </c>
      <c r="F2781" t="s">
        <v>10297</v>
      </c>
      <c r="G2781">
        <v>1.1000000000000001</v>
      </c>
      <c r="H2781" t="s">
        <v>10314</v>
      </c>
      <c r="L2781">
        <v>1996</v>
      </c>
      <c r="R2781" t="s">
        <v>11037</v>
      </c>
      <c r="S2781" t="s">
        <v>10314</v>
      </c>
      <c r="W2781" s="2" t="s">
        <v>11202</v>
      </c>
    </row>
    <row r="2782" spans="1:23" hidden="1" x14ac:dyDescent="0.45">
      <c r="A2782" s="1" t="s">
        <v>2765</v>
      </c>
      <c r="B2782" t="s">
        <v>6226</v>
      </c>
      <c r="D2782" t="s">
        <v>8011</v>
      </c>
      <c r="E2782" t="s">
        <v>9608</v>
      </c>
      <c r="F2782" t="s">
        <v>10297</v>
      </c>
      <c r="G2782">
        <v>1.46</v>
      </c>
      <c r="H2782" t="s">
        <v>10314</v>
      </c>
      <c r="L2782">
        <v>1991</v>
      </c>
      <c r="R2782" t="s">
        <v>11037</v>
      </c>
      <c r="S2782" t="s">
        <v>10314</v>
      </c>
      <c r="W2782" s="2" t="s">
        <v>11202</v>
      </c>
    </row>
    <row r="2783" spans="1:23" hidden="1" x14ac:dyDescent="0.45">
      <c r="A2783" s="1" t="s">
        <v>2766</v>
      </c>
      <c r="B2783" t="s">
        <v>6226</v>
      </c>
      <c r="D2783" t="s">
        <v>8011</v>
      </c>
      <c r="E2783" t="s">
        <v>9608</v>
      </c>
      <c r="F2783" t="s">
        <v>10297</v>
      </c>
      <c r="G2783">
        <v>1.46</v>
      </c>
      <c r="H2783" t="s">
        <v>10314</v>
      </c>
      <c r="L2783">
        <v>1991</v>
      </c>
      <c r="R2783" t="s">
        <v>11037</v>
      </c>
      <c r="S2783" t="s">
        <v>10314</v>
      </c>
      <c r="W2783" s="2" t="s">
        <v>11202</v>
      </c>
    </row>
    <row r="2784" spans="1:23" hidden="1" x14ac:dyDescent="0.45">
      <c r="A2784" s="1" t="s">
        <v>2767</v>
      </c>
      <c r="B2784" t="s">
        <v>6226</v>
      </c>
      <c r="D2784" t="s">
        <v>8011</v>
      </c>
      <c r="E2784" t="s">
        <v>9608</v>
      </c>
      <c r="F2784" t="s">
        <v>10297</v>
      </c>
      <c r="G2784">
        <v>1.46</v>
      </c>
      <c r="H2784" t="s">
        <v>10314</v>
      </c>
      <c r="L2784">
        <v>1995</v>
      </c>
      <c r="R2784" t="s">
        <v>11037</v>
      </c>
      <c r="S2784" t="s">
        <v>10314</v>
      </c>
      <c r="W2784" s="2" t="s">
        <v>11202</v>
      </c>
    </row>
    <row r="2785" spans="1:23" hidden="1" x14ac:dyDescent="0.45">
      <c r="A2785" s="1" t="s">
        <v>2768</v>
      </c>
      <c r="B2785" t="s">
        <v>6226</v>
      </c>
      <c r="D2785" t="s">
        <v>8011</v>
      </c>
      <c r="E2785" t="s">
        <v>9608</v>
      </c>
      <c r="F2785" t="s">
        <v>10297</v>
      </c>
      <c r="G2785">
        <v>1.46</v>
      </c>
      <c r="H2785" t="s">
        <v>10314</v>
      </c>
      <c r="L2785">
        <v>2000</v>
      </c>
      <c r="R2785" t="s">
        <v>11037</v>
      </c>
      <c r="S2785" t="s">
        <v>10314</v>
      </c>
      <c r="W2785" s="2" t="s">
        <v>11202</v>
      </c>
    </row>
    <row r="2786" spans="1:23" hidden="1" x14ac:dyDescent="0.45">
      <c r="A2786" s="1" t="s">
        <v>2769</v>
      </c>
      <c r="B2786" t="s">
        <v>6226</v>
      </c>
      <c r="D2786" t="s">
        <v>8011</v>
      </c>
      <c r="E2786" t="s">
        <v>9608</v>
      </c>
      <c r="F2786" t="s">
        <v>10297</v>
      </c>
      <c r="G2786">
        <v>1.28</v>
      </c>
      <c r="H2786" t="s">
        <v>10314</v>
      </c>
      <c r="L2786">
        <v>1987</v>
      </c>
      <c r="R2786" t="s">
        <v>11037</v>
      </c>
      <c r="S2786" t="s">
        <v>10314</v>
      </c>
      <c r="W2786" s="2" t="s">
        <v>11202</v>
      </c>
    </row>
    <row r="2787" spans="1:23" hidden="1" x14ac:dyDescent="0.45">
      <c r="A2787" s="1" t="s">
        <v>2770</v>
      </c>
      <c r="B2787" t="s">
        <v>6228</v>
      </c>
      <c r="D2787" t="s">
        <v>8013</v>
      </c>
      <c r="E2787" t="s">
        <v>9598</v>
      </c>
      <c r="F2787" t="s">
        <v>10297</v>
      </c>
      <c r="G2787">
        <v>25</v>
      </c>
      <c r="H2787" t="s">
        <v>10314</v>
      </c>
      <c r="I2787" t="s">
        <v>10322</v>
      </c>
      <c r="L2787">
        <v>2003</v>
      </c>
      <c r="R2787" t="s">
        <v>11037</v>
      </c>
      <c r="S2787" t="s">
        <v>10314</v>
      </c>
      <c r="W2787" s="2" t="s">
        <v>11202</v>
      </c>
    </row>
    <row r="2788" spans="1:23" hidden="1" x14ac:dyDescent="0.45">
      <c r="A2788" s="1" t="s">
        <v>2771</v>
      </c>
      <c r="B2788" t="s">
        <v>6228</v>
      </c>
      <c r="D2788" t="s">
        <v>8013</v>
      </c>
      <c r="E2788" t="s">
        <v>9598</v>
      </c>
      <c r="F2788" t="s">
        <v>10297</v>
      </c>
      <c r="G2788">
        <v>18.399999999999999</v>
      </c>
      <c r="H2788" t="s">
        <v>10314</v>
      </c>
      <c r="L2788">
        <v>2001</v>
      </c>
      <c r="R2788" t="s">
        <v>11037</v>
      </c>
      <c r="S2788" t="s">
        <v>10314</v>
      </c>
      <c r="W2788" s="2" t="s">
        <v>11202</v>
      </c>
    </row>
    <row r="2789" spans="1:23" hidden="1" x14ac:dyDescent="0.45">
      <c r="A2789" s="1" t="s">
        <v>2772</v>
      </c>
      <c r="B2789" t="s">
        <v>6228</v>
      </c>
      <c r="D2789" t="s">
        <v>8013</v>
      </c>
      <c r="E2789" t="s">
        <v>9598</v>
      </c>
      <c r="F2789" t="s">
        <v>10297</v>
      </c>
      <c r="G2789">
        <v>18.399999999999999</v>
      </c>
      <c r="H2789" t="s">
        <v>10314</v>
      </c>
      <c r="L2789">
        <v>2001</v>
      </c>
      <c r="R2789" t="s">
        <v>11037</v>
      </c>
      <c r="S2789" t="s">
        <v>10314</v>
      </c>
      <c r="W2789" s="2" t="s">
        <v>11202</v>
      </c>
    </row>
    <row r="2790" spans="1:23" hidden="1" x14ac:dyDescent="0.45">
      <c r="A2790" s="1" t="s">
        <v>2773</v>
      </c>
      <c r="B2790" t="s">
        <v>6228</v>
      </c>
      <c r="D2790" t="s">
        <v>8013</v>
      </c>
      <c r="E2790" t="s">
        <v>9598</v>
      </c>
      <c r="F2790" t="s">
        <v>10297</v>
      </c>
      <c r="G2790">
        <v>25</v>
      </c>
      <c r="H2790" t="s">
        <v>10314</v>
      </c>
      <c r="I2790" t="s">
        <v>10322</v>
      </c>
      <c r="L2790">
        <v>2005</v>
      </c>
      <c r="R2790" t="s">
        <v>11037</v>
      </c>
      <c r="S2790" t="s">
        <v>10314</v>
      </c>
      <c r="W2790" s="2" t="s">
        <v>11202</v>
      </c>
    </row>
    <row r="2791" spans="1:23" hidden="1" x14ac:dyDescent="0.45">
      <c r="A2791" s="1" t="s">
        <v>2774</v>
      </c>
      <c r="B2791" t="s">
        <v>6199</v>
      </c>
      <c r="D2791" t="s">
        <v>7990</v>
      </c>
      <c r="E2791" t="s">
        <v>9597</v>
      </c>
      <c r="F2791" t="s">
        <v>10297</v>
      </c>
      <c r="G2791">
        <v>12.3</v>
      </c>
      <c r="H2791" t="s">
        <v>10314</v>
      </c>
      <c r="L2791">
        <v>2002</v>
      </c>
      <c r="R2791" t="s">
        <v>11037</v>
      </c>
      <c r="S2791" t="s">
        <v>10314</v>
      </c>
      <c r="W2791" s="2" t="s">
        <v>11202</v>
      </c>
    </row>
    <row r="2792" spans="1:23" hidden="1" x14ac:dyDescent="0.45">
      <c r="A2792" s="1" t="s">
        <v>2775</v>
      </c>
      <c r="B2792" t="s">
        <v>6226</v>
      </c>
      <c r="D2792" t="s">
        <v>8011</v>
      </c>
      <c r="E2792" t="s">
        <v>9608</v>
      </c>
      <c r="F2792" t="s">
        <v>10297</v>
      </c>
      <c r="G2792">
        <v>2</v>
      </c>
      <c r="H2792" t="s">
        <v>10314</v>
      </c>
      <c r="L2792">
        <v>2005</v>
      </c>
      <c r="R2792" t="s">
        <v>11037</v>
      </c>
      <c r="S2792" t="s">
        <v>10314</v>
      </c>
      <c r="W2792" s="2" t="s">
        <v>11202</v>
      </c>
    </row>
    <row r="2793" spans="1:23" hidden="1" x14ac:dyDescent="0.45">
      <c r="A2793" s="1" t="s">
        <v>2776</v>
      </c>
      <c r="B2793" t="s">
        <v>6199</v>
      </c>
      <c r="D2793" t="s">
        <v>7990</v>
      </c>
      <c r="E2793" t="s">
        <v>9595</v>
      </c>
      <c r="F2793" t="s">
        <v>10297</v>
      </c>
      <c r="G2793">
        <v>9.2799999999999994</v>
      </c>
      <c r="H2793" t="s">
        <v>10314</v>
      </c>
      <c r="L2793">
        <v>1998</v>
      </c>
      <c r="R2793" t="s">
        <v>11037</v>
      </c>
      <c r="S2793" t="s">
        <v>10314</v>
      </c>
      <c r="W2793" s="2" t="s">
        <v>11202</v>
      </c>
    </row>
    <row r="2794" spans="1:23" hidden="1" x14ac:dyDescent="0.45">
      <c r="A2794" s="1" t="s">
        <v>2777</v>
      </c>
      <c r="B2794" t="s">
        <v>6199</v>
      </c>
      <c r="D2794" t="s">
        <v>7990</v>
      </c>
      <c r="E2794" t="s">
        <v>9595</v>
      </c>
      <c r="F2794" t="s">
        <v>10297</v>
      </c>
      <c r="G2794">
        <v>12.3</v>
      </c>
      <c r="H2794" t="s">
        <v>10314</v>
      </c>
      <c r="L2794">
        <v>2001</v>
      </c>
      <c r="R2794" t="s">
        <v>11037</v>
      </c>
      <c r="S2794" t="s">
        <v>10314</v>
      </c>
      <c r="W2794" s="2" t="s">
        <v>11202</v>
      </c>
    </row>
    <row r="2795" spans="1:23" hidden="1" x14ac:dyDescent="0.45">
      <c r="A2795" s="1" t="s">
        <v>2778</v>
      </c>
      <c r="B2795" t="s">
        <v>6226</v>
      </c>
      <c r="D2795" t="s">
        <v>8011</v>
      </c>
      <c r="E2795" t="s">
        <v>9605</v>
      </c>
      <c r="F2795" t="s">
        <v>10297</v>
      </c>
      <c r="G2795">
        <v>18.399999999999999</v>
      </c>
      <c r="H2795" t="s">
        <v>10314</v>
      </c>
      <c r="L2795">
        <v>2004</v>
      </c>
      <c r="R2795" t="s">
        <v>11037</v>
      </c>
      <c r="S2795" t="s">
        <v>10314</v>
      </c>
      <c r="W2795" s="2" t="s">
        <v>11202</v>
      </c>
    </row>
    <row r="2796" spans="1:23" hidden="1" x14ac:dyDescent="0.45">
      <c r="A2796" s="1" t="s">
        <v>2779</v>
      </c>
      <c r="B2796" t="s">
        <v>6199</v>
      </c>
      <c r="D2796" t="s">
        <v>7990</v>
      </c>
      <c r="E2796" t="s">
        <v>9597</v>
      </c>
      <c r="F2796" t="s">
        <v>10297</v>
      </c>
      <c r="G2796">
        <v>12.6</v>
      </c>
      <c r="H2796" t="s">
        <v>10314</v>
      </c>
      <c r="L2796">
        <v>2007</v>
      </c>
      <c r="R2796" t="s">
        <v>11037</v>
      </c>
      <c r="S2796" t="s">
        <v>10314</v>
      </c>
      <c r="W2796" s="2" t="s">
        <v>11202</v>
      </c>
    </row>
    <row r="2797" spans="1:23" hidden="1" x14ac:dyDescent="0.45">
      <c r="A2797" s="1" t="s">
        <v>2780</v>
      </c>
      <c r="B2797" t="s">
        <v>6199</v>
      </c>
      <c r="D2797" t="s">
        <v>7990</v>
      </c>
      <c r="E2797" t="s">
        <v>9595</v>
      </c>
      <c r="F2797" t="s">
        <v>10297</v>
      </c>
      <c r="G2797">
        <v>12.6</v>
      </c>
      <c r="H2797" t="s">
        <v>10314</v>
      </c>
      <c r="L2797">
        <v>2008</v>
      </c>
      <c r="R2797" t="s">
        <v>11037</v>
      </c>
      <c r="S2797" t="s">
        <v>10314</v>
      </c>
      <c r="W2797" s="2" t="s">
        <v>11202</v>
      </c>
    </row>
    <row r="2798" spans="1:23" hidden="1" x14ac:dyDescent="0.45">
      <c r="A2798" s="1" t="s">
        <v>2781</v>
      </c>
      <c r="B2798" t="s">
        <v>6228</v>
      </c>
      <c r="D2798" t="s">
        <v>8013</v>
      </c>
      <c r="E2798" t="s">
        <v>9598</v>
      </c>
      <c r="F2798" t="s">
        <v>10297</v>
      </c>
      <c r="G2798">
        <v>18</v>
      </c>
      <c r="H2798" t="s">
        <v>10314</v>
      </c>
      <c r="L2798">
        <v>2008</v>
      </c>
      <c r="R2798" t="s">
        <v>11037</v>
      </c>
      <c r="S2798" t="s">
        <v>10314</v>
      </c>
      <c r="W2798" s="2" t="s">
        <v>11202</v>
      </c>
    </row>
    <row r="2799" spans="1:23" hidden="1" x14ac:dyDescent="0.45">
      <c r="A2799" s="1" t="s">
        <v>2782</v>
      </c>
      <c r="B2799" t="s">
        <v>6228</v>
      </c>
      <c r="D2799" t="s">
        <v>8013</v>
      </c>
      <c r="E2799" t="s">
        <v>9598</v>
      </c>
      <c r="F2799" t="s">
        <v>10297</v>
      </c>
      <c r="G2799">
        <v>18</v>
      </c>
      <c r="H2799" t="s">
        <v>10314</v>
      </c>
      <c r="L2799">
        <v>2008</v>
      </c>
      <c r="R2799" t="s">
        <v>11037</v>
      </c>
      <c r="S2799" t="s">
        <v>10314</v>
      </c>
      <c r="W2799" s="2" t="s">
        <v>11202</v>
      </c>
    </row>
    <row r="2800" spans="1:23" hidden="1" x14ac:dyDescent="0.45">
      <c r="A2800" s="1" t="s">
        <v>2783</v>
      </c>
      <c r="B2800" t="s">
        <v>6199</v>
      </c>
      <c r="D2800" t="s">
        <v>7990</v>
      </c>
      <c r="E2800" t="s">
        <v>9595</v>
      </c>
      <c r="F2800" t="s">
        <v>10297</v>
      </c>
      <c r="G2800">
        <v>12.6</v>
      </c>
      <c r="H2800" t="s">
        <v>10314</v>
      </c>
      <c r="L2800">
        <v>2009</v>
      </c>
      <c r="R2800" t="s">
        <v>11037</v>
      </c>
      <c r="S2800" t="s">
        <v>10314</v>
      </c>
      <c r="W2800" s="2" t="s">
        <v>11202</v>
      </c>
    </row>
    <row r="2801" spans="1:23" hidden="1" x14ac:dyDescent="0.45">
      <c r="A2801" s="1" t="s">
        <v>2784</v>
      </c>
      <c r="B2801" t="s">
        <v>6199</v>
      </c>
      <c r="D2801" t="s">
        <v>7990</v>
      </c>
      <c r="E2801" t="s">
        <v>9597</v>
      </c>
      <c r="F2801" t="s">
        <v>10297</v>
      </c>
      <c r="G2801">
        <v>12.6</v>
      </c>
      <c r="H2801" t="s">
        <v>10314</v>
      </c>
      <c r="L2801">
        <v>2008</v>
      </c>
      <c r="R2801" t="s">
        <v>11037</v>
      </c>
      <c r="S2801" t="s">
        <v>10314</v>
      </c>
      <c r="W2801" s="2" t="s">
        <v>11202</v>
      </c>
    </row>
    <row r="2802" spans="1:23" hidden="1" x14ac:dyDescent="0.45">
      <c r="A2802" s="1" t="s">
        <v>2785</v>
      </c>
      <c r="B2802" t="s">
        <v>6226</v>
      </c>
      <c r="D2802" t="s">
        <v>8011</v>
      </c>
      <c r="E2802" t="s">
        <v>9608</v>
      </c>
      <c r="F2802" t="s">
        <v>10297</v>
      </c>
      <c r="G2802">
        <v>2</v>
      </c>
      <c r="H2802" t="s">
        <v>10314</v>
      </c>
      <c r="L2802">
        <v>2007</v>
      </c>
      <c r="R2802" t="s">
        <v>11037</v>
      </c>
      <c r="S2802" t="s">
        <v>10314</v>
      </c>
      <c r="W2802" s="2" t="s">
        <v>11202</v>
      </c>
    </row>
    <row r="2803" spans="1:23" hidden="1" x14ac:dyDescent="0.45">
      <c r="A2803" s="1" t="s">
        <v>2786</v>
      </c>
      <c r="B2803" t="s">
        <v>6226</v>
      </c>
      <c r="D2803" t="s">
        <v>8011</v>
      </c>
      <c r="E2803" t="s">
        <v>9606</v>
      </c>
      <c r="F2803" t="s">
        <v>10297</v>
      </c>
      <c r="G2803">
        <v>22.5</v>
      </c>
      <c r="H2803" t="s">
        <v>10314</v>
      </c>
      <c r="I2803" t="s">
        <v>10322</v>
      </c>
      <c r="L2803">
        <v>2006</v>
      </c>
      <c r="R2803" t="s">
        <v>11037</v>
      </c>
      <c r="S2803" t="s">
        <v>10314</v>
      </c>
      <c r="W2803" s="2" t="s">
        <v>11202</v>
      </c>
    </row>
    <row r="2804" spans="1:23" hidden="1" x14ac:dyDescent="0.45">
      <c r="A2804" s="1" t="s">
        <v>2787</v>
      </c>
      <c r="B2804" t="s">
        <v>6226</v>
      </c>
      <c r="D2804" t="s">
        <v>8011</v>
      </c>
      <c r="E2804" t="s">
        <v>9580</v>
      </c>
      <c r="F2804" t="s">
        <v>10297</v>
      </c>
      <c r="G2804">
        <v>75.5</v>
      </c>
      <c r="H2804" t="s">
        <v>10314</v>
      </c>
      <c r="I2804" t="s">
        <v>10321</v>
      </c>
      <c r="L2804">
        <v>2006</v>
      </c>
      <c r="R2804" t="s">
        <v>11037</v>
      </c>
      <c r="S2804" t="s">
        <v>10314</v>
      </c>
      <c r="W2804" s="2" t="s">
        <v>11202</v>
      </c>
    </row>
    <row r="2805" spans="1:23" hidden="1" x14ac:dyDescent="0.45">
      <c r="A2805" s="1" t="s">
        <v>2788</v>
      </c>
      <c r="B2805" t="s">
        <v>6226</v>
      </c>
      <c r="D2805" t="s">
        <v>8011</v>
      </c>
      <c r="E2805" t="s">
        <v>9580</v>
      </c>
      <c r="F2805" t="s">
        <v>10297</v>
      </c>
      <c r="G2805">
        <v>75.5</v>
      </c>
      <c r="H2805" t="s">
        <v>10314</v>
      </c>
      <c r="I2805" t="s">
        <v>10321</v>
      </c>
      <c r="L2805">
        <v>2006</v>
      </c>
      <c r="R2805" t="s">
        <v>11037</v>
      </c>
      <c r="S2805" t="s">
        <v>10314</v>
      </c>
      <c r="W2805" s="2" t="s">
        <v>11202</v>
      </c>
    </row>
    <row r="2806" spans="1:23" hidden="1" x14ac:dyDescent="0.45">
      <c r="A2806" s="1" t="s">
        <v>2789</v>
      </c>
      <c r="B2806" t="s">
        <v>6226</v>
      </c>
      <c r="D2806" t="s">
        <v>8011</v>
      </c>
      <c r="E2806" t="s">
        <v>9580</v>
      </c>
      <c r="F2806" t="s">
        <v>10297</v>
      </c>
      <c r="G2806">
        <v>81.08</v>
      </c>
      <c r="H2806" t="s">
        <v>10314</v>
      </c>
      <c r="I2806" t="s">
        <v>10321</v>
      </c>
      <c r="L2806">
        <v>2008</v>
      </c>
      <c r="R2806" t="s">
        <v>11037</v>
      </c>
      <c r="S2806" t="s">
        <v>10314</v>
      </c>
      <c r="W2806" s="2" t="s">
        <v>11202</v>
      </c>
    </row>
    <row r="2807" spans="1:23" hidden="1" x14ac:dyDescent="0.45">
      <c r="A2807" s="1" t="s">
        <v>2790</v>
      </c>
      <c r="B2807" t="s">
        <v>6226</v>
      </c>
      <c r="D2807" t="s">
        <v>8011</v>
      </c>
      <c r="E2807" t="s">
        <v>9606</v>
      </c>
      <c r="F2807" t="s">
        <v>10297</v>
      </c>
      <c r="G2807">
        <v>12.6</v>
      </c>
      <c r="H2807" t="s">
        <v>10314</v>
      </c>
      <c r="L2807">
        <v>2006</v>
      </c>
      <c r="R2807" t="s">
        <v>11037</v>
      </c>
      <c r="S2807" t="s">
        <v>10314</v>
      </c>
      <c r="W2807" s="2" t="s">
        <v>11202</v>
      </c>
    </row>
    <row r="2808" spans="1:23" hidden="1" x14ac:dyDescent="0.45">
      <c r="A2808" s="1" t="s">
        <v>2791</v>
      </c>
      <c r="B2808" t="s">
        <v>6226</v>
      </c>
      <c r="D2808" t="s">
        <v>8011</v>
      </c>
      <c r="E2808" t="s">
        <v>9606</v>
      </c>
      <c r="F2808" t="s">
        <v>10297</v>
      </c>
      <c r="G2808">
        <v>12.6</v>
      </c>
      <c r="H2808" t="s">
        <v>10314</v>
      </c>
      <c r="L2808">
        <v>2006</v>
      </c>
      <c r="R2808" t="s">
        <v>11037</v>
      </c>
      <c r="S2808" t="s">
        <v>10314</v>
      </c>
      <c r="W2808" s="2" t="s">
        <v>11202</v>
      </c>
    </row>
    <row r="2809" spans="1:23" hidden="1" x14ac:dyDescent="0.45">
      <c r="A2809" s="1" t="s">
        <v>2792</v>
      </c>
      <c r="B2809" t="s">
        <v>6226</v>
      </c>
      <c r="D2809" t="s">
        <v>8011</v>
      </c>
      <c r="E2809" t="s">
        <v>9604</v>
      </c>
      <c r="F2809" t="s">
        <v>10297</v>
      </c>
      <c r="G2809">
        <v>18.5</v>
      </c>
      <c r="H2809" t="s">
        <v>10314</v>
      </c>
      <c r="L2809">
        <v>2006</v>
      </c>
      <c r="R2809" t="s">
        <v>11037</v>
      </c>
      <c r="S2809" t="s">
        <v>10314</v>
      </c>
      <c r="W2809" s="2" t="s">
        <v>11202</v>
      </c>
    </row>
    <row r="2810" spans="1:23" hidden="1" x14ac:dyDescent="0.45">
      <c r="A2810" s="1" t="s">
        <v>2793</v>
      </c>
      <c r="B2810" t="s">
        <v>6226</v>
      </c>
      <c r="D2810" t="s">
        <v>8011</v>
      </c>
      <c r="E2810" t="s">
        <v>9604</v>
      </c>
      <c r="F2810" t="s">
        <v>10297</v>
      </c>
      <c r="G2810">
        <v>18.5</v>
      </c>
      <c r="H2810" t="s">
        <v>10314</v>
      </c>
      <c r="L2810">
        <v>2006</v>
      </c>
      <c r="R2810" t="s">
        <v>11037</v>
      </c>
      <c r="S2810" t="s">
        <v>10314</v>
      </c>
      <c r="W2810" s="2" t="s">
        <v>11202</v>
      </c>
    </row>
    <row r="2811" spans="1:23" hidden="1" x14ac:dyDescent="0.45">
      <c r="A2811" s="1" t="s">
        <v>2794</v>
      </c>
      <c r="B2811" t="s">
        <v>6228</v>
      </c>
      <c r="D2811" t="s">
        <v>8013</v>
      </c>
      <c r="E2811" t="s">
        <v>9584</v>
      </c>
      <c r="F2811" t="s">
        <v>10297</v>
      </c>
      <c r="G2811">
        <v>78.8</v>
      </c>
      <c r="H2811" t="s">
        <v>10314</v>
      </c>
      <c r="I2811" t="s">
        <v>10321</v>
      </c>
      <c r="L2811">
        <v>2006</v>
      </c>
      <c r="R2811" t="s">
        <v>11037</v>
      </c>
      <c r="S2811" t="s">
        <v>10314</v>
      </c>
      <c r="W2811" s="2" t="s">
        <v>11202</v>
      </c>
    </row>
    <row r="2812" spans="1:23" hidden="1" x14ac:dyDescent="0.45">
      <c r="A2812" s="1" t="s">
        <v>2795</v>
      </c>
      <c r="B2812" t="s">
        <v>6228</v>
      </c>
      <c r="D2812" t="s">
        <v>8013</v>
      </c>
      <c r="E2812" t="s">
        <v>9584</v>
      </c>
      <c r="F2812" t="s">
        <v>10297</v>
      </c>
      <c r="G2812">
        <v>78.8</v>
      </c>
      <c r="H2812" t="s">
        <v>10314</v>
      </c>
      <c r="I2812" t="s">
        <v>10321</v>
      </c>
      <c r="L2812">
        <v>2006</v>
      </c>
      <c r="R2812" t="s">
        <v>11037</v>
      </c>
      <c r="S2812" t="s">
        <v>10314</v>
      </c>
      <c r="W2812" s="2" t="s">
        <v>11202</v>
      </c>
    </row>
    <row r="2813" spans="1:23" hidden="1" x14ac:dyDescent="0.45">
      <c r="A2813" s="1" t="s">
        <v>2796</v>
      </c>
      <c r="B2813" t="s">
        <v>6228</v>
      </c>
      <c r="D2813" t="s">
        <v>8013</v>
      </c>
      <c r="E2813" t="s">
        <v>9584</v>
      </c>
      <c r="F2813" t="s">
        <v>10297</v>
      </c>
      <c r="G2813">
        <v>81.099999999999994</v>
      </c>
      <c r="H2813" t="s">
        <v>10314</v>
      </c>
      <c r="I2813" t="s">
        <v>10321</v>
      </c>
      <c r="L2813">
        <v>2007</v>
      </c>
      <c r="R2813" t="s">
        <v>11037</v>
      </c>
      <c r="S2813" t="s">
        <v>10314</v>
      </c>
      <c r="W2813" s="2" t="s">
        <v>11202</v>
      </c>
    </row>
    <row r="2814" spans="1:23" hidden="1" x14ac:dyDescent="0.45">
      <c r="A2814" s="1" t="s">
        <v>2797</v>
      </c>
      <c r="B2814" t="s">
        <v>6228</v>
      </c>
      <c r="D2814" t="s">
        <v>8013</v>
      </c>
      <c r="E2814" t="s">
        <v>9585</v>
      </c>
      <c r="F2814" t="s">
        <v>10297</v>
      </c>
      <c r="G2814">
        <v>50</v>
      </c>
      <c r="H2814" t="s">
        <v>10314</v>
      </c>
      <c r="I2814" t="s">
        <v>10322</v>
      </c>
      <c r="L2814">
        <v>2008</v>
      </c>
      <c r="R2814" t="s">
        <v>11037</v>
      </c>
      <c r="S2814" t="s">
        <v>10314</v>
      </c>
      <c r="W2814" s="2" t="s">
        <v>11202</v>
      </c>
    </row>
    <row r="2815" spans="1:23" hidden="1" x14ac:dyDescent="0.45">
      <c r="A2815" s="1" t="s">
        <v>2798</v>
      </c>
      <c r="B2815" t="s">
        <v>6226</v>
      </c>
      <c r="D2815" t="s">
        <v>8011</v>
      </c>
      <c r="E2815" t="s">
        <v>9605</v>
      </c>
      <c r="F2815" t="s">
        <v>10297</v>
      </c>
      <c r="G2815">
        <v>18.399999999999999</v>
      </c>
      <c r="H2815" t="s">
        <v>10314</v>
      </c>
      <c r="L2815">
        <v>2005</v>
      </c>
      <c r="R2815" t="s">
        <v>11037</v>
      </c>
      <c r="S2815" t="s">
        <v>10314</v>
      </c>
      <c r="W2815" s="2" t="s">
        <v>11202</v>
      </c>
    </row>
    <row r="2816" spans="1:23" hidden="1" x14ac:dyDescent="0.45">
      <c r="A2816" s="1" t="s">
        <v>2799</v>
      </c>
      <c r="B2816" t="s">
        <v>6226</v>
      </c>
      <c r="D2816" t="s">
        <v>8011</v>
      </c>
      <c r="E2816" t="s">
        <v>9605</v>
      </c>
      <c r="F2816" t="s">
        <v>10297</v>
      </c>
      <c r="G2816">
        <v>18.399999999999999</v>
      </c>
      <c r="H2816" t="s">
        <v>10314</v>
      </c>
      <c r="L2816">
        <v>2005</v>
      </c>
      <c r="R2816" t="s">
        <v>11037</v>
      </c>
      <c r="S2816" t="s">
        <v>10314</v>
      </c>
      <c r="W2816" s="2" t="s">
        <v>11202</v>
      </c>
    </row>
    <row r="2817" spans="1:23" hidden="1" x14ac:dyDescent="0.45">
      <c r="A2817" s="1" t="s">
        <v>2800</v>
      </c>
      <c r="B2817" t="s">
        <v>6228</v>
      </c>
      <c r="D2817" t="s">
        <v>8013</v>
      </c>
      <c r="E2817" t="s">
        <v>9598</v>
      </c>
      <c r="F2817" t="s">
        <v>10297</v>
      </c>
      <c r="G2817">
        <v>25</v>
      </c>
      <c r="H2817" t="s">
        <v>10314</v>
      </c>
      <c r="I2817" t="s">
        <v>10322</v>
      </c>
      <c r="L2817">
        <v>2008</v>
      </c>
      <c r="R2817" t="s">
        <v>11037</v>
      </c>
      <c r="S2817" t="s">
        <v>10314</v>
      </c>
      <c r="W2817" s="2" t="s">
        <v>11202</v>
      </c>
    </row>
    <row r="2818" spans="1:23" hidden="1" x14ac:dyDescent="0.45">
      <c r="A2818" s="1" t="s">
        <v>2801</v>
      </c>
      <c r="B2818" t="s">
        <v>6228</v>
      </c>
      <c r="D2818" t="s">
        <v>8013</v>
      </c>
      <c r="E2818" t="s">
        <v>9598</v>
      </c>
      <c r="F2818" t="s">
        <v>10297</v>
      </c>
      <c r="G2818">
        <v>25</v>
      </c>
      <c r="H2818" t="s">
        <v>10314</v>
      </c>
      <c r="I2818" t="s">
        <v>10322</v>
      </c>
      <c r="L2818">
        <v>2009</v>
      </c>
      <c r="R2818" t="s">
        <v>11037</v>
      </c>
      <c r="S2818" t="s">
        <v>10314</v>
      </c>
      <c r="W2818" s="2" t="s">
        <v>11202</v>
      </c>
    </row>
    <row r="2819" spans="1:23" hidden="1" x14ac:dyDescent="0.45">
      <c r="A2819" s="1" t="s">
        <v>2802</v>
      </c>
      <c r="B2819" t="s">
        <v>6228</v>
      </c>
      <c r="D2819" t="s">
        <v>8013</v>
      </c>
      <c r="E2819" t="s">
        <v>9585</v>
      </c>
      <c r="F2819" t="s">
        <v>10297</v>
      </c>
      <c r="G2819">
        <v>50</v>
      </c>
      <c r="H2819" t="s">
        <v>10314</v>
      </c>
      <c r="I2819" t="s">
        <v>10322</v>
      </c>
      <c r="L2819">
        <v>2009</v>
      </c>
      <c r="R2819" t="s">
        <v>11037</v>
      </c>
      <c r="S2819" t="s">
        <v>10314</v>
      </c>
      <c r="W2819" s="2" t="s">
        <v>11202</v>
      </c>
    </row>
    <row r="2820" spans="1:23" hidden="1" x14ac:dyDescent="0.45">
      <c r="A2820" s="1" t="s">
        <v>2803</v>
      </c>
      <c r="B2820" t="s">
        <v>6199</v>
      </c>
      <c r="D2820" t="s">
        <v>7990</v>
      </c>
      <c r="E2820" t="s">
        <v>9595</v>
      </c>
      <c r="F2820" t="s">
        <v>10297</v>
      </c>
      <c r="G2820">
        <v>15.58</v>
      </c>
      <c r="H2820" t="s">
        <v>10314</v>
      </c>
      <c r="I2820" t="s">
        <v>10322</v>
      </c>
      <c r="L2820">
        <v>2010</v>
      </c>
      <c r="R2820" t="s">
        <v>11037</v>
      </c>
      <c r="S2820" t="s">
        <v>10314</v>
      </c>
      <c r="W2820" s="2" t="s">
        <v>11202</v>
      </c>
    </row>
    <row r="2821" spans="1:23" hidden="1" x14ac:dyDescent="0.45">
      <c r="A2821" s="1" t="s">
        <v>2804</v>
      </c>
      <c r="B2821" t="s">
        <v>6199</v>
      </c>
      <c r="D2821" t="s">
        <v>7990</v>
      </c>
      <c r="E2821" t="s">
        <v>9595</v>
      </c>
      <c r="F2821" t="s">
        <v>10297</v>
      </c>
      <c r="G2821">
        <v>12.6</v>
      </c>
      <c r="H2821" t="s">
        <v>10314</v>
      </c>
      <c r="L2821">
        <v>2011</v>
      </c>
      <c r="R2821" t="s">
        <v>11037</v>
      </c>
      <c r="S2821" t="s">
        <v>10314</v>
      </c>
      <c r="W2821" s="2" t="s">
        <v>11202</v>
      </c>
    </row>
    <row r="2822" spans="1:23" hidden="1" x14ac:dyDescent="0.45">
      <c r="A2822" s="1" t="s">
        <v>2805</v>
      </c>
      <c r="B2822" t="s">
        <v>6228</v>
      </c>
      <c r="D2822" t="s">
        <v>8013</v>
      </c>
      <c r="E2822" t="s">
        <v>9598</v>
      </c>
      <c r="F2822" t="s">
        <v>10297</v>
      </c>
      <c r="G2822">
        <v>25</v>
      </c>
      <c r="H2822" t="s">
        <v>10314</v>
      </c>
      <c r="I2822" t="s">
        <v>10322</v>
      </c>
      <c r="L2822">
        <v>2012</v>
      </c>
      <c r="R2822" t="s">
        <v>11037</v>
      </c>
      <c r="S2822" t="s">
        <v>10314</v>
      </c>
      <c r="W2822" s="2" t="s">
        <v>11202</v>
      </c>
    </row>
    <row r="2823" spans="1:23" hidden="1" x14ac:dyDescent="0.45">
      <c r="A2823" s="1" t="s">
        <v>2806</v>
      </c>
      <c r="B2823" t="s">
        <v>6228</v>
      </c>
      <c r="D2823" t="s">
        <v>8013</v>
      </c>
      <c r="E2823" t="s">
        <v>9598</v>
      </c>
      <c r="F2823" t="s">
        <v>10297</v>
      </c>
      <c r="G2823">
        <v>25</v>
      </c>
      <c r="H2823" t="s">
        <v>10314</v>
      </c>
      <c r="I2823" t="s">
        <v>10322</v>
      </c>
      <c r="L2823">
        <v>2013</v>
      </c>
      <c r="R2823" t="s">
        <v>11037</v>
      </c>
      <c r="S2823" t="s">
        <v>10314</v>
      </c>
      <c r="W2823" s="2" t="s">
        <v>11202</v>
      </c>
    </row>
    <row r="2824" spans="1:23" hidden="1" x14ac:dyDescent="0.45">
      <c r="A2824" s="1" t="s">
        <v>2807</v>
      </c>
      <c r="B2824" t="s">
        <v>6228</v>
      </c>
      <c r="D2824" t="s">
        <v>8013</v>
      </c>
      <c r="E2824" t="s">
        <v>9598</v>
      </c>
      <c r="F2824" t="s">
        <v>10297</v>
      </c>
      <c r="G2824">
        <v>25</v>
      </c>
      <c r="H2824" t="s">
        <v>10314</v>
      </c>
      <c r="I2824" t="s">
        <v>10322</v>
      </c>
      <c r="L2824">
        <v>2013</v>
      </c>
      <c r="R2824" t="s">
        <v>11037</v>
      </c>
      <c r="S2824" t="s">
        <v>10314</v>
      </c>
      <c r="W2824" s="2" t="s">
        <v>11202</v>
      </c>
    </row>
    <row r="2825" spans="1:23" hidden="1" x14ac:dyDescent="0.45">
      <c r="A2825" s="1" t="s">
        <v>2808</v>
      </c>
      <c r="B2825" t="s">
        <v>6226</v>
      </c>
      <c r="D2825" t="s">
        <v>8011</v>
      </c>
      <c r="E2825" t="s">
        <v>9607</v>
      </c>
      <c r="F2825" t="s">
        <v>10297</v>
      </c>
      <c r="G2825">
        <v>0.79</v>
      </c>
      <c r="H2825" t="s">
        <v>10314</v>
      </c>
      <c r="L2825">
        <v>2012</v>
      </c>
      <c r="R2825" t="s">
        <v>11037</v>
      </c>
      <c r="S2825" t="s">
        <v>10314</v>
      </c>
      <c r="W2825" s="2" t="s">
        <v>11202</v>
      </c>
    </row>
    <row r="2826" spans="1:23" hidden="1" x14ac:dyDescent="0.45">
      <c r="A2826" s="1" t="s">
        <v>2809</v>
      </c>
      <c r="B2826" t="s">
        <v>6226</v>
      </c>
      <c r="D2826" t="s">
        <v>8011</v>
      </c>
      <c r="E2826" t="s">
        <v>9604</v>
      </c>
      <c r="F2826" t="s">
        <v>10297</v>
      </c>
      <c r="G2826">
        <v>18.399999999999999</v>
      </c>
      <c r="H2826" t="s">
        <v>10314</v>
      </c>
      <c r="L2826">
        <v>2013</v>
      </c>
      <c r="R2826" t="s">
        <v>11037</v>
      </c>
      <c r="S2826" t="s">
        <v>10314</v>
      </c>
      <c r="W2826" s="2" t="s">
        <v>11202</v>
      </c>
    </row>
    <row r="2827" spans="1:23" hidden="1" x14ac:dyDescent="0.45">
      <c r="A2827" s="1" t="s">
        <v>2810</v>
      </c>
      <c r="B2827" t="s">
        <v>6236</v>
      </c>
      <c r="D2827" t="s">
        <v>8019</v>
      </c>
      <c r="E2827" t="s">
        <v>9608</v>
      </c>
      <c r="F2827" t="s">
        <v>10297</v>
      </c>
      <c r="G2827">
        <v>1.91</v>
      </c>
      <c r="H2827" t="s">
        <v>10314</v>
      </c>
      <c r="L2827">
        <v>2013</v>
      </c>
      <c r="R2827" t="s">
        <v>11037</v>
      </c>
      <c r="S2827" t="s">
        <v>10314</v>
      </c>
      <c r="W2827" s="2" t="s">
        <v>11202</v>
      </c>
    </row>
    <row r="2828" spans="1:23" hidden="1" x14ac:dyDescent="0.45">
      <c r="A2828" s="1" t="s">
        <v>2811</v>
      </c>
      <c r="B2828" t="s">
        <v>6236</v>
      </c>
      <c r="D2828" t="s">
        <v>8019</v>
      </c>
      <c r="E2828" t="s">
        <v>9609</v>
      </c>
      <c r="F2828" t="s">
        <v>10297</v>
      </c>
      <c r="G2828">
        <v>44</v>
      </c>
      <c r="H2828" t="s">
        <v>10314</v>
      </c>
      <c r="I2828" t="s">
        <v>10322</v>
      </c>
      <c r="L2828">
        <v>2006</v>
      </c>
      <c r="R2828" t="s">
        <v>11037</v>
      </c>
      <c r="S2828" t="s">
        <v>10314</v>
      </c>
      <c r="W2828" s="2" t="s">
        <v>11202</v>
      </c>
    </row>
    <row r="2829" spans="1:23" hidden="1" x14ac:dyDescent="0.45">
      <c r="A2829" s="1" t="s">
        <v>2812</v>
      </c>
      <c r="B2829" t="s">
        <v>6197</v>
      </c>
      <c r="D2829" t="s">
        <v>7988</v>
      </c>
      <c r="E2829" t="s">
        <v>9610</v>
      </c>
      <c r="F2829" t="s">
        <v>10297</v>
      </c>
      <c r="G2829">
        <v>0.8</v>
      </c>
      <c r="H2829" t="s">
        <v>10310</v>
      </c>
      <c r="I2829" t="s">
        <v>10325</v>
      </c>
      <c r="L2829">
        <v>1928</v>
      </c>
      <c r="R2829" t="s">
        <v>11038</v>
      </c>
      <c r="S2829" t="s">
        <v>10310</v>
      </c>
      <c r="W2829" s="2" t="s">
        <v>11202</v>
      </c>
    </row>
    <row r="2830" spans="1:23" hidden="1" x14ac:dyDescent="0.45">
      <c r="A2830" s="1" t="s">
        <v>2813</v>
      </c>
      <c r="B2830" t="s">
        <v>6197</v>
      </c>
      <c r="D2830" t="s">
        <v>7988</v>
      </c>
      <c r="E2830" t="s">
        <v>9610</v>
      </c>
      <c r="F2830" t="s">
        <v>10297</v>
      </c>
      <c r="G2830">
        <v>0.2</v>
      </c>
      <c r="H2830" t="s">
        <v>10310</v>
      </c>
      <c r="I2830" t="s">
        <v>10325</v>
      </c>
      <c r="L2830">
        <v>1928</v>
      </c>
      <c r="R2830" t="s">
        <v>11038</v>
      </c>
      <c r="S2830" t="s">
        <v>10310</v>
      </c>
      <c r="W2830" s="2" t="s">
        <v>11202</v>
      </c>
    </row>
    <row r="2831" spans="1:23" hidden="1" x14ac:dyDescent="0.45">
      <c r="A2831" s="1" t="s">
        <v>2814</v>
      </c>
      <c r="B2831" t="s">
        <v>6201</v>
      </c>
      <c r="D2831" t="s">
        <v>7992</v>
      </c>
      <c r="E2831" t="s">
        <v>9343</v>
      </c>
      <c r="F2831" t="s">
        <v>10297</v>
      </c>
      <c r="G2831">
        <v>0.06</v>
      </c>
      <c r="H2831" t="s">
        <v>10310</v>
      </c>
      <c r="I2831" t="s">
        <v>10325</v>
      </c>
      <c r="L2831">
        <v>1991</v>
      </c>
      <c r="R2831" t="s">
        <v>11038</v>
      </c>
      <c r="S2831" t="s">
        <v>10310</v>
      </c>
      <c r="W2831" s="2" t="s">
        <v>11202</v>
      </c>
    </row>
    <row r="2832" spans="1:23" hidden="1" x14ac:dyDescent="0.45">
      <c r="A2832" s="1" t="s">
        <v>2815</v>
      </c>
      <c r="B2832" t="s">
        <v>6201</v>
      </c>
      <c r="D2832" t="s">
        <v>7992</v>
      </c>
      <c r="E2832" t="s">
        <v>9343</v>
      </c>
      <c r="F2832" t="s">
        <v>10297</v>
      </c>
      <c r="G2832">
        <v>0.06</v>
      </c>
      <c r="H2832" t="s">
        <v>10310</v>
      </c>
      <c r="I2832" t="s">
        <v>10325</v>
      </c>
      <c r="L2832">
        <v>1991</v>
      </c>
      <c r="R2832" t="s">
        <v>11038</v>
      </c>
      <c r="S2832" t="s">
        <v>10310</v>
      </c>
      <c r="W2832" s="2" t="s">
        <v>11202</v>
      </c>
    </row>
    <row r="2833" spans="1:23" hidden="1" x14ac:dyDescent="0.45">
      <c r="A2833" s="1" t="s">
        <v>2816</v>
      </c>
      <c r="B2833" t="s">
        <v>6202</v>
      </c>
      <c r="D2833" t="s">
        <v>7991</v>
      </c>
      <c r="E2833" t="s">
        <v>9265</v>
      </c>
      <c r="F2833" t="s">
        <v>10297</v>
      </c>
      <c r="G2833">
        <v>0.16</v>
      </c>
      <c r="H2833" t="s">
        <v>10310</v>
      </c>
      <c r="I2833" t="s">
        <v>10325</v>
      </c>
      <c r="L2833">
        <v>1900</v>
      </c>
      <c r="R2833" t="s">
        <v>11038</v>
      </c>
      <c r="S2833" t="s">
        <v>10310</v>
      </c>
      <c r="W2833" s="2" t="s">
        <v>11202</v>
      </c>
    </row>
    <row r="2834" spans="1:23" hidden="1" x14ac:dyDescent="0.45">
      <c r="A2834" s="1" t="s">
        <v>2817</v>
      </c>
      <c r="B2834" t="s">
        <v>6237</v>
      </c>
      <c r="D2834" t="s">
        <v>8020</v>
      </c>
      <c r="E2834" t="s">
        <v>9611</v>
      </c>
      <c r="F2834" t="s">
        <v>10297</v>
      </c>
      <c r="G2834">
        <v>0.8</v>
      </c>
      <c r="H2834" t="s">
        <v>10314</v>
      </c>
      <c r="L2834">
        <v>1993</v>
      </c>
      <c r="R2834" t="s">
        <v>11037</v>
      </c>
      <c r="S2834" t="s">
        <v>10314</v>
      </c>
      <c r="W2834" s="2" t="s">
        <v>11202</v>
      </c>
    </row>
    <row r="2835" spans="1:23" hidden="1" x14ac:dyDescent="0.45">
      <c r="A2835" s="1" t="s">
        <v>2818</v>
      </c>
      <c r="B2835" t="s">
        <v>6237</v>
      </c>
      <c r="D2835" t="s">
        <v>8020</v>
      </c>
      <c r="E2835" t="s">
        <v>9611</v>
      </c>
      <c r="F2835" t="s">
        <v>10297</v>
      </c>
      <c r="G2835">
        <v>0.8</v>
      </c>
      <c r="H2835" t="s">
        <v>10314</v>
      </c>
      <c r="L2835">
        <v>1993</v>
      </c>
      <c r="R2835" t="s">
        <v>11037</v>
      </c>
      <c r="S2835" t="s">
        <v>10314</v>
      </c>
      <c r="W2835" s="2" t="s">
        <v>11202</v>
      </c>
    </row>
    <row r="2836" spans="1:23" hidden="1" x14ac:dyDescent="0.45">
      <c r="A2836" s="1" t="s">
        <v>2819</v>
      </c>
      <c r="B2836" t="s">
        <v>6238</v>
      </c>
      <c r="D2836" t="s">
        <v>8021</v>
      </c>
      <c r="E2836" t="s">
        <v>9612</v>
      </c>
      <c r="F2836" t="s">
        <v>10297</v>
      </c>
      <c r="G2836">
        <v>0.9</v>
      </c>
      <c r="H2836" t="s">
        <v>10314</v>
      </c>
      <c r="L2836">
        <v>1994</v>
      </c>
      <c r="R2836" t="s">
        <v>11037</v>
      </c>
      <c r="S2836" t="s">
        <v>10314</v>
      </c>
      <c r="W2836" s="2" t="s">
        <v>11202</v>
      </c>
    </row>
    <row r="2837" spans="1:23" hidden="1" x14ac:dyDescent="0.45">
      <c r="A2837" s="1" t="s">
        <v>2820</v>
      </c>
      <c r="B2837" t="s">
        <v>6238</v>
      </c>
      <c r="D2837" t="s">
        <v>8021</v>
      </c>
      <c r="E2837" t="s">
        <v>9612</v>
      </c>
      <c r="F2837" t="s">
        <v>10297</v>
      </c>
      <c r="G2837">
        <v>0.9</v>
      </c>
      <c r="H2837" t="s">
        <v>10314</v>
      </c>
      <c r="L2837">
        <v>1994</v>
      </c>
      <c r="R2837" t="s">
        <v>11037</v>
      </c>
      <c r="S2837" t="s">
        <v>10314</v>
      </c>
      <c r="W2837" s="2" t="s">
        <v>11202</v>
      </c>
    </row>
    <row r="2838" spans="1:23" hidden="1" x14ac:dyDescent="0.45">
      <c r="A2838" s="1" t="s">
        <v>2821</v>
      </c>
      <c r="B2838" t="s">
        <v>6239</v>
      </c>
      <c r="D2838" t="s">
        <v>8022</v>
      </c>
      <c r="E2838" t="s">
        <v>9613</v>
      </c>
      <c r="F2838" t="s">
        <v>10297</v>
      </c>
      <c r="G2838">
        <v>0.32400000000000001</v>
      </c>
      <c r="H2838" t="s">
        <v>10310</v>
      </c>
      <c r="I2838" t="s">
        <v>10325</v>
      </c>
      <c r="L2838">
        <v>1923</v>
      </c>
      <c r="R2838" t="s">
        <v>11038</v>
      </c>
      <c r="S2838" t="s">
        <v>10310</v>
      </c>
      <c r="W2838" s="2" t="s">
        <v>11202</v>
      </c>
    </row>
    <row r="2839" spans="1:23" hidden="1" x14ac:dyDescent="0.45">
      <c r="A2839" s="1" t="s">
        <v>2822</v>
      </c>
      <c r="B2839" t="s">
        <v>6239</v>
      </c>
      <c r="D2839" t="s">
        <v>8022</v>
      </c>
      <c r="E2839" t="s">
        <v>9613</v>
      </c>
      <c r="F2839" t="s">
        <v>10297</v>
      </c>
      <c r="G2839">
        <v>0.17100000000000001</v>
      </c>
      <c r="H2839" t="s">
        <v>10310</v>
      </c>
      <c r="I2839" t="s">
        <v>10325</v>
      </c>
      <c r="L2839">
        <v>1923</v>
      </c>
      <c r="R2839" t="s">
        <v>11038</v>
      </c>
      <c r="S2839" t="s">
        <v>10310</v>
      </c>
      <c r="W2839" s="2" t="s">
        <v>11202</v>
      </c>
    </row>
    <row r="2840" spans="1:23" hidden="1" x14ac:dyDescent="0.45">
      <c r="A2840" s="1" t="s">
        <v>2823</v>
      </c>
      <c r="B2840" t="s">
        <v>6214</v>
      </c>
      <c r="D2840" t="s">
        <v>8002</v>
      </c>
      <c r="E2840" t="s">
        <v>9614</v>
      </c>
      <c r="F2840" t="s">
        <v>10297</v>
      </c>
      <c r="G2840">
        <v>0.3</v>
      </c>
      <c r="H2840" t="s">
        <v>10310</v>
      </c>
      <c r="I2840" t="s">
        <v>10325</v>
      </c>
      <c r="L2840">
        <v>1905</v>
      </c>
      <c r="R2840" t="s">
        <v>11038</v>
      </c>
      <c r="S2840" t="s">
        <v>10310</v>
      </c>
      <c r="W2840" s="2" t="s">
        <v>11202</v>
      </c>
    </row>
    <row r="2841" spans="1:23" hidden="1" x14ac:dyDescent="0.45">
      <c r="A2841" s="1" t="s">
        <v>2824</v>
      </c>
      <c r="B2841" t="s">
        <v>6226</v>
      </c>
      <c r="D2841" t="s">
        <v>8011</v>
      </c>
      <c r="E2841" t="s">
        <v>9615</v>
      </c>
      <c r="F2841" t="s">
        <v>10297</v>
      </c>
      <c r="G2841">
        <v>0.8</v>
      </c>
      <c r="H2841" t="s">
        <v>10310</v>
      </c>
      <c r="I2841" t="s">
        <v>10325</v>
      </c>
      <c r="L2841">
        <v>1956</v>
      </c>
      <c r="R2841" t="s">
        <v>11038</v>
      </c>
      <c r="S2841" t="s">
        <v>10310</v>
      </c>
      <c r="W2841" s="2" t="s">
        <v>11202</v>
      </c>
    </row>
    <row r="2842" spans="1:23" hidden="1" x14ac:dyDescent="0.45">
      <c r="A2842" s="1" t="s">
        <v>2825</v>
      </c>
      <c r="B2842" t="s">
        <v>6226</v>
      </c>
      <c r="D2842" t="s">
        <v>8011</v>
      </c>
      <c r="E2842" t="s">
        <v>9608</v>
      </c>
      <c r="F2842" t="s">
        <v>10297</v>
      </c>
      <c r="G2842">
        <v>0.78</v>
      </c>
      <c r="H2842" t="s">
        <v>10314</v>
      </c>
      <c r="L2842">
        <v>1977</v>
      </c>
      <c r="R2842" t="s">
        <v>11037</v>
      </c>
      <c r="S2842" t="s">
        <v>10314</v>
      </c>
      <c r="W2842" s="2" t="s">
        <v>11202</v>
      </c>
    </row>
    <row r="2843" spans="1:23" hidden="1" x14ac:dyDescent="0.45">
      <c r="A2843" s="1" t="s">
        <v>2826</v>
      </c>
      <c r="B2843" t="s">
        <v>6240</v>
      </c>
      <c r="D2843" t="s">
        <v>8023</v>
      </c>
      <c r="E2843" t="s">
        <v>9448</v>
      </c>
      <c r="F2843" t="s">
        <v>10297</v>
      </c>
      <c r="G2843">
        <v>0.13600000000000001</v>
      </c>
      <c r="H2843" t="s">
        <v>10310</v>
      </c>
      <c r="R2843" t="s">
        <v>11038</v>
      </c>
      <c r="S2843" t="s">
        <v>10310</v>
      </c>
      <c r="W2843" s="2" t="s">
        <v>11202</v>
      </c>
    </row>
    <row r="2844" spans="1:23" hidden="1" x14ac:dyDescent="0.45">
      <c r="A2844" s="1" t="s">
        <v>2827</v>
      </c>
      <c r="B2844" t="s">
        <v>6240</v>
      </c>
      <c r="D2844" t="s">
        <v>8023</v>
      </c>
      <c r="E2844" t="s">
        <v>9448</v>
      </c>
      <c r="F2844" t="s">
        <v>10297</v>
      </c>
      <c r="G2844">
        <v>0.2</v>
      </c>
      <c r="H2844" t="s">
        <v>10310</v>
      </c>
      <c r="R2844" t="s">
        <v>11038</v>
      </c>
      <c r="S2844" t="s">
        <v>10310</v>
      </c>
      <c r="W2844" s="2" t="s">
        <v>11202</v>
      </c>
    </row>
    <row r="2845" spans="1:23" hidden="1" x14ac:dyDescent="0.45">
      <c r="A2845" s="1" t="s">
        <v>2828</v>
      </c>
      <c r="B2845" t="s">
        <v>6199</v>
      </c>
      <c r="D2845" t="s">
        <v>7990</v>
      </c>
      <c r="E2845" t="s">
        <v>9597</v>
      </c>
      <c r="F2845" t="s">
        <v>10297</v>
      </c>
      <c r="G2845">
        <v>1</v>
      </c>
      <c r="H2845" t="s">
        <v>10314</v>
      </c>
      <c r="L2845">
        <v>2003</v>
      </c>
      <c r="R2845" t="s">
        <v>11037</v>
      </c>
      <c r="S2845" t="s">
        <v>10314</v>
      </c>
      <c r="W2845" s="2" t="s">
        <v>11202</v>
      </c>
    </row>
    <row r="2846" spans="1:23" hidden="1" x14ac:dyDescent="0.45">
      <c r="A2846" s="1" t="s">
        <v>2829</v>
      </c>
      <c r="B2846" t="s">
        <v>6199</v>
      </c>
      <c r="D2846" t="s">
        <v>7990</v>
      </c>
      <c r="E2846" t="s">
        <v>9597</v>
      </c>
      <c r="F2846" t="s">
        <v>10297</v>
      </c>
      <c r="G2846">
        <v>1</v>
      </c>
      <c r="H2846" t="s">
        <v>10314</v>
      </c>
      <c r="L2846">
        <v>2003</v>
      </c>
      <c r="R2846" t="s">
        <v>11037</v>
      </c>
      <c r="S2846" t="s">
        <v>10314</v>
      </c>
      <c r="W2846" s="2" t="s">
        <v>11202</v>
      </c>
    </row>
    <row r="2847" spans="1:23" hidden="1" x14ac:dyDescent="0.45">
      <c r="A2847" s="1" t="s">
        <v>2830</v>
      </c>
      <c r="B2847" t="s">
        <v>6199</v>
      </c>
      <c r="D2847" t="s">
        <v>7990</v>
      </c>
      <c r="E2847" t="s">
        <v>9597</v>
      </c>
      <c r="F2847" t="s">
        <v>10297</v>
      </c>
      <c r="G2847">
        <v>1</v>
      </c>
      <c r="H2847" t="s">
        <v>10314</v>
      </c>
      <c r="L2847">
        <v>2003</v>
      </c>
      <c r="R2847" t="s">
        <v>11037</v>
      </c>
      <c r="S2847" t="s">
        <v>10314</v>
      </c>
      <c r="W2847" s="2" t="s">
        <v>11202</v>
      </c>
    </row>
    <row r="2848" spans="1:23" hidden="1" x14ac:dyDescent="0.45">
      <c r="A2848" s="1" t="s">
        <v>2831</v>
      </c>
      <c r="B2848" t="s">
        <v>6199</v>
      </c>
      <c r="D2848" t="s">
        <v>7990</v>
      </c>
      <c r="E2848" t="s">
        <v>9597</v>
      </c>
      <c r="F2848" t="s">
        <v>10297</v>
      </c>
      <c r="G2848">
        <v>1</v>
      </c>
      <c r="H2848" t="s">
        <v>10314</v>
      </c>
      <c r="L2848">
        <v>2003</v>
      </c>
      <c r="R2848" t="s">
        <v>11037</v>
      </c>
      <c r="S2848" t="s">
        <v>10314</v>
      </c>
      <c r="W2848" s="2" t="s">
        <v>11202</v>
      </c>
    </row>
    <row r="2849" spans="1:23" hidden="1" x14ac:dyDescent="0.45">
      <c r="A2849" s="1" t="s">
        <v>2832</v>
      </c>
      <c r="B2849" t="s">
        <v>6199</v>
      </c>
      <c r="D2849" t="s">
        <v>7990</v>
      </c>
      <c r="E2849" t="s">
        <v>9597</v>
      </c>
      <c r="F2849" t="s">
        <v>10297</v>
      </c>
      <c r="G2849">
        <v>1</v>
      </c>
      <c r="H2849" t="s">
        <v>10314</v>
      </c>
      <c r="L2849">
        <v>2003</v>
      </c>
      <c r="R2849" t="s">
        <v>11037</v>
      </c>
      <c r="S2849" t="s">
        <v>10314</v>
      </c>
      <c r="W2849" s="2" t="s">
        <v>11202</v>
      </c>
    </row>
    <row r="2850" spans="1:23" hidden="1" x14ac:dyDescent="0.45">
      <c r="A2850" s="1" t="s">
        <v>2833</v>
      </c>
      <c r="B2850" t="s">
        <v>6199</v>
      </c>
      <c r="D2850" t="s">
        <v>7990</v>
      </c>
      <c r="E2850" t="s">
        <v>9597</v>
      </c>
      <c r="F2850" t="s">
        <v>10297</v>
      </c>
      <c r="G2850">
        <v>1</v>
      </c>
      <c r="H2850" t="s">
        <v>10314</v>
      </c>
      <c r="L2850">
        <v>2003</v>
      </c>
      <c r="R2850" t="s">
        <v>11037</v>
      </c>
      <c r="S2850" t="s">
        <v>10314</v>
      </c>
      <c r="W2850" s="2" t="s">
        <v>11202</v>
      </c>
    </row>
    <row r="2851" spans="1:23" hidden="1" x14ac:dyDescent="0.45">
      <c r="A2851" s="1" t="s">
        <v>2834</v>
      </c>
      <c r="B2851" t="s">
        <v>6199</v>
      </c>
      <c r="D2851" t="s">
        <v>7990</v>
      </c>
      <c r="E2851" t="s">
        <v>9597</v>
      </c>
      <c r="F2851" t="s">
        <v>10297</v>
      </c>
      <c r="G2851">
        <v>1</v>
      </c>
      <c r="H2851" t="s">
        <v>10314</v>
      </c>
      <c r="L2851">
        <v>2003</v>
      </c>
      <c r="R2851" t="s">
        <v>11037</v>
      </c>
      <c r="S2851" t="s">
        <v>10314</v>
      </c>
      <c r="W2851" s="2" t="s">
        <v>11202</v>
      </c>
    </row>
    <row r="2852" spans="1:23" hidden="1" x14ac:dyDescent="0.45">
      <c r="A2852" s="1" t="s">
        <v>2835</v>
      </c>
      <c r="B2852" t="s">
        <v>6199</v>
      </c>
      <c r="D2852" t="s">
        <v>7990</v>
      </c>
      <c r="E2852" t="s">
        <v>9597</v>
      </c>
      <c r="F2852" t="s">
        <v>10297</v>
      </c>
      <c r="G2852">
        <v>1</v>
      </c>
      <c r="H2852" t="s">
        <v>10314</v>
      </c>
      <c r="L2852">
        <v>2003</v>
      </c>
      <c r="R2852" t="s">
        <v>11037</v>
      </c>
      <c r="S2852" t="s">
        <v>10314</v>
      </c>
      <c r="W2852" s="2" t="s">
        <v>11202</v>
      </c>
    </row>
    <row r="2853" spans="1:23" hidden="1" x14ac:dyDescent="0.45">
      <c r="A2853" s="1" t="s">
        <v>2836</v>
      </c>
      <c r="B2853" t="s">
        <v>6199</v>
      </c>
      <c r="D2853" t="s">
        <v>7990</v>
      </c>
      <c r="E2853" t="s">
        <v>9597</v>
      </c>
      <c r="F2853" t="s">
        <v>10297</v>
      </c>
      <c r="G2853">
        <v>1</v>
      </c>
      <c r="H2853" t="s">
        <v>10314</v>
      </c>
      <c r="L2853">
        <v>2003</v>
      </c>
      <c r="R2853" t="s">
        <v>11037</v>
      </c>
      <c r="S2853" t="s">
        <v>10314</v>
      </c>
      <c r="W2853" s="2" t="s">
        <v>11202</v>
      </c>
    </row>
    <row r="2854" spans="1:23" hidden="1" x14ac:dyDescent="0.45">
      <c r="A2854" s="1" t="s">
        <v>2837</v>
      </c>
      <c r="B2854" t="s">
        <v>6199</v>
      </c>
      <c r="D2854" t="s">
        <v>7990</v>
      </c>
      <c r="E2854" t="s">
        <v>9597</v>
      </c>
      <c r="F2854" t="s">
        <v>10297</v>
      </c>
      <c r="G2854">
        <v>1</v>
      </c>
      <c r="H2854" t="s">
        <v>10314</v>
      </c>
      <c r="L2854">
        <v>2003</v>
      </c>
      <c r="R2854" t="s">
        <v>11037</v>
      </c>
      <c r="S2854" t="s">
        <v>10314</v>
      </c>
      <c r="W2854" s="2" t="s">
        <v>11202</v>
      </c>
    </row>
    <row r="2855" spans="1:23" hidden="1" x14ac:dyDescent="0.45">
      <c r="A2855" s="1" t="s">
        <v>2838</v>
      </c>
      <c r="B2855" t="s">
        <v>6199</v>
      </c>
      <c r="D2855" t="s">
        <v>7990</v>
      </c>
      <c r="E2855" t="s">
        <v>9597</v>
      </c>
      <c r="F2855" t="s">
        <v>10297</v>
      </c>
      <c r="G2855">
        <v>1</v>
      </c>
      <c r="H2855" t="s">
        <v>10314</v>
      </c>
      <c r="L2855">
        <v>2003</v>
      </c>
      <c r="R2855" t="s">
        <v>11037</v>
      </c>
      <c r="S2855" t="s">
        <v>10314</v>
      </c>
      <c r="W2855" s="2" t="s">
        <v>11202</v>
      </c>
    </row>
    <row r="2856" spans="1:23" hidden="1" x14ac:dyDescent="0.45">
      <c r="A2856" s="1" t="s">
        <v>2839</v>
      </c>
      <c r="B2856" t="s">
        <v>6199</v>
      </c>
      <c r="D2856" t="s">
        <v>7990</v>
      </c>
      <c r="E2856" t="s">
        <v>9597</v>
      </c>
      <c r="F2856" t="s">
        <v>10297</v>
      </c>
      <c r="G2856">
        <v>1</v>
      </c>
      <c r="H2856" t="s">
        <v>10314</v>
      </c>
      <c r="L2856">
        <v>2003</v>
      </c>
      <c r="R2856" t="s">
        <v>11037</v>
      </c>
      <c r="S2856" t="s">
        <v>10314</v>
      </c>
      <c r="W2856" s="2" t="s">
        <v>11202</v>
      </c>
    </row>
    <row r="2857" spans="1:23" hidden="1" x14ac:dyDescent="0.45">
      <c r="A2857" s="1" t="s">
        <v>2840</v>
      </c>
      <c r="B2857" t="s">
        <v>6241</v>
      </c>
      <c r="D2857" t="s">
        <v>8024</v>
      </c>
      <c r="E2857" t="s">
        <v>9616</v>
      </c>
      <c r="F2857" t="s">
        <v>10297</v>
      </c>
      <c r="G2857">
        <v>0.52500000000000002</v>
      </c>
      <c r="H2857" t="s">
        <v>10310</v>
      </c>
      <c r="I2857" t="s">
        <v>10325</v>
      </c>
      <c r="L2857">
        <v>1954</v>
      </c>
      <c r="R2857" t="s">
        <v>11038</v>
      </c>
      <c r="S2857" t="s">
        <v>10310</v>
      </c>
      <c r="W2857" s="2" t="s">
        <v>11202</v>
      </c>
    </row>
    <row r="2858" spans="1:23" hidden="1" x14ac:dyDescent="0.45">
      <c r="A2858" s="1" t="s">
        <v>2841</v>
      </c>
      <c r="B2858" t="s">
        <v>6241</v>
      </c>
      <c r="D2858" t="s">
        <v>8024</v>
      </c>
      <c r="E2858" t="s">
        <v>9617</v>
      </c>
      <c r="F2858" t="s">
        <v>10297</v>
      </c>
      <c r="G2858">
        <v>9.6000000000000002E-2</v>
      </c>
      <c r="H2858" t="s">
        <v>10310</v>
      </c>
      <c r="I2858" t="s">
        <v>10325</v>
      </c>
      <c r="L2858">
        <v>1960</v>
      </c>
      <c r="R2858" t="s">
        <v>11038</v>
      </c>
      <c r="S2858" t="s">
        <v>10310</v>
      </c>
      <c r="W2858" s="2" t="s">
        <v>11202</v>
      </c>
    </row>
    <row r="2859" spans="1:23" hidden="1" x14ac:dyDescent="0.45">
      <c r="A2859" s="1" t="s">
        <v>2842</v>
      </c>
      <c r="B2859" t="s">
        <v>6242</v>
      </c>
      <c r="F2859" t="s">
        <v>10298</v>
      </c>
      <c r="G2859">
        <v>559</v>
      </c>
      <c r="H2859" t="s">
        <v>10314</v>
      </c>
      <c r="L2859">
        <v>1981</v>
      </c>
      <c r="N2859">
        <v>54.725073999999999</v>
      </c>
      <c r="P2859">
        <v>-5.7676280000000002</v>
      </c>
      <c r="Q2859" t="s">
        <v>10792</v>
      </c>
      <c r="R2859" t="s">
        <v>11037</v>
      </c>
      <c r="S2859" t="s">
        <v>10314</v>
      </c>
      <c r="W2859" s="2" t="s">
        <v>11203</v>
      </c>
    </row>
    <row r="2860" spans="1:23" hidden="1" x14ac:dyDescent="0.45">
      <c r="A2860" s="1" t="s">
        <v>2843</v>
      </c>
      <c r="B2860" t="s">
        <v>6242</v>
      </c>
      <c r="F2860" t="s">
        <v>10298</v>
      </c>
      <c r="G2860">
        <v>116</v>
      </c>
      <c r="H2860" t="s">
        <v>10313</v>
      </c>
      <c r="L2860">
        <v>1974</v>
      </c>
      <c r="R2860" t="s">
        <v>11037</v>
      </c>
      <c r="S2860" t="s">
        <v>10313</v>
      </c>
      <c r="W2860" s="2" t="s">
        <v>11203</v>
      </c>
    </row>
    <row r="2861" spans="1:23" hidden="1" x14ac:dyDescent="0.45">
      <c r="A2861" s="1" t="s">
        <v>2844</v>
      </c>
      <c r="B2861" t="s">
        <v>6242</v>
      </c>
      <c r="F2861" t="s">
        <v>10298</v>
      </c>
      <c r="G2861">
        <v>143.19999999999999</v>
      </c>
      <c r="H2861" t="s">
        <v>10313</v>
      </c>
      <c r="L2861">
        <v>1981</v>
      </c>
      <c r="R2861" t="s">
        <v>11037</v>
      </c>
      <c r="S2861" t="s">
        <v>10313</v>
      </c>
      <c r="W2861" s="2" t="s">
        <v>11203</v>
      </c>
    </row>
    <row r="2862" spans="1:23" hidden="1" x14ac:dyDescent="0.45">
      <c r="A2862" s="1" t="s">
        <v>2845</v>
      </c>
      <c r="B2862" t="s">
        <v>6242</v>
      </c>
      <c r="F2862" t="s">
        <v>10298</v>
      </c>
      <c r="G2862">
        <v>616</v>
      </c>
      <c r="H2862" t="s">
        <v>10307</v>
      </c>
      <c r="L2862">
        <v>2003</v>
      </c>
      <c r="N2862">
        <v>54.842784999999999</v>
      </c>
      <c r="P2862">
        <v>-5.7846169999999999</v>
      </c>
      <c r="Q2862" t="s">
        <v>10793</v>
      </c>
      <c r="R2862" t="s">
        <v>11037</v>
      </c>
      <c r="S2862" t="s">
        <v>10307</v>
      </c>
      <c r="W2862" s="2" t="s">
        <v>11203</v>
      </c>
    </row>
    <row r="2863" spans="1:23" hidden="1" x14ac:dyDescent="0.45">
      <c r="A2863" s="1" t="s">
        <v>2846</v>
      </c>
      <c r="B2863" t="s">
        <v>6243</v>
      </c>
      <c r="F2863" t="s">
        <v>10298</v>
      </c>
      <c r="G2863">
        <v>32.299999999999997</v>
      </c>
      <c r="H2863" t="s">
        <v>10313</v>
      </c>
      <c r="L2863">
        <v>2002</v>
      </c>
      <c r="R2863" t="s">
        <v>11037</v>
      </c>
      <c r="S2863" t="s">
        <v>10313</v>
      </c>
      <c r="W2863" s="2" t="s">
        <v>11203</v>
      </c>
    </row>
    <row r="2864" spans="1:23" hidden="1" x14ac:dyDescent="0.45">
      <c r="A2864" s="1" t="s">
        <v>2847</v>
      </c>
      <c r="B2864" t="s">
        <v>6243</v>
      </c>
      <c r="F2864" t="s">
        <v>10298</v>
      </c>
      <c r="G2864">
        <v>520</v>
      </c>
      <c r="H2864" t="s">
        <v>10307</v>
      </c>
      <c r="L2864">
        <v>2002</v>
      </c>
      <c r="R2864" t="s">
        <v>11037</v>
      </c>
      <c r="S2864" t="s">
        <v>10307</v>
      </c>
      <c r="W2864" s="2" t="s">
        <v>11203</v>
      </c>
    </row>
    <row r="2865" spans="1:23" hidden="1" x14ac:dyDescent="0.45">
      <c r="A2865" s="1" t="s">
        <v>2848</v>
      </c>
      <c r="B2865" t="s">
        <v>6243</v>
      </c>
      <c r="F2865" t="s">
        <v>10298</v>
      </c>
      <c r="G2865">
        <v>850</v>
      </c>
      <c r="H2865" t="s">
        <v>10307</v>
      </c>
      <c r="L2865">
        <v>2010</v>
      </c>
      <c r="N2865">
        <v>51.549042</v>
      </c>
      <c r="P2865">
        <v>-2.9733809999999998</v>
      </c>
      <c r="Q2865" t="s">
        <v>10794</v>
      </c>
      <c r="R2865" t="s">
        <v>11037</v>
      </c>
      <c r="S2865" t="s">
        <v>10307</v>
      </c>
      <c r="W2865" s="2" t="s">
        <v>11203</v>
      </c>
    </row>
    <row r="2866" spans="1:23" hidden="1" x14ac:dyDescent="0.45">
      <c r="A2866" s="1" t="s">
        <v>2849</v>
      </c>
      <c r="B2866" t="s">
        <v>6243</v>
      </c>
      <c r="F2866" t="s">
        <v>10298</v>
      </c>
      <c r="G2866">
        <v>819</v>
      </c>
      <c r="H2866" t="s">
        <v>10307</v>
      </c>
      <c r="L2866">
        <v>1999</v>
      </c>
      <c r="N2866">
        <v>52.757285000000003</v>
      </c>
      <c r="P2866">
        <v>0.1928</v>
      </c>
      <c r="Q2866" t="s">
        <v>10795</v>
      </c>
      <c r="R2866" t="s">
        <v>11037</v>
      </c>
      <c r="S2866" t="s">
        <v>10307</v>
      </c>
      <c r="W2866" s="2" t="s">
        <v>11203</v>
      </c>
    </row>
    <row r="2867" spans="1:23" hidden="1" x14ac:dyDescent="0.45">
      <c r="A2867" s="1" t="s">
        <v>2850</v>
      </c>
      <c r="B2867" t="s">
        <v>6244</v>
      </c>
      <c r="F2867" t="s">
        <v>10298</v>
      </c>
      <c r="G2867">
        <v>99</v>
      </c>
      <c r="H2867" t="s">
        <v>10307</v>
      </c>
      <c r="L2867">
        <v>1994</v>
      </c>
      <c r="N2867">
        <v>53.622551000000001</v>
      </c>
      <c r="P2867">
        <v>-0.70114100000000001</v>
      </c>
      <c r="Q2867" t="s">
        <v>10796</v>
      </c>
      <c r="R2867" t="s">
        <v>11037</v>
      </c>
      <c r="S2867" t="s">
        <v>10307</v>
      </c>
      <c r="W2867" s="2" t="s">
        <v>11203</v>
      </c>
    </row>
    <row r="2868" spans="1:23" hidden="1" x14ac:dyDescent="0.45">
      <c r="A2868" s="1" t="s">
        <v>2851</v>
      </c>
      <c r="B2868" t="s">
        <v>6244</v>
      </c>
      <c r="F2868" t="s">
        <v>10298</v>
      </c>
      <c r="G2868">
        <v>245</v>
      </c>
      <c r="H2868" t="s">
        <v>10307</v>
      </c>
      <c r="L2868">
        <v>1993</v>
      </c>
      <c r="N2868">
        <v>52.576906000000008</v>
      </c>
      <c r="P2868">
        <v>-0.20400599999999999</v>
      </c>
      <c r="Q2868" t="s">
        <v>10797</v>
      </c>
      <c r="R2868" t="s">
        <v>11037</v>
      </c>
      <c r="S2868" t="s">
        <v>10307</v>
      </c>
      <c r="W2868" s="2" t="s">
        <v>11203</v>
      </c>
    </row>
    <row r="2869" spans="1:23" hidden="1" x14ac:dyDescent="0.45">
      <c r="A2869" s="1" t="s">
        <v>2852</v>
      </c>
      <c r="B2869" t="s">
        <v>6245</v>
      </c>
      <c r="F2869" t="s">
        <v>10298</v>
      </c>
      <c r="G2869">
        <v>2640</v>
      </c>
      <c r="H2869" t="s">
        <v>10309</v>
      </c>
      <c r="L2869">
        <v>2013</v>
      </c>
      <c r="N2869">
        <v>53.736480000000007</v>
      </c>
      <c r="P2869">
        <v>-0.99646299999999988</v>
      </c>
      <c r="Q2869" t="s">
        <v>10798</v>
      </c>
      <c r="R2869" t="s">
        <v>11038</v>
      </c>
      <c r="S2869" t="s">
        <v>10317</v>
      </c>
      <c r="T2869" t="s">
        <v>10309</v>
      </c>
      <c r="W2869" s="2" t="s">
        <v>11203</v>
      </c>
    </row>
    <row r="2870" spans="1:23" hidden="1" x14ac:dyDescent="0.45">
      <c r="A2870" s="1" t="s">
        <v>2853</v>
      </c>
      <c r="B2870" t="s">
        <v>6245</v>
      </c>
      <c r="F2870" t="s">
        <v>10298</v>
      </c>
      <c r="G2870">
        <v>1320</v>
      </c>
      <c r="H2870" t="s">
        <v>10314</v>
      </c>
      <c r="L2870">
        <v>1974</v>
      </c>
      <c r="N2870">
        <v>53.736480000000007</v>
      </c>
      <c r="P2870">
        <v>-0.99646299999999988</v>
      </c>
      <c r="Q2870" t="s">
        <v>10798</v>
      </c>
      <c r="R2870" t="s">
        <v>11037</v>
      </c>
      <c r="S2870" t="s">
        <v>10314</v>
      </c>
      <c r="W2870" s="2" t="s">
        <v>11203</v>
      </c>
    </row>
    <row r="2871" spans="1:23" hidden="1" x14ac:dyDescent="0.45">
      <c r="A2871" s="1" t="s">
        <v>2854</v>
      </c>
      <c r="B2871" t="s">
        <v>6245</v>
      </c>
      <c r="F2871" t="s">
        <v>10298</v>
      </c>
      <c r="G2871">
        <v>75</v>
      </c>
      <c r="H2871" t="s">
        <v>10313</v>
      </c>
      <c r="L2871">
        <v>1971</v>
      </c>
      <c r="N2871">
        <v>53.736480000000007</v>
      </c>
      <c r="P2871">
        <v>-0.99646299999999988</v>
      </c>
      <c r="Q2871" t="s">
        <v>10799</v>
      </c>
      <c r="R2871" t="s">
        <v>11037</v>
      </c>
      <c r="S2871" t="s">
        <v>10313</v>
      </c>
      <c r="W2871" s="2" t="s">
        <v>11203</v>
      </c>
    </row>
    <row r="2872" spans="1:23" hidden="1" x14ac:dyDescent="0.45">
      <c r="A2872" s="1" t="s">
        <v>2855</v>
      </c>
      <c r="B2872" t="s">
        <v>6245</v>
      </c>
      <c r="F2872" t="s">
        <v>10298</v>
      </c>
      <c r="G2872">
        <v>11</v>
      </c>
      <c r="H2872" t="s">
        <v>10310</v>
      </c>
      <c r="L2872">
        <v>1927</v>
      </c>
      <c r="N2872">
        <v>55.655526000000002</v>
      </c>
      <c r="P2872">
        <v>-3.7744589999999998</v>
      </c>
      <c r="R2872" t="s">
        <v>11038</v>
      </c>
      <c r="S2872" t="s">
        <v>10310</v>
      </c>
      <c r="W2872" s="2" t="s">
        <v>11203</v>
      </c>
    </row>
    <row r="2873" spans="1:23" hidden="1" x14ac:dyDescent="0.45">
      <c r="A2873" s="1" t="s">
        <v>2856</v>
      </c>
      <c r="B2873" t="s">
        <v>6245</v>
      </c>
      <c r="F2873" t="s">
        <v>10298</v>
      </c>
      <c r="G2873">
        <v>12</v>
      </c>
      <c r="H2873" t="s">
        <v>10310</v>
      </c>
      <c r="L2873">
        <v>1935</v>
      </c>
      <c r="N2873">
        <v>55.143481999999992</v>
      </c>
      <c r="P2873">
        <v>-4.1897640000000003</v>
      </c>
      <c r="R2873" t="s">
        <v>11038</v>
      </c>
      <c r="S2873" t="s">
        <v>10310</v>
      </c>
      <c r="W2873" s="2" t="s">
        <v>11203</v>
      </c>
    </row>
    <row r="2874" spans="1:23" hidden="1" x14ac:dyDescent="0.45">
      <c r="A2874" s="1" t="s">
        <v>2857</v>
      </c>
      <c r="B2874" t="s">
        <v>6245</v>
      </c>
      <c r="F2874" t="s">
        <v>10298</v>
      </c>
      <c r="G2874">
        <v>1</v>
      </c>
      <c r="H2874" t="s">
        <v>10310</v>
      </c>
      <c r="L2874">
        <v>1935</v>
      </c>
      <c r="N2874">
        <v>55.248106999999997</v>
      </c>
      <c r="P2874">
        <v>-4.3273640000000002</v>
      </c>
      <c r="R2874" t="s">
        <v>11038</v>
      </c>
      <c r="S2874" t="s">
        <v>10310</v>
      </c>
      <c r="W2874" s="2" t="s">
        <v>11203</v>
      </c>
    </row>
    <row r="2875" spans="1:23" hidden="1" x14ac:dyDescent="0.45">
      <c r="A2875" s="1" t="s">
        <v>2858</v>
      </c>
      <c r="B2875" t="s">
        <v>6245</v>
      </c>
      <c r="F2875" t="s">
        <v>10298</v>
      </c>
      <c r="G2875">
        <v>14</v>
      </c>
      <c r="H2875" t="s">
        <v>10310</v>
      </c>
      <c r="L2875">
        <v>1935</v>
      </c>
      <c r="N2875">
        <v>55.112093999999992</v>
      </c>
      <c r="P2875">
        <v>-4.1744669999999999</v>
      </c>
      <c r="R2875" t="s">
        <v>11038</v>
      </c>
      <c r="S2875" t="s">
        <v>10310</v>
      </c>
      <c r="W2875" s="2" t="s">
        <v>11203</v>
      </c>
    </row>
    <row r="2876" spans="1:23" hidden="1" x14ac:dyDescent="0.45">
      <c r="A2876" s="1" t="s">
        <v>2859</v>
      </c>
      <c r="B2876" t="s">
        <v>6245</v>
      </c>
      <c r="F2876" t="s">
        <v>10298</v>
      </c>
      <c r="G2876">
        <v>24</v>
      </c>
      <c r="H2876" t="s">
        <v>10310</v>
      </c>
      <c r="L2876">
        <v>1935</v>
      </c>
      <c r="N2876">
        <v>55.099977000000003</v>
      </c>
      <c r="P2876">
        <v>-4.1863530000000004</v>
      </c>
      <c r="R2876" t="s">
        <v>11038</v>
      </c>
      <c r="S2876" t="s">
        <v>10310</v>
      </c>
      <c r="W2876" s="2" t="s">
        <v>11203</v>
      </c>
    </row>
    <row r="2877" spans="1:23" hidden="1" x14ac:dyDescent="0.45">
      <c r="A2877" s="1" t="s">
        <v>2860</v>
      </c>
      <c r="B2877" t="s">
        <v>6245</v>
      </c>
      <c r="F2877" t="s">
        <v>10298</v>
      </c>
      <c r="G2877">
        <v>24</v>
      </c>
      <c r="H2877" t="s">
        <v>10310</v>
      </c>
      <c r="L2877">
        <v>1935</v>
      </c>
      <c r="N2877">
        <v>55.164437999999997</v>
      </c>
      <c r="P2877">
        <v>-4.1910860000000003</v>
      </c>
      <c r="R2877" t="s">
        <v>11038</v>
      </c>
      <c r="S2877" t="s">
        <v>10310</v>
      </c>
      <c r="W2877" s="2" t="s">
        <v>11203</v>
      </c>
    </row>
    <row r="2878" spans="1:23" hidden="1" x14ac:dyDescent="0.45">
      <c r="A2878" s="1" t="s">
        <v>2861</v>
      </c>
      <c r="B2878" t="s">
        <v>6245</v>
      </c>
      <c r="F2878" t="s">
        <v>10298</v>
      </c>
      <c r="G2878">
        <v>6</v>
      </c>
      <c r="H2878" t="s">
        <v>10310</v>
      </c>
      <c r="L2878">
        <v>1927</v>
      </c>
      <c r="N2878">
        <v>55.677411999999997</v>
      </c>
      <c r="P2878">
        <v>-3.8306170000000002</v>
      </c>
      <c r="R2878" t="s">
        <v>11038</v>
      </c>
      <c r="S2878" t="s">
        <v>10310</v>
      </c>
      <c r="W2878" s="2" t="s">
        <v>11203</v>
      </c>
    </row>
    <row r="2879" spans="1:23" hidden="1" x14ac:dyDescent="0.45">
      <c r="A2879" s="1" t="s">
        <v>2862</v>
      </c>
      <c r="B2879" t="s">
        <v>6245</v>
      </c>
      <c r="F2879" t="s">
        <v>10298</v>
      </c>
      <c r="G2879">
        <v>33</v>
      </c>
      <c r="H2879" t="s">
        <v>10310</v>
      </c>
      <c r="L2879">
        <v>1935</v>
      </c>
      <c r="N2879">
        <v>54.860111000000003</v>
      </c>
      <c r="P2879">
        <v>-4.0346150000000014</v>
      </c>
      <c r="R2879" t="s">
        <v>11038</v>
      </c>
      <c r="S2879" t="s">
        <v>10310</v>
      </c>
      <c r="W2879" s="2" t="s">
        <v>11203</v>
      </c>
    </row>
    <row r="2880" spans="1:23" hidden="1" x14ac:dyDescent="0.45">
      <c r="A2880" s="1" t="s">
        <v>2863</v>
      </c>
      <c r="B2880" t="s">
        <v>6245</v>
      </c>
      <c r="F2880" t="s">
        <v>10298</v>
      </c>
      <c r="G2880">
        <v>60</v>
      </c>
      <c r="H2880" t="s">
        <v>10307</v>
      </c>
      <c r="L2880">
        <v>2011</v>
      </c>
      <c r="N2880">
        <v>53.419125999999999</v>
      </c>
      <c r="P2880">
        <v>-1.404453</v>
      </c>
      <c r="R2880" t="s">
        <v>11037</v>
      </c>
      <c r="S2880" t="s">
        <v>10307</v>
      </c>
      <c r="W2880" s="2" t="s">
        <v>11203</v>
      </c>
    </row>
    <row r="2881" spans="1:23" hidden="1" x14ac:dyDescent="0.45">
      <c r="A2881" s="1" t="s">
        <v>2864</v>
      </c>
      <c r="B2881" t="s">
        <v>6245</v>
      </c>
      <c r="F2881" t="s">
        <v>10298</v>
      </c>
      <c r="G2881">
        <v>805</v>
      </c>
      <c r="H2881" t="s">
        <v>10307</v>
      </c>
      <c r="L2881">
        <v>2000</v>
      </c>
      <c r="N2881">
        <v>51.425215000000001</v>
      </c>
      <c r="P2881">
        <v>0.60123300000000002</v>
      </c>
      <c r="Q2881" t="s">
        <v>10800</v>
      </c>
      <c r="R2881" t="s">
        <v>11037</v>
      </c>
      <c r="S2881" t="s">
        <v>10307</v>
      </c>
      <c r="W2881" s="2" t="s">
        <v>11203</v>
      </c>
    </row>
    <row r="2882" spans="1:23" hidden="1" x14ac:dyDescent="0.45">
      <c r="A2882" s="1" t="s">
        <v>2865</v>
      </c>
      <c r="B2882" t="s">
        <v>6245</v>
      </c>
      <c r="F2882" t="s">
        <v>10298</v>
      </c>
      <c r="G2882">
        <v>715</v>
      </c>
      <c r="H2882" t="s">
        <v>10307</v>
      </c>
      <c r="L2882">
        <v>1993</v>
      </c>
      <c r="N2882">
        <v>51.761690000000002</v>
      </c>
      <c r="P2882">
        <v>9.018E-3</v>
      </c>
      <c r="Q2882" t="s">
        <v>10801</v>
      </c>
      <c r="R2882" t="s">
        <v>11037</v>
      </c>
      <c r="S2882" t="s">
        <v>10307</v>
      </c>
      <c r="W2882" s="2" t="s">
        <v>11203</v>
      </c>
    </row>
    <row r="2883" spans="1:23" hidden="1" x14ac:dyDescent="0.45">
      <c r="A2883" s="1" t="s">
        <v>2866</v>
      </c>
      <c r="B2883" t="s">
        <v>6245</v>
      </c>
      <c r="F2883" t="s">
        <v>10298</v>
      </c>
      <c r="G2883">
        <v>420</v>
      </c>
      <c r="H2883" t="s">
        <v>10307</v>
      </c>
      <c r="L2883">
        <v>2000</v>
      </c>
      <c r="N2883">
        <v>50.829526999999999</v>
      </c>
      <c r="P2883">
        <v>-0.23081599999999999</v>
      </c>
      <c r="Q2883" t="s">
        <v>10802</v>
      </c>
      <c r="R2883" t="s">
        <v>11037</v>
      </c>
      <c r="S2883" t="s">
        <v>10307</v>
      </c>
      <c r="W2883" s="2" t="s">
        <v>11203</v>
      </c>
    </row>
    <row r="2884" spans="1:23" hidden="1" x14ac:dyDescent="0.45">
      <c r="A2884" s="1" t="s">
        <v>2867</v>
      </c>
      <c r="B2884" t="s">
        <v>6245</v>
      </c>
      <c r="F2884" t="s">
        <v>10298</v>
      </c>
      <c r="G2884">
        <v>440</v>
      </c>
      <c r="H2884" t="s">
        <v>10310</v>
      </c>
      <c r="L2884">
        <v>1965</v>
      </c>
      <c r="N2884">
        <v>56.394104000000013</v>
      </c>
      <c r="P2884">
        <v>-5.1143190000000001</v>
      </c>
      <c r="Q2884" t="s">
        <v>10803</v>
      </c>
      <c r="R2884" t="s">
        <v>11038</v>
      </c>
      <c r="S2884" t="s">
        <v>10310</v>
      </c>
      <c r="W2884" s="2" t="s">
        <v>11203</v>
      </c>
    </row>
    <row r="2885" spans="1:23" hidden="1" x14ac:dyDescent="0.45">
      <c r="A2885" s="1" t="s">
        <v>2868</v>
      </c>
      <c r="B2885" t="s">
        <v>6246</v>
      </c>
      <c r="F2885" t="s">
        <v>10298</v>
      </c>
      <c r="G2885">
        <v>34</v>
      </c>
      <c r="H2885" t="s">
        <v>10309</v>
      </c>
      <c r="L2885">
        <v>2015</v>
      </c>
      <c r="R2885" t="s">
        <v>11038</v>
      </c>
      <c r="S2885" t="s">
        <v>10317</v>
      </c>
      <c r="T2885" t="s">
        <v>10309</v>
      </c>
      <c r="W2885" s="2" t="s">
        <v>11203</v>
      </c>
    </row>
    <row r="2886" spans="1:23" hidden="1" x14ac:dyDescent="0.45">
      <c r="A2886" s="1" t="s">
        <v>2869</v>
      </c>
      <c r="B2886" t="s">
        <v>6246</v>
      </c>
      <c r="F2886" t="s">
        <v>10298</v>
      </c>
      <c r="G2886">
        <v>46</v>
      </c>
      <c r="H2886" t="s">
        <v>10309</v>
      </c>
      <c r="L2886">
        <v>2007</v>
      </c>
      <c r="R2886" t="s">
        <v>11038</v>
      </c>
      <c r="S2886" t="s">
        <v>10317</v>
      </c>
      <c r="T2886" t="s">
        <v>10309</v>
      </c>
      <c r="W2886" s="2" t="s">
        <v>11203</v>
      </c>
    </row>
    <row r="2887" spans="1:23" hidden="1" x14ac:dyDescent="0.45">
      <c r="A2887" s="1" t="s">
        <v>2870</v>
      </c>
      <c r="B2887" t="s">
        <v>6246</v>
      </c>
      <c r="F2887" t="s">
        <v>10298</v>
      </c>
      <c r="G2887">
        <v>56</v>
      </c>
      <c r="H2887" t="s">
        <v>10307</v>
      </c>
      <c r="L2887">
        <v>2002</v>
      </c>
      <c r="N2887">
        <v>53.732003000000013</v>
      </c>
      <c r="P2887">
        <v>-1.3428310000000001</v>
      </c>
      <c r="R2887" t="s">
        <v>11037</v>
      </c>
      <c r="S2887" t="s">
        <v>10307</v>
      </c>
      <c r="W2887" s="2" t="s">
        <v>11203</v>
      </c>
    </row>
    <row r="2888" spans="1:23" hidden="1" x14ac:dyDescent="0.45">
      <c r="A2888" s="1" t="s">
        <v>2871</v>
      </c>
      <c r="B2888" t="s">
        <v>6246</v>
      </c>
      <c r="F2888" t="s">
        <v>10298</v>
      </c>
      <c r="G2888">
        <v>56</v>
      </c>
      <c r="H2888" t="s">
        <v>10307</v>
      </c>
      <c r="L2888">
        <v>1999</v>
      </c>
      <c r="N2888">
        <v>53.165356000000003</v>
      </c>
      <c r="P2888">
        <v>-2.4060800000000002</v>
      </c>
      <c r="R2888" t="s">
        <v>11037</v>
      </c>
      <c r="S2888" t="s">
        <v>10307</v>
      </c>
      <c r="W2888" s="2" t="s">
        <v>11203</v>
      </c>
    </row>
    <row r="2889" spans="1:23" hidden="1" x14ac:dyDescent="0.45">
      <c r="A2889" s="1" t="s">
        <v>2872</v>
      </c>
      <c r="B2889" t="s">
        <v>6246</v>
      </c>
      <c r="F2889" t="s">
        <v>10298</v>
      </c>
      <c r="G2889">
        <v>50</v>
      </c>
      <c r="H2889" t="s">
        <v>10307</v>
      </c>
      <c r="L2889">
        <v>1998</v>
      </c>
      <c r="N2889">
        <v>53.677056000000007</v>
      </c>
      <c r="P2889">
        <v>-1.654963</v>
      </c>
      <c r="R2889" t="s">
        <v>11037</v>
      </c>
      <c r="S2889" t="s">
        <v>10307</v>
      </c>
      <c r="W2889" s="2" t="s">
        <v>11203</v>
      </c>
    </row>
    <row r="2890" spans="1:23" hidden="1" x14ac:dyDescent="0.45">
      <c r="A2890" s="1" t="s">
        <v>2873</v>
      </c>
      <c r="B2890" t="s">
        <v>6247</v>
      </c>
      <c r="F2890" t="s">
        <v>10298</v>
      </c>
      <c r="G2890">
        <v>2000</v>
      </c>
      <c r="H2890" t="s">
        <v>10314</v>
      </c>
      <c r="L2890">
        <v>1969</v>
      </c>
      <c r="N2890">
        <v>53.303711</v>
      </c>
      <c r="P2890">
        <v>-0.77888199999999996</v>
      </c>
      <c r="Q2890" t="s">
        <v>10804</v>
      </c>
      <c r="R2890" t="s">
        <v>11037</v>
      </c>
      <c r="S2890" t="s">
        <v>10314</v>
      </c>
      <c r="W2890" s="2" t="s">
        <v>11203</v>
      </c>
    </row>
    <row r="2891" spans="1:23" hidden="1" x14ac:dyDescent="0.45">
      <c r="A2891" s="1" t="s">
        <v>2874</v>
      </c>
      <c r="B2891" t="s">
        <v>6247</v>
      </c>
      <c r="F2891" t="s">
        <v>10298</v>
      </c>
      <c r="G2891">
        <v>2000</v>
      </c>
      <c r="H2891" t="s">
        <v>10314</v>
      </c>
      <c r="L2891">
        <v>1969</v>
      </c>
      <c r="N2891">
        <v>53.361541000000003</v>
      </c>
      <c r="P2891">
        <v>-0.81059700000000001</v>
      </c>
      <c r="Q2891" t="s">
        <v>10805</v>
      </c>
      <c r="R2891" t="s">
        <v>11037</v>
      </c>
      <c r="S2891" t="s">
        <v>10314</v>
      </c>
      <c r="W2891" s="2" t="s">
        <v>11203</v>
      </c>
    </row>
    <row r="2892" spans="1:23" hidden="1" x14ac:dyDescent="0.45">
      <c r="A2892" s="1" t="s">
        <v>2875</v>
      </c>
      <c r="B2892" t="s">
        <v>6247</v>
      </c>
      <c r="F2892" t="s">
        <v>10298</v>
      </c>
      <c r="G2892">
        <v>40</v>
      </c>
      <c r="H2892" t="s">
        <v>10313</v>
      </c>
      <c r="L2892">
        <v>1967</v>
      </c>
      <c r="N2892">
        <v>53.361541000000003</v>
      </c>
      <c r="P2892">
        <v>-0.81059700000000001</v>
      </c>
      <c r="Q2892" t="s">
        <v>10806</v>
      </c>
      <c r="R2892" t="s">
        <v>11037</v>
      </c>
      <c r="S2892" t="s">
        <v>10313</v>
      </c>
      <c r="W2892" s="2" t="s">
        <v>11203</v>
      </c>
    </row>
    <row r="2893" spans="1:23" hidden="1" x14ac:dyDescent="0.45">
      <c r="A2893" s="1" t="s">
        <v>2876</v>
      </c>
      <c r="B2893" t="s">
        <v>6247</v>
      </c>
      <c r="F2893" t="s">
        <v>10298</v>
      </c>
      <c r="G2893">
        <v>1</v>
      </c>
      <c r="H2893" t="s">
        <v>10307</v>
      </c>
      <c r="L2893">
        <v>2000</v>
      </c>
      <c r="R2893" t="s">
        <v>11037</v>
      </c>
      <c r="S2893" t="s">
        <v>10307</v>
      </c>
      <c r="W2893" s="2" t="s">
        <v>11203</v>
      </c>
    </row>
    <row r="2894" spans="1:23" hidden="1" x14ac:dyDescent="0.45">
      <c r="A2894" s="1" t="s">
        <v>2877</v>
      </c>
      <c r="B2894" t="s">
        <v>6247</v>
      </c>
      <c r="F2894" t="s">
        <v>10298</v>
      </c>
      <c r="G2894">
        <v>9</v>
      </c>
      <c r="H2894" t="s">
        <v>10307</v>
      </c>
      <c r="L2894">
        <v>2000</v>
      </c>
      <c r="R2894" t="s">
        <v>11037</v>
      </c>
      <c r="S2894" t="s">
        <v>10307</v>
      </c>
      <c r="W2894" s="2" t="s">
        <v>11203</v>
      </c>
    </row>
    <row r="2895" spans="1:23" hidden="1" x14ac:dyDescent="0.45">
      <c r="A2895" s="1" t="s">
        <v>2878</v>
      </c>
      <c r="B2895" t="s">
        <v>6247</v>
      </c>
      <c r="F2895" t="s">
        <v>10298</v>
      </c>
      <c r="G2895">
        <v>1332</v>
      </c>
      <c r="H2895" t="s">
        <v>10307</v>
      </c>
      <c r="L2895">
        <v>2013</v>
      </c>
      <c r="N2895">
        <v>53.361541000000003</v>
      </c>
      <c r="P2895">
        <v>-0.81059700000000001</v>
      </c>
      <c r="Q2895" t="s">
        <v>10807</v>
      </c>
      <c r="R2895" t="s">
        <v>11037</v>
      </c>
      <c r="S2895" t="s">
        <v>10307</v>
      </c>
      <c r="W2895" s="2" t="s">
        <v>11203</v>
      </c>
    </row>
    <row r="2896" spans="1:23" hidden="1" x14ac:dyDescent="0.45">
      <c r="A2896" s="1" t="s">
        <v>2879</v>
      </c>
      <c r="B2896" t="s">
        <v>6247</v>
      </c>
      <c r="F2896" t="s">
        <v>10298</v>
      </c>
      <c r="G2896">
        <v>1120</v>
      </c>
      <c r="H2896" t="s">
        <v>10311</v>
      </c>
      <c r="I2896" t="s">
        <v>10323</v>
      </c>
      <c r="L2896">
        <v>1983</v>
      </c>
      <c r="N2896">
        <v>50.913842000000002</v>
      </c>
      <c r="P2896">
        <v>0.95969899999999997</v>
      </c>
      <c r="Q2896" t="s">
        <v>10808</v>
      </c>
      <c r="R2896" t="s">
        <v>10311</v>
      </c>
      <c r="W2896" s="2" t="s">
        <v>11203</v>
      </c>
    </row>
    <row r="2897" spans="1:23" hidden="1" x14ac:dyDescent="0.45">
      <c r="A2897" s="1" t="s">
        <v>2880</v>
      </c>
      <c r="B2897" t="s">
        <v>6247</v>
      </c>
      <c r="F2897" t="s">
        <v>10298</v>
      </c>
      <c r="G2897">
        <v>1207</v>
      </c>
      <c r="H2897" t="s">
        <v>10311</v>
      </c>
      <c r="I2897" t="s">
        <v>10323</v>
      </c>
      <c r="L2897">
        <v>1983</v>
      </c>
      <c r="N2897">
        <v>54.635478999999997</v>
      </c>
      <c r="P2897">
        <v>-1.181119</v>
      </c>
      <c r="Q2897" t="s">
        <v>10809</v>
      </c>
      <c r="R2897" t="s">
        <v>10311</v>
      </c>
      <c r="W2897" s="2" t="s">
        <v>11203</v>
      </c>
    </row>
    <row r="2898" spans="1:23" hidden="1" x14ac:dyDescent="0.45">
      <c r="A2898" s="1" t="s">
        <v>2881</v>
      </c>
      <c r="B2898" t="s">
        <v>6247</v>
      </c>
      <c r="F2898" t="s">
        <v>10298</v>
      </c>
      <c r="G2898">
        <v>1179</v>
      </c>
      <c r="H2898" t="s">
        <v>10311</v>
      </c>
      <c r="I2898" t="s">
        <v>10323</v>
      </c>
      <c r="L2898">
        <v>1983</v>
      </c>
      <c r="N2898">
        <v>54.029263</v>
      </c>
      <c r="P2898">
        <v>-2.915381</v>
      </c>
      <c r="Q2898" t="s">
        <v>10810</v>
      </c>
      <c r="R2898" t="s">
        <v>10311</v>
      </c>
      <c r="W2898" s="2" t="s">
        <v>11203</v>
      </c>
    </row>
    <row r="2899" spans="1:23" hidden="1" x14ac:dyDescent="0.45">
      <c r="A2899" s="1" t="s">
        <v>2882</v>
      </c>
      <c r="B2899" t="s">
        <v>6247</v>
      </c>
      <c r="F2899" t="s">
        <v>10298</v>
      </c>
      <c r="G2899">
        <v>1254</v>
      </c>
      <c r="H2899" t="s">
        <v>10311</v>
      </c>
      <c r="I2899" t="s">
        <v>10323</v>
      </c>
      <c r="L2899">
        <v>1988</v>
      </c>
      <c r="N2899">
        <v>54.029263</v>
      </c>
      <c r="P2899">
        <v>-2.915381</v>
      </c>
      <c r="Q2899" t="s">
        <v>10811</v>
      </c>
      <c r="R2899" t="s">
        <v>10311</v>
      </c>
      <c r="W2899" s="2" t="s">
        <v>11203</v>
      </c>
    </row>
    <row r="2900" spans="1:23" hidden="1" x14ac:dyDescent="0.45">
      <c r="A2900" s="1" t="s">
        <v>2883</v>
      </c>
      <c r="B2900" t="s">
        <v>6247</v>
      </c>
      <c r="F2900" t="s">
        <v>10298</v>
      </c>
      <c r="G2900">
        <v>1061</v>
      </c>
      <c r="H2900" t="s">
        <v>10311</v>
      </c>
      <c r="I2900" t="s">
        <v>10323</v>
      </c>
      <c r="L2900">
        <v>1976</v>
      </c>
      <c r="N2900">
        <v>51.207959000000002</v>
      </c>
      <c r="P2900">
        <v>-3.1301730000000001</v>
      </c>
      <c r="Q2900" t="s">
        <v>10812</v>
      </c>
      <c r="R2900" t="s">
        <v>10311</v>
      </c>
      <c r="W2900" s="2" t="s">
        <v>11203</v>
      </c>
    </row>
    <row r="2901" spans="1:23" hidden="1" x14ac:dyDescent="0.45">
      <c r="A2901" s="1" t="s">
        <v>2884</v>
      </c>
      <c r="B2901" t="s">
        <v>6247</v>
      </c>
      <c r="F2901" t="s">
        <v>10298</v>
      </c>
      <c r="G2901">
        <v>1020</v>
      </c>
      <c r="H2901" t="s">
        <v>10311</v>
      </c>
      <c r="I2901" t="s">
        <v>10323</v>
      </c>
      <c r="L2901">
        <v>1976</v>
      </c>
      <c r="N2901">
        <v>55.722771999999999</v>
      </c>
      <c r="P2901">
        <v>-4.8910780000000003</v>
      </c>
      <c r="Q2901" t="s">
        <v>10813</v>
      </c>
      <c r="R2901" t="s">
        <v>10311</v>
      </c>
      <c r="W2901" s="2" t="s">
        <v>11203</v>
      </c>
    </row>
    <row r="2902" spans="1:23" hidden="1" x14ac:dyDescent="0.45">
      <c r="A2902" s="1" t="s">
        <v>2885</v>
      </c>
      <c r="B2902" t="s">
        <v>6247</v>
      </c>
      <c r="F2902" t="s">
        <v>10298</v>
      </c>
      <c r="G2902">
        <v>1223</v>
      </c>
      <c r="H2902" t="s">
        <v>10311</v>
      </c>
      <c r="I2902" t="s">
        <v>10323</v>
      </c>
      <c r="L2902">
        <v>1995</v>
      </c>
      <c r="N2902">
        <v>52.215110000000003</v>
      </c>
      <c r="P2902">
        <v>1.6201300000000001</v>
      </c>
      <c r="Q2902" t="s">
        <v>10814</v>
      </c>
      <c r="R2902" t="s">
        <v>10311</v>
      </c>
      <c r="W2902" s="2" t="s">
        <v>11203</v>
      </c>
    </row>
    <row r="2903" spans="1:23" hidden="1" x14ac:dyDescent="0.45">
      <c r="A2903" s="1" t="s">
        <v>2886</v>
      </c>
      <c r="B2903" t="s">
        <v>6247</v>
      </c>
      <c r="F2903" t="s">
        <v>10298</v>
      </c>
      <c r="G2903">
        <v>1250</v>
      </c>
      <c r="H2903" t="s">
        <v>10311</v>
      </c>
      <c r="I2903" t="s">
        <v>10323</v>
      </c>
      <c r="L2903">
        <v>1988</v>
      </c>
      <c r="N2903">
        <v>55.967523</v>
      </c>
      <c r="P2903">
        <v>-2.4070589999999998</v>
      </c>
      <c r="Q2903" t="s">
        <v>10815</v>
      </c>
      <c r="R2903" t="s">
        <v>10311</v>
      </c>
      <c r="W2903" s="2" t="s">
        <v>11203</v>
      </c>
    </row>
    <row r="2904" spans="1:23" hidden="1" x14ac:dyDescent="0.45">
      <c r="A2904" s="1" t="s">
        <v>2887</v>
      </c>
      <c r="B2904" t="s">
        <v>6248</v>
      </c>
      <c r="F2904" t="s">
        <v>10298</v>
      </c>
      <c r="G2904">
        <v>140</v>
      </c>
      <c r="H2904" t="s">
        <v>10313</v>
      </c>
      <c r="L2904">
        <v>1996</v>
      </c>
      <c r="N2904">
        <v>50.395018999999998</v>
      </c>
      <c r="P2904">
        <v>-4.8991730000000002</v>
      </c>
      <c r="Q2904" t="s">
        <v>10816</v>
      </c>
      <c r="R2904" t="s">
        <v>11037</v>
      </c>
      <c r="S2904" t="s">
        <v>10313</v>
      </c>
      <c r="W2904" s="2" t="s">
        <v>11203</v>
      </c>
    </row>
    <row r="2905" spans="1:23" hidden="1" x14ac:dyDescent="0.45">
      <c r="A2905" s="1" t="s">
        <v>2888</v>
      </c>
      <c r="B2905" t="s">
        <v>6248</v>
      </c>
      <c r="F2905" t="s">
        <v>10298</v>
      </c>
      <c r="G2905">
        <v>1200</v>
      </c>
      <c r="H2905" t="s">
        <v>10307</v>
      </c>
      <c r="L2905">
        <v>2000</v>
      </c>
      <c r="R2905" t="s">
        <v>11037</v>
      </c>
      <c r="S2905" t="s">
        <v>10307</v>
      </c>
      <c r="W2905" s="2" t="s">
        <v>11203</v>
      </c>
    </row>
    <row r="2906" spans="1:23" hidden="1" x14ac:dyDescent="0.45">
      <c r="A2906" s="1" t="s">
        <v>2889</v>
      </c>
      <c r="B2906" t="s">
        <v>6249</v>
      </c>
      <c r="F2906" t="s">
        <v>10298</v>
      </c>
      <c r="G2906">
        <v>1800</v>
      </c>
      <c r="H2906" t="s">
        <v>10310</v>
      </c>
      <c r="L2906">
        <v>1984</v>
      </c>
      <c r="N2906">
        <v>53.118743999999992</v>
      </c>
      <c r="P2906">
        <v>-4.1136239999999997</v>
      </c>
      <c r="Q2906" t="s">
        <v>10817</v>
      </c>
      <c r="R2906" t="s">
        <v>11038</v>
      </c>
      <c r="S2906" t="s">
        <v>10310</v>
      </c>
      <c r="W2906" s="2" t="s">
        <v>11203</v>
      </c>
    </row>
    <row r="2907" spans="1:23" hidden="1" x14ac:dyDescent="0.45">
      <c r="A2907" s="1" t="s">
        <v>2890</v>
      </c>
      <c r="B2907" t="s">
        <v>6249</v>
      </c>
      <c r="F2907" t="s">
        <v>10298</v>
      </c>
      <c r="G2907">
        <v>360</v>
      </c>
      <c r="H2907" t="s">
        <v>10310</v>
      </c>
      <c r="L2907">
        <v>1963</v>
      </c>
      <c r="N2907">
        <v>52.980784999999997</v>
      </c>
      <c r="P2907">
        <v>-3.9687079999999999</v>
      </c>
      <c r="Q2907" t="s">
        <v>10818</v>
      </c>
      <c r="R2907" t="s">
        <v>11038</v>
      </c>
      <c r="S2907" t="s">
        <v>10310</v>
      </c>
      <c r="W2907" s="2" t="s">
        <v>11203</v>
      </c>
    </row>
    <row r="2908" spans="1:23" hidden="1" x14ac:dyDescent="0.45">
      <c r="A2908" s="1" t="s">
        <v>2891</v>
      </c>
      <c r="B2908" t="s">
        <v>6250</v>
      </c>
      <c r="F2908" t="s">
        <v>10298</v>
      </c>
      <c r="G2908">
        <v>41.5</v>
      </c>
      <c r="H2908" t="s">
        <v>10309</v>
      </c>
      <c r="L2908">
        <v>1998</v>
      </c>
      <c r="N2908">
        <v>52.447735999999999</v>
      </c>
      <c r="P2908">
        <v>0.72460200000000008</v>
      </c>
      <c r="R2908" t="s">
        <v>11038</v>
      </c>
      <c r="S2908" t="s">
        <v>10317</v>
      </c>
      <c r="T2908" t="s">
        <v>10309</v>
      </c>
      <c r="W2908" s="2" t="s">
        <v>11203</v>
      </c>
    </row>
    <row r="2909" spans="1:23" hidden="1" x14ac:dyDescent="0.45">
      <c r="A2909" s="1" t="s">
        <v>2892</v>
      </c>
      <c r="B2909" t="s">
        <v>6250</v>
      </c>
      <c r="F2909" t="s">
        <v>10298</v>
      </c>
      <c r="G2909">
        <v>16.7</v>
      </c>
      <c r="H2909" t="s">
        <v>10309</v>
      </c>
      <c r="L2909">
        <v>1993</v>
      </c>
      <c r="N2909">
        <v>53.622768000000008</v>
      </c>
      <c r="P2909">
        <v>-0.70057899999999995</v>
      </c>
      <c r="R2909" t="s">
        <v>11038</v>
      </c>
      <c r="S2909" t="s">
        <v>10317</v>
      </c>
      <c r="T2909" t="s">
        <v>10309</v>
      </c>
      <c r="W2909" s="2" t="s">
        <v>11203</v>
      </c>
    </row>
    <row r="2910" spans="1:23" hidden="1" x14ac:dyDescent="0.45">
      <c r="A2910" s="1" t="s">
        <v>2893</v>
      </c>
      <c r="B2910" t="s">
        <v>6250</v>
      </c>
      <c r="F2910" t="s">
        <v>10298</v>
      </c>
      <c r="G2910">
        <v>12.5</v>
      </c>
      <c r="H2910" t="s">
        <v>10309</v>
      </c>
      <c r="L2910">
        <v>2000</v>
      </c>
      <c r="N2910">
        <v>56.168624999999999</v>
      </c>
      <c r="P2910">
        <v>-3.306559</v>
      </c>
      <c r="R2910" t="s">
        <v>11038</v>
      </c>
      <c r="S2910" t="s">
        <v>10317</v>
      </c>
      <c r="T2910" t="s">
        <v>10309</v>
      </c>
      <c r="W2910" s="2" t="s">
        <v>11203</v>
      </c>
    </row>
    <row r="2911" spans="1:23" hidden="1" x14ac:dyDescent="0.45">
      <c r="A2911" s="1" t="s">
        <v>2894</v>
      </c>
      <c r="B2911" t="s">
        <v>6250</v>
      </c>
      <c r="F2911" t="s">
        <v>10298</v>
      </c>
      <c r="G2911">
        <v>14.3</v>
      </c>
      <c r="H2911" t="s">
        <v>10309</v>
      </c>
      <c r="L2911">
        <v>1992</v>
      </c>
      <c r="N2911">
        <v>52.331691999999997</v>
      </c>
      <c r="P2911">
        <v>1.132061</v>
      </c>
      <c r="R2911" t="s">
        <v>11038</v>
      </c>
      <c r="S2911" t="s">
        <v>10317</v>
      </c>
      <c r="T2911" t="s">
        <v>10309</v>
      </c>
      <c r="W2911" s="2" t="s">
        <v>11203</v>
      </c>
    </row>
    <row r="2912" spans="1:23" hidden="1" x14ac:dyDescent="0.45">
      <c r="A2912" s="1" t="s">
        <v>2895</v>
      </c>
      <c r="B2912" t="s">
        <v>6250</v>
      </c>
      <c r="F2912" t="s">
        <v>10298</v>
      </c>
      <c r="G2912">
        <v>40</v>
      </c>
      <c r="H2912" t="s">
        <v>10309</v>
      </c>
      <c r="L2912">
        <v>2001</v>
      </c>
      <c r="R2912" t="s">
        <v>11038</v>
      </c>
      <c r="S2912" t="s">
        <v>10317</v>
      </c>
      <c r="T2912" t="s">
        <v>10309</v>
      </c>
      <c r="W2912" s="2" t="s">
        <v>11203</v>
      </c>
    </row>
    <row r="2913" spans="1:23" hidden="1" x14ac:dyDescent="0.45">
      <c r="A2913" s="1" t="s">
        <v>2896</v>
      </c>
      <c r="B2913" t="s">
        <v>6251</v>
      </c>
      <c r="F2913" t="s">
        <v>10298</v>
      </c>
      <c r="G2913">
        <v>420</v>
      </c>
      <c r="H2913" t="s">
        <v>10309</v>
      </c>
      <c r="L2913">
        <v>2018</v>
      </c>
      <c r="R2913" t="s">
        <v>11038</v>
      </c>
      <c r="S2913" t="s">
        <v>10317</v>
      </c>
      <c r="T2913" t="s">
        <v>10309</v>
      </c>
      <c r="W2913" s="2" t="s">
        <v>11203</v>
      </c>
    </row>
    <row r="2914" spans="1:23" hidden="1" x14ac:dyDescent="0.45">
      <c r="A2914" s="1" t="s">
        <v>2897</v>
      </c>
      <c r="B2914" t="s">
        <v>6251</v>
      </c>
      <c r="F2914" t="s">
        <v>10298</v>
      </c>
      <c r="G2914">
        <v>905</v>
      </c>
      <c r="H2914" t="s">
        <v>10307</v>
      </c>
      <c r="L2914">
        <v>2010</v>
      </c>
      <c r="N2914">
        <v>50.388299000000004</v>
      </c>
      <c r="P2914">
        <v>-4.0108969999999999</v>
      </c>
      <c r="Q2914" t="s">
        <v>10819</v>
      </c>
      <c r="R2914" t="s">
        <v>11037</v>
      </c>
      <c r="S2914" t="s">
        <v>10307</v>
      </c>
      <c r="W2914" s="2" t="s">
        <v>11203</v>
      </c>
    </row>
    <row r="2915" spans="1:23" hidden="1" x14ac:dyDescent="0.45">
      <c r="A2915" s="1" t="s">
        <v>2898</v>
      </c>
      <c r="B2915" t="s">
        <v>6251</v>
      </c>
      <c r="F2915" t="s">
        <v>10298</v>
      </c>
      <c r="G2915">
        <v>1365</v>
      </c>
      <c r="H2915" t="s">
        <v>10307</v>
      </c>
      <c r="L2915">
        <v>1997</v>
      </c>
      <c r="N2915">
        <v>53.602041999999997</v>
      </c>
      <c r="P2915">
        <v>-0.144875</v>
      </c>
      <c r="Q2915" t="s">
        <v>10820</v>
      </c>
      <c r="R2915" t="s">
        <v>11037</v>
      </c>
      <c r="S2915" t="s">
        <v>10307</v>
      </c>
      <c r="W2915" s="2" t="s">
        <v>11203</v>
      </c>
    </row>
    <row r="2916" spans="1:23" hidden="1" x14ac:dyDescent="0.45">
      <c r="A2916" s="1" t="s">
        <v>2899</v>
      </c>
      <c r="B2916" t="s">
        <v>6252</v>
      </c>
      <c r="F2916" t="s">
        <v>10298</v>
      </c>
      <c r="G2916">
        <v>53</v>
      </c>
      <c r="H2916" t="s">
        <v>10313</v>
      </c>
      <c r="L2916">
        <v>1970</v>
      </c>
      <c r="R2916" t="s">
        <v>11037</v>
      </c>
      <c r="S2916" t="s">
        <v>10313</v>
      </c>
      <c r="W2916" s="2" t="s">
        <v>11203</v>
      </c>
    </row>
    <row r="2917" spans="1:23" hidden="1" x14ac:dyDescent="0.45">
      <c r="A2917" s="1" t="s">
        <v>2900</v>
      </c>
      <c r="B2917" t="s">
        <v>6252</v>
      </c>
      <c r="F2917" t="s">
        <v>10298</v>
      </c>
      <c r="G2917">
        <v>910</v>
      </c>
      <c r="H2917" t="s">
        <v>10307</v>
      </c>
      <c r="L2917">
        <v>2016</v>
      </c>
      <c r="R2917" t="s">
        <v>11037</v>
      </c>
      <c r="S2917" t="s">
        <v>10307</v>
      </c>
      <c r="W2917" s="2" t="s">
        <v>11203</v>
      </c>
    </row>
    <row r="2918" spans="1:23" hidden="1" x14ac:dyDescent="0.45">
      <c r="A2918" s="1" t="s">
        <v>2901</v>
      </c>
      <c r="B2918" t="s">
        <v>6252</v>
      </c>
      <c r="F2918" t="s">
        <v>10298</v>
      </c>
      <c r="G2918">
        <v>413</v>
      </c>
      <c r="H2918" t="s">
        <v>10307</v>
      </c>
      <c r="L2918">
        <v>2004</v>
      </c>
      <c r="N2918">
        <v>55.043914000000001</v>
      </c>
      <c r="P2918">
        <v>-7.2498690000000003</v>
      </c>
      <c r="Q2918" t="s">
        <v>10821</v>
      </c>
      <c r="R2918" t="s">
        <v>11037</v>
      </c>
      <c r="S2918" t="s">
        <v>10307</v>
      </c>
      <c r="W2918" s="2" t="s">
        <v>11203</v>
      </c>
    </row>
    <row r="2919" spans="1:23" hidden="1" x14ac:dyDescent="0.45">
      <c r="A2919" s="1" t="s">
        <v>2902</v>
      </c>
      <c r="B2919" t="s">
        <v>6252</v>
      </c>
      <c r="F2919" t="s">
        <v>10298</v>
      </c>
      <c r="G2919">
        <v>407</v>
      </c>
      <c r="H2919" t="s">
        <v>10307</v>
      </c>
      <c r="L2919">
        <v>1994</v>
      </c>
      <c r="N2919">
        <v>52.510804999999998</v>
      </c>
      <c r="P2919">
        <v>-0.68133299999999997</v>
      </c>
      <c r="Q2919" t="s">
        <v>10822</v>
      </c>
      <c r="R2919" t="s">
        <v>11037</v>
      </c>
      <c r="S2919" t="s">
        <v>10307</v>
      </c>
      <c r="W2919" s="2" t="s">
        <v>11203</v>
      </c>
    </row>
    <row r="2920" spans="1:23" hidden="1" x14ac:dyDescent="0.45">
      <c r="A2920" s="1" t="s">
        <v>2903</v>
      </c>
      <c r="B2920" t="s">
        <v>6253</v>
      </c>
      <c r="F2920" t="s">
        <v>10298</v>
      </c>
      <c r="G2920">
        <v>155</v>
      </c>
      <c r="H2920" t="s">
        <v>10307</v>
      </c>
      <c r="L2920">
        <v>1995</v>
      </c>
      <c r="N2920">
        <v>54.418705000000003</v>
      </c>
      <c r="P2920">
        <v>-3.4885630000000001</v>
      </c>
      <c r="Q2920" t="s">
        <v>10823</v>
      </c>
      <c r="R2920" t="s">
        <v>11037</v>
      </c>
      <c r="S2920" t="s">
        <v>10307</v>
      </c>
      <c r="W2920" s="2" t="s">
        <v>11203</v>
      </c>
    </row>
    <row r="2921" spans="1:23" hidden="1" x14ac:dyDescent="0.45">
      <c r="A2921" s="1" t="s">
        <v>2904</v>
      </c>
      <c r="B2921" t="s">
        <v>6254</v>
      </c>
      <c r="F2921" t="s">
        <v>10298</v>
      </c>
      <c r="G2921">
        <v>80</v>
      </c>
      <c r="H2921" t="s">
        <v>10312</v>
      </c>
      <c r="L2921">
        <v>2015</v>
      </c>
      <c r="N2921">
        <v>53.717807999999998</v>
      </c>
      <c r="P2921">
        <v>-1.2816650000000001</v>
      </c>
      <c r="Q2921" t="s">
        <v>10824</v>
      </c>
      <c r="R2921" t="s">
        <v>11037</v>
      </c>
      <c r="S2921" t="s">
        <v>10312</v>
      </c>
      <c r="W2921" s="2" t="s">
        <v>11203</v>
      </c>
    </row>
    <row r="2922" spans="1:23" hidden="1" x14ac:dyDescent="0.45">
      <c r="A2922" s="1" t="s">
        <v>2905</v>
      </c>
      <c r="B2922" t="s">
        <v>6255</v>
      </c>
      <c r="F2922" t="s">
        <v>10298</v>
      </c>
      <c r="G2922">
        <v>800</v>
      </c>
      <c r="H2922" t="s">
        <v>10307</v>
      </c>
      <c r="L2922">
        <v>2002</v>
      </c>
      <c r="N2922">
        <v>51.512380999999998</v>
      </c>
      <c r="P2922">
        <v>0.50726199999999999</v>
      </c>
      <c r="Q2922" t="s">
        <v>10825</v>
      </c>
      <c r="R2922" t="s">
        <v>11037</v>
      </c>
      <c r="S2922" t="s">
        <v>10307</v>
      </c>
      <c r="W2922" s="2" t="s">
        <v>11203</v>
      </c>
    </row>
    <row r="2923" spans="1:23" hidden="1" x14ac:dyDescent="0.45">
      <c r="A2923" s="1" t="s">
        <v>2906</v>
      </c>
      <c r="B2923" t="s">
        <v>6255</v>
      </c>
      <c r="F2923" t="s">
        <v>10298</v>
      </c>
      <c r="G2923">
        <v>810</v>
      </c>
      <c r="H2923" t="s">
        <v>10307</v>
      </c>
      <c r="L2923">
        <v>1998</v>
      </c>
      <c r="N2923">
        <v>53.315437000000003</v>
      </c>
      <c r="P2923">
        <v>-2.7254239999999998</v>
      </c>
      <c r="Q2923" t="s">
        <v>10826</v>
      </c>
      <c r="R2923" t="s">
        <v>11037</v>
      </c>
      <c r="S2923" t="s">
        <v>10307</v>
      </c>
      <c r="W2923" s="2" t="s">
        <v>11203</v>
      </c>
    </row>
    <row r="2924" spans="1:23" hidden="1" x14ac:dyDescent="0.45">
      <c r="A2924" s="1" t="s">
        <v>2907</v>
      </c>
      <c r="B2924" t="s">
        <v>6255</v>
      </c>
      <c r="F2924" t="s">
        <v>10298</v>
      </c>
      <c r="G2924">
        <v>950</v>
      </c>
      <c r="H2924" t="s">
        <v>10307</v>
      </c>
      <c r="L2924">
        <v>2004</v>
      </c>
      <c r="N2924">
        <v>52.806845000000003</v>
      </c>
      <c r="P2924">
        <v>-0.13327600000000001</v>
      </c>
      <c r="Q2924" t="s">
        <v>10827</v>
      </c>
      <c r="R2924" t="s">
        <v>11037</v>
      </c>
      <c r="S2924" t="s">
        <v>10307</v>
      </c>
      <c r="W2924" s="2" t="s">
        <v>11203</v>
      </c>
    </row>
    <row r="2925" spans="1:23" hidden="1" x14ac:dyDescent="0.45">
      <c r="A2925" s="1" t="s">
        <v>2908</v>
      </c>
      <c r="B2925" t="s">
        <v>6256</v>
      </c>
      <c r="F2925" t="s">
        <v>10298</v>
      </c>
      <c r="G2925">
        <v>50</v>
      </c>
      <c r="H2925" t="s">
        <v>10312</v>
      </c>
      <c r="L2925">
        <v>1970</v>
      </c>
      <c r="N2925">
        <v>51.616568000000001</v>
      </c>
      <c r="P2925">
        <v>-4.1140999999999997E-2</v>
      </c>
      <c r="R2925" t="s">
        <v>11037</v>
      </c>
      <c r="S2925" t="s">
        <v>10312</v>
      </c>
      <c r="W2925" s="2" t="s">
        <v>11203</v>
      </c>
    </row>
    <row r="2926" spans="1:23" hidden="1" x14ac:dyDescent="0.45">
      <c r="A2926" s="1" t="s">
        <v>2909</v>
      </c>
      <c r="B2926" t="s">
        <v>6257</v>
      </c>
      <c r="F2926" t="s">
        <v>10298</v>
      </c>
      <c r="G2926">
        <v>35.299999999999997</v>
      </c>
      <c r="H2926" t="s">
        <v>10310</v>
      </c>
      <c r="L2926">
        <v>1928</v>
      </c>
      <c r="N2926">
        <v>52.935868000000013</v>
      </c>
      <c r="P2926">
        <v>-4.0034890000000001</v>
      </c>
      <c r="R2926" t="s">
        <v>11038</v>
      </c>
      <c r="S2926" t="s">
        <v>10310</v>
      </c>
      <c r="W2926" s="2" t="s">
        <v>11203</v>
      </c>
    </row>
    <row r="2927" spans="1:23" hidden="1" x14ac:dyDescent="0.45">
      <c r="A2927" s="1" t="s">
        <v>2910</v>
      </c>
      <c r="B2927" t="s">
        <v>6258</v>
      </c>
      <c r="F2927" t="s">
        <v>10298</v>
      </c>
      <c r="G2927">
        <v>898</v>
      </c>
      <c r="H2927" t="s">
        <v>10307</v>
      </c>
      <c r="L2927">
        <v>2009</v>
      </c>
      <c r="N2927">
        <v>50.899566999999998</v>
      </c>
      <c r="P2927">
        <v>-1.4380900000000001</v>
      </c>
      <c r="Q2927" t="s">
        <v>10828</v>
      </c>
      <c r="R2927" t="s">
        <v>11037</v>
      </c>
      <c r="S2927" t="s">
        <v>10307</v>
      </c>
      <c r="W2927" s="2" t="s">
        <v>11203</v>
      </c>
    </row>
    <row r="2928" spans="1:23" hidden="1" x14ac:dyDescent="0.45">
      <c r="A2928" s="1" t="s">
        <v>2911</v>
      </c>
      <c r="B2928" t="s">
        <v>6259</v>
      </c>
      <c r="F2928" t="s">
        <v>10298</v>
      </c>
      <c r="G2928">
        <v>80</v>
      </c>
      <c r="H2928" t="s">
        <v>10312</v>
      </c>
      <c r="L2928">
        <v>2011</v>
      </c>
      <c r="R2928" t="s">
        <v>11037</v>
      </c>
      <c r="S2928" t="s">
        <v>10312</v>
      </c>
      <c r="W2928" s="2" t="s">
        <v>11203</v>
      </c>
    </row>
    <row r="2929" spans="1:23" hidden="1" x14ac:dyDescent="0.45">
      <c r="A2929" s="1" t="s">
        <v>2912</v>
      </c>
      <c r="B2929" t="s">
        <v>6260</v>
      </c>
      <c r="F2929" t="s">
        <v>10298</v>
      </c>
      <c r="G2929">
        <v>65</v>
      </c>
      <c r="H2929" t="s">
        <v>10309</v>
      </c>
      <c r="L2929">
        <v>2014</v>
      </c>
      <c r="R2929" t="s">
        <v>11038</v>
      </c>
      <c r="S2929" t="s">
        <v>10317</v>
      </c>
      <c r="T2929" t="s">
        <v>10309</v>
      </c>
      <c r="W2929" s="2" t="s">
        <v>11203</v>
      </c>
    </row>
    <row r="2930" spans="1:23" hidden="1" x14ac:dyDescent="0.45">
      <c r="A2930" s="1" t="s">
        <v>2913</v>
      </c>
      <c r="B2930" t="s">
        <v>6260</v>
      </c>
      <c r="F2930" t="s">
        <v>10298</v>
      </c>
      <c r="G2930">
        <v>1559</v>
      </c>
      <c r="H2930" t="s">
        <v>10314</v>
      </c>
      <c r="L2930">
        <v>1971</v>
      </c>
      <c r="N2930">
        <v>51.387471000000012</v>
      </c>
      <c r="P2930">
        <v>-3.4066519999999998</v>
      </c>
      <c r="Q2930" t="s">
        <v>10829</v>
      </c>
      <c r="R2930" t="s">
        <v>11037</v>
      </c>
      <c r="S2930" t="s">
        <v>10314</v>
      </c>
      <c r="W2930" s="2" t="s">
        <v>11203</v>
      </c>
    </row>
    <row r="2931" spans="1:23" hidden="1" x14ac:dyDescent="0.45">
      <c r="A2931" s="1" t="s">
        <v>2914</v>
      </c>
      <c r="B2931" t="s">
        <v>6260</v>
      </c>
      <c r="F2931" t="s">
        <v>10298</v>
      </c>
      <c r="G2931">
        <v>51</v>
      </c>
      <c r="H2931" t="s">
        <v>10313</v>
      </c>
      <c r="L2931">
        <v>1971</v>
      </c>
      <c r="N2931">
        <v>51.387471000000012</v>
      </c>
      <c r="P2931">
        <v>-3.4066519999999998</v>
      </c>
      <c r="Q2931" t="s">
        <v>10830</v>
      </c>
      <c r="R2931" t="s">
        <v>11037</v>
      </c>
      <c r="S2931" t="s">
        <v>10313</v>
      </c>
      <c r="W2931" s="2" t="s">
        <v>11203</v>
      </c>
    </row>
    <row r="2932" spans="1:23" hidden="1" x14ac:dyDescent="0.45">
      <c r="A2932" s="1" t="s">
        <v>2915</v>
      </c>
      <c r="B2932" t="s">
        <v>6260</v>
      </c>
      <c r="F2932" t="s">
        <v>10298</v>
      </c>
      <c r="G2932">
        <v>140</v>
      </c>
      <c r="H2932" t="s">
        <v>10313</v>
      </c>
      <c r="L2932">
        <v>1982</v>
      </c>
      <c r="N2932">
        <v>50.746935000000001</v>
      </c>
      <c r="P2932">
        <v>-1.286168</v>
      </c>
      <c r="Q2932" t="s">
        <v>10831</v>
      </c>
      <c r="R2932" t="s">
        <v>11037</v>
      </c>
      <c r="S2932" t="s">
        <v>10313</v>
      </c>
      <c r="W2932" s="2" t="s">
        <v>11203</v>
      </c>
    </row>
    <row r="2933" spans="1:23" hidden="1" x14ac:dyDescent="0.45">
      <c r="A2933" s="1" t="s">
        <v>2916</v>
      </c>
      <c r="B2933" t="s">
        <v>6260</v>
      </c>
      <c r="F2933" t="s">
        <v>10298</v>
      </c>
      <c r="G2933">
        <v>100</v>
      </c>
      <c r="H2933" t="s">
        <v>10313</v>
      </c>
      <c r="L2933">
        <v>1972</v>
      </c>
      <c r="N2933">
        <v>51.6248</v>
      </c>
      <c r="P2933">
        <v>-1.268305</v>
      </c>
      <c r="Q2933" t="s">
        <v>10832</v>
      </c>
      <c r="R2933" t="s">
        <v>11037</v>
      </c>
      <c r="S2933" t="s">
        <v>10313</v>
      </c>
      <c r="W2933" s="2" t="s">
        <v>11203</v>
      </c>
    </row>
    <row r="2934" spans="1:23" hidden="1" x14ac:dyDescent="0.45">
      <c r="A2934" s="1" t="s">
        <v>2917</v>
      </c>
      <c r="B2934" t="s">
        <v>6260</v>
      </c>
      <c r="F2934" t="s">
        <v>10298</v>
      </c>
      <c r="G2934">
        <v>17</v>
      </c>
      <c r="H2934" t="s">
        <v>10313</v>
      </c>
      <c r="L2934">
        <v>2006</v>
      </c>
      <c r="N2934">
        <v>52.204863000000003</v>
      </c>
      <c r="P2934">
        <v>-0.269038</v>
      </c>
      <c r="Q2934" t="s">
        <v>10833</v>
      </c>
      <c r="R2934" t="s">
        <v>11037</v>
      </c>
      <c r="S2934" t="s">
        <v>10313</v>
      </c>
      <c r="W2934" s="2" t="s">
        <v>11203</v>
      </c>
    </row>
    <row r="2935" spans="1:23" hidden="1" x14ac:dyDescent="0.45">
      <c r="A2935" s="1" t="s">
        <v>2918</v>
      </c>
      <c r="B2935" t="s">
        <v>6260</v>
      </c>
      <c r="F2935" t="s">
        <v>10298</v>
      </c>
      <c r="G2935">
        <v>0.6</v>
      </c>
      <c r="H2935" t="s">
        <v>10310</v>
      </c>
      <c r="L2935">
        <v>2000</v>
      </c>
      <c r="N2935">
        <v>56.424849999999999</v>
      </c>
      <c r="P2935">
        <v>-4.6712360000000004</v>
      </c>
      <c r="R2935" t="s">
        <v>11038</v>
      </c>
      <c r="S2935" t="s">
        <v>10310</v>
      </c>
      <c r="W2935" s="2" t="s">
        <v>11203</v>
      </c>
    </row>
    <row r="2936" spans="1:23" hidden="1" x14ac:dyDescent="0.45">
      <c r="A2936" s="1" t="s">
        <v>2919</v>
      </c>
      <c r="B2936" t="s">
        <v>6260</v>
      </c>
      <c r="F2936" t="s">
        <v>10298</v>
      </c>
      <c r="G2936">
        <v>3.5</v>
      </c>
      <c r="H2936" t="s">
        <v>10310</v>
      </c>
      <c r="L2936">
        <v>2012</v>
      </c>
      <c r="N2936">
        <v>57.696841999999997</v>
      </c>
      <c r="P2936">
        <v>-4.4573130000000001</v>
      </c>
      <c r="R2936" t="s">
        <v>11038</v>
      </c>
      <c r="S2936" t="s">
        <v>10310</v>
      </c>
      <c r="W2936" s="2" t="s">
        <v>11203</v>
      </c>
    </row>
    <row r="2937" spans="1:23" hidden="1" x14ac:dyDescent="0.45">
      <c r="A2937" s="1" t="s">
        <v>2920</v>
      </c>
      <c r="B2937" t="s">
        <v>6260</v>
      </c>
      <c r="F2937" t="s">
        <v>10298</v>
      </c>
      <c r="G2937">
        <v>0.6</v>
      </c>
      <c r="H2937" t="s">
        <v>10310</v>
      </c>
      <c r="L2937">
        <v>1995</v>
      </c>
      <c r="N2937">
        <v>55.801128000000013</v>
      </c>
      <c r="P2937">
        <v>-4.0826440000000002</v>
      </c>
      <c r="R2937" t="s">
        <v>11038</v>
      </c>
      <c r="S2937" t="s">
        <v>10310</v>
      </c>
      <c r="W2937" s="2" t="s">
        <v>11203</v>
      </c>
    </row>
    <row r="2938" spans="1:23" hidden="1" x14ac:dyDescent="0.45">
      <c r="A2938" s="1" t="s">
        <v>2921</v>
      </c>
      <c r="B2938" t="s">
        <v>6260</v>
      </c>
      <c r="F2938" t="s">
        <v>10298</v>
      </c>
      <c r="G2938">
        <v>2.2999999999999998</v>
      </c>
      <c r="H2938" t="s">
        <v>10310</v>
      </c>
      <c r="L2938">
        <v>2005</v>
      </c>
      <c r="N2938">
        <v>56.214789000000003</v>
      </c>
      <c r="P2938">
        <v>-5.2937849999999997</v>
      </c>
      <c r="R2938" t="s">
        <v>11038</v>
      </c>
      <c r="S2938" t="s">
        <v>10310</v>
      </c>
      <c r="W2938" s="2" t="s">
        <v>11203</v>
      </c>
    </row>
    <row r="2939" spans="1:23" hidden="1" x14ac:dyDescent="0.45">
      <c r="A2939" s="1" t="s">
        <v>2922</v>
      </c>
      <c r="B2939" t="s">
        <v>6260</v>
      </c>
      <c r="F2939" t="s">
        <v>10298</v>
      </c>
      <c r="G2939">
        <v>1.4</v>
      </c>
      <c r="H2939" t="s">
        <v>10310</v>
      </c>
      <c r="L2939">
        <v>2009</v>
      </c>
      <c r="N2939">
        <v>56.687854000000002</v>
      </c>
      <c r="P2939">
        <v>-5.5163500000000001</v>
      </c>
      <c r="R2939" t="s">
        <v>11038</v>
      </c>
      <c r="S2939" t="s">
        <v>10310</v>
      </c>
      <c r="W2939" s="2" t="s">
        <v>11203</v>
      </c>
    </row>
    <row r="2940" spans="1:23" hidden="1" x14ac:dyDescent="0.45">
      <c r="A2940" s="1" t="s">
        <v>2923</v>
      </c>
      <c r="B2940" t="s">
        <v>6260</v>
      </c>
      <c r="F2940" t="s">
        <v>10298</v>
      </c>
      <c r="G2940">
        <v>3</v>
      </c>
      <c r="H2940" t="s">
        <v>10310</v>
      </c>
      <c r="L2940">
        <v>2016</v>
      </c>
      <c r="R2940" t="s">
        <v>11038</v>
      </c>
      <c r="S2940" t="s">
        <v>10310</v>
      </c>
      <c r="W2940" s="2" t="s">
        <v>11203</v>
      </c>
    </row>
    <row r="2941" spans="1:23" hidden="1" x14ac:dyDescent="0.45">
      <c r="A2941" s="1" t="s">
        <v>2924</v>
      </c>
      <c r="B2941" t="s">
        <v>6260</v>
      </c>
      <c r="F2941" t="s">
        <v>10298</v>
      </c>
      <c r="G2941">
        <v>0.5</v>
      </c>
      <c r="H2941" t="s">
        <v>10310</v>
      </c>
      <c r="L2941">
        <v>1999</v>
      </c>
      <c r="N2941">
        <v>52.984633000000002</v>
      </c>
      <c r="P2941">
        <v>-4.032915</v>
      </c>
      <c r="R2941" t="s">
        <v>11038</v>
      </c>
      <c r="S2941" t="s">
        <v>10310</v>
      </c>
      <c r="W2941" s="2" t="s">
        <v>11203</v>
      </c>
    </row>
    <row r="2942" spans="1:23" hidden="1" x14ac:dyDescent="0.45">
      <c r="A2942" s="1" t="s">
        <v>2925</v>
      </c>
      <c r="B2942" t="s">
        <v>6260</v>
      </c>
      <c r="F2942" t="s">
        <v>10298</v>
      </c>
      <c r="G2942">
        <v>9.9</v>
      </c>
      <c r="H2942" t="s">
        <v>10310</v>
      </c>
      <c r="L2942">
        <v>2002</v>
      </c>
      <c r="N2942">
        <v>53.066246999999997</v>
      </c>
      <c r="P2942">
        <v>-4.0114300000000007</v>
      </c>
      <c r="R2942" t="s">
        <v>11038</v>
      </c>
      <c r="S2942" t="s">
        <v>10310</v>
      </c>
      <c r="W2942" s="2" t="s">
        <v>11203</v>
      </c>
    </row>
    <row r="2943" spans="1:23" hidden="1" x14ac:dyDescent="0.45">
      <c r="A2943" s="1" t="s">
        <v>2926</v>
      </c>
      <c r="B2943" t="s">
        <v>6260</v>
      </c>
      <c r="F2943" t="s">
        <v>10298</v>
      </c>
      <c r="G2943">
        <v>17</v>
      </c>
      <c r="H2943" t="s">
        <v>10310</v>
      </c>
      <c r="L2943">
        <v>2002</v>
      </c>
      <c r="N2943">
        <v>53.191512000000003</v>
      </c>
      <c r="P2943">
        <v>-3.842965</v>
      </c>
      <c r="R2943" t="s">
        <v>11038</v>
      </c>
      <c r="S2943" t="s">
        <v>10310</v>
      </c>
      <c r="W2943" s="2" t="s">
        <v>11203</v>
      </c>
    </row>
    <row r="2944" spans="1:23" hidden="1" x14ac:dyDescent="0.45">
      <c r="A2944" s="1" t="s">
        <v>2927</v>
      </c>
      <c r="B2944" t="s">
        <v>6260</v>
      </c>
      <c r="F2944" t="s">
        <v>10298</v>
      </c>
      <c r="G2944">
        <v>15</v>
      </c>
      <c r="H2944" t="s">
        <v>10310</v>
      </c>
      <c r="L2944">
        <v>2002</v>
      </c>
      <c r="N2944">
        <v>53.191512000000003</v>
      </c>
      <c r="P2944">
        <v>-3.842965</v>
      </c>
      <c r="R2944" t="s">
        <v>11038</v>
      </c>
      <c r="S2944" t="s">
        <v>10310</v>
      </c>
      <c r="W2944" s="2" t="s">
        <v>11203</v>
      </c>
    </row>
    <row r="2945" spans="1:23" hidden="1" x14ac:dyDescent="0.45">
      <c r="A2945" s="1" t="s">
        <v>2928</v>
      </c>
      <c r="B2945" t="s">
        <v>6260</v>
      </c>
      <c r="F2945" t="s">
        <v>10298</v>
      </c>
      <c r="G2945">
        <v>3</v>
      </c>
      <c r="H2945" t="s">
        <v>10310</v>
      </c>
      <c r="L2945">
        <v>2008</v>
      </c>
      <c r="N2945">
        <v>56.201766999999997</v>
      </c>
      <c r="P2945">
        <v>-5.1378469999999998</v>
      </c>
      <c r="R2945" t="s">
        <v>11038</v>
      </c>
      <c r="S2945" t="s">
        <v>10310</v>
      </c>
      <c r="W2945" s="2" t="s">
        <v>11203</v>
      </c>
    </row>
    <row r="2946" spans="1:23" hidden="1" x14ac:dyDescent="0.45">
      <c r="A2946" s="1" t="s">
        <v>2929</v>
      </c>
      <c r="B2946" t="s">
        <v>6260</v>
      </c>
      <c r="F2946" t="s">
        <v>10298</v>
      </c>
      <c r="G2946">
        <v>0.5</v>
      </c>
      <c r="H2946" t="s">
        <v>10310</v>
      </c>
      <c r="L2946">
        <v>1998</v>
      </c>
      <c r="N2946">
        <v>53.189770000000003</v>
      </c>
      <c r="P2946">
        <v>-3.911098</v>
      </c>
      <c r="R2946" t="s">
        <v>11038</v>
      </c>
      <c r="S2946" t="s">
        <v>10310</v>
      </c>
      <c r="W2946" s="2" t="s">
        <v>11203</v>
      </c>
    </row>
    <row r="2947" spans="1:23" hidden="1" x14ac:dyDescent="0.45">
      <c r="A2947" s="1" t="s">
        <v>2930</v>
      </c>
      <c r="B2947" t="s">
        <v>6260</v>
      </c>
      <c r="F2947" t="s">
        <v>10298</v>
      </c>
      <c r="G2947">
        <v>0.6</v>
      </c>
      <c r="H2947" t="s">
        <v>10310</v>
      </c>
      <c r="L2947">
        <v>1990</v>
      </c>
      <c r="N2947">
        <v>53.044496000000002</v>
      </c>
      <c r="P2947">
        <v>-3.9217949999999999</v>
      </c>
      <c r="R2947" t="s">
        <v>11038</v>
      </c>
      <c r="S2947" t="s">
        <v>10310</v>
      </c>
      <c r="W2947" s="2" t="s">
        <v>11203</v>
      </c>
    </row>
    <row r="2948" spans="1:23" hidden="1" x14ac:dyDescent="0.45">
      <c r="A2948" s="1" t="s">
        <v>2931</v>
      </c>
      <c r="B2948" t="s">
        <v>6260</v>
      </c>
      <c r="F2948" t="s">
        <v>10298</v>
      </c>
      <c r="G2948">
        <v>2.4</v>
      </c>
      <c r="H2948" t="s">
        <v>10310</v>
      </c>
      <c r="L2948">
        <v>2005</v>
      </c>
      <c r="N2948">
        <v>57.185429000000013</v>
      </c>
      <c r="P2948">
        <v>-4.4823209999999998</v>
      </c>
      <c r="R2948" t="s">
        <v>11038</v>
      </c>
      <c r="S2948" t="s">
        <v>10310</v>
      </c>
      <c r="W2948" s="2" t="s">
        <v>11203</v>
      </c>
    </row>
    <row r="2949" spans="1:23" hidden="1" x14ac:dyDescent="0.45">
      <c r="A2949" s="1" t="s">
        <v>2932</v>
      </c>
      <c r="B2949" t="s">
        <v>6260</v>
      </c>
      <c r="F2949" t="s">
        <v>10298</v>
      </c>
      <c r="G2949">
        <v>0.8</v>
      </c>
      <c r="H2949" t="s">
        <v>10310</v>
      </c>
      <c r="L2949">
        <v>2002</v>
      </c>
      <c r="N2949">
        <v>57.058664999999998</v>
      </c>
      <c r="P2949">
        <v>-5.0184879999999996</v>
      </c>
      <c r="R2949" t="s">
        <v>11038</v>
      </c>
      <c r="S2949" t="s">
        <v>10310</v>
      </c>
      <c r="W2949" s="2" t="s">
        <v>11203</v>
      </c>
    </row>
    <row r="2950" spans="1:23" hidden="1" x14ac:dyDescent="0.45">
      <c r="A2950" s="1" t="s">
        <v>2933</v>
      </c>
      <c r="B2950" t="s">
        <v>6260</v>
      </c>
      <c r="F2950" t="s">
        <v>10298</v>
      </c>
      <c r="G2950">
        <v>0.9</v>
      </c>
      <c r="H2950" t="s">
        <v>10310</v>
      </c>
      <c r="L2950">
        <v>2000</v>
      </c>
      <c r="N2950">
        <v>56.688026000000001</v>
      </c>
      <c r="P2950">
        <v>-5.4866609999999998</v>
      </c>
      <c r="R2950" t="s">
        <v>11038</v>
      </c>
      <c r="S2950" t="s">
        <v>10310</v>
      </c>
      <c r="W2950" s="2" t="s">
        <v>11203</v>
      </c>
    </row>
    <row r="2951" spans="1:23" hidden="1" x14ac:dyDescent="0.45">
      <c r="A2951" s="1" t="s">
        <v>2934</v>
      </c>
      <c r="B2951" t="s">
        <v>6260</v>
      </c>
      <c r="F2951" t="s">
        <v>10298</v>
      </c>
      <c r="G2951">
        <v>2</v>
      </c>
      <c r="H2951" t="s">
        <v>10310</v>
      </c>
      <c r="L2951">
        <v>2017</v>
      </c>
      <c r="R2951" t="s">
        <v>11038</v>
      </c>
      <c r="S2951" t="s">
        <v>10310</v>
      </c>
      <c r="W2951" s="2" t="s">
        <v>11203</v>
      </c>
    </row>
    <row r="2952" spans="1:23" hidden="1" x14ac:dyDescent="0.45">
      <c r="A2952" s="1" t="s">
        <v>2935</v>
      </c>
      <c r="B2952" t="s">
        <v>6260</v>
      </c>
      <c r="F2952" t="s">
        <v>10298</v>
      </c>
      <c r="G2952">
        <v>1</v>
      </c>
      <c r="H2952" t="s">
        <v>10310</v>
      </c>
      <c r="L2952">
        <v>2006</v>
      </c>
      <c r="R2952" t="s">
        <v>11038</v>
      </c>
      <c r="S2952" t="s">
        <v>10310</v>
      </c>
      <c r="W2952" s="2" t="s">
        <v>11203</v>
      </c>
    </row>
    <row r="2953" spans="1:23" hidden="1" x14ac:dyDescent="0.45">
      <c r="A2953" s="1" t="s">
        <v>2936</v>
      </c>
      <c r="B2953" t="s">
        <v>6260</v>
      </c>
      <c r="F2953" t="s">
        <v>10298</v>
      </c>
      <c r="G2953">
        <v>2.5</v>
      </c>
      <c r="H2953" t="s">
        <v>10310</v>
      </c>
      <c r="L2953">
        <v>2009</v>
      </c>
      <c r="N2953">
        <v>57.821874999999999</v>
      </c>
      <c r="P2953">
        <v>-5.0500579999999999</v>
      </c>
      <c r="R2953" t="s">
        <v>11038</v>
      </c>
      <c r="S2953" t="s">
        <v>10310</v>
      </c>
      <c r="W2953" s="2" t="s">
        <v>11203</v>
      </c>
    </row>
    <row r="2954" spans="1:23" hidden="1" x14ac:dyDescent="0.45">
      <c r="A2954" s="1" t="s">
        <v>2937</v>
      </c>
      <c r="B2954" t="s">
        <v>6260</v>
      </c>
      <c r="F2954" t="s">
        <v>10298</v>
      </c>
      <c r="G2954">
        <v>6</v>
      </c>
      <c r="H2954" t="s">
        <v>10310</v>
      </c>
      <c r="L2954">
        <v>2006</v>
      </c>
      <c r="N2954">
        <v>55.185138999999999</v>
      </c>
      <c r="P2954">
        <v>-2.4577100000000001</v>
      </c>
      <c r="R2954" t="s">
        <v>11038</v>
      </c>
      <c r="S2954" t="s">
        <v>10310</v>
      </c>
      <c r="W2954" s="2" t="s">
        <v>11203</v>
      </c>
    </row>
    <row r="2955" spans="1:23" hidden="1" x14ac:dyDescent="0.45">
      <c r="A2955" s="1" t="s">
        <v>2938</v>
      </c>
      <c r="B2955" t="s">
        <v>6260</v>
      </c>
      <c r="F2955" t="s">
        <v>10298</v>
      </c>
      <c r="G2955">
        <v>4</v>
      </c>
      <c r="H2955" t="s">
        <v>10310</v>
      </c>
      <c r="L2955">
        <v>2013</v>
      </c>
      <c r="N2955">
        <v>58.261209999999998</v>
      </c>
      <c r="P2955">
        <v>-4.9825080000000002</v>
      </c>
      <c r="R2955" t="s">
        <v>11038</v>
      </c>
      <c r="S2955" t="s">
        <v>10310</v>
      </c>
      <c r="W2955" s="2" t="s">
        <v>11203</v>
      </c>
    </row>
    <row r="2956" spans="1:23" hidden="1" x14ac:dyDescent="0.45">
      <c r="A2956" s="1" t="s">
        <v>2939</v>
      </c>
      <c r="B2956" t="s">
        <v>6260</v>
      </c>
      <c r="F2956" t="s">
        <v>10298</v>
      </c>
      <c r="G2956">
        <v>3</v>
      </c>
      <c r="H2956" t="s">
        <v>10310</v>
      </c>
      <c r="L2956">
        <v>2008</v>
      </c>
      <c r="N2956">
        <v>57.214222999999997</v>
      </c>
      <c r="P2956">
        <v>-4.4519580000000003</v>
      </c>
      <c r="R2956" t="s">
        <v>11038</v>
      </c>
      <c r="S2956" t="s">
        <v>10310</v>
      </c>
      <c r="W2956" s="2" t="s">
        <v>11203</v>
      </c>
    </row>
    <row r="2957" spans="1:23" hidden="1" x14ac:dyDescent="0.45">
      <c r="A2957" s="1" t="s">
        <v>2940</v>
      </c>
      <c r="B2957" t="s">
        <v>6260</v>
      </c>
      <c r="F2957" t="s">
        <v>10298</v>
      </c>
      <c r="G2957">
        <v>0.8</v>
      </c>
      <c r="H2957" t="s">
        <v>10310</v>
      </c>
      <c r="L2957">
        <v>2010</v>
      </c>
      <c r="N2957">
        <v>54.585667000000001</v>
      </c>
      <c r="P2957">
        <v>-2.124333</v>
      </c>
      <c r="R2957" t="s">
        <v>11038</v>
      </c>
      <c r="S2957" t="s">
        <v>10310</v>
      </c>
      <c r="W2957" s="2" t="s">
        <v>11203</v>
      </c>
    </row>
    <row r="2958" spans="1:23" hidden="1" x14ac:dyDescent="0.45">
      <c r="A2958" s="1" t="s">
        <v>2941</v>
      </c>
      <c r="B2958" t="s">
        <v>6260</v>
      </c>
      <c r="F2958" t="s">
        <v>10298</v>
      </c>
      <c r="G2958">
        <v>0.8</v>
      </c>
      <c r="H2958" t="s">
        <v>10310</v>
      </c>
      <c r="L2958">
        <v>2003</v>
      </c>
      <c r="N2958">
        <v>56.479236</v>
      </c>
      <c r="P2958">
        <v>-3.4376699999999998</v>
      </c>
      <c r="R2958" t="s">
        <v>11038</v>
      </c>
      <c r="S2958" t="s">
        <v>10310</v>
      </c>
      <c r="W2958" s="2" t="s">
        <v>11203</v>
      </c>
    </row>
    <row r="2959" spans="1:23" hidden="1" x14ac:dyDescent="0.45">
      <c r="A2959" s="1" t="s">
        <v>2942</v>
      </c>
      <c r="B2959" t="s">
        <v>6260</v>
      </c>
      <c r="F2959" t="s">
        <v>10298</v>
      </c>
      <c r="G2959">
        <v>1450</v>
      </c>
      <c r="H2959" t="s">
        <v>10307</v>
      </c>
      <c r="L2959">
        <v>1998</v>
      </c>
      <c r="N2959">
        <v>51.624572999999998</v>
      </c>
      <c r="P2959">
        <v>-1.2664599999999999</v>
      </c>
      <c r="Q2959" t="s">
        <v>10834</v>
      </c>
      <c r="R2959" t="s">
        <v>11037</v>
      </c>
      <c r="S2959" t="s">
        <v>10307</v>
      </c>
      <c r="W2959" s="2" t="s">
        <v>11203</v>
      </c>
    </row>
    <row r="2960" spans="1:23" hidden="1" x14ac:dyDescent="0.45">
      <c r="A2960" s="1" t="s">
        <v>2943</v>
      </c>
      <c r="B2960" t="s">
        <v>6260</v>
      </c>
      <c r="F2960" t="s">
        <v>10298</v>
      </c>
      <c r="G2960">
        <v>420</v>
      </c>
      <c r="H2960" t="s">
        <v>10307</v>
      </c>
      <c r="L2960">
        <v>2001</v>
      </c>
      <c r="N2960">
        <v>52.584074999999999</v>
      </c>
      <c r="P2960">
        <v>1.7336469999999999</v>
      </c>
      <c r="Q2960" t="s">
        <v>10835</v>
      </c>
      <c r="R2960" t="s">
        <v>11037</v>
      </c>
      <c r="S2960" t="s">
        <v>10307</v>
      </c>
      <c r="W2960" s="2" t="s">
        <v>11203</v>
      </c>
    </row>
    <row r="2961" spans="1:23" hidden="1" x14ac:dyDescent="0.45">
      <c r="A2961" s="1" t="s">
        <v>2944</v>
      </c>
      <c r="B2961" t="s">
        <v>6260</v>
      </c>
      <c r="F2961" t="s">
        <v>10298</v>
      </c>
      <c r="G2961">
        <v>723</v>
      </c>
      <c r="H2961" t="s">
        <v>10307</v>
      </c>
      <c r="L2961">
        <v>1995</v>
      </c>
      <c r="N2961">
        <v>52.204863000000003</v>
      </c>
      <c r="P2961">
        <v>-0.269038</v>
      </c>
      <c r="Q2961" t="s">
        <v>10836</v>
      </c>
      <c r="R2961" t="s">
        <v>11037</v>
      </c>
      <c r="S2961" t="s">
        <v>10307</v>
      </c>
      <c r="W2961" s="2" t="s">
        <v>11203</v>
      </c>
    </row>
    <row r="2962" spans="1:23" hidden="1" x14ac:dyDescent="0.45">
      <c r="A2962" s="1" t="s">
        <v>2945</v>
      </c>
      <c r="B2962" t="s">
        <v>6260</v>
      </c>
      <c r="F2962" t="s">
        <v>10298</v>
      </c>
      <c r="G2962">
        <v>2199</v>
      </c>
      <c r="H2962" t="s">
        <v>10307</v>
      </c>
      <c r="L2962">
        <v>2012</v>
      </c>
      <c r="N2962">
        <v>51.684356000000001</v>
      </c>
      <c r="P2962">
        <v>-4.9966980000000003</v>
      </c>
      <c r="Q2962" t="s">
        <v>10837</v>
      </c>
      <c r="R2962" t="s">
        <v>11037</v>
      </c>
      <c r="S2962" t="s">
        <v>10307</v>
      </c>
      <c r="W2962" s="2" t="s">
        <v>11203</v>
      </c>
    </row>
    <row r="2963" spans="1:23" hidden="1" x14ac:dyDescent="0.45">
      <c r="A2963" s="1" t="s">
        <v>2946</v>
      </c>
      <c r="B2963" t="s">
        <v>6260</v>
      </c>
      <c r="F2963" t="s">
        <v>10298</v>
      </c>
      <c r="G2963">
        <v>1772</v>
      </c>
      <c r="H2963" t="s">
        <v>10307</v>
      </c>
      <c r="L2963">
        <v>2010</v>
      </c>
      <c r="N2963">
        <v>53.073731999999993</v>
      </c>
      <c r="P2963">
        <v>-0.85878399999999999</v>
      </c>
      <c r="Q2963" t="s">
        <v>10838</v>
      </c>
      <c r="R2963" t="s">
        <v>11037</v>
      </c>
      <c r="S2963" t="s">
        <v>10307</v>
      </c>
      <c r="W2963" s="2" t="s">
        <v>11203</v>
      </c>
    </row>
    <row r="2964" spans="1:23" hidden="1" x14ac:dyDescent="0.45">
      <c r="A2964" s="1" t="s">
        <v>2947</v>
      </c>
      <c r="B2964" t="s">
        <v>6261</v>
      </c>
      <c r="F2964" t="s">
        <v>10298</v>
      </c>
      <c r="G2964">
        <v>1234</v>
      </c>
      <c r="H2964" t="s">
        <v>10307</v>
      </c>
      <c r="L2964">
        <v>2000</v>
      </c>
      <c r="R2964" t="s">
        <v>11037</v>
      </c>
      <c r="S2964" t="s">
        <v>10307</v>
      </c>
      <c r="W2964" s="2" t="s">
        <v>11203</v>
      </c>
    </row>
    <row r="2965" spans="1:23" hidden="1" x14ac:dyDescent="0.45">
      <c r="A2965" s="1" t="s">
        <v>2948</v>
      </c>
      <c r="B2965" t="s">
        <v>6262</v>
      </c>
      <c r="F2965" t="s">
        <v>10298</v>
      </c>
      <c r="G2965">
        <v>33.299999999999997</v>
      </c>
      <c r="H2965" t="s">
        <v>10309</v>
      </c>
      <c r="L2965">
        <v>2007</v>
      </c>
      <c r="R2965" t="s">
        <v>11038</v>
      </c>
      <c r="S2965" t="s">
        <v>10317</v>
      </c>
      <c r="T2965" t="s">
        <v>10309</v>
      </c>
      <c r="W2965" s="2" t="s">
        <v>11203</v>
      </c>
    </row>
    <row r="2966" spans="1:23" hidden="1" x14ac:dyDescent="0.45">
      <c r="A2966" s="1" t="s">
        <v>2949</v>
      </c>
      <c r="B2966" t="s">
        <v>6262</v>
      </c>
      <c r="F2966" t="s">
        <v>10298</v>
      </c>
      <c r="G2966">
        <v>120</v>
      </c>
      <c r="H2966" t="s">
        <v>10307</v>
      </c>
      <c r="L2966">
        <v>1952</v>
      </c>
      <c r="R2966" t="s">
        <v>11037</v>
      </c>
      <c r="S2966" t="s">
        <v>10307</v>
      </c>
      <c r="W2966" s="2" t="s">
        <v>11203</v>
      </c>
    </row>
    <row r="2967" spans="1:23" hidden="1" x14ac:dyDescent="0.45">
      <c r="A2967" s="1" t="s">
        <v>2950</v>
      </c>
      <c r="B2967" t="s">
        <v>6262</v>
      </c>
      <c r="F2967" t="s">
        <v>10298</v>
      </c>
      <c r="G2967">
        <v>49</v>
      </c>
      <c r="H2967" t="s">
        <v>10312</v>
      </c>
      <c r="L2967">
        <v>2016</v>
      </c>
      <c r="R2967" t="s">
        <v>11037</v>
      </c>
      <c r="S2967" t="s">
        <v>10312</v>
      </c>
      <c r="W2967" s="2" t="s">
        <v>11203</v>
      </c>
    </row>
    <row r="2968" spans="1:23" hidden="1" x14ac:dyDescent="0.45">
      <c r="A2968" s="1" t="s">
        <v>2951</v>
      </c>
      <c r="B2968" t="s">
        <v>6263</v>
      </c>
      <c r="F2968" t="s">
        <v>10298</v>
      </c>
      <c r="G2968">
        <v>35</v>
      </c>
      <c r="H2968" t="s">
        <v>10309</v>
      </c>
      <c r="L2968">
        <v>1918</v>
      </c>
      <c r="R2968" t="s">
        <v>11038</v>
      </c>
      <c r="S2968" t="s">
        <v>10317</v>
      </c>
      <c r="T2968" t="s">
        <v>10309</v>
      </c>
      <c r="W2968" s="2" t="s">
        <v>11203</v>
      </c>
    </row>
    <row r="2969" spans="1:23" hidden="1" x14ac:dyDescent="0.45">
      <c r="A2969" s="1" t="s">
        <v>2952</v>
      </c>
      <c r="B2969" t="s">
        <v>6263</v>
      </c>
      <c r="F2969" t="s">
        <v>10298</v>
      </c>
      <c r="G2969">
        <v>1961</v>
      </c>
      <c r="H2969" t="s">
        <v>10314</v>
      </c>
      <c r="L2969">
        <v>1971</v>
      </c>
      <c r="N2969">
        <v>53.372318999999997</v>
      </c>
      <c r="P2969">
        <v>-2.6869499999999999</v>
      </c>
      <c r="Q2969" t="s">
        <v>10839</v>
      </c>
      <c r="R2969" t="s">
        <v>11037</v>
      </c>
      <c r="S2969" t="s">
        <v>10314</v>
      </c>
      <c r="W2969" s="2" t="s">
        <v>11203</v>
      </c>
    </row>
    <row r="2970" spans="1:23" hidden="1" x14ac:dyDescent="0.45">
      <c r="A2970" s="1" t="s">
        <v>2953</v>
      </c>
      <c r="B2970" t="s">
        <v>6263</v>
      </c>
      <c r="F2970" t="s">
        <v>10298</v>
      </c>
      <c r="G2970">
        <v>10</v>
      </c>
      <c r="H2970" t="s">
        <v>10313</v>
      </c>
      <c r="L2970">
        <v>2000</v>
      </c>
      <c r="R2970" t="s">
        <v>11037</v>
      </c>
      <c r="S2970" t="s">
        <v>10313</v>
      </c>
      <c r="W2970" s="2" t="s">
        <v>11203</v>
      </c>
    </row>
    <row r="2971" spans="1:23" hidden="1" x14ac:dyDescent="0.45">
      <c r="A2971" s="1" t="s">
        <v>2954</v>
      </c>
      <c r="B2971" t="s">
        <v>6263</v>
      </c>
      <c r="F2971" t="s">
        <v>10298</v>
      </c>
      <c r="G2971">
        <v>2.5</v>
      </c>
      <c r="H2971" t="s">
        <v>10313</v>
      </c>
      <c r="L2971">
        <v>1986</v>
      </c>
      <c r="N2971">
        <v>57.733565000000013</v>
      </c>
      <c r="P2971">
        <v>-4.7808820000000001</v>
      </c>
      <c r="R2971" t="s">
        <v>11037</v>
      </c>
      <c r="S2971" t="s">
        <v>10313</v>
      </c>
      <c r="W2971" s="2" t="s">
        <v>11203</v>
      </c>
    </row>
    <row r="2972" spans="1:23" hidden="1" x14ac:dyDescent="0.45">
      <c r="A2972" s="1" t="s">
        <v>2955</v>
      </c>
      <c r="B2972" t="s">
        <v>6263</v>
      </c>
      <c r="F2972" t="s">
        <v>10298</v>
      </c>
      <c r="G2972">
        <v>6</v>
      </c>
      <c r="H2972" t="s">
        <v>10313</v>
      </c>
      <c r="L2972">
        <v>1946</v>
      </c>
      <c r="N2972">
        <v>55.760587000000001</v>
      </c>
      <c r="P2972">
        <v>-6.2733600000000003</v>
      </c>
      <c r="R2972" t="s">
        <v>11037</v>
      </c>
      <c r="S2972" t="s">
        <v>10313</v>
      </c>
      <c r="W2972" s="2" t="s">
        <v>11203</v>
      </c>
    </row>
    <row r="2973" spans="1:23" hidden="1" x14ac:dyDescent="0.45">
      <c r="A2973" s="1" t="s">
        <v>2956</v>
      </c>
      <c r="B2973" t="s">
        <v>6263</v>
      </c>
      <c r="F2973" t="s">
        <v>10298</v>
      </c>
      <c r="G2973">
        <v>35</v>
      </c>
      <c r="H2973" t="s">
        <v>10313</v>
      </c>
      <c r="L2973">
        <v>1971</v>
      </c>
      <c r="N2973">
        <v>53.372318999999997</v>
      </c>
      <c r="P2973">
        <v>-2.6869499999999999</v>
      </c>
      <c r="Q2973" t="s">
        <v>10840</v>
      </c>
      <c r="R2973" t="s">
        <v>11037</v>
      </c>
      <c r="S2973" t="s">
        <v>10313</v>
      </c>
      <c r="W2973" s="2" t="s">
        <v>11203</v>
      </c>
    </row>
    <row r="2974" spans="1:23" hidden="1" x14ac:dyDescent="0.45">
      <c r="A2974" s="1" t="s">
        <v>2957</v>
      </c>
      <c r="B2974" t="s">
        <v>6263</v>
      </c>
      <c r="F2974" t="s">
        <v>10298</v>
      </c>
      <c r="G2974">
        <v>9</v>
      </c>
      <c r="H2974" t="s">
        <v>10313</v>
      </c>
      <c r="L2974">
        <v>1995</v>
      </c>
      <c r="N2974">
        <v>51.050115000000012</v>
      </c>
      <c r="P2974">
        <v>-0.42207299999999998</v>
      </c>
      <c r="R2974" t="s">
        <v>11037</v>
      </c>
      <c r="S2974" t="s">
        <v>10313</v>
      </c>
      <c r="W2974" s="2" t="s">
        <v>11203</v>
      </c>
    </row>
    <row r="2975" spans="1:23" hidden="1" x14ac:dyDescent="0.45">
      <c r="A2975" s="1" t="s">
        <v>2958</v>
      </c>
      <c r="B2975" t="s">
        <v>6263</v>
      </c>
      <c r="F2975" t="s">
        <v>10298</v>
      </c>
      <c r="G2975">
        <v>25</v>
      </c>
      <c r="H2975" t="s">
        <v>10313</v>
      </c>
      <c r="L2975">
        <v>1994</v>
      </c>
      <c r="N2975">
        <v>53.594692000000002</v>
      </c>
      <c r="P2975">
        <v>-0.74931199999999998</v>
      </c>
      <c r="Q2975" t="s">
        <v>10841</v>
      </c>
      <c r="R2975" t="s">
        <v>11037</v>
      </c>
      <c r="S2975" t="s">
        <v>10313</v>
      </c>
      <c r="W2975" s="2" t="s">
        <v>11203</v>
      </c>
    </row>
    <row r="2976" spans="1:23" hidden="1" x14ac:dyDescent="0.45">
      <c r="A2976" s="1" t="s">
        <v>2959</v>
      </c>
      <c r="B2976" t="s">
        <v>6263</v>
      </c>
      <c r="F2976" t="s">
        <v>10298</v>
      </c>
      <c r="G2976">
        <v>16</v>
      </c>
      <c r="H2976" t="s">
        <v>10313</v>
      </c>
      <c r="L2976">
        <v>1952</v>
      </c>
      <c r="N2976">
        <v>58.982346999999997</v>
      </c>
      <c r="P2976">
        <v>-2.9644080000000002</v>
      </c>
      <c r="R2976" t="s">
        <v>11037</v>
      </c>
      <c r="S2976" t="s">
        <v>10313</v>
      </c>
      <c r="W2976" s="2" t="s">
        <v>11203</v>
      </c>
    </row>
    <row r="2977" spans="1:23" hidden="1" x14ac:dyDescent="0.45">
      <c r="A2977" s="1" t="s">
        <v>2960</v>
      </c>
      <c r="B2977" t="s">
        <v>6263</v>
      </c>
      <c r="F2977" t="s">
        <v>10298</v>
      </c>
      <c r="G2977">
        <v>67</v>
      </c>
      <c r="H2977" t="s">
        <v>10313</v>
      </c>
      <c r="L2977">
        <v>1953</v>
      </c>
      <c r="N2977">
        <v>60.167183999999999</v>
      </c>
      <c r="P2977">
        <v>-1.164261</v>
      </c>
      <c r="R2977" t="s">
        <v>11037</v>
      </c>
      <c r="S2977" t="s">
        <v>10313</v>
      </c>
      <c r="W2977" s="2" t="s">
        <v>11203</v>
      </c>
    </row>
    <row r="2978" spans="1:23" hidden="1" x14ac:dyDescent="0.45">
      <c r="A2978" s="1" t="s">
        <v>2961</v>
      </c>
      <c r="B2978" t="s">
        <v>6263</v>
      </c>
      <c r="F2978" t="s">
        <v>10298</v>
      </c>
      <c r="G2978">
        <v>11</v>
      </c>
      <c r="H2978" t="s">
        <v>10313</v>
      </c>
      <c r="L2978">
        <v>1972</v>
      </c>
      <c r="N2978">
        <v>57.364812000000001</v>
      </c>
      <c r="P2978">
        <v>-7.2704800000000001</v>
      </c>
      <c r="R2978" t="s">
        <v>11037</v>
      </c>
      <c r="S2978" t="s">
        <v>10313</v>
      </c>
      <c r="W2978" s="2" t="s">
        <v>11203</v>
      </c>
    </row>
    <row r="2979" spans="1:23" hidden="1" x14ac:dyDescent="0.45">
      <c r="A2979" s="1" t="s">
        <v>2962</v>
      </c>
      <c r="B2979" t="s">
        <v>6263</v>
      </c>
      <c r="F2979" t="s">
        <v>10298</v>
      </c>
      <c r="G2979">
        <v>23</v>
      </c>
      <c r="H2979" t="s">
        <v>10313</v>
      </c>
      <c r="L2979">
        <v>1952</v>
      </c>
      <c r="N2979">
        <v>58.203150999999998</v>
      </c>
      <c r="P2979">
        <v>-6.3727529999999986</v>
      </c>
      <c r="R2979" t="s">
        <v>11037</v>
      </c>
      <c r="S2979" t="s">
        <v>10313</v>
      </c>
      <c r="W2979" s="2" t="s">
        <v>11203</v>
      </c>
    </row>
    <row r="2980" spans="1:23" hidden="1" x14ac:dyDescent="0.45">
      <c r="A2980" s="1" t="s">
        <v>2963</v>
      </c>
      <c r="B2980" t="s">
        <v>6263</v>
      </c>
      <c r="F2980" t="s">
        <v>10298</v>
      </c>
      <c r="G2980">
        <v>9</v>
      </c>
      <c r="H2980" t="s">
        <v>10313</v>
      </c>
      <c r="L2980">
        <v>1994</v>
      </c>
      <c r="N2980">
        <v>51.394534999999998</v>
      </c>
      <c r="P2980">
        <v>-1.2420020000000001</v>
      </c>
      <c r="R2980" t="s">
        <v>11037</v>
      </c>
      <c r="S2980" t="s">
        <v>10313</v>
      </c>
      <c r="W2980" s="2" t="s">
        <v>11203</v>
      </c>
    </row>
    <row r="2981" spans="1:23" hidden="1" x14ac:dyDescent="0.45">
      <c r="A2981" s="1" t="s">
        <v>2964</v>
      </c>
      <c r="B2981" t="s">
        <v>6263</v>
      </c>
      <c r="F2981" t="s">
        <v>10298</v>
      </c>
      <c r="G2981">
        <v>2.5</v>
      </c>
      <c r="H2981" t="s">
        <v>10313</v>
      </c>
      <c r="L2981">
        <v>1953</v>
      </c>
      <c r="N2981">
        <v>56.497639999999997</v>
      </c>
      <c r="P2981">
        <v>-6.882377</v>
      </c>
      <c r="R2981" t="s">
        <v>11037</v>
      </c>
      <c r="S2981" t="s">
        <v>10313</v>
      </c>
      <c r="W2981" s="2" t="s">
        <v>11203</v>
      </c>
    </row>
    <row r="2982" spans="1:23" hidden="1" x14ac:dyDescent="0.45">
      <c r="A2982" s="1" t="s">
        <v>2965</v>
      </c>
      <c r="B2982" t="s">
        <v>6263</v>
      </c>
      <c r="F2982" t="s">
        <v>10298</v>
      </c>
      <c r="G2982">
        <v>3.1</v>
      </c>
      <c r="H2982" t="s">
        <v>10310</v>
      </c>
      <c r="L2982">
        <v>1956</v>
      </c>
      <c r="N2982">
        <v>57.614552000000003</v>
      </c>
      <c r="P2982">
        <v>-4.8347350000000002</v>
      </c>
      <c r="R2982" t="s">
        <v>11038</v>
      </c>
      <c r="S2982" t="s">
        <v>10310</v>
      </c>
      <c r="W2982" s="2" t="s">
        <v>11203</v>
      </c>
    </row>
    <row r="2983" spans="1:23" hidden="1" x14ac:dyDescent="0.45">
      <c r="A2983" s="1" t="s">
        <v>2966</v>
      </c>
      <c r="B2983" t="s">
        <v>6263</v>
      </c>
      <c r="F2983" t="s">
        <v>10298</v>
      </c>
      <c r="G2983">
        <v>20</v>
      </c>
      <c r="H2983" t="s">
        <v>10310</v>
      </c>
      <c r="L2983">
        <v>1962</v>
      </c>
      <c r="N2983">
        <v>57.457414999999997</v>
      </c>
      <c r="P2983">
        <v>-4.5444019999999998</v>
      </c>
      <c r="R2983" t="s">
        <v>11038</v>
      </c>
      <c r="S2983" t="s">
        <v>10310</v>
      </c>
      <c r="W2983" s="2" t="s">
        <v>11203</v>
      </c>
    </row>
    <row r="2984" spans="1:23" hidden="1" x14ac:dyDescent="0.45">
      <c r="A2984" s="1" t="s">
        <v>2967</v>
      </c>
      <c r="B2984" t="s">
        <v>6263</v>
      </c>
      <c r="F2984" t="s">
        <v>10298</v>
      </c>
      <c r="G2984">
        <v>6</v>
      </c>
      <c r="H2984" t="s">
        <v>10310</v>
      </c>
      <c r="L2984">
        <v>1956</v>
      </c>
      <c r="R2984" t="s">
        <v>11038</v>
      </c>
      <c r="S2984" t="s">
        <v>10310</v>
      </c>
      <c r="W2984" s="2" t="s">
        <v>11203</v>
      </c>
    </row>
    <row r="2985" spans="1:23" hidden="1" x14ac:dyDescent="0.45">
      <c r="A2985" s="1" t="s">
        <v>2968</v>
      </c>
      <c r="B2985" t="s">
        <v>6263</v>
      </c>
      <c r="F2985" t="s">
        <v>10298</v>
      </c>
      <c r="G2985">
        <v>0.9</v>
      </c>
      <c r="H2985" t="s">
        <v>10310</v>
      </c>
      <c r="L2985">
        <v>1956</v>
      </c>
      <c r="R2985" t="s">
        <v>11038</v>
      </c>
      <c r="S2985" t="s">
        <v>10310</v>
      </c>
      <c r="W2985" s="2" t="s">
        <v>11203</v>
      </c>
    </row>
    <row r="2986" spans="1:23" hidden="1" x14ac:dyDescent="0.45">
      <c r="A2986" s="1" t="s">
        <v>2969</v>
      </c>
      <c r="B2986" t="s">
        <v>6263</v>
      </c>
      <c r="F2986" t="s">
        <v>10298</v>
      </c>
      <c r="G2986">
        <v>0.2</v>
      </c>
      <c r="H2986" t="s">
        <v>10310</v>
      </c>
      <c r="L2986">
        <v>1951</v>
      </c>
      <c r="N2986">
        <v>57.413843000000007</v>
      </c>
      <c r="P2986">
        <v>-4.7893489999999996</v>
      </c>
      <c r="R2986" t="s">
        <v>11038</v>
      </c>
      <c r="S2986" t="s">
        <v>10310</v>
      </c>
      <c r="W2986" s="2" t="s">
        <v>11203</v>
      </c>
    </row>
    <row r="2987" spans="1:23" hidden="1" x14ac:dyDescent="0.45">
      <c r="A2987" s="1" t="s">
        <v>2970</v>
      </c>
      <c r="B2987" t="s">
        <v>6263</v>
      </c>
      <c r="F2987" t="s">
        <v>10298</v>
      </c>
      <c r="G2987">
        <v>11</v>
      </c>
      <c r="H2987" t="s">
        <v>10310</v>
      </c>
      <c r="L2987">
        <v>1959</v>
      </c>
      <c r="N2987">
        <v>56.545760999999999</v>
      </c>
      <c r="P2987">
        <v>-4.4291980000000004</v>
      </c>
      <c r="R2987" t="s">
        <v>11038</v>
      </c>
      <c r="S2987" t="s">
        <v>10310</v>
      </c>
      <c r="W2987" s="2" t="s">
        <v>11203</v>
      </c>
    </row>
    <row r="2988" spans="1:23" hidden="1" x14ac:dyDescent="0.45">
      <c r="A2988" s="1" t="s">
        <v>2971</v>
      </c>
      <c r="B2988" t="s">
        <v>6263</v>
      </c>
      <c r="F2988" t="s">
        <v>10298</v>
      </c>
      <c r="G2988">
        <v>10</v>
      </c>
      <c r="H2988" t="s">
        <v>10310</v>
      </c>
      <c r="L2988">
        <v>1959</v>
      </c>
      <c r="N2988">
        <v>58.168903</v>
      </c>
      <c r="P2988">
        <v>-4.7276870000000004</v>
      </c>
      <c r="Q2988" t="s">
        <v>10842</v>
      </c>
      <c r="R2988" t="s">
        <v>11038</v>
      </c>
      <c r="S2988" t="s">
        <v>10310</v>
      </c>
      <c r="W2988" s="2" t="s">
        <v>11203</v>
      </c>
    </row>
    <row r="2989" spans="1:23" hidden="1" x14ac:dyDescent="0.45">
      <c r="A2989" s="1" t="s">
        <v>2972</v>
      </c>
      <c r="B2989" t="s">
        <v>6263</v>
      </c>
      <c r="F2989" t="s">
        <v>10298</v>
      </c>
      <c r="G2989">
        <v>20</v>
      </c>
      <c r="H2989" t="s">
        <v>10310</v>
      </c>
      <c r="L2989">
        <v>1956</v>
      </c>
      <c r="R2989" t="s">
        <v>11038</v>
      </c>
      <c r="S2989" t="s">
        <v>10310</v>
      </c>
      <c r="W2989" s="2" t="s">
        <v>11203</v>
      </c>
    </row>
    <row r="2990" spans="1:23" hidden="1" x14ac:dyDescent="0.45">
      <c r="A2990" s="1" t="s">
        <v>2973</v>
      </c>
      <c r="B2990" t="s">
        <v>6263</v>
      </c>
      <c r="F2990" t="s">
        <v>10298</v>
      </c>
      <c r="G2990">
        <v>1.3</v>
      </c>
      <c r="H2990" t="s">
        <v>10310</v>
      </c>
      <c r="L2990">
        <v>1960</v>
      </c>
      <c r="N2990">
        <v>57.981161</v>
      </c>
      <c r="P2990">
        <v>-6.9590310000000004</v>
      </c>
      <c r="R2990" t="s">
        <v>11038</v>
      </c>
      <c r="S2990" t="s">
        <v>10310</v>
      </c>
      <c r="W2990" s="2" t="s">
        <v>11203</v>
      </c>
    </row>
    <row r="2991" spans="1:23" hidden="1" x14ac:dyDescent="0.45">
      <c r="A2991" s="1" t="s">
        <v>2974</v>
      </c>
      <c r="B2991" t="s">
        <v>6263</v>
      </c>
      <c r="F2991" t="s">
        <v>10298</v>
      </c>
      <c r="G2991">
        <v>40</v>
      </c>
      <c r="H2991" t="s">
        <v>10310</v>
      </c>
      <c r="L2991">
        <v>1955</v>
      </c>
      <c r="N2991">
        <v>56.277389999999997</v>
      </c>
      <c r="P2991">
        <v>-4.921665</v>
      </c>
      <c r="Q2991" t="s">
        <v>10843</v>
      </c>
      <c r="R2991" t="s">
        <v>11038</v>
      </c>
      <c r="S2991" t="s">
        <v>10310</v>
      </c>
      <c r="W2991" s="2" t="s">
        <v>11203</v>
      </c>
    </row>
    <row r="2992" spans="1:23" hidden="1" x14ac:dyDescent="0.45">
      <c r="A2992" s="1" t="s">
        <v>2975</v>
      </c>
      <c r="B2992" t="s">
        <v>6263</v>
      </c>
      <c r="F2992" t="s">
        <v>10298</v>
      </c>
      <c r="G2992">
        <v>0.2</v>
      </c>
      <c r="H2992" t="s">
        <v>10310</v>
      </c>
      <c r="L2992">
        <v>1949</v>
      </c>
      <c r="N2992">
        <v>55.603611999999998</v>
      </c>
      <c r="P2992">
        <v>-5.162045</v>
      </c>
      <c r="R2992" t="s">
        <v>11038</v>
      </c>
      <c r="S2992" t="s">
        <v>10310</v>
      </c>
      <c r="W2992" s="2" t="s">
        <v>11203</v>
      </c>
    </row>
    <row r="2993" spans="1:23" hidden="1" x14ac:dyDescent="0.45">
      <c r="A2993" s="1" t="s">
        <v>2976</v>
      </c>
      <c r="B2993" t="s">
        <v>6263</v>
      </c>
      <c r="F2993" t="s">
        <v>10298</v>
      </c>
      <c r="G2993">
        <v>0.3</v>
      </c>
      <c r="H2993" t="s">
        <v>10310</v>
      </c>
      <c r="L2993">
        <v>1956</v>
      </c>
      <c r="N2993">
        <v>57.143818999999993</v>
      </c>
      <c r="P2993">
        <v>-5.0022310000000001</v>
      </c>
      <c r="R2993" t="s">
        <v>11038</v>
      </c>
      <c r="S2993" t="s">
        <v>10310</v>
      </c>
      <c r="W2993" s="2" t="s">
        <v>11203</v>
      </c>
    </row>
    <row r="2994" spans="1:23" hidden="1" x14ac:dyDescent="0.45">
      <c r="A2994" s="1" t="s">
        <v>2977</v>
      </c>
      <c r="B2994" t="s">
        <v>6263</v>
      </c>
      <c r="F2994" t="s">
        <v>10298</v>
      </c>
      <c r="G2994">
        <v>61.2</v>
      </c>
      <c r="H2994" t="s">
        <v>10310</v>
      </c>
      <c r="L2994">
        <v>1950</v>
      </c>
      <c r="N2994">
        <v>56.716813999999999</v>
      </c>
      <c r="P2994">
        <v>-3.7778320000000001</v>
      </c>
      <c r="R2994" t="s">
        <v>11038</v>
      </c>
      <c r="S2994" t="s">
        <v>10310</v>
      </c>
      <c r="W2994" s="2" t="s">
        <v>11203</v>
      </c>
    </row>
    <row r="2995" spans="1:23" hidden="1" x14ac:dyDescent="0.45">
      <c r="A2995" s="1" t="s">
        <v>2978</v>
      </c>
      <c r="B2995" t="s">
        <v>6263</v>
      </c>
      <c r="F2995" t="s">
        <v>10298</v>
      </c>
      <c r="G2995">
        <v>0.2</v>
      </c>
      <c r="H2995" t="s">
        <v>10310</v>
      </c>
      <c r="L2995">
        <v>1950</v>
      </c>
      <c r="N2995">
        <v>56.716813999999999</v>
      </c>
      <c r="P2995">
        <v>-3.7778320000000001</v>
      </c>
      <c r="R2995" t="s">
        <v>11038</v>
      </c>
      <c r="S2995" t="s">
        <v>10310</v>
      </c>
      <c r="W2995" s="2" t="s">
        <v>11203</v>
      </c>
    </row>
    <row r="2996" spans="1:23" hidden="1" x14ac:dyDescent="0.45">
      <c r="A2996" s="1" t="s">
        <v>2979</v>
      </c>
      <c r="B2996" t="s">
        <v>6263</v>
      </c>
      <c r="F2996" t="s">
        <v>10298</v>
      </c>
      <c r="G2996">
        <v>2.5</v>
      </c>
      <c r="H2996" t="s">
        <v>10310</v>
      </c>
      <c r="L2996">
        <v>1959</v>
      </c>
      <c r="R2996" t="s">
        <v>11038</v>
      </c>
      <c r="S2996" t="s">
        <v>10310</v>
      </c>
      <c r="W2996" s="2" t="s">
        <v>11203</v>
      </c>
    </row>
    <row r="2997" spans="1:23" hidden="1" x14ac:dyDescent="0.45">
      <c r="A2997" s="1" t="s">
        <v>2980</v>
      </c>
      <c r="B2997" t="s">
        <v>6263</v>
      </c>
      <c r="F2997" t="s">
        <v>10298</v>
      </c>
      <c r="G2997">
        <v>17.100000000000001</v>
      </c>
      <c r="H2997" t="s">
        <v>10310</v>
      </c>
      <c r="L2997">
        <v>1962</v>
      </c>
      <c r="N2997">
        <v>57.425697</v>
      </c>
      <c r="P2997">
        <v>-4.7019660000000014</v>
      </c>
      <c r="R2997" t="s">
        <v>11038</v>
      </c>
      <c r="S2997" t="s">
        <v>10310</v>
      </c>
      <c r="W2997" s="2" t="s">
        <v>11203</v>
      </c>
    </row>
    <row r="2998" spans="1:23" hidden="1" x14ac:dyDescent="0.45">
      <c r="A2998" s="1" t="s">
        <v>2981</v>
      </c>
      <c r="B2998" t="s">
        <v>6263</v>
      </c>
      <c r="F2998" t="s">
        <v>10298</v>
      </c>
      <c r="G2998">
        <v>2</v>
      </c>
      <c r="H2998" t="s">
        <v>10310</v>
      </c>
      <c r="L2998">
        <v>1962</v>
      </c>
      <c r="R2998" t="s">
        <v>11038</v>
      </c>
      <c r="S2998" t="s">
        <v>10310</v>
      </c>
      <c r="W2998" s="2" t="s">
        <v>11203</v>
      </c>
    </row>
    <row r="2999" spans="1:23" hidden="1" x14ac:dyDescent="0.45">
      <c r="A2999" s="1" t="s">
        <v>2982</v>
      </c>
      <c r="B2999" t="s">
        <v>6263</v>
      </c>
      <c r="F2999" t="s">
        <v>10298</v>
      </c>
      <c r="G2999">
        <v>4</v>
      </c>
      <c r="H2999" t="s">
        <v>10310</v>
      </c>
      <c r="L2999">
        <v>1958</v>
      </c>
      <c r="N2999">
        <v>56.373294999999999</v>
      </c>
      <c r="P2999">
        <v>-4.0403690000000001</v>
      </c>
      <c r="R2999" t="s">
        <v>11038</v>
      </c>
      <c r="S2999" t="s">
        <v>10310</v>
      </c>
      <c r="W2999" s="2" t="s">
        <v>11203</v>
      </c>
    </row>
    <row r="3000" spans="1:23" hidden="1" x14ac:dyDescent="0.45">
      <c r="A3000" s="1" t="s">
        <v>2983</v>
      </c>
      <c r="B3000" t="s">
        <v>6263</v>
      </c>
      <c r="F3000" t="s">
        <v>10298</v>
      </c>
      <c r="G3000">
        <v>38</v>
      </c>
      <c r="H3000" t="s">
        <v>10310</v>
      </c>
      <c r="L3000">
        <v>1963</v>
      </c>
      <c r="N3000">
        <v>57.408843999999988</v>
      </c>
      <c r="P3000">
        <v>-4.9927060000000001</v>
      </c>
      <c r="R3000" t="s">
        <v>11038</v>
      </c>
      <c r="S3000" t="s">
        <v>10310</v>
      </c>
      <c r="W3000" s="2" t="s">
        <v>11203</v>
      </c>
    </row>
    <row r="3001" spans="1:23" hidden="1" x14ac:dyDescent="0.45">
      <c r="A3001" s="1" t="s">
        <v>2984</v>
      </c>
      <c r="B3001" t="s">
        <v>6263</v>
      </c>
      <c r="F3001" t="s">
        <v>10298</v>
      </c>
      <c r="G3001">
        <v>0.5</v>
      </c>
      <c r="H3001" t="s">
        <v>10310</v>
      </c>
      <c r="L3001">
        <v>1959</v>
      </c>
      <c r="N3001">
        <v>58.141289</v>
      </c>
      <c r="P3001">
        <v>-4.773841</v>
      </c>
      <c r="R3001" t="s">
        <v>11038</v>
      </c>
      <c r="S3001" t="s">
        <v>10310</v>
      </c>
      <c r="W3001" s="2" t="s">
        <v>11203</v>
      </c>
    </row>
    <row r="3002" spans="1:23" hidden="1" x14ac:dyDescent="0.45">
      <c r="A3002" s="1" t="s">
        <v>2985</v>
      </c>
      <c r="B3002" t="s">
        <v>6263</v>
      </c>
      <c r="F3002" t="s">
        <v>10298</v>
      </c>
      <c r="G3002">
        <v>0.2</v>
      </c>
      <c r="H3002" t="s">
        <v>10310</v>
      </c>
      <c r="L3002">
        <v>1953</v>
      </c>
      <c r="R3002" t="s">
        <v>11038</v>
      </c>
      <c r="S3002" t="s">
        <v>10310</v>
      </c>
      <c r="W3002" s="2" t="s">
        <v>11203</v>
      </c>
    </row>
    <row r="3003" spans="1:23" hidden="1" x14ac:dyDescent="0.45">
      <c r="A3003" s="1" t="s">
        <v>2986</v>
      </c>
      <c r="B3003" t="s">
        <v>6263</v>
      </c>
      <c r="F3003" t="s">
        <v>10298</v>
      </c>
      <c r="G3003">
        <v>75</v>
      </c>
      <c r="H3003" t="s">
        <v>10310</v>
      </c>
      <c r="L3003">
        <v>1955</v>
      </c>
      <c r="N3003">
        <v>56.708896000000003</v>
      </c>
      <c r="P3003">
        <v>-4.0068630000000001</v>
      </c>
      <c r="Q3003" t="s">
        <v>10844</v>
      </c>
      <c r="R3003" t="s">
        <v>11038</v>
      </c>
      <c r="S3003" t="s">
        <v>10310</v>
      </c>
      <c r="W3003" s="2" t="s">
        <v>11203</v>
      </c>
    </row>
    <row r="3004" spans="1:23" hidden="1" x14ac:dyDescent="0.45">
      <c r="A3004" s="1" t="s">
        <v>2987</v>
      </c>
      <c r="B3004" t="s">
        <v>6263</v>
      </c>
      <c r="F3004" t="s">
        <v>10298</v>
      </c>
      <c r="G3004">
        <v>69</v>
      </c>
      <c r="H3004" t="s">
        <v>10310</v>
      </c>
      <c r="L3004">
        <v>1951</v>
      </c>
      <c r="N3004">
        <v>57.325985000000003</v>
      </c>
      <c r="P3004">
        <v>-4.7944519999999997</v>
      </c>
      <c r="Q3004" t="s">
        <v>10845</v>
      </c>
      <c r="R3004" t="s">
        <v>11038</v>
      </c>
      <c r="S3004" t="s">
        <v>10310</v>
      </c>
      <c r="W3004" s="2" t="s">
        <v>11203</v>
      </c>
    </row>
    <row r="3005" spans="1:23" hidden="1" x14ac:dyDescent="0.45">
      <c r="A3005" s="1" t="s">
        <v>2988</v>
      </c>
      <c r="B3005" t="s">
        <v>6263</v>
      </c>
      <c r="F3005" t="s">
        <v>10298</v>
      </c>
      <c r="G3005">
        <v>7.7</v>
      </c>
      <c r="H3005" t="s">
        <v>10310</v>
      </c>
      <c r="L3005">
        <v>2006</v>
      </c>
      <c r="R3005" t="s">
        <v>11038</v>
      </c>
      <c r="S3005" t="s">
        <v>10310</v>
      </c>
      <c r="W3005" s="2" t="s">
        <v>11203</v>
      </c>
    </row>
    <row r="3006" spans="1:23" hidden="1" x14ac:dyDescent="0.45">
      <c r="A3006" s="1" t="s">
        <v>2989</v>
      </c>
      <c r="B3006" t="s">
        <v>6263</v>
      </c>
      <c r="F3006" t="s">
        <v>10298</v>
      </c>
      <c r="G3006">
        <v>16.5</v>
      </c>
      <c r="H3006" t="s">
        <v>10310</v>
      </c>
      <c r="L3006">
        <v>1955</v>
      </c>
      <c r="N3006">
        <v>56.481746999999999</v>
      </c>
      <c r="P3006">
        <v>-4.2984210000000003</v>
      </c>
      <c r="Q3006" t="s">
        <v>10846</v>
      </c>
      <c r="R3006" t="s">
        <v>11038</v>
      </c>
      <c r="S3006" t="s">
        <v>10310</v>
      </c>
      <c r="W3006" s="2" t="s">
        <v>11203</v>
      </c>
    </row>
    <row r="3007" spans="1:23" hidden="1" x14ac:dyDescent="0.45">
      <c r="A3007" s="1" t="s">
        <v>2990</v>
      </c>
      <c r="B3007" t="s">
        <v>6263</v>
      </c>
      <c r="F3007" t="s">
        <v>10298</v>
      </c>
      <c r="G3007">
        <v>5.2</v>
      </c>
      <c r="H3007" t="s">
        <v>10310</v>
      </c>
      <c r="L3007">
        <v>1968</v>
      </c>
      <c r="N3007">
        <v>57.255380000000002</v>
      </c>
      <c r="P3007">
        <v>-4.493042</v>
      </c>
      <c r="Q3007" t="s">
        <v>10847</v>
      </c>
      <c r="R3007" t="s">
        <v>11038</v>
      </c>
      <c r="S3007" t="s">
        <v>10310</v>
      </c>
      <c r="W3007" s="2" t="s">
        <v>11203</v>
      </c>
    </row>
    <row r="3008" spans="1:23" hidden="1" x14ac:dyDescent="0.45">
      <c r="A3008" s="1" t="s">
        <v>2991</v>
      </c>
      <c r="B3008" t="s">
        <v>6263</v>
      </c>
      <c r="F3008" t="s">
        <v>10298</v>
      </c>
      <c r="G3008">
        <v>7.9</v>
      </c>
      <c r="H3008" t="s">
        <v>10310</v>
      </c>
      <c r="L3008">
        <v>1953</v>
      </c>
      <c r="N3008">
        <v>56.678376</v>
      </c>
      <c r="P3008">
        <v>-4.5088429999999997</v>
      </c>
      <c r="R3008" t="s">
        <v>11038</v>
      </c>
      <c r="S3008" t="s">
        <v>10310</v>
      </c>
      <c r="W3008" s="2" t="s">
        <v>11203</v>
      </c>
    </row>
    <row r="3009" spans="1:23" hidden="1" x14ac:dyDescent="0.45">
      <c r="A3009" s="1" t="s">
        <v>2992</v>
      </c>
      <c r="B3009" t="s">
        <v>6263</v>
      </c>
      <c r="F3009" t="s">
        <v>10298</v>
      </c>
      <c r="G3009">
        <v>0.7</v>
      </c>
      <c r="H3009" t="s">
        <v>10310</v>
      </c>
      <c r="L3009">
        <v>1960</v>
      </c>
      <c r="N3009">
        <v>58.122668999999988</v>
      </c>
      <c r="P3009">
        <v>-6.9342579999999998</v>
      </c>
      <c r="R3009" t="s">
        <v>11038</v>
      </c>
      <c r="S3009" t="s">
        <v>10310</v>
      </c>
      <c r="W3009" s="2" t="s">
        <v>11203</v>
      </c>
    </row>
    <row r="3010" spans="1:23" hidden="1" x14ac:dyDescent="0.45">
      <c r="A3010" s="1" t="s">
        <v>2993</v>
      </c>
      <c r="B3010" t="s">
        <v>6263</v>
      </c>
      <c r="F3010" t="s">
        <v>10298</v>
      </c>
      <c r="G3010">
        <v>100</v>
      </c>
      <c r="H3010" t="s">
        <v>10310</v>
      </c>
      <c r="L3010">
        <v>2008</v>
      </c>
      <c r="N3010">
        <v>57.093000000000004</v>
      </c>
      <c r="P3010">
        <v>-4.556</v>
      </c>
      <c r="Q3010" t="s">
        <v>10848</v>
      </c>
      <c r="R3010" t="s">
        <v>11038</v>
      </c>
      <c r="S3010" t="s">
        <v>10310</v>
      </c>
      <c r="W3010" s="2" t="s">
        <v>11203</v>
      </c>
    </row>
    <row r="3011" spans="1:23" hidden="1" x14ac:dyDescent="0.45">
      <c r="A3011" s="1" t="s">
        <v>2994</v>
      </c>
      <c r="B3011" t="s">
        <v>6263</v>
      </c>
      <c r="F3011" t="s">
        <v>10298</v>
      </c>
      <c r="G3011">
        <v>37</v>
      </c>
      <c r="H3011" t="s">
        <v>10310</v>
      </c>
      <c r="L3011">
        <v>1957</v>
      </c>
      <c r="N3011">
        <v>57.201652000000003</v>
      </c>
      <c r="P3011">
        <v>-4.7207860000000004</v>
      </c>
      <c r="R3011" t="s">
        <v>11038</v>
      </c>
      <c r="S3011" t="s">
        <v>10310</v>
      </c>
      <c r="W3011" s="2" t="s">
        <v>11203</v>
      </c>
    </row>
    <row r="3012" spans="1:23" hidden="1" x14ac:dyDescent="0.45">
      <c r="A3012" s="1" t="s">
        <v>2995</v>
      </c>
      <c r="B3012" t="s">
        <v>6263</v>
      </c>
      <c r="F3012" t="s">
        <v>10298</v>
      </c>
      <c r="G3012">
        <v>18.7</v>
      </c>
      <c r="H3012" t="s">
        <v>10310</v>
      </c>
      <c r="L3012">
        <v>1950</v>
      </c>
      <c r="N3012">
        <v>57.619381999999987</v>
      </c>
      <c r="P3012">
        <v>-4.8304790000000004</v>
      </c>
      <c r="Q3012" t="s">
        <v>10849</v>
      </c>
      <c r="R3012" t="s">
        <v>11038</v>
      </c>
      <c r="S3012" t="s">
        <v>10310</v>
      </c>
      <c r="W3012" s="2" t="s">
        <v>11203</v>
      </c>
    </row>
    <row r="3013" spans="1:23" hidden="1" x14ac:dyDescent="0.45">
      <c r="A3013" s="1" t="s">
        <v>2996</v>
      </c>
      <c r="B3013" t="s">
        <v>6263</v>
      </c>
      <c r="F3013" t="s">
        <v>10298</v>
      </c>
      <c r="G3013">
        <v>25</v>
      </c>
      <c r="H3013" t="s">
        <v>10310</v>
      </c>
      <c r="L3013">
        <v>1963</v>
      </c>
      <c r="N3013">
        <v>56.439757999999998</v>
      </c>
      <c r="P3013">
        <v>-5.217784</v>
      </c>
      <c r="Q3013" t="s">
        <v>10850</v>
      </c>
      <c r="R3013" t="s">
        <v>11038</v>
      </c>
      <c r="S3013" t="s">
        <v>10310</v>
      </c>
      <c r="W3013" s="2" t="s">
        <v>11203</v>
      </c>
    </row>
    <row r="3014" spans="1:23" hidden="1" x14ac:dyDescent="0.45">
      <c r="A3014" s="1" t="s">
        <v>2997</v>
      </c>
      <c r="B3014" t="s">
        <v>6263</v>
      </c>
      <c r="F3014" t="s">
        <v>10298</v>
      </c>
      <c r="G3014">
        <v>20</v>
      </c>
      <c r="H3014" t="s">
        <v>10310</v>
      </c>
      <c r="L3014">
        <v>1956</v>
      </c>
      <c r="N3014">
        <v>57.072270999999994</v>
      </c>
      <c r="P3014">
        <v>-4.7731570000000003</v>
      </c>
      <c r="R3014" t="s">
        <v>11038</v>
      </c>
      <c r="S3014" t="s">
        <v>10310</v>
      </c>
      <c r="W3014" s="2" t="s">
        <v>11203</v>
      </c>
    </row>
    <row r="3015" spans="1:23" hidden="1" x14ac:dyDescent="0.45">
      <c r="A3015" s="1" t="s">
        <v>2998</v>
      </c>
      <c r="B3015" t="s">
        <v>6263</v>
      </c>
      <c r="F3015" t="s">
        <v>10298</v>
      </c>
      <c r="G3015">
        <v>0.2</v>
      </c>
      <c r="H3015" t="s">
        <v>10310</v>
      </c>
      <c r="L3015">
        <v>2003</v>
      </c>
      <c r="N3015">
        <v>57.077260000000003</v>
      </c>
      <c r="P3015">
        <v>-4.8455550000000001</v>
      </c>
      <c r="R3015" t="s">
        <v>11038</v>
      </c>
      <c r="S3015" t="s">
        <v>10310</v>
      </c>
      <c r="W3015" s="2" t="s">
        <v>11203</v>
      </c>
    </row>
    <row r="3016" spans="1:23" hidden="1" x14ac:dyDescent="0.45">
      <c r="A3016" s="1" t="s">
        <v>2999</v>
      </c>
      <c r="B3016" t="s">
        <v>6263</v>
      </c>
      <c r="F3016" t="s">
        <v>10298</v>
      </c>
      <c r="G3016">
        <v>1.3</v>
      </c>
      <c r="H3016" t="s">
        <v>10310</v>
      </c>
      <c r="L3016">
        <v>1951</v>
      </c>
      <c r="N3016">
        <v>57.684856999999987</v>
      </c>
      <c r="P3016">
        <v>-5.6426989999999986</v>
      </c>
      <c r="R3016" t="s">
        <v>11038</v>
      </c>
      <c r="S3016" t="s">
        <v>10310</v>
      </c>
      <c r="W3016" s="2" t="s">
        <v>11203</v>
      </c>
    </row>
    <row r="3017" spans="1:23" hidden="1" x14ac:dyDescent="0.45">
      <c r="A3017" s="1" t="s">
        <v>3000</v>
      </c>
      <c r="B3017" t="s">
        <v>6263</v>
      </c>
      <c r="F3017" t="s">
        <v>10298</v>
      </c>
      <c r="G3017">
        <v>2</v>
      </c>
      <c r="H3017" t="s">
        <v>10310</v>
      </c>
      <c r="L3017">
        <v>1956</v>
      </c>
      <c r="R3017" t="s">
        <v>11038</v>
      </c>
      <c r="S3017" t="s">
        <v>10310</v>
      </c>
      <c r="W3017" s="2" t="s">
        <v>11203</v>
      </c>
    </row>
    <row r="3018" spans="1:23" hidden="1" x14ac:dyDescent="0.45">
      <c r="A3018" s="1" t="s">
        <v>3001</v>
      </c>
      <c r="B3018" t="s">
        <v>6263</v>
      </c>
      <c r="F3018" t="s">
        <v>10298</v>
      </c>
      <c r="G3018">
        <v>0.1</v>
      </c>
      <c r="H3018" t="s">
        <v>10310</v>
      </c>
      <c r="L3018">
        <v>1956</v>
      </c>
      <c r="R3018" t="s">
        <v>11038</v>
      </c>
      <c r="S3018" t="s">
        <v>10310</v>
      </c>
      <c r="W3018" s="2" t="s">
        <v>11203</v>
      </c>
    </row>
    <row r="3019" spans="1:23" hidden="1" x14ac:dyDescent="0.45">
      <c r="A3019" s="1" t="s">
        <v>3002</v>
      </c>
      <c r="B3019" t="s">
        <v>6263</v>
      </c>
      <c r="F3019" t="s">
        <v>10298</v>
      </c>
      <c r="G3019">
        <v>20</v>
      </c>
      <c r="H3019" t="s">
        <v>10310</v>
      </c>
      <c r="L3019">
        <v>1962</v>
      </c>
      <c r="N3019">
        <v>57.463343999999992</v>
      </c>
      <c r="P3019">
        <v>-4.512308</v>
      </c>
      <c r="R3019" t="s">
        <v>11038</v>
      </c>
      <c r="S3019" t="s">
        <v>10310</v>
      </c>
      <c r="W3019" s="2" t="s">
        <v>11203</v>
      </c>
    </row>
    <row r="3020" spans="1:23" hidden="1" x14ac:dyDescent="0.45">
      <c r="A3020" s="1" t="s">
        <v>3003</v>
      </c>
      <c r="B3020" t="s">
        <v>6263</v>
      </c>
      <c r="F3020" t="s">
        <v>10298</v>
      </c>
      <c r="G3020">
        <v>3.5</v>
      </c>
      <c r="H3020" t="s">
        <v>10310</v>
      </c>
      <c r="L3020">
        <v>2005</v>
      </c>
      <c r="N3020">
        <v>56.632902000000001</v>
      </c>
      <c r="P3020">
        <v>-5.571777</v>
      </c>
      <c r="R3020" t="s">
        <v>11038</v>
      </c>
      <c r="S3020" t="s">
        <v>10310</v>
      </c>
      <c r="W3020" s="2" t="s">
        <v>11203</v>
      </c>
    </row>
    <row r="3021" spans="1:23" hidden="1" x14ac:dyDescent="0.45">
      <c r="A3021" s="1" t="s">
        <v>3004</v>
      </c>
      <c r="B3021" t="s">
        <v>6263</v>
      </c>
      <c r="F3021" t="s">
        <v>10298</v>
      </c>
      <c r="G3021">
        <v>3.5</v>
      </c>
      <c r="H3021" t="s">
        <v>10310</v>
      </c>
      <c r="L3021">
        <v>1959</v>
      </c>
      <c r="N3021">
        <v>58.028771999999996</v>
      </c>
      <c r="P3021">
        <v>-4.413805</v>
      </c>
      <c r="R3021" t="s">
        <v>11038</v>
      </c>
      <c r="S3021" t="s">
        <v>10310</v>
      </c>
      <c r="W3021" s="2" t="s">
        <v>11203</v>
      </c>
    </row>
    <row r="3022" spans="1:23" hidden="1" x14ac:dyDescent="0.45">
      <c r="A3022" s="1" t="s">
        <v>3005</v>
      </c>
      <c r="B3022" t="s">
        <v>6263</v>
      </c>
      <c r="F3022" t="s">
        <v>10298</v>
      </c>
      <c r="G3022">
        <v>3</v>
      </c>
      <c r="H3022" t="s">
        <v>10310</v>
      </c>
      <c r="L3022">
        <v>1961</v>
      </c>
      <c r="N3022">
        <v>56.434823000000002</v>
      </c>
      <c r="P3022">
        <v>-4.0653139999999999</v>
      </c>
      <c r="R3022" t="s">
        <v>11038</v>
      </c>
      <c r="S3022" t="s">
        <v>10310</v>
      </c>
      <c r="W3022" s="2" t="s">
        <v>11203</v>
      </c>
    </row>
    <row r="3023" spans="1:23" hidden="1" x14ac:dyDescent="0.45">
      <c r="A3023" s="1" t="s">
        <v>3006</v>
      </c>
      <c r="B3023" t="s">
        <v>6263</v>
      </c>
      <c r="F3023" t="s">
        <v>10298</v>
      </c>
      <c r="G3023">
        <v>15</v>
      </c>
      <c r="H3023" t="s">
        <v>10310</v>
      </c>
      <c r="L3023">
        <v>1962</v>
      </c>
      <c r="N3023">
        <v>57.204607000000003</v>
      </c>
      <c r="P3023">
        <v>-4.7278469999999997</v>
      </c>
      <c r="R3023" t="s">
        <v>11038</v>
      </c>
      <c r="S3023" t="s">
        <v>10310</v>
      </c>
      <c r="W3023" s="2" t="s">
        <v>11203</v>
      </c>
    </row>
    <row r="3024" spans="1:23" hidden="1" x14ac:dyDescent="0.45">
      <c r="A3024" s="1" t="s">
        <v>3007</v>
      </c>
      <c r="B3024" t="s">
        <v>6263</v>
      </c>
      <c r="F3024" t="s">
        <v>10298</v>
      </c>
      <c r="G3024">
        <v>1.2</v>
      </c>
      <c r="H3024" t="s">
        <v>10310</v>
      </c>
      <c r="L3024">
        <v>1954</v>
      </c>
      <c r="N3024">
        <v>57.954205000000002</v>
      </c>
      <c r="P3024">
        <v>-5.1198449999999998</v>
      </c>
      <c r="R3024" t="s">
        <v>11038</v>
      </c>
      <c r="S3024" t="s">
        <v>10310</v>
      </c>
      <c r="W3024" s="2" t="s">
        <v>11203</v>
      </c>
    </row>
    <row r="3025" spans="1:23" hidden="1" x14ac:dyDescent="0.45">
      <c r="A3025" s="1" t="s">
        <v>3008</v>
      </c>
      <c r="B3025" t="s">
        <v>6263</v>
      </c>
      <c r="F3025" t="s">
        <v>10298</v>
      </c>
      <c r="G3025">
        <v>2.2000000000000002</v>
      </c>
      <c r="H3025" t="s">
        <v>10310</v>
      </c>
      <c r="L3025">
        <v>1962</v>
      </c>
      <c r="N3025">
        <v>56.823661999999999</v>
      </c>
      <c r="P3025">
        <v>-4.3717750000000004</v>
      </c>
      <c r="R3025" t="s">
        <v>11038</v>
      </c>
      <c r="S3025" t="s">
        <v>10310</v>
      </c>
      <c r="W3025" s="2" t="s">
        <v>11203</v>
      </c>
    </row>
    <row r="3026" spans="1:23" hidden="1" x14ac:dyDescent="0.45">
      <c r="A3026" s="1" t="s">
        <v>3009</v>
      </c>
      <c r="B3026" t="s">
        <v>6263</v>
      </c>
      <c r="F3026" t="s">
        <v>10298</v>
      </c>
      <c r="G3026">
        <v>6</v>
      </c>
      <c r="H3026" t="s">
        <v>10310</v>
      </c>
      <c r="L3026">
        <v>1961</v>
      </c>
      <c r="N3026">
        <v>56.065325999999999</v>
      </c>
      <c r="P3026">
        <v>-5.3356560000000002</v>
      </c>
      <c r="R3026" t="s">
        <v>11038</v>
      </c>
      <c r="S3026" t="s">
        <v>10310</v>
      </c>
      <c r="W3026" s="2" t="s">
        <v>11203</v>
      </c>
    </row>
    <row r="3027" spans="1:23" hidden="1" x14ac:dyDescent="0.45">
      <c r="A3027" s="1" t="s">
        <v>3010</v>
      </c>
      <c r="B3027" t="s">
        <v>6263</v>
      </c>
      <c r="F3027" t="s">
        <v>10298</v>
      </c>
      <c r="G3027">
        <v>46</v>
      </c>
      <c r="H3027" t="s">
        <v>10310</v>
      </c>
      <c r="L3027">
        <v>1958</v>
      </c>
      <c r="N3027">
        <v>56.484451999999997</v>
      </c>
      <c r="P3027">
        <v>-4.3626740000000002</v>
      </c>
      <c r="R3027" t="s">
        <v>11038</v>
      </c>
      <c r="S3027" t="s">
        <v>10310</v>
      </c>
      <c r="W3027" s="2" t="s">
        <v>11203</v>
      </c>
    </row>
    <row r="3028" spans="1:23" hidden="1" x14ac:dyDescent="0.45">
      <c r="A3028" s="1" t="s">
        <v>3011</v>
      </c>
      <c r="B3028" t="s">
        <v>6263</v>
      </c>
      <c r="F3028" t="s">
        <v>10298</v>
      </c>
      <c r="G3028">
        <v>2</v>
      </c>
      <c r="H3028" t="s">
        <v>10310</v>
      </c>
      <c r="L3028">
        <v>1958</v>
      </c>
      <c r="R3028" t="s">
        <v>11038</v>
      </c>
      <c r="S3028" t="s">
        <v>10310</v>
      </c>
      <c r="W3028" s="2" t="s">
        <v>11203</v>
      </c>
    </row>
    <row r="3029" spans="1:23" hidden="1" x14ac:dyDescent="0.45">
      <c r="A3029" s="1" t="s">
        <v>3012</v>
      </c>
      <c r="B3029" t="s">
        <v>6263</v>
      </c>
      <c r="F3029" t="s">
        <v>10298</v>
      </c>
      <c r="G3029">
        <v>0.1</v>
      </c>
      <c r="H3029" t="s">
        <v>10310</v>
      </c>
      <c r="L3029">
        <v>1958</v>
      </c>
      <c r="R3029" t="s">
        <v>11038</v>
      </c>
      <c r="S3029" t="s">
        <v>10310</v>
      </c>
      <c r="W3029" s="2" t="s">
        <v>11203</v>
      </c>
    </row>
    <row r="3030" spans="1:23" hidden="1" x14ac:dyDescent="0.45">
      <c r="A3030" s="1" t="s">
        <v>3013</v>
      </c>
      <c r="B3030" t="s">
        <v>6263</v>
      </c>
      <c r="F3030" t="s">
        <v>10298</v>
      </c>
      <c r="G3030">
        <v>0.6</v>
      </c>
      <c r="H3030" t="s">
        <v>10310</v>
      </c>
      <c r="L3030">
        <v>1956</v>
      </c>
      <c r="R3030" t="s">
        <v>11038</v>
      </c>
      <c r="S3030" t="s">
        <v>10310</v>
      </c>
      <c r="W3030" s="2" t="s">
        <v>11203</v>
      </c>
    </row>
    <row r="3031" spans="1:23" hidden="1" x14ac:dyDescent="0.45">
      <c r="A3031" s="1" t="s">
        <v>3014</v>
      </c>
      <c r="B3031" t="s">
        <v>6263</v>
      </c>
      <c r="F3031" t="s">
        <v>10298</v>
      </c>
      <c r="G3031">
        <v>4</v>
      </c>
      <c r="H3031" t="s">
        <v>10310</v>
      </c>
      <c r="L3031">
        <v>1958</v>
      </c>
      <c r="N3031">
        <v>56.542219000000003</v>
      </c>
      <c r="P3031">
        <v>-4.5168169999999996</v>
      </c>
      <c r="R3031" t="s">
        <v>11038</v>
      </c>
      <c r="S3031" t="s">
        <v>10310</v>
      </c>
      <c r="W3031" s="2" t="s">
        <v>11203</v>
      </c>
    </row>
    <row r="3032" spans="1:23" hidden="1" x14ac:dyDescent="0.45">
      <c r="A3032" s="1" t="s">
        <v>3015</v>
      </c>
      <c r="B3032" t="s">
        <v>6263</v>
      </c>
      <c r="F3032" t="s">
        <v>10298</v>
      </c>
      <c r="G3032">
        <v>34</v>
      </c>
      <c r="H3032" t="s">
        <v>10310</v>
      </c>
      <c r="L3032">
        <v>1954</v>
      </c>
      <c r="N3032">
        <v>57.574691000000001</v>
      </c>
      <c r="P3032">
        <v>-4.6868319999999999</v>
      </c>
      <c r="R3032" t="s">
        <v>11038</v>
      </c>
      <c r="S3032" t="s">
        <v>10310</v>
      </c>
      <c r="W3032" s="2" t="s">
        <v>11203</v>
      </c>
    </row>
    <row r="3033" spans="1:23" hidden="1" x14ac:dyDescent="0.45">
      <c r="A3033" s="1" t="s">
        <v>3016</v>
      </c>
      <c r="B3033" t="s">
        <v>6263</v>
      </c>
      <c r="F3033" t="s">
        <v>10298</v>
      </c>
      <c r="G3033">
        <v>0.1</v>
      </c>
      <c r="H3033" t="s">
        <v>10310</v>
      </c>
      <c r="L3033">
        <v>1954</v>
      </c>
      <c r="N3033">
        <v>57.582825</v>
      </c>
      <c r="P3033">
        <v>-4.6983470000000001</v>
      </c>
      <c r="R3033" t="s">
        <v>11038</v>
      </c>
      <c r="S3033" t="s">
        <v>10310</v>
      </c>
      <c r="W3033" s="2" t="s">
        <v>11203</v>
      </c>
    </row>
    <row r="3034" spans="1:23" hidden="1" x14ac:dyDescent="0.45">
      <c r="A3034" s="1" t="s">
        <v>3017</v>
      </c>
      <c r="B3034" t="s">
        <v>6263</v>
      </c>
      <c r="F3034" t="s">
        <v>10298</v>
      </c>
      <c r="G3034">
        <v>2.4</v>
      </c>
      <c r="H3034" t="s">
        <v>10310</v>
      </c>
      <c r="L3034">
        <v>1952</v>
      </c>
      <c r="R3034" t="s">
        <v>11038</v>
      </c>
      <c r="S3034" t="s">
        <v>10310</v>
      </c>
      <c r="W3034" s="2" t="s">
        <v>11203</v>
      </c>
    </row>
    <row r="3035" spans="1:23" hidden="1" x14ac:dyDescent="0.45">
      <c r="A3035" s="1" t="s">
        <v>3018</v>
      </c>
      <c r="B3035" t="s">
        <v>6263</v>
      </c>
      <c r="F3035" t="s">
        <v>10298</v>
      </c>
      <c r="G3035">
        <v>0.1</v>
      </c>
      <c r="H3035" t="s">
        <v>10310</v>
      </c>
      <c r="L3035">
        <v>1954</v>
      </c>
      <c r="N3035">
        <v>57.565005999999997</v>
      </c>
      <c r="P3035">
        <v>-4.717085</v>
      </c>
      <c r="R3035" t="s">
        <v>11038</v>
      </c>
      <c r="S3035" t="s">
        <v>10310</v>
      </c>
      <c r="W3035" s="2" t="s">
        <v>11203</v>
      </c>
    </row>
    <row r="3036" spans="1:23" hidden="1" x14ac:dyDescent="0.45">
      <c r="A3036" s="1" t="s">
        <v>3019</v>
      </c>
      <c r="B3036" t="s">
        <v>6263</v>
      </c>
      <c r="F3036" t="s">
        <v>10298</v>
      </c>
      <c r="G3036">
        <v>0.4</v>
      </c>
      <c r="H3036" t="s">
        <v>10310</v>
      </c>
      <c r="L3036">
        <v>1963</v>
      </c>
      <c r="R3036" t="s">
        <v>11038</v>
      </c>
      <c r="S3036" t="s">
        <v>10310</v>
      </c>
      <c r="W3036" s="2" t="s">
        <v>11203</v>
      </c>
    </row>
    <row r="3037" spans="1:23" hidden="1" x14ac:dyDescent="0.45">
      <c r="A3037" s="1" t="s">
        <v>3020</v>
      </c>
      <c r="B3037" t="s">
        <v>6263</v>
      </c>
      <c r="F3037" t="s">
        <v>10298</v>
      </c>
      <c r="G3037">
        <v>0.8</v>
      </c>
      <c r="H3037" t="s">
        <v>10310</v>
      </c>
      <c r="L3037">
        <v>1950</v>
      </c>
      <c r="R3037" t="s">
        <v>11038</v>
      </c>
      <c r="S3037" t="s">
        <v>10310</v>
      </c>
      <c r="W3037" s="2" t="s">
        <v>11203</v>
      </c>
    </row>
    <row r="3038" spans="1:23" hidden="1" x14ac:dyDescent="0.45">
      <c r="A3038" s="1" t="s">
        <v>3021</v>
      </c>
      <c r="B3038" t="s">
        <v>6263</v>
      </c>
      <c r="F3038" t="s">
        <v>10298</v>
      </c>
      <c r="G3038">
        <v>18.7</v>
      </c>
      <c r="H3038" t="s">
        <v>10310</v>
      </c>
      <c r="L3038">
        <v>1957</v>
      </c>
      <c r="N3038">
        <v>57.628294999999987</v>
      </c>
      <c r="P3038">
        <v>-4.7972220000000014</v>
      </c>
      <c r="R3038" t="s">
        <v>11038</v>
      </c>
      <c r="S3038" t="s">
        <v>10310</v>
      </c>
      <c r="W3038" s="2" t="s">
        <v>11203</v>
      </c>
    </row>
    <row r="3039" spans="1:23" hidden="1" x14ac:dyDescent="0.45">
      <c r="A3039" s="1" t="s">
        <v>3022</v>
      </c>
      <c r="B3039" t="s">
        <v>6263</v>
      </c>
      <c r="F3039" t="s">
        <v>10298</v>
      </c>
      <c r="G3039">
        <v>1.9</v>
      </c>
      <c r="H3039" t="s">
        <v>10310</v>
      </c>
      <c r="L3039">
        <v>1962</v>
      </c>
      <c r="N3039">
        <v>56.910343999999988</v>
      </c>
      <c r="P3039">
        <v>-4.9848379999999999</v>
      </c>
      <c r="R3039" t="s">
        <v>11038</v>
      </c>
      <c r="S3039" t="s">
        <v>10310</v>
      </c>
      <c r="W3039" s="2" t="s">
        <v>11203</v>
      </c>
    </row>
    <row r="3040" spans="1:23" hidden="1" x14ac:dyDescent="0.45">
      <c r="A3040" s="1" t="s">
        <v>3023</v>
      </c>
      <c r="B3040" t="s">
        <v>6263</v>
      </c>
      <c r="F3040" t="s">
        <v>10298</v>
      </c>
      <c r="G3040">
        <v>2.4</v>
      </c>
      <c r="H3040" t="s">
        <v>10310</v>
      </c>
      <c r="L3040">
        <v>1955</v>
      </c>
      <c r="N3040">
        <v>57.336731000000007</v>
      </c>
      <c r="P3040">
        <v>-4.9542909999999996</v>
      </c>
      <c r="R3040" t="s">
        <v>11038</v>
      </c>
      <c r="S3040" t="s">
        <v>10310</v>
      </c>
      <c r="W3040" s="2" t="s">
        <v>11203</v>
      </c>
    </row>
    <row r="3041" spans="1:23" hidden="1" x14ac:dyDescent="0.45">
      <c r="A3041" s="1" t="s">
        <v>3024</v>
      </c>
      <c r="B3041" t="s">
        <v>6263</v>
      </c>
      <c r="F3041" t="s">
        <v>10298</v>
      </c>
      <c r="G3041">
        <v>15</v>
      </c>
      <c r="H3041" t="s">
        <v>10310</v>
      </c>
      <c r="L3041">
        <v>1963</v>
      </c>
      <c r="N3041">
        <v>56.338056000000009</v>
      </c>
      <c r="P3041">
        <v>-5.2111729999999996</v>
      </c>
      <c r="Q3041" t="s">
        <v>10851</v>
      </c>
      <c r="R3041" t="s">
        <v>11038</v>
      </c>
      <c r="S3041" t="s">
        <v>10310</v>
      </c>
      <c r="W3041" s="2" t="s">
        <v>11203</v>
      </c>
    </row>
    <row r="3042" spans="1:23" hidden="1" x14ac:dyDescent="0.45">
      <c r="A3042" s="1" t="s">
        <v>3025</v>
      </c>
      <c r="B3042" t="s">
        <v>6263</v>
      </c>
      <c r="F3042" t="s">
        <v>10298</v>
      </c>
      <c r="G3042">
        <v>1.3</v>
      </c>
      <c r="H3042" t="s">
        <v>10310</v>
      </c>
      <c r="L3042">
        <v>1950</v>
      </c>
      <c r="R3042" t="s">
        <v>11038</v>
      </c>
      <c r="S3042" t="s">
        <v>10310</v>
      </c>
      <c r="W3042" s="2" t="s">
        <v>11203</v>
      </c>
    </row>
    <row r="3043" spans="1:23" hidden="1" x14ac:dyDescent="0.45">
      <c r="A3043" s="1" t="s">
        <v>3026</v>
      </c>
      <c r="B3043" t="s">
        <v>6263</v>
      </c>
      <c r="F3043" t="s">
        <v>10298</v>
      </c>
      <c r="G3043">
        <v>18</v>
      </c>
      <c r="H3043" t="s">
        <v>10310</v>
      </c>
      <c r="L3043">
        <v>1959</v>
      </c>
      <c r="N3043">
        <v>57.554161999999998</v>
      </c>
      <c r="P3043">
        <v>-4.6160809999999994</v>
      </c>
      <c r="R3043" t="s">
        <v>11038</v>
      </c>
      <c r="S3043" t="s">
        <v>10310</v>
      </c>
      <c r="W3043" s="2" t="s">
        <v>11203</v>
      </c>
    </row>
    <row r="3044" spans="1:23" hidden="1" x14ac:dyDescent="0.45">
      <c r="A3044" s="1" t="s">
        <v>3027</v>
      </c>
      <c r="B3044" t="s">
        <v>6263</v>
      </c>
      <c r="F3044" t="s">
        <v>10298</v>
      </c>
      <c r="G3044">
        <v>0.3</v>
      </c>
      <c r="H3044" t="s">
        <v>10310</v>
      </c>
      <c r="L3044">
        <v>2002</v>
      </c>
      <c r="N3044">
        <v>57.554161999999998</v>
      </c>
      <c r="P3044">
        <v>-4.6160809999999994</v>
      </c>
      <c r="R3044" t="s">
        <v>11038</v>
      </c>
      <c r="S3044" t="s">
        <v>10310</v>
      </c>
      <c r="W3044" s="2" t="s">
        <v>11203</v>
      </c>
    </row>
    <row r="3045" spans="1:23" hidden="1" x14ac:dyDescent="0.45">
      <c r="A3045" s="1" t="s">
        <v>3028</v>
      </c>
      <c r="B3045" t="s">
        <v>6263</v>
      </c>
      <c r="F3045" t="s">
        <v>10298</v>
      </c>
      <c r="G3045">
        <v>15</v>
      </c>
      <c r="H3045" t="s">
        <v>10310</v>
      </c>
      <c r="L3045">
        <v>1950</v>
      </c>
      <c r="N3045">
        <v>56.699292999999997</v>
      </c>
      <c r="P3045">
        <v>-3.7399960000000001</v>
      </c>
      <c r="R3045" t="s">
        <v>11038</v>
      </c>
      <c r="S3045" t="s">
        <v>10310</v>
      </c>
      <c r="W3045" s="2" t="s">
        <v>11203</v>
      </c>
    </row>
    <row r="3046" spans="1:23" hidden="1" x14ac:dyDescent="0.45">
      <c r="A3046" s="1" t="s">
        <v>3029</v>
      </c>
      <c r="B3046" t="s">
        <v>6263</v>
      </c>
      <c r="F3046" t="s">
        <v>10298</v>
      </c>
      <c r="G3046">
        <v>0.1</v>
      </c>
      <c r="H3046" t="s">
        <v>10310</v>
      </c>
      <c r="L3046">
        <v>1950</v>
      </c>
      <c r="R3046" t="s">
        <v>11038</v>
      </c>
      <c r="S3046" t="s">
        <v>10310</v>
      </c>
      <c r="W3046" s="2" t="s">
        <v>11203</v>
      </c>
    </row>
    <row r="3047" spans="1:23" hidden="1" x14ac:dyDescent="0.45">
      <c r="A3047" s="1" t="s">
        <v>3030</v>
      </c>
      <c r="B3047" t="s">
        <v>6263</v>
      </c>
      <c r="F3047" t="s">
        <v>10298</v>
      </c>
      <c r="G3047">
        <v>18.100000000000001</v>
      </c>
      <c r="H3047" t="s">
        <v>10310</v>
      </c>
      <c r="L3047">
        <v>1955</v>
      </c>
      <c r="N3047">
        <v>57.062989999999999</v>
      </c>
      <c r="P3047">
        <v>-5.1233149999999998</v>
      </c>
      <c r="R3047" t="s">
        <v>11038</v>
      </c>
      <c r="S3047" t="s">
        <v>10310</v>
      </c>
      <c r="W3047" s="2" t="s">
        <v>11203</v>
      </c>
    </row>
    <row r="3048" spans="1:23" hidden="1" x14ac:dyDescent="0.45">
      <c r="A3048" s="1" t="s">
        <v>3031</v>
      </c>
      <c r="B3048" t="s">
        <v>6263</v>
      </c>
      <c r="F3048" t="s">
        <v>10298</v>
      </c>
      <c r="G3048">
        <v>0.3</v>
      </c>
      <c r="H3048" t="s">
        <v>10310</v>
      </c>
      <c r="L3048">
        <v>1955</v>
      </c>
      <c r="N3048">
        <v>57.061939000000002</v>
      </c>
      <c r="P3048">
        <v>-5.1199199999999996</v>
      </c>
      <c r="R3048" t="s">
        <v>11038</v>
      </c>
      <c r="S3048" t="s">
        <v>10310</v>
      </c>
      <c r="W3048" s="2" t="s">
        <v>11203</v>
      </c>
    </row>
    <row r="3049" spans="1:23" hidden="1" x14ac:dyDescent="0.45">
      <c r="A3049" s="1" t="s">
        <v>3032</v>
      </c>
      <c r="B3049" t="s">
        <v>6263</v>
      </c>
      <c r="F3049" t="s">
        <v>10298</v>
      </c>
      <c r="G3049">
        <v>45</v>
      </c>
      <c r="H3049" t="s">
        <v>10310</v>
      </c>
      <c r="L3049">
        <v>1930</v>
      </c>
      <c r="N3049">
        <v>56.692995000000003</v>
      </c>
      <c r="P3049">
        <v>-4.4016209999999996</v>
      </c>
      <c r="Q3049" t="s">
        <v>10852</v>
      </c>
      <c r="R3049" t="s">
        <v>11038</v>
      </c>
      <c r="S3049" t="s">
        <v>10310</v>
      </c>
      <c r="W3049" s="2" t="s">
        <v>11203</v>
      </c>
    </row>
    <row r="3050" spans="1:23" hidden="1" x14ac:dyDescent="0.45">
      <c r="A3050" s="1" t="s">
        <v>3033</v>
      </c>
      <c r="B3050" t="s">
        <v>6263</v>
      </c>
      <c r="F3050" t="s">
        <v>10298</v>
      </c>
      <c r="G3050">
        <v>3.3</v>
      </c>
      <c r="H3050" t="s">
        <v>10310</v>
      </c>
      <c r="L3050">
        <v>2002</v>
      </c>
      <c r="R3050" t="s">
        <v>11038</v>
      </c>
      <c r="S3050" t="s">
        <v>10310</v>
      </c>
      <c r="W3050" s="2" t="s">
        <v>11203</v>
      </c>
    </row>
    <row r="3051" spans="1:23" hidden="1" x14ac:dyDescent="0.45">
      <c r="A3051" s="1" t="s">
        <v>3034</v>
      </c>
      <c r="B3051" t="s">
        <v>6263</v>
      </c>
      <c r="F3051" t="s">
        <v>10298</v>
      </c>
      <c r="G3051">
        <v>18.600000000000001</v>
      </c>
      <c r="H3051" t="s">
        <v>10310</v>
      </c>
      <c r="L3051">
        <v>1958</v>
      </c>
      <c r="N3051">
        <v>57.943455999999998</v>
      </c>
      <c r="P3051">
        <v>-4.4114490000000002</v>
      </c>
      <c r="Q3051" t="s">
        <v>10853</v>
      </c>
      <c r="R3051" t="s">
        <v>11038</v>
      </c>
      <c r="S3051" t="s">
        <v>10310</v>
      </c>
      <c r="W3051" s="2" t="s">
        <v>11203</v>
      </c>
    </row>
    <row r="3052" spans="1:23" hidden="1" x14ac:dyDescent="0.45">
      <c r="A3052" s="1" t="s">
        <v>3035</v>
      </c>
      <c r="B3052" t="s">
        <v>6263</v>
      </c>
      <c r="F3052" t="s">
        <v>10298</v>
      </c>
      <c r="G3052">
        <v>0.1</v>
      </c>
      <c r="H3052" t="s">
        <v>10310</v>
      </c>
      <c r="L3052">
        <v>1958</v>
      </c>
      <c r="N3052">
        <v>58.012219999999992</v>
      </c>
      <c r="P3052">
        <v>-4.4023389999999996</v>
      </c>
      <c r="R3052" t="s">
        <v>11038</v>
      </c>
      <c r="S3052" t="s">
        <v>10310</v>
      </c>
      <c r="W3052" s="2" t="s">
        <v>11203</v>
      </c>
    </row>
    <row r="3053" spans="1:23" hidden="1" x14ac:dyDescent="0.45">
      <c r="A3053" s="1" t="s">
        <v>3036</v>
      </c>
      <c r="B3053" t="s">
        <v>6263</v>
      </c>
      <c r="F3053" t="s">
        <v>10298</v>
      </c>
      <c r="G3053">
        <v>152.5</v>
      </c>
      <c r="H3053" t="s">
        <v>10310</v>
      </c>
      <c r="L3053">
        <v>1950</v>
      </c>
      <c r="N3053">
        <v>56.261512000000003</v>
      </c>
      <c r="P3053">
        <v>-4.7635879999999986</v>
      </c>
      <c r="Q3053" t="s">
        <v>10854</v>
      </c>
      <c r="R3053" t="s">
        <v>11038</v>
      </c>
      <c r="S3053" t="s">
        <v>10310</v>
      </c>
      <c r="W3053" s="2" t="s">
        <v>11203</v>
      </c>
    </row>
    <row r="3054" spans="1:23" hidden="1" x14ac:dyDescent="0.45">
      <c r="A3054" s="1" t="s">
        <v>3037</v>
      </c>
      <c r="B3054" t="s">
        <v>6263</v>
      </c>
      <c r="F3054" t="s">
        <v>10298</v>
      </c>
      <c r="G3054">
        <v>5</v>
      </c>
      <c r="H3054" t="s">
        <v>10310</v>
      </c>
      <c r="L3054">
        <v>1957</v>
      </c>
      <c r="N3054">
        <v>56.337014000000003</v>
      </c>
      <c r="P3054">
        <v>-4.9757870000000004</v>
      </c>
      <c r="R3054" t="s">
        <v>11038</v>
      </c>
      <c r="S3054" t="s">
        <v>10310</v>
      </c>
      <c r="W3054" s="2" t="s">
        <v>11203</v>
      </c>
    </row>
    <row r="3055" spans="1:23" hidden="1" x14ac:dyDescent="0.45">
      <c r="A3055" s="1" t="s">
        <v>3038</v>
      </c>
      <c r="B3055" t="s">
        <v>6263</v>
      </c>
      <c r="F3055" t="s">
        <v>10298</v>
      </c>
      <c r="G3055">
        <v>16.8</v>
      </c>
      <c r="H3055" t="s">
        <v>10310</v>
      </c>
      <c r="L3055">
        <v>1957</v>
      </c>
      <c r="R3055" t="s">
        <v>11038</v>
      </c>
      <c r="S3055" t="s">
        <v>10310</v>
      </c>
      <c r="W3055" s="2" t="s">
        <v>11203</v>
      </c>
    </row>
    <row r="3056" spans="1:23" hidden="1" x14ac:dyDescent="0.45">
      <c r="A3056" s="1" t="s">
        <v>3039</v>
      </c>
      <c r="B3056" t="s">
        <v>6263</v>
      </c>
      <c r="F3056" t="s">
        <v>10298</v>
      </c>
      <c r="G3056">
        <v>2.4</v>
      </c>
      <c r="H3056" t="s">
        <v>10310</v>
      </c>
      <c r="L3056">
        <v>1952</v>
      </c>
      <c r="N3056">
        <v>57.496778999999997</v>
      </c>
      <c r="P3056">
        <v>-6.1457920000000001</v>
      </c>
      <c r="R3056" t="s">
        <v>11038</v>
      </c>
      <c r="S3056" t="s">
        <v>10310</v>
      </c>
      <c r="W3056" s="2" t="s">
        <v>11203</v>
      </c>
    </row>
    <row r="3057" spans="1:23" hidden="1" x14ac:dyDescent="0.45">
      <c r="A3057" s="1" t="s">
        <v>3040</v>
      </c>
      <c r="B3057" t="s">
        <v>6263</v>
      </c>
      <c r="F3057" t="s">
        <v>10298</v>
      </c>
      <c r="G3057">
        <v>8</v>
      </c>
      <c r="H3057" t="s">
        <v>10310</v>
      </c>
      <c r="L3057">
        <v>1951</v>
      </c>
      <c r="N3057">
        <v>56.009445999999997</v>
      </c>
      <c r="P3057">
        <v>-5.1194670000000002</v>
      </c>
      <c r="R3057" t="s">
        <v>11038</v>
      </c>
      <c r="S3057" t="s">
        <v>10310</v>
      </c>
      <c r="W3057" s="2" t="s">
        <v>11203</v>
      </c>
    </row>
    <row r="3058" spans="1:23" hidden="1" x14ac:dyDescent="0.45">
      <c r="A3058" s="1" t="s">
        <v>3041</v>
      </c>
      <c r="B3058" t="s">
        <v>6263</v>
      </c>
      <c r="F3058" t="s">
        <v>10298</v>
      </c>
      <c r="G3058">
        <v>0.2</v>
      </c>
      <c r="H3058" t="s">
        <v>10310</v>
      </c>
      <c r="L3058">
        <v>1957</v>
      </c>
      <c r="R3058" t="s">
        <v>11038</v>
      </c>
      <c r="S3058" t="s">
        <v>10310</v>
      </c>
      <c r="W3058" s="2" t="s">
        <v>11203</v>
      </c>
    </row>
    <row r="3059" spans="1:23" hidden="1" x14ac:dyDescent="0.45">
      <c r="A3059" s="1" t="s">
        <v>3042</v>
      </c>
      <c r="B3059" t="s">
        <v>6263</v>
      </c>
      <c r="F3059" t="s">
        <v>10298</v>
      </c>
      <c r="G3059">
        <v>0.3</v>
      </c>
      <c r="H3059" t="s">
        <v>10310</v>
      </c>
      <c r="L3059">
        <v>1953</v>
      </c>
      <c r="R3059" t="s">
        <v>11038</v>
      </c>
      <c r="S3059" t="s">
        <v>10310</v>
      </c>
      <c r="W3059" s="2" t="s">
        <v>11203</v>
      </c>
    </row>
    <row r="3060" spans="1:23" hidden="1" x14ac:dyDescent="0.45">
      <c r="A3060" s="1" t="s">
        <v>3043</v>
      </c>
      <c r="B3060" t="s">
        <v>6263</v>
      </c>
      <c r="F3060" t="s">
        <v>10298</v>
      </c>
      <c r="G3060">
        <v>15</v>
      </c>
      <c r="H3060" t="s">
        <v>10310</v>
      </c>
      <c r="L3060">
        <v>1954</v>
      </c>
      <c r="N3060">
        <v>57.554403000000001</v>
      </c>
      <c r="P3060">
        <v>-4.5982890000000003</v>
      </c>
      <c r="R3060" t="s">
        <v>11038</v>
      </c>
      <c r="S3060" t="s">
        <v>10310</v>
      </c>
      <c r="W3060" s="2" t="s">
        <v>11203</v>
      </c>
    </row>
    <row r="3061" spans="1:23" hidden="1" x14ac:dyDescent="0.45">
      <c r="A3061" s="1" t="s">
        <v>3044</v>
      </c>
      <c r="B3061" t="s">
        <v>6263</v>
      </c>
      <c r="F3061" t="s">
        <v>10298</v>
      </c>
      <c r="G3061">
        <v>0.1</v>
      </c>
      <c r="H3061" t="s">
        <v>10310</v>
      </c>
      <c r="L3061">
        <v>1956</v>
      </c>
      <c r="R3061" t="s">
        <v>11038</v>
      </c>
      <c r="S3061" t="s">
        <v>10310</v>
      </c>
      <c r="W3061" s="2" t="s">
        <v>11203</v>
      </c>
    </row>
    <row r="3062" spans="1:23" hidden="1" x14ac:dyDescent="0.45">
      <c r="A3062" s="1" t="s">
        <v>3045</v>
      </c>
      <c r="B3062" t="s">
        <v>6263</v>
      </c>
      <c r="F3062" t="s">
        <v>10298</v>
      </c>
      <c r="G3062">
        <v>0.6</v>
      </c>
      <c r="H3062" t="s">
        <v>10310</v>
      </c>
      <c r="L3062">
        <v>1959</v>
      </c>
      <c r="R3062" t="s">
        <v>11038</v>
      </c>
      <c r="S3062" t="s">
        <v>10310</v>
      </c>
      <c r="W3062" s="2" t="s">
        <v>11203</v>
      </c>
    </row>
    <row r="3063" spans="1:23" hidden="1" x14ac:dyDescent="0.45">
      <c r="A3063" s="1" t="s">
        <v>3046</v>
      </c>
      <c r="B3063" t="s">
        <v>6263</v>
      </c>
      <c r="F3063" t="s">
        <v>10298</v>
      </c>
      <c r="G3063">
        <v>34</v>
      </c>
      <c r="H3063" t="s">
        <v>10310</v>
      </c>
      <c r="L3063">
        <v>1933</v>
      </c>
      <c r="N3063">
        <v>56.706325999999997</v>
      </c>
      <c r="P3063">
        <v>-4.0210169999999996</v>
      </c>
      <c r="Q3063" t="s">
        <v>10855</v>
      </c>
      <c r="R3063" t="s">
        <v>11038</v>
      </c>
      <c r="S3063" t="s">
        <v>10310</v>
      </c>
      <c r="W3063" s="2" t="s">
        <v>11203</v>
      </c>
    </row>
    <row r="3064" spans="1:23" hidden="1" x14ac:dyDescent="0.45">
      <c r="A3064" s="1" t="s">
        <v>3047</v>
      </c>
      <c r="B3064" t="s">
        <v>6263</v>
      </c>
      <c r="F3064" t="s">
        <v>10298</v>
      </c>
      <c r="G3064">
        <v>0.3</v>
      </c>
      <c r="H3064" t="s">
        <v>10310</v>
      </c>
      <c r="L3064">
        <v>1956</v>
      </c>
      <c r="R3064" t="s">
        <v>11038</v>
      </c>
      <c r="S3064" t="s">
        <v>10310</v>
      </c>
      <c r="W3064" s="2" t="s">
        <v>11203</v>
      </c>
    </row>
    <row r="3065" spans="1:23" hidden="1" x14ac:dyDescent="0.45">
      <c r="A3065" s="1" t="s">
        <v>3048</v>
      </c>
      <c r="B3065" t="s">
        <v>6263</v>
      </c>
      <c r="F3065" t="s">
        <v>10298</v>
      </c>
      <c r="G3065">
        <v>300</v>
      </c>
      <c r="H3065" t="s">
        <v>10310</v>
      </c>
      <c r="I3065" t="s">
        <v>10324</v>
      </c>
      <c r="L3065">
        <v>1974</v>
      </c>
      <c r="N3065">
        <v>57.255343000000003</v>
      </c>
      <c r="P3065">
        <v>-4.4932620000000014</v>
      </c>
      <c r="Q3065" t="s">
        <v>10847</v>
      </c>
      <c r="R3065" t="s">
        <v>11038</v>
      </c>
      <c r="S3065" t="s">
        <v>10310</v>
      </c>
      <c r="W3065" s="2" t="s">
        <v>11203</v>
      </c>
    </row>
    <row r="3066" spans="1:23" hidden="1" x14ac:dyDescent="0.45">
      <c r="A3066" s="1" t="s">
        <v>3049</v>
      </c>
      <c r="B3066" t="s">
        <v>6263</v>
      </c>
      <c r="F3066" t="s">
        <v>10298</v>
      </c>
      <c r="G3066">
        <v>50</v>
      </c>
      <c r="H3066" t="s">
        <v>10307</v>
      </c>
      <c r="L3066">
        <v>1998</v>
      </c>
      <c r="N3066">
        <v>51.429364999999997</v>
      </c>
      <c r="P3066">
        <v>-1.003304</v>
      </c>
      <c r="R3066" t="s">
        <v>11037</v>
      </c>
      <c r="S3066" t="s">
        <v>10307</v>
      </c>
      <c r="W3066" s="2" t="s">
        <v>11203</v>
      </c>
    </row>
    <row r="3067" spans="1:23" hidden="1" x14ac:dyDescent="0.45">
      <c r="A3067" s="1" t="s">
        <v>3050</v>
      </c>
      <c r="B3067" t="s">
        <v>6263</v>
      </c>
      <c r="F3067" t="s">
        <v>10298</v>
      </c>
      <c r="G3067">
        <v>50</v>
      </c>
      <c r="H3067" t="s">
        <v>10307</v>
      </c>
      <c r="L3067">
        <v>1998</v>
      </c>
      <c r="N3067">
        <v>50.623280999999999</v>
      </c>
      <c r="P3067">
        <v>-2.4877889999999998</v>
      </c>
      <c r="R3067" t="s">
        <v>11037</v>
      </c>
      <c r="S3067" t="s">
        <v>10307</v>
      </c>
      <c r="W3067" s="2" t="s">
        <v>11203</v>
      </c>
    </row>
    <row r="3068" spans="1:23" hidden="1" x14ac:dyDescent="0.45">
      <c r="A3068" s="1" t="s">
        <v>3051</v>
      </c>
      <c r="B3068" t="s">
        <v>6263</v>
      </c>
      <c r="F3068" t="s">
        <v>10298</v>
      </c>
      <c r="G3068">
        <v>10.1</v>
      </c>
      <c r="H3068" t="s">
        <v>10307</v>
      </c>
      <c r="L3068">
        <v>2002</v>
      </c>
      <c r="R3068" t="s">
        <v>11037</v>
      </c>
      <c r="S3068" t="s">
        <v>10307</v>
      </c>
      <c r="W3068" s="2" t="s">
        <v>11203</v>
      </c>
    </row>
    <row r="3069" spans="1:23" hidden="1" x14ac:dyDescent="0.45">
      <c r="A3069" s="1" t="s">
        <v>3052</v>
      </c>
      <c r="B3069" t="s">
        <v>6263</v>
      </c>
      <c r="F3069" t="s">
        <v>10298</v>
      </c>
      <c r="G3069">
        <v>735</v>
      </c>
      <c r="H3069" t="s">
        <v>10307</v>
      </c>
      <c r="L3069">
        <v>1994</v>
      </c>
      <c r="N3069">
        <v>53.594692000000002</v>
      </c>
      <c r="P3069">
        <v>-0.74931199999999998</v>
      </c>
      <c r="Q3069" t="s">
        <v>10856</v>
      </c>
      <c r="R3069" t="s">
        <v>11037</v>
      </c>
      <c r="S3069" t="s">
        <v>10307</v>
      </c>
      <c r="W3069" s="2" t="s">
        <v>11203</v>
      </c>
    </row>
    <row r="3070" spans="1:23" hidden="1" x14ac:dyDescent="0.45">
      <c r="A3070" s="1" t="s">
        <v>3053</v>
      </c>
      <c r="B3070" t="s">
        <v>6263</v>
      </c>
      <c r="F3070" t="s">
        <v>10298</v>
      </c>
      <c r="G3070">
        <v>755</v>
      </c>
      <c r="H3070" t="s">
        <v>10307</v>
      </c>
      <c r="L3070">
        <v>1995</v>
      </c>
      <c r="N3070">
        <v>51.439787000000003</v>
      </c>
      <c r="P3070">
        <v>0.69098999999999999</v>
      </c>
      <c r="Q3070" t="s">
        <v>10857</v>
      </c>
      <c r="R3070" t="s">
        <v>11037</v>
      </c>
      <c r="S3070" t="s">
        <v>10307</v>
      </c>
      <c r="W3070" s="2" t="s">
        <v>11203</v>
      </c>
    </row>
    <row r="3071" spans="1:23" hidden="1" x14ac:dyDescent="0.45">
      <c r="A3071" s="1" t="s">
        <v>3054</v>
      </c>
      <c r="B3071" t="s">
        <v>6263</v>
      </c>
      <c r="F3071" t="s">
        <v>10298</v>
      </c>
      <c r="G3071">
        <v>1180</v>
      </c>
      <c r="H3071" t="s">
        <v>10307</v>
      </c>
      <c r="L3071">
        <v>1980</v>
      </c>
      <c r="N3071">
        <v>57.477711999999997</v>
      </c>
      <c r="P3071">
        <v>-1.789326</v>
      </c>
      <c r="Q3071" t="s">
        <v>10858</v>
      </c>
      <c r="R3071" t="s">
        <v>11037</v>
      </c>
      <c r="S3071" t="s">
        <v>10307</v>
      </c>
      <c r="W3071" s="2" t="s">
        <v>11203</v>
      </c>
    </row>
    <row r="3072" spans="1:23" hidden="1" x14ac:dyDescent="0.45">
      <c r="A3072" s="1" t="s">
        <v>3055</v>
      </c>
      <c r="B3072" t="s">
        <v>6263</v>
      </c>
      <c r="F3072" t="s">
        <v>10298</v>
      </c>
      <c r="G3072">
        <v>10</v>
      </c>
      <c r="H3072" t="s">
        <v>10307</v>
      </c>
      <c r="L3072">
        <v>1998</v>
      </c>
      <c r="N3072">
        <v>53.442988</v>
      </c>
      <c r="P3072">
        <v>-2.7399580000000001</v>
      </c>
      <c r="R3072" t="s">
        <v>11037</v>
      </c>
      <c r="S3072" t="s">
        <v>10307</v>
      </c>
      <c r="W3072" s="2" t="s">
        <v>11203</v>
      </c>
    </row>
    <row r="3073" spans="1:23" hidden="1" x14ac:dyDescent="0.45">
      <c r="A3073" s="1" t="s">
        <v>3056</v>
      </c>
      <c r="B3073" t="s">
        <v>6263</v>
      </c>
      <c r="F3073" t="s">
        <v>10298</v>
      </c>
      <c r="G3073">
        <v>2.1</v>
      </c>
      <c r="H3073" t="s">
        <v>10312</v>
      </c>
      <c r="L3073">
        <v>2011</v>
      </c>
      <c r="R3073" t="s">
        <v>11037</v>
      </c>
      <c r="S3073" t="s">
        <v>10312</v>
      </c>
      <c r="W3073" s="2" t="s">
        <v>11203</v>
      </c>
    </row>
    <row r="3074" spans="1:23" hidden="1" x14ac:dyDescent="0.45">
      <c r="A3074" s="1" t="s">
        <v>3057</v>
      </c>
      <c r="B3074" t="s">
        <v>6264</v>
      </c>
      <c r="F3074" t="s">
        <v>10298</v>
      </c>
      <c r="G3074">
        <v>13.5</v>
      </c>
      <c r="H3074" t="s">
        <v>10310</v>
      </c>
      <c r="L3074">
        <v>1962</v>
      </c>
      <c r="R3074" t="s">
        <v>11038</v>
      </c>
      <c r="S3074" t="s">
        <v>10310</v>
      </c>
      <c r="W3074" s="2" t="s">
        <v>11203</v>
      </c>
    </row>
    <row r="3075" spans="1:23" hidden="1" x14ac:dyDescent="0.45">
      <c r="A3075" s="1" t="s">
        <v>3058</v>
      </c>
      <c r="B3075" t="s">
        <v>6264</v>
      </c>
      <c r="F3075" t="s">
        <v>10298</v>
      </c>
      <c r="G3075">
        <v>20.5</v>
      </c>
      <c r="H3075" t="s">
        <v>10310</v>
      </c>
      <c r="L3075">
        <v>1962</v>
      </c>
      <c r="R3075" t="s">
        <v>11038</v>
      </c>
      <c r="S3075" t="s">
        <v>10310</v>
      </c>
      <c r="W3075" s="2" t="s">
        <v>11203</v>
      </c>
    </row>
    <row r="3076" spans="1:23" hidden="1" x14ac:dyDescent="0.45">
      <c r="A3076" s="1" t="s">
        <v>3059</v>
      </c>
      <c r="B3076" t="s">
        <v>6264</v>
      </c>
      <c r="F3076" t="s">
        <v>10298</v>
      </c>
      <c r="G3076">
        <v>20.5</v>
      </c>
      <c r="H3076" t="s">
        <v>10310</v>
      </c>
      <c r="L3076">
        <v>1962</v>
      </c>
      <c r="R3076" t="s">
        <v>11038</v>
      </c>
      <c r="S3076" t="s">
        <v>10310</v>
      </c>
      <c r="W3076" s="2" t="s">
        <v>11203</v>
      </c>
    </row>
    <row r="3077" spans="1:23" hidden="1" x14ac:dyDescent="0.45">
      <c r="A3077" s="1" t="s">
        <v>3060</v>
      </c>
      <c r="B3077" t="s">
        <v>6264</v>
      </c>
      <c r="F3077" t="s">
        <v>10298</v>
      </c>
      <c r="G3077">
        <v>1.3</v>
      </c>
      <c r="H3077" t="s">
        <v>10310</v>
      </c>
      <c r="L3077">
        <v>1961</v>
      </c>
      <c r="R3077" t="s">
        <v>11038</v>
      </c>
      <c r="S3077" t="s">
        <v>10310</v>
      </c>
      <c r="W3077" s="2" t="s">
        <v>11203</v>
      </c>
    </row>
    <row r="3078" spans="1:23" hidden="1" x14ac:dyDescent="0.45">
      <c r="A3078" s="1" t="s">
        <v>3061</v>
      </c>
      <c r="B3078" t="s">
        <v>6264</v>
      </c>
      <c r="F3078" t="s">
        <v>10298</v>
      </c>
      <c r="G3078">
        <v>0.1</v>
      </c>
      <c r="H3078" t="s">
        <v>10310</v>
      </c>
      <c r="L3078">
        <v>1963</v>
      </c>
      <c r="R3078" t="s">
        <v>11038</v>
      </c>
      <c r="S3078" t="s">
        <v>10310</v>
      </c>
      <c r="W3078" s="2" t="s">
        <v>11203</v>
      </c>
    </row>
    <row r="3079" spans="1:23" hidden="1" x14ac:dyDescent="0.45">
      <c r="A3079" s="1" t="s">
        <v>3062</v>
      </c>
      <c r="B3079" t="s">
        <v>6264</v>
      </c>
      <c r="F3079" t="s">
        <v>10298</v>
      </c>
      <c r="G3079">
        <v>0.1</v>
      </c>
      <c r="H3079" t="s">
        <v>10310</v>
      </c>
      <c r="L3079">
        <v>1963</v>
      </c>
      <c r="R3079" t="s">
        <v>11038</v>
      </c>
      <c r="S3079" t="s">
        <v>10310</v>
      </c>
      <c r="W3079" s="2" t="s">
        <v>11203</v>
      </c>
    </row>
    <row r="3080" spans="1:23" hidden="1" x14ac:dyDescent="0.45">
      <c r="A3080" s="1" t="s">
        <v>3063</v>
      </c>
      <c r="B3080" t="s">
        <v>6264</v>
      </c>
      <c r="F3080" t="s">
        <v>10298</v>
      </c>
      <c r="G3080">
        <v>0.1</v>
      </c>
      <c r="H3080" t="s">
        <v>10310</v>
      </c>
      <c r="L3080">
        <v>1985</v>
      </c>
      <c r="R3080" t="s">
        <v>11038</v>
      </c>
      <c r="S3080" t="s">
        <v>10310</v>
      </c>
      <c r="W3080" s="2" t="s">
        <v>11203</v>
      </c>
    </row>
    <row r="3081" spans="1:23" hidden="1" x14ac:dyDescent="0.45">
      <c r="A3081" s="1" t="s">
        <v>3064</v>
      </c>
      <c r="B3081" t="s">
        <v>6265</v>
      </c>
      <c r="F3081" t="s">
        <v>10298</v>
      </c>
      <c r="G3081">
        <v>2</v>
      </c>
      <c r="H3081" t="s">
        <v>10310</v>
      </c>
      <c r="L3081">
        <v>2012</v>
      </c>
      <c r="R3081" t="s">
        <v>11038</v>
      </c>
      <c r="S3081" t="s">
        <v>10310</v>
      </c>
      <c r="W3081" s="2" t="s">
        <v>11203</v>
      </c>
    </row>
    <row r="3082" spans="1:23" hidden="1" x14ac:dyDescent="0.45">
      <c r="A3082" s="1" t="s">
        <v>3065</v>
      </c>
      <c r="B3082" t="s">
        <v>6265</v>
      </c>
      <c r="F3082" t="s">
        <v>10298</v>
      </c>
      <c r="G3082">
        <v>2</v>
      </c>
      <c r="H3082" t="s">
        <v>10310</v>
      </c>
      <c r="L3082">
        <v>2015</v>
      </c>
      <c r="R3082" t="s">
        <v>11038</v>
      </c>
      <c r="S3082" t="s">
        <v>10310</v>
      </c>
      <c r="W3082" s="2" t="s">
        <v>11203</v>
      </c>
    </row>
    <row r="3083" spans="1:23" hidden="1" x14ac:dyDescent="0.45">
      <c r="A3083" s="1" t="s">
        <v>3066</v>
      </c>
      <c r="B3083" t="s">
        <v>6265</v>
      </c>
      <c r="F3083" t="s">
        <v>10298</v>
      </c>
      <c r="G3083">
        <v>0.9</v>
      </c>
      <c r="H3083" t="s">
        <v>10310</v>
      </c>
      <c r="L3083">
        <v>2015</v>
      </c>
      <c r="R3083" t="s">
        <v>11038</v>
      </c>
      <c r="S3083" t="s">
        <v>10310</v>
      </c>
      <c r="W3083" s="2" t="s">
        <v>11203</v>
      </c>
    </row>
    <row r="3084" spans="1:23" hidden="1" x14ac:dyDescent="0.45">
      <c r="A3084" s="1" t="s">
        <v>3067</v>
      </c>
      <c r="B3084" t="s">
        <v>6266</v>
      </c>
      <c r="F3084" t="s">
        <v>10298</v>
      </c>
      <c r="G3084">
        <v>42</v>
      </c>
      <c r="H3084" t="s">
        <v>10307</v>
      </c>
      <c r="L3084">
        <v>1995</v>
      </c>
      <c r="N3084">
        <v>54.181096999999987</v>
      </c>
      <c r="P3084">
        <v>-0.64195100000000005</v>
      </c>
      <c r="R3084" t="s">
        <v>11037</v>
      </c>
      <c r="S3084" t="s">
        <v>10307</v>
      </c>
      <c r="W3084" s="2" t="s">
        <v>11203</v>
      </c>
    </row>
    <row r="3085" spans="1:23" hidden="1" x14ac:dyDescent="0.45">
      <c r="A3085" s="1" t="s">
        <v>3068</v>
      </c>
      <c r="B3085" t="s">
        <v>6267</v>
      </c>
      <c r="F3085" t="s">
        <v>10298</v>
      </c>
      <c r="G3085">
        <v>2021</v>
      </c>
      <c r="H3085" t="s">
        <v>10314</v>
      </c>
      <c r="L3085">
        <v>1967</v>
      </c>
      <c r="N3085">
        <v>52.865240999999997</v>
      </c>
      <c r="P3085">
        <v>-1.254127</v>
      </c>
      <c r="Q3085" t="s">
        <v>10859</v>
      </c>
      <c r="R3085" t="s">
        <v>11037</v>
      </c>
      <c r="S3085" t="s">
        <v>10314</v>
      </c>
      <c r="W3085" s="2" t="s">
        <v>11203</v>
      </c>
    </row>
    <row r="3086" spans="1:23" hidden="1" x14ac:dyDescent="0.45">
      <c r="A3086" s="1" t="s">
        <v>3069</v>
      </c>
      <c r="B3086" t="s">
        <v>6267</v>
      </c>
      <c r="F3086" t="s">
        <v>10298</v>
      </c>
      <c r="G3086">
        <v>56</v>
      </c>
      <c r="H3086" t="s">
        <v>10313</v>
      </c>
      <c r="L3086">
        <v>1978</v>
      </c>
      <c r="N3086">
        <v>51.445227000000003</v>
      </c>
      <c r="P3086">
        <v>0.715005</v>
      </c>
      <c r="Q3086" t="s">
        <v>10860</v>
      </c>
      <c r="R3086" t="s">
        <v>11037</v>
      </c>
      <c r="S3086" t="s">
        <v>10313</v>
      </c>
      <c r="W3086" s="2" t="s">
        <v>11203</v>
      </c>
    </row>
    <row r="3087" spans="1:23" hidden="1" x14ac:dyDescent="0.45">
      <c r="A3087" s="1" t="s">
        <v>3070</v>
      </c>
      <c r="B3087" t="s">
        <v>6267</v>
      </c>
      <c r="F3087" t="s">
        <v>10298</v>
      </c>
      <c r="G3087">
        <v>34</v>
      </c>
      <c r="H3087" t="s">
        <v>10313</v>
      </c>
      <c r="L3087">
        <v>1967</v>
      </c>
      <c r="N3087">
        <v>52.865240999999997</v>
      </c>
      <c r="P3087">
        <v>-1.254127</v>
      </c>
      <c r="Q3087" t="s">
        <v>10861</v>
      </c>
      <c r="R3087" t="s">
        <v>11037</v>
      </c>
      <c r="S3087" t="s">
        <v>10313</v>
      </c>
      <c r="W3087" s="2" t="s">
        <v>11203</v>
      </c>
    </row>
    <row r="3088" spans="1:23" hidden="1" x14ac:dyDescent="0.45">
      <c r="A3088" s="1" t="s">
        <v>3071</v>
      </c>
      <c r="B3088" t="s">
        <v>6267</v>
      </c>
      <c r="F3088" t="s">
        <v>10298</v>
      </c>
      <c r="G3088">
        <v>144</v>
      </c>
      <c r="H3088" t="s">
        <v>10313</v>
      </c>
      <c r="L3088">
        <v>1979</v>
      </c>
      <c r="N3088">
        <v>51.546086000000003</v>
      </c>
      <c r="P3088">
        <v>-0.25730900000000001</v>
      </c>
      <c r="Q3088" t="s">
        <v>10862</v>
      </c>
      <c r="R3088" t="s">
        <v>11037</v>
      </c>
      <c r="S3088" t="s">
        <v>10313</v>
      </c>
      <c r="W3088" s="2" t="s">
        <v>11203</v>
      </c>
    </row>
    <row r="3089" spans="1:23" hidden="1" x14ac:dyDescent="0.45">
      <c r="A3089" s="1" t="s">
        <v>3072</v>
      </c>
      <c r="B3089" t="s">
        <v>6267</v>
      </c>
      <c r="F3089" t="s">
        <v>10298</v>
      </c>
      <c r="G3089">
        <v>445</v>
      </c>
      <c r="H3089" t="s">
        <v>10307</v>
      </c>
      <c r="L3089">
        <v>1998</v>
      </c>
      <c r="N3089">
        <v>53.303711</v>
      </c>
      <c r="P3089">
        <v>-0.77888199999999996</v>
      </c>
      <c r="Q3089" t="s">
        <v>10863</v>
      </c>
      <c r="R3089" t="s">
        <v>11037</v>
      </c>
      <c r="S3089" t="s">
        <v>10307</v>
      </c>
      <c r="W3089" s="2" t="s">
        <v>11203</v>
      </c>
    </row>
    <row r="3090" spans="1:23" hidden="1" x14ac:dyDescent="0.45">
      <c r="A3090" s="1" t="s">
        <v>3073</v>
      </c>
      <c r="B3090" t="s">
        <v>6267</v>
      </c>
      <c r="F3090" t="s">
        <v>10298</v>
      </c>
      <c r="G3090">
        <v>408</v>
      </c>
      <c r="H3090" t="s">
        <v>10307</v>
      </c>
      <c r="L3090">
        <v>1999</v>
      </c>
      <c r="N3090">
        <v>51.662650999999997</v>
      </c>
      <c r="P3090">
        <v>-2.2349999999999998E-2</v>
      </c>
      <c r="Q3090" t="s">
        <v>10864</v>
      </c>
      <c r="R3090" t="s">
        <v>11037</v>
      </c>
      <c r="S3090" t="s">
        <v>10307</v>
      </c>
      <c r="W3090" s="2" t="s">
        <v>11203</v>
      </c>
    </row>
    <row r="3091" spans="1:23" hidden="1" x14ac:dyDescent="0.45">
      <c r="A3091" s="1" t="s">
        <v>3074</v>
      </c>
      <c r="B3091" t="s">
        <v>6267</v>
      </c>
      <c r="F3091" t="s">
        <v>10298</v>
      </c>
      <c r="G3091">
        <v>1517</v>
      </c>
      <c r="H3091" t="s">
        <v>10307</v>
      </c>
      <c r="L3091">
        <v>2011</v>
      </c>
      <c r="N3091">
        <v>51.445227000000003</v>
      </c>
      <c r="P3091">
        <v>0.715005</v>
      </c>
      <c r="Q3091" t="s">
        <v>10865</v>
      </c>
      <c r="R3091" t="s">
        <v>11037</v>
      </c>
      <c r="S3091" t="s">
        <v>10307</v>
      </c>
      <c r="W3091" s="2" t="s">
        <v>11203</v>
      </c>
    </row>
    <row r="3092" spans="1:23" hidden="1" x14ac:dyDescent="0.45">
      <c r="A3092" s="1" t="s">
        <v>3075</v>
      </c>
      <c r="B3092" t="s">
        <v>6267</v>
      </c>
      <c r="F3092" t="s">
        <v>10298</v>
      </c>
      <c r="G3092">
        <v>600</v>
      </c>
      <c r="H3092" t="s">
        <v>10307</v>
      </c>
      <c r="L3092">
        <v>1992</v>
      </c>
      <c r="N3092">
        <v>53.659281999999997</v>
      </c>
      <c r="P3092">
        <v>-0.25521899999999997</v>
      </c>
      <c r="Q3092" t="s">
        <v>10866</v>
      </c>
      <c r="R3092" t="s">
        <v>11037</v>
      </c>
      <c r="S3092" t="s">
        <v>10307</v>
      </c>
      <c r="W3092" s="2" t="s">
        <v>11203</v>
      </c>
    </row>
    <row r="3093" spans="1:23" hidden="1" x14ac:dyDescent="0.45">
      <c r="A3093" s="1" t="s">
        <v>3076</v>
      </c>
      <c r="B3093" t="s">
        <v>6267</v>
      </c>
      <c r="F3093" t="s">
        <v>10298</v>
      </c>
      <c r="G3093">
        <v>1380</v>
      </c>
      <c r="H3093" t="s">
        <v>10307</v>
      </c>
      <c r="L3093">
        <v>1996</v>
      </c>
      <c r="N3093">
        <v>53.231501000000002</v>
      </c>
      <c r="P3093">
        <v>-3.0819390000000002</v>
      </c>
      <c r="Q3093" t="s">
        <v>10867</v>
      </c>
      <c r="R3093" t="s">
        <v>11037</v>
      </c>
      <c r="S3093" t="s">
        <v>10307</v>
      </c>
      <c r="W3093" s="2" t="s">
        <v>11203</v>
      </c>
    </row>
    <row r="3094" spans="1:23" hidden="1" x14ac:dyDescent="0.45">
      <c r="A3094" s="1" t="s">
        <v>3077</v>
      </c>
      <c r="B3094" t="s">
        <v>6268</v>
      </c>
      <c r="F3094" t="s">
        <v>10298</v>
      </c>
      <c r="G3094">
        <v>35</v>
      </c>
      <c r="H3094" t="s">
        <v>10312</v>
      </c>
      <c r="L3094">
        <v>1994</v>
      </c>
      <c r="R3094" t="s">
        <v>11037</v>
      </c>
      <c r="S3094" t="s">
        <v>10312</v>
      </c>
      <c r="W3094" s="2" t="s">
        <v>11203</v>
      </c>
    </row>
    <row r="3095" spans="1:23" hidden="1" x14ac:dyDescent="0.45">
      <c r="A3095" s="1" t="s">
        <v>3078</v>
      </c>
      <c r="B3095" t="s">
        <v>6269</v>
      </c>
      <c r="F3095" t="s">
        <v>10298</v>
      </c>
      <c r="G3095">
        <v>26</v>
      </c>
      <c r="H3095" t="s">
        <v>10312</v>
      </c>
      <c r="L3095">
        <v>2014</v>
      </c>
      <c r="R3095" t="s">
        <v>11037</v>
      </c>
      <c r="S3095" t="s">
        <v>10312</v>
      </c>
      <c r="W3095" s="2" t="s">
        <v>11203</v>
      </c>
    </row>
    <row r="3096" spans="1:23" hidden="1" x14ac:dyDescent="0.45">
      <c r="A3096" s="1" t="s">
        <v>3079</v>
      </c>
      <c r="B3096" t="s">
        <v>6269</v>
      </c>
      <c r="F3096" t="s">
        <v>10298</v>
      </c>
      <c r="G3096">
        <v>8</v>
      </c>
      <c r="H3096" t="s">
        <v>10312</v>
      </c>
      <c r="L3096">
        <v>1971</v>
      </c>
      <c r="R3096" t="s">
        <v>11037</v>
      </c>
      <c r="S3096" t="s">
        <v>10312</v>
      </c>
      <c r="W3096" s="2" t="s">
        <v>11203</v>
      </c>
    </row>
    <row r="3097" spans="1:23" hidden="1" x14ac:dyDescent="0.45">
      <c r="A3097" s="1" t="s">
        <v>3080</v>
      </c>
      <c r="B3097" t="s">
        <v>6269</v>
      </c>
      <c r="F3097" t="s">
        <v>10298</v>
      </c>
      <c r="G3097">
        <v>30</v>
      </c>
      <c r="H3097" t="s">
        <v>10312</v>
      </c>
      <c r="L3097">
        <v>2014</v>
      </c>
      <c r="R3097" t="s">
        <v>11037</v>
      </c>
      <c r="S3097" t="s">
        <v>10312</v>
      </c>
      <c r="W3097" s="2" t="s">
        <v>11203</v>
      </c>
    </row>
    <row r="3098" spans="1:23" hidden="1" x14ac:dyDescent="0.45">
      <c r="A3098" s="1" t="s">
        <v>3081</v>
      </c>
      <c r="B3098" t="s">
        <v>6269</v>
      </c>
      <c r="F3098" t="s">
        <v>10298</v>
      </c>
      <c r="G3098">
        <v>3.5</v>
      </c>
      <c r="H3098" t="s">
        <v>10312</v>
      </c>
      <c r="L3098">
        <v>2014</v>
      </c>
      <c r="R3098" t="s">
        <v>11037</v>
      </c>
      <c r="S3098" t="s">
        <v>10312</v>
      </c>
      <c r="W3098" s="2" t="s">
        <v>11203</v>
      </c>
    </row>
    <row r="3099" spans="1:23" hidden="1" x14ac:dyDescent="0.45">
      <c r="A3099" s="1" t="s">
        <v>3082</v>
      </c>
      <c r="B3099" t="s">
        <v>6269</v>
      </c>
      <c r="F3099" t="s">
        <v>10298</v>
      </c>
      <c r="G3099">
        <v>37</v>
      </c>
      <c r="H3099" t="s">
        <v>10312</v>
      </c>
      <c r="L3099">
        <v>2010</v>
      </c>
      <c r="R3099" t="s">
        <v>11037</v>
      </c>
      <c r="S3099" t="s">
        <v>10312</v>
      </c>
      <c r="W3099" s="2" t="s">
        <v>11203</v>
      </c>
    </row>
    <row r="3100" spans="1:23" hidden="1" x14ac:dyDescent="0.45">
      <c r="A3100" s="1" t="s">
        <v>3083</v>
      </c>
      <c r="B3100" t="s">
        <v>6269</v>
      </c>
      <c r="F3100" t="s">
        <v>10298</v>
      </c>
      <c r="G3100">
        <v>7.3</v>
      </c>
      <c r="H3100" t="s">
        <v>10312</v>
      </c>
      <c r="L3100">
        <v>2016</v>
      </c>
      <c r="R3100" t="s">
        <v>11037</v>
      </c>
      <c r="S3100" t="s">
        <v>10312</v>
      </c>
      <c r="W3100" s="2" t="s">
        <v>11203</v>
      </c>
    </row>
    <row r="3101" spans="1:23" hidden="1" x14ac:dyDescent="0.45">
      <c r="A3101" s="1" t="s">
        <v>3084</v>
      </c>
      <c r="B3101" t="s">
        <v>6269</v>
      </c>
      <c r="F3101" t="s">
        <v>10298</v>
      </c>
      <c r="G3101">
        <v>91</v>
      </c>
      <c r="H3101" t="s">
        <v>10312</v>
      </c>
      <c r="L3101">
        <v>2014</v>
      </c>
      <c r="R3101" t="s">
        <v>11037</v>
      </c>
      <c r="S3101" t="s">
        <v>10312</v>
      </c>
      <c r="W3101" s="2" t="s">
        <v>11203</v>
      </c>
    </row>
    <row r="3102" spans="1:23" hidden="1" x14ac:dyDescent="0.45">
      <c r="A3102" s="1" t="s">
        <v>3085</v>
      </c>
      <c r="B3102" t="s">
        <v>6270</v>
      </c>
      <c r="F3102" t="s">
        <v>10298</v>
      </c>
      <c r="G3102">
        <v>1252</v>
      </c>
      <c r="H3102" t="s">
        <v>10307</v>
      </c>
      <c r="L3102">
        <v>2004</v>
      </c>
      <c r="N3102">
        <v>53.638707999999987</v>
      </c>
      <c r="P3102">
        <v>-0.234093</v>
      </c>
      <c r="Q3102" t="s">
        <v>10868</v>
      </c>
      <c r="R3102" t="s">
        <v>11037</v>
      </c>
      <c r="S3102" t="s">
        <v>10307</v>
      </c>
      <c r="W3102" s="2" t="s">
        <v>11203</v>
      </c>
    </row>
    <row r="3103" spans="1:23" hidden="1" x14ac:dyDescent="0.45">
      <c r="A3103" s="1" t="s">
        <v>3086</v>
      </c>
      <c r="B3103" t="s">
        <v>6271</v>
      </c>
      <c r="D3103" t="s">
        <v>8025</v>
      </c>
      <c r="E3103" t="s">
        <v>9618</v>
      </c>
      <c r="F3103" t="s">
        <v>10299</v>
      </c>
      <c r="G3103">
        <v>5.7</v>
      </c>
      <c r="H3103" t="s">
        <v>10310</v>
      </c>
      <c r="I3103" t="s">
        <v>10326</v>
      </c>
      <c r="L3103">
        <v>1948</v>
      </c>
      <c r="R3103" t="s">
        <v>11038</v>
      </c>
      <c r="S3103" t="s">
        <v>10310</v>
      </c>
      <c r="U3103" t="s">
        <v>11046</v>
      </c>
      <c r="W3103" s="2" t="s">
        <v>11204</v>
      </c>
    </row>
    <row r="3104" spans="1:23" hidden="1" x14ac:dyDescent="0.45">
      <c r="A3104" s="1" t="s">
        <v>3087</v>
      </c>
      <c r="D3104" t="s">
        <v>8026</v>
      </c>
      <c r="E3104" t="s">
        <v>9619</v>
      </c>
      <c r="F3104" t="s">
        <v>10299</v>
      </c>
      <c r="G3104">
        <v>1.6E-2</v>
      </c>
      <c r="H3104" t="s">
        <v>10310</v>
      </c>
      <c r="I3104" t="s">
        <v>10326</v>
      </c>
      <c r="L3104">
        <v>1999</v>
      </c>
      <c r="R3104" t="s">
        <v>11038</v>
      </c>
      <c r="S3104" t="s">
        <v>10310</v>
      </c>
      <c r="U3104" t="s">
        <v>11047</v>
      </c>
      <c r="W3104" s="2" t="s">
        <v>11204</v>
      </c>
    </row>
    <row r="3105" spans="1:23" hidden="1" x14ac:dyDescent="0.45">
      <c r="A3105" s="1" t="s">
        <v>3088</v>
      </c>
      <c r="B3105" t="s">
        <v>6272</v>
      </c>
      <c r="D3105" t="s">
        <v>8027</v>
      </c>
      <c r="E3105" t="s">
        <v>9620</v>
      </c>
      <c r="F3105" t="s">
        <v>10299</v>
      </c>
      <c r="G3105">
        <v>0.83</v>
      </c>
      <c r="H3105" t="s">
        <v>10310</v>
      </c>
      <c r="I3105" t="s">
        <v>10326</v>
      </c>
      <c r="L3105">
        <v>1996</v>
      </c>
      <c r="R3105" t="s">
        <v>11038</v>
      </c>
      <c r="S3105" t="s">
        <v>10310</v>
      </c>
      <c r="U3105" t="s">
        <v>11046</v>
      </c>
      <c r="W3105" s="2" t="s">
        <v>11204</v>
      </c>
    </row>
    <row r="3106" spans="1:23" hidden="1" x14ac:dyDescent="0.45">
      <c r="A3106" s="1" t="s">
        <v>3089</v>
      </c>
      <c r="B3106" t="s">
        <v>6273</v>
      </c>
      <c r="D3106" t="s">
        <v>8028</v>
      </c>
      <c r="E3106" t="s">
        <v>9621</v>
      </c>
      <c r="F3106" t="s">
        <v>10299</v>
      </c>
      <c r="G3106">
        <v>1</v>
      </c>
      <c r="H3106" t="s">
        <v>10310</v>
      </c>
      <c r="I3106" t="s">
        <v>10326</v>
      </c>
      <c r="L3106">
        <v>1908</v>
      </c>
      <c r="R3106" t="s">
        <v>11038</v>
      </c>
      <c r="S3106" t="s">
        <v>10310</v>
      </c>
      <c r="U3106" t="s">
        <v>11046</v>
      </c>
      <c r="W3106" s="2" t="s">
        <v>11204</v>
      </c>
    </row>
    <row r="3107" spans="1:23" hidden="1" x14ac:dyDescent="0.45">
      <c r="A3107" s="1" t="s">
        <v>3090</v>
      </c>
      <c r="B3107" t="s">
        <v>6274</v>
      </c>
      <c r="D3107" t="s">
        <v>8029</v>
      </c>
      <c r="E3107" t="s">
        <v>9622</v>
      </c>
      <c r="F3107" t="s">
        <v>10299</v>
      </c>
      <c r="G3107">
        <v>50</v>
      </c>
      <c r="H3107" t="s">
        <v>10310</v>
      </c>
      <c r="I3107" t="s">
        <v>10326</v>
      </c>
      <c r="L3107">
        <v>1973</v>
      </c>
      <c r="R3107" t="s">
        <v>11038</v>
      </c>
      <c r="S3107" t="s">
        <v>10310</v>
      </c>
      <c r="U3107" t="s">
        <v>11048</v>
      </c>
      <c r="W3107" s="2" t="s">
        <v>11204</v>
      </c>
    </row>
    <row r="3108" spans="1:23" hidden="1" x14ac:dyDescent="0.45">
      <c r="A3108" s="1" t="s">
        <v>3091</v>
      </c>
      <c r="D3108" t="s">
        <v>8029</v>
      </c>
      <c r="E3108" t="s">
        <v>9622</v>
      </c>
      <c r="F3108" t="s">
        <v>10299</v>
      </c>
      <c r="G3108">
        <v>0.4</v>
      </c>
      <c r="H3108" t="s">
        <v>10310</v>
      </c>
      <c r="I3108" t="s">
        <v>10326</v>
      </c>
      <c r="L3108">
        <v>2007</v>
      </c>
      <c r="R3108" t="s">
        <v>11038</v>
      </c>
      <c r="S3108" t="s">
        <v>10310</v>
      </c>
      <c r="U3108" t="s">
        <v>11048</v>
      </c>
      <c r="W3108" s="2" t="s">
        <v>11204</v>
      </c>
    </row>
    <row r="3109" spans="1:23" hidden="1" x14ac:dyDescent="0.45">
      <c r="A3109" s="1" t="s">
        <v>3092</v>
      </c>
      <c r="D3109" t="s">
        <v>8030</v>
      </c>
      <c r="E3109" t="s">
        <v>9623</v>
      </c>
      <c r="F3109" t="s">
        <v>10299</v>
      </c>
      <c r="G3109">
        <v>0.05</v>
      </c>
      <c r="H3109" t="s">
        <v>10310</v>
      </c>
      <c r="I3109" t="s">
        <v>10326</v>
      </c>
      <c r="L3109">
        <v>2007</v>
      </c>
      <c r="R3109" t="s">
        <v>11038</v>
      </c>
      <c r="S3109" t="s">
        <v>10310</v>
      </c>
      <c r="U3109" t="s">
        <v>11049</v>
      </c>
      <c r="W3109" s="2" t="s">
        <v>11204</v>
      </c>
    </row>
    <row r="3110" spans="1:23" hidden="1" x14ac:dyDescent="0.45">
      <c r="A3110" s="1" t="s">
        <v>3093</v>
      </c>
      <c r="D3110" t="s">
        <v>8031</v>
      </c>
      <c r="E3110" t="s">
        <v>9624</v>
      </c>
      <c r="F3110" t="s">
        <v>10299</v>
      </c>
      <c r="G3110">
        <v>1.15E-2</v>
      </c>
      <c r="H3110" t="s">
        <v>10310</v>
      </c>
      <c r="I3110" t="s">
        <v>10326</v>
      </c>
      <c r="L3110">
        <v>2008</v>
      </c>
      <c r="R3110" t="s">
        <v>11038</v>
      </c>
      <c r="S3110" t="s">
        <v>10310</v>
      </c>
      <c r="U3110" t="s">
        <v>11047</v>
      </c>
      <c r="W3110" s="2" t="s">
        <v>11204</v>
      </c>
    </row>
    <row r="3111" spans="1:23" hidden="1" x14ac:dyDescent="0.45">
      <c r="A3111" s="1" t="s">
        <v>3094</v>
      </c>
      <c r="B3111" t="s">
        <v>6275</v>
      </c>
      <c r="D3111" t="s">
        <v>8032</v>
      </c>
      <c r="E3111" t="s">
        <v>9625</v>
      </c>
      <c r="F3111" t="s">
        <v>10299</v>
      </c>
      <c r="G3111">
        <v>1.7</v>
      </c>
      <c r="H3111" t="s">
        <v>10310</v>
      </c>
      <c r="I3111" t="s">
        <v>10326</v>
      </c>
      <c r="L3111">
        <v>2013</v>
      </c>
      <c r="R3111" t="s">
        <v>11038</v>
      </c>
      <c r="S3111" t="s">
        <v>10310</v>
      </c>
      <c r="U3111" t="s">
        <v>11046</v>
      </c>
      <c r="W3111" s="2" t="s">
        <v>11204</v>
      </c>
    </row>
    <row r="3112" spans="1:23" hidden="1" x14ac:dyDescent="0.45">
      <c r="A3112" s="1" t="s">
        <v>3095</v>
      </c>
      <c r="B3112" t="s">
        <v>6276</v>
      </c>
      <c r="D3112" t="s">
        <v>8033</v>
      </c>
      <c r="E3112" t="s">
        <v>9626</v>
      </c>
      <c r="F3112" t="s">
        <v>10299</v>
      </c>
      <c r="G3112">
        <v>0.06</v>
      </c>
      <c r="H3112" t="s">
        <v>10310</v>
      </c>
      <c r="I3112" t="s">
        <v>10326</v>
      </c>
      <c r="L3112">
        <v>1997</v>
      </c>
      <c r="R3112" t="s">
        <v>11038</v>
      </c>
      <c r="S3112" t="s">
        <v>10310</v>
      </c>
      <c r="U3112" t="s">
        <v>11047</v>
      </c>
      <c r="W3112" s="2" t="s">
        <v>11204</v>
      </c>
    </row>
    <row r="3113" spans="1:23" hidden="1" x14ac:dyDescent="0.45">
      <c r="A3113" s="1" t="s">
        <v>3096</v>
      </c>
      <c r="B3113" t="s">
        <v>6277</v>
      </c>
      <c r="D3113" t="s">
        <v>8034</v>
      </c>
      <c r="E3113" t="s">
        <v>9627</v>
      </c>
      <c r="F3113" t="s">
        <v>10299</v>
      </c>
      <c r="G3113">
        <v>1.2</v>
      </c>
      <c r="H3113" t="s">
        <v>10310</v>
      </c>
      <c r="I3113" t="s">
        <v>10326</v>
      </c>
      <c r="L3113">
        <v>2009</v>
      </c>
      <c r="R3113" t="s">
        <v>11038</v>
      </c>
      <c r="S3113" t="s">
        <v>10310</v>
      </c>
      <c r="U3113" t="s">
        <v>11046</v>
      </c>
      <c r="W3113" s="2" t="s">
        <v>11204</v>
      </c>
    </row>
    <row r="3114" spans="1:23" hidden="1" x14ac:dyDescent="0.45">
      <c r="A3114" s="1" t="s">
        <v>3097</v>
      </c>
      <c r="B3114" t="s">
        <v>6274</v>
      </c>
      <c r="D3114" t="s">
        <v>8035</v>
      </c>
      <c r="E3114" t="s">
        <v>3097</v>
      </c>
      <c r="F3114" t="s">
        <v>10299</v>
      </c>
      <c r="G3114">
        <v>150</v>
      </c>
      <c r="H3114" t="s">
        <v>10310</v>
      </c>
      <c r="I3114" t="s">
        <v>10326</v>
      </c>
      <c r="L3114">
        <v>1987</v>
      </c>
      <c r="R3114" t="s">
        <v>11038</v>
      </c>
      <c r="S3114" t="s">
        <v>10310</v>
      </c>
      <c r="U3114" t="s">
        <v>11048</v>
      </c>
      <c r="W3114" s="2" t="s">
        <v>11204</v>
      </c>
    </row>
    <row r="3115" spans="1:23" hidden="1" x14ac:dyDescent="0.45">
      <c r="A3115" s="1" t="s">
        <v>3098</v>
      </c>
      <c r="B3115" t="s">
        <v>6278</v>
      </c>
      <c r="D3115" t="s">
        <v>8036</v>
      </c>
      <c r="E3115" t="s">
        <v>9628</v>
      </c>
      <c r="F3115" t="s">
        <v>10299</v>
      </c>
      <c r="G3115">
        <v>2</v>
      </c>
      <c r="H3115" t="s">
        <v>10310</v>
      </c>
      <c r="I3115" t="s">
        <v>10326</v>
      </c>
      <c r="L3115">
        <v>2001</v>
      </c>
      <c r="R3115" t="s">
        <v>11038</v>
      </c>
      <c r="S3115" t="s">
        <v>10310</v>
      </c>
      <c r="U3115" t="s">
        <v>11048</v>
      </c>
      <c r="W3115" s="2" t="s">
        <v>11204</v>
      </c>
    </row>
    <row r="3116" spans="1:23" hidden="1" x14ac:dyDescent="0.45">
      <c r="A3116" s="1" t="s">
        <v>3099</v>
      </c>
      <c r="B3116" t="s">
        <v>6279</v>
      </c>
      <c r="D3116" t="s">
        <v>8037</v>
      </c>
      <c r="E3116" t="s">
        <v>9629</v>
      </c>
      <c r="F3116" t="s">
        <v>10299</v>
      </c>
      <c r="G3116">
        <v>7.8</v>
      </c>
      <c r="H3116" t="s">
        <v>10310</v>
      </c>
      <c r="I3116" t="s">
        <v>10326</v>
      </c>
      <c r="L3116">
        <v>2019</v>
      </c>
      <c r="R3116" t="s">
        <v>11038</v>
      </c>
      <c r="S3116" t="s">
        <v>10310</v>
      </c>
      <c r="U3116" t="s">
        <v>11047</v>
      </c>
      <c r="W3116" s="2" t="s">
        <v>11204</v>
      </c>
    </row>
    <row r="3117" spans="1:23" hidden="1" x14ac:dyDescent="0.45">
      <c r="A3117" s="1" t="s">
        <v>3100</v>
      </c>
      <c r="B3117" t="s">
        <v>6280</v>
      </c>
      <c r="D3117" t="s">
        <v>8038</v>
      </c>
      <c r="E3117" t="s">
        <v>9630</v>
      </c>
      <c r="F3117" t="s">
        <v>10299</v>
      </c>
      <c r="G3117">
        <v>1.1000000000000001</v>
      </c>
      <c r="H3117" t="s">
        <v>10310</v>
      </c>
      <c r="I3117" t="s">
        <v>10326</v>
      </c>
      <c r="L3117">
        <v>1990</v>
      </c>
      <c r="R3117" t="s">
        <v>11038</v>
      </c>
      <c r="S3117" t="s">
        <v>10310</v>
      </c>
      <c r="U3117" t="s">
        <v>11047</v>
      </c>
      <c r="W3117" s="2" t="s">
        <v>11204</v>
      </c>
    </row>
    <row r="3118" spans="1:23" hidden="1" x14ac:dyDescent="0.45">
      <c r="A3118" s="1" t="s">
        <v>3101</v>
      </c>
      <c r="B3118" t="s">
        <v>6281</v>
      </c>
      <c r="D3118" t="s">
        <v>8039</v>
      </c>
      <c r="E3118" t="s">
        <v>9631</v>
      </c>
      <c r="F3118" t="s">
        <v>10299</v>
      </c>
      <c r="G3118">
        <v>2.5</v>
      </c>
      <c r="H3118" t="s">
        <v>10310</v>
      </c>
      <c r="I3118" t="s">
        <v>10326</v>
      </c>
      <c r="L3118">
        <v>1954</v>
      </c>
      <c r="R3118" t="s">
        <v>11038</v>
      </c>
      <c r="S3118" t="s">
        <v>10310</v>
      </c>
      <c r="U3118" t="s">
        <v>11049</v>
      </c>
      <c r="W3118" s="2" t="s">
        <v>11204</v>
      </c>
    </row>
    <row r="3119" spans="1:23" hidden="1" x14ac:dyDescent="0.45">
      <c r="A3119" s="1" t="s">
        <v>3102</v>
      </c>
      <c r="B3119" t="s">
        <v>6282</v>
      </c>
      <c r="D3119" t="s">
        <v>8040</v>
      </c>
      <c r="E3119" t="s">
        <v>9632</v>
      </c>
      <c r="F3119" t="s">
        <v>10299</v>
      </c>
      <c r="G3119">
        <v>2.2000000000000002</v>
      </c>
      <c r="H3119" t="s">
        <v>10310</v>
      </c>
      <c r="I3119" t="s">
        <v>10326</v>
      </c>
      <c r="L3119">
        <v>1934</v>
      </c>
      <c r="R3119" t="s">
        <v>11038</v>
      </c>
      <c r="S3119" t="s">
        <v>10310</v>
      </c>
      <c r="U3119" t="s">
        <v>11049</v>
      </c>
      <c r="W3119" s="2" t="s">
        <v>11204</v>
      </c>
    </row>
    <row r="3120" spans="1:23" hidden="1" x14ac:dyDescent="0.45">
      <c r="A3120" s="1" t="s">
        <v>3103</v>
      </c>
      <c r="B3120" t="s">
        <v>6283</v>
      </c>
      <c r="D3120" t="s">
        <v>8041</v>
      </c>
      <c r="E3120" t="s">
        <v>9633</v>
      </c>
      <c r="F3120" t="s">
        <v>10299</v>
      </c>
      <c r="G3120">
        <v>2.4</v>
      </c>
      <c r="H3120" t="s">
        <v>10310</v>
      </c>
      <c r="I3120" t="s">
        <v>10326</v>
      </c>
      <c r="L3120">
        <v>2004</v>
      </c>
      <c r="R3120" t="s">
        <v>11038</v>
      </c>
      <c r="S3120" t="s">
        <v>10310</v>
      </c>
      <c r="U3120" t="s">
        <v>11048</v>
      </c>
      <c r="W3120" s="2" t="s">
        <v>11204</v>
      </c>
    </row>
    <row r="3121" spans="1:23" hidden="1" x14ac:dyDescent="0.45">
      <c r="A3121" s="1" t="s">
        <v>3104</v>
      </c>
      <c r="B3121" t="s">
        <v>6284</v>
      </c>
      <c r="D3121" t="s">
        <v>8042</v>
      </c>
      <c r="E3121" t="s">
        <v>9634</v>
      </c>
      <c r="F3121" t="s">
        <v>10299</v>
      </c>
      <c r="G3121">
        <v>1</v>
      </c>
      <c r="H3121" t="s">
        <v>10310</v>
      </c>
      <c r="I3121" t="s">
        <v>10326</v>
      </c>
      <c r="L3121">
        <v>2003</v>
      </c>
      <c r="R3121" t="s">
        <v>11038</v>
      </c>
      <c r="S3121" t="s">
        <v>10310</v>
      </c>
      <c r="U3121" t="s">
        <v>11048</v>
      </c>
      <c r="W3121" s="2" t="s">
        <v>11204</v>
      </c>
    </row>
    <row r="3122" spans="1:23" hidden="1" x14ac:dyDescent="0.45">
      <c r="A3122" s="1" t="s">
        <v>3105</v>
      </c>
      <c r="B3122" t="s">
        <v>6285</v>
      </c>
      <c r="D3122" t="s">
        <v>8043</v>
      </c>
      <c r="E3122" t="s">
        <v>9635</v>
      </c>
      <c r="F3122" t="s">
        <v>10299</v>
      </c>
      <c r="G3122">
        <v>0.19500000000000001</v>
      </c>
      <c r="H3122" t="s">
        <v>10310</v>
      </c>
      <c r="I3122" t="s">
        <v>10326</v>
      </c>
      <c r="L3122">
        <v>2007</v>
      </c>
      <c r="R3122" t="s">
        <v>11038</v>
      </c>
      <c r="S3122" t="s">
        <v>10310</v>
      </c>
      <c r="U3122" t="s">
        <v>11046</v>
      </c>
      <c r="W3122" s="2" t="s">
        <v>11204</v>
      </c>
    </row>
    <row r="3123" spans="1:23" hidden="1" x14ac:dyDescent="0.45">
      <c r="A3123" s="1" t="s">
        <v>3106</v>
      </c>
      <c r="B3123" t="s">
        <v>6286</v>
      </c>
      <c r="D3123" t="s">
        <v>8028</v>
      </c>
      <c r="E3123" t="s">
        <v>9636</v>
      </c>
      <c r="F3123" t="s">
        <v>10299</v>
      </c>
      <c r="G3123">
        <v>13.2</v>
      </c>
      <c r="H3123" t="s">
        <v>10310</v>
      </c>
      <c r="I3123" t="s">
        <v>10326</v>
      </c>
      <c r="L3123">
        <v>1946</v>
      </c>
      <c r="R3123" t="s">
        <v>11038</v>
      </c>
      <c r="S3123" t="s">
        <v>10310</v>
      </c>
      <c r="U3123" t="s">
        <v>11050</v>
      </c>
      <c r="W3123" s="2" t="s">
        <v>11204</v>
      </c>
    </row>
    <row r="3124" spans="1:23" hidden="1" x14ac:dyDescent="0.45">
      <c r="A3124" s="1" t="s">
        <v>3107</v>
      </c>
      <c r="B3124" t="s">
        <v>6287</v>
      </c>
      <c r="D3124" t="s">
        <v>8036</v>
      </c>
      <c r="E3124" t="s">
        <v>9637</v>
      </c>
      <c r="F3124" t="s">
        <v>10299</v>
      </c>
      <c r="G3124">
        <v>5.5E-2</v>
      </c>
      <c r="H3124" t="s">
        <v>10310</v>
      </c>
      <c r="I3124" t="s">
        <v>10326</v>
      </c>
      <c r="L3124">
        <v>2005</v>
      </c>
      <c r="R3124" t="s">
        <v>11038</v>
      </c>
      <c r="S3124" t="s">
        <v>10310</v>
      </c>
      <c r="U3124" t="s">
        <v>11049</v>
      </c>
      <c r="W3124" s="2" t="s">
        <v>11204</v>
      </c>
    </row>
    <row r="3125" spans="1:23" hidden="1" x14ac:dyDescent="0.45">
      <c r="A3125" s="1" t="s">
        <v>3108</v>
      </c>
      <c r="B3125" t="s">
        <v>6288</v>
      </c>
      <c r="D3125" t="s">
        <v>8044</v>
      </c>
      <c r="E3125" t="s">
        <v>9638</v>
      </c>
      <c r="F3125" t="s">
        <v>10299</v>
      </c>
      <c r="G3125">
        <v>1.7999999999999999E-2</v>
      </c>
      <c r="H3125" t="s">
        <v>10310</v>
      </c>
      <c r="I3125" t="s">
        <v>10326</v>
      </c>
      <c r="L3125">
        <v>2002</v>
      </c>
      <c r="R3125" t="s">
        <v>11038</v>
      </c>
      <c r="S3125" t="s">
        <v>10310</v>
      </c>
      <c r="U3125" t="s">
        <v>11047</v>
      </c>
      <c r="W3125" s="2" t="s">
        <v>11204</v>
      </c>
    </row>
    <row r="3126" spans="1:23" hidden="1" x14ac:dyDescent="0.45">
      <c r="A3126" s="1" t="s">
        <v>3109</v>
      </c>
      <c r="B3126" t="s">
        <v>6289</v>
      </c>
      <c r="D3126" t="s">
        <v>8045</v>
      </c>
      <c r="E3126" t="s">
        <v>9639</v>
      </c>
      <c r="F3126" t="s">
        <v>10299</v>
      </c>
      <c r="G3126">
        <v>29.54</v>
      </c>
      <c r="H3126" t="s">
        <v>10310</v>
      </c>
      <c r="I3126" t="s">
        <v>10326</v>
      </c>
      <c r="L3126">
        <v>1959</v>
      </c>
      <c r="R3126" t="s">
        <v>11038</v>
      </c>
      <c r="S3126" t="s">
        <v>10310</v>
      </c>
      <c r="U3126" t="s">
        <v>11047</v>
      </c>
      <c r="W3126" s="2" t="s">
        <v>11204</v>
      </c>
    </row>
    <row r="3127" spans="1:23" hidden="1" x14ac:dyDescent="0.45">
      <c r="A3127" s="1" t="s">
        <v>3110</v>
      </c>
      <c r="B3127" t="s">
        <v>6274</v>
      </c>
      <c r="D3127" t="s">
        <v>8046</v>
      </c>
      <c r="E3127" t="s">
        <v>9640</v>
      </c>
      <c r="F3127" t="s">
        <v>10299</v>
      </c>
      <c r="G3127">
        <v>290</v>
      </c>
      <c r="H3127" t="s">
        <v>10310</v>
      </c>
      <c r="I3127" t="s">
        <v>10326</v>
      </c>
      <c r="L3127">
        <v>1955</v>
      </c>
      <c r="R3127" t="s">
        <v>11038</v>
      </c>
      <c r="S3127" t="s">
        <v>10310</v>
      </c>
      <c r="U3127" t="s">
        <v>11047</v>
      </c>
      <c r="W3127" s="2" t="s">
        <v>11204</v>
      </c>
    </row>
    <row r="3128" spans="1:23" hidden="1" x14ac:dyDescent="0.45">
      <c r="A3128" s="1" t="s">
        <v>3111</v>
      </c>
      <c r="D3128" t="s">
        <v>8043</v>
      </c>
      <c r="E3128" t="s">
        <v>9635</v>
      </c>
      <c r="F3128" t="s">
        <v>10299</v>
      </c>
      <c r="G3128">
        <v>0.02</v>
      </c>
      <c r="H3128" t="s">
        <v>10310</v>
      </c>
      <c r="I3128" t="s">
        <v>10326</v>
      </c>
      <c r="L3128">
        <v>2002</v>
      </c>
      <c r="R3128" t="s">
        <v>11038</v>
      </c>
      <c r="S3128" t="s">
        <v>10310</v>
      </c>
      <c r="U3128" t="s">
        <v>11046</v>
      </c>
      <c r="W3128" s="2" t="s">
        <v>11204</v>
      </c>
    </row>
    <row r="3129" spans="1:23" hidden="1" x14ac:dyDescent="0.45">
      <c r="A3129" s="1" t="s">
        <v>3112</v>
      </c>
      <c r="B3129" t="s">
        <v>6290</v>
      </c>
      <c r="D3129" t="s">
        <v>8047</v>
      </c>
      <c r="E3129" t="s">
        <v>9641</v>
      </c>
      <c r="F3129" t="s">
        <v>10299</v>
      </c>
      <c r="G3129">
        <v>840</v>
      </c>
      <c r="H3129" t="s">
        <v>10310</v>
      </c>
      <c r="I3129" t="s">
        <v>10326</v>
      </c>
      <c r="L3129">
        <v>1973</v>
      </c>
      <c r="R3129" t="s">
        <v>11038</v>
      </c>
      <c r="S3129" t="s">
        <v>10310</v>
      </c>
      <c r="U3129" t="s">
        <v>11049</v>
      </c>
      <c r="W3129" s="2" t="s">
        <v>11204</v>
      </c>
    </row>
    <row r="3130" spans="1:23" hidden="1" x14ac:dyDescent="0.45">
      <c r="A3130" s="1" t="s">
        <v>3113</v>
      </c>
      <c r="B3130" t="s">
        <v>6290</v>
      </c>
      <c r="D3130" t="s">
        <v>8047</v>
      </c>
      <c r="E3130" t="s">
        <v>9641</v>
      </c>
      <c r="F3130" t="s">
        <v>10299</v>
      </c>
      <c r="G3130">
        <v>70</v>
      </c>
      <c r="H3130" t="s">
        <v>10310</v>
      </c>
      <c r="I3130" t="s">
        <v>10326</v>
      </c>
      <c r="L3130">
        <v>1983</v>
      </c>
      <c r="R3130" t="s">
        <v>11038</v>
      </c>
      <c r="S3130" t="s">
        <v>10310</v>
      </c>
      <c r="U3130" t="s">
        <v>11049</v>
      </c>
      <c r="W3130" s="2" t="s">
        <v>11204</v>
      </c>
    </row>
    <row r="3131" spans="1:23" hidden="1" x14ac:dyDescent="0.45">
      <c r="A3131" s="1" t="s">
        <v>3114</v>
      </c>
      <c r="B3131" t="s">
        <v>6290</v>
      </c>
      <c r="D3131" t="s">
        <v>8047</v>
      </c>
      <c r="E3131" t="s">
        <v>9641</v>
      </c>
      <c r="F3131" t="s">
        <v>10299</v>
      </c>
      <c r="G3131">
        <v>60</v>
      </c>
      <c r="H3131" t="s">
        <v>10310</v>
      </c>
      <c r="I3131" t="s">
        <v>10326</v>
      </c>
      <c r="L3131">
        <v>1982</v>
      </c>
      <c r="R3131" t="s">
        <v>11038</v>
      </c>
      <c r="S3131" t="s">
        <v>10310</v>
      </c>
      <c r="U3131" t="s">
        <v>11049</v>
      </c>
      <c r="W3131" s="2" t="s">
        <v>11204</v>
      </c>
    </row>
    <row r="3132" spans="1:23" hidden="1" x14ac:dyDescent="0.45">
      <c r="A3132" s="1" t="s">
        <v>3115</v>
      </c>
      <c r="B3132" t="s">
        <v>6290</v>
      </c>
      <c r="D3132" t="s">
        <v>8047</v>
      </c>
      <c r="E3132" t="s">
        <v>9641</v>
      </c>
      <c r="F3132" t="s">
        <v>10299</v>
      </c>
      <c r="G3132">
        <v>270</v>
      </c>
      <c r="H3132" t="s">
        <v>10310</v>
      </c>
      <c r="I3132" t="s">
        <v>10324</v>
      </c>
      <c r="L3132">
        <v>1979</v>
      </c>
      <c r="R3132" t="s">
        <v>11038</v>
      </c>
      <c r="S3132" t="s">
        <v>10310</v>
      </c>
      <c r="U3132" t="s">
        <v>11049</v>
      </c>
      <c r="W3132" s="2" t="s">
        <v>11204</v>
      </c>
    </row>
    <row r="3133" spans="1:23" hidden="1" x14ac:dyDescent="0.45">
      <c r="A3133" s="1" t="s">
        <v>3116</v>
      </c>
      <c r="B3133" t="s">
        <v>6290</v>
      </c>
      <c r="D3133" t="s">
        <v>8047</v>
      </c>
      <c r="E3133" t="s">
        <v>9641</v>
      </c>
      <c r="F3133" t="s">
        <v>10299</v>
      </c>
      <c r="G3133">
        <v>38</v>
      </c>
      <c r="H3133" t="s">
        <v>10310</v>
      </c>
      <c r="I3133" t="s">
        <v>10326</v>
      </c>
      <c r="L3133">
        <v>1980</v>
      </c>
      <c r="R3133" t="s">
        <v>11038</v>
      </c>
      <c r="S3133" t="s">
        <v>10310</v>
      </c>
      <c r="U3133" t="s">
        <v>11049</v>
      </c>
      <c r="W3133" s="2" t="s">
        <v>11204</v>
      </c>
    </row>
    <row r="3134" spans="1:23" hidden="1" x14ac:dyDescent="0.45">
      <c r="A3134" s="1" t="s">
        <v>3117</v>
      </c>
      <c r="B3134" t="s">
        <v>6290</v>
      </c>
      <c r="D3134" t="s">
        <v>8047</v>
      </c>
      <c r="E3134" t="s">
        <v>9641</v>
      </c>
      <c r="F3134" t="s">
        <v>10299</v>
      </c>
      <c r="G3134">
        <v>9</v>
      </c>
      <c r="H3134" t="s">
        <v>10310</v>
      </c>
      <c r="I3134" t="s">
        <v>10326</v>
      </c>
      <c r="L3134">
        <v>1984</v>
      </c>
      <c r="R3134" t="s">
        <v>11038</v>
      </c>
      <c r="S3134" t="s">
        <v>10310</v>
      </c>
      <c r="U3134" t="s">
        <v>11049</v>
      </c>
      <c r="W3134" s="2" t="s">
        <v>11204</v>
      </c>
    </row>
    <row r="3135" spans="1:23" hidden="1" x14ac:dyDescent="0.45">
      <c r="A3135" s="1" t="s">
        <v>3118</v>
      </c>
      <c r="B3135" t="s">
        <v>6291</v>
      </c>
      <c r="D3135" t="s">
        <v>8048</v>
      </c>
      <c r="E3135" t="s">
        <v>9642</v>
      </c>
      <c r="F3135" t="s">
        <v>10299</v>
      </c>
      <c r="G3135">
        <v>1.3</v>
      </c>
      <c r="H3135" t="s">
        <v>10310</v>
      </c>
      <c r="I3135" t="s">
        <v>10326</v>
      </c>
      <c r="L3135">
        <v>2004</v>
      </c>
      <c r="R3135" t="s">
        <v>11038</v>
      </c>
      <c r="S3135" t="s">
        <v>10310</v>
      </c>
      <c r="U3135" t="s">
        <v>11046</v>
      </c>
      <c r="W3135" s="2" t="s">
        <v>11204</v>
      </c>
    </row>
    <row r="3136" spans="1:23" hidden="1" x14ac:dyDescent="0.45">
      <c r="A3136" s="1" t="s">
        <v>3119</v>
      </c>
      <c r="B3136" t="s">
        <v>6292</v>
      </c>
      <c r="D3136" t="s">
        <v>8049</v>
      </c>
      <c r="E3136" t="s">
        <v>9643</v>
      </c>
      <c r="F3136" t="s">
        <v>10299</v>
      </c>
      <c r="G3136">
        <v>0.12</v>
      </c>
      <c r="H3136" t="s">
        <v>10310</v>
      </c>
      <c r="I3136" t="s">
        <v>10326</v>
      </c>
      <c r="L3136">
        <v>2002</v>
      </c>
      <c r="R3136" t="s">
        <v>11038</v>
      </c>
      <c r="S3136" t="s">
        <v>10310</v>
      </c>
      <c r="U3136" t="s">
        <v>11050</v>
      </c>
      <c r="W3136" s="2" t="s">
        <v>11204</v>
      </c>
    </row>
    <row r="3137" spans="1:23" hidden="1" x14ac:dyDescent="0.45">
      <c r="A3137" s="1" t="s">
        <v>3120</v>
      </c>
      <c r="B3137" t="s">
        <v>6293</v>
      </c>
      <c r="D3137" t="s">
        <v>8045</v>
      </c>
      <c r="E3137" t="s">
        <v>9644</v>
      </c>
      <c r="F3137" t="s">
        <v>10299</v>
      </c>
      <c r="G3137">
        <v>0.13200000000000001</v>
      </c>
      <c r="H3137" t="s">
        <v>10310</v>
      </c>
      <c r="I3137" t="s">
        <v>10326</v>
      </c>
      <c r="L3137">
        <v>2015</v>
      </c>
      <c r="R3137" t="s">
        <v>11038</v>
      </c>
      <c r="S3137" t="s">
        <v>10310</v>
      </c>
      <c r="U3137" t="s">
        <v>11048</v>
      </c>
      <c r="W3137" s="2" t="s">
        <v>11204</v>
      </c>
    </row>
    <row r="3138" spans="1:23" hidden="1" x14ac:dyDescent="0.45">
      <c r="A3138" s="1" t="s">
        <v>3121</v>
      </c>
      <c r="B3138" t="s">
        <v>6294</v>
      </c>
      <c r="D3138" t="s">
        <v>8050</v>
      </c>
      <c r="E3138" t="s">
        <v>9645</v>
      </c>
      <c r="F3138" t="s">
        <v>10299</v>
      </c>
      <c r="G3138">
        <v>75.5</v>
      </c>
      <c r="H3138" t="s">
        <v>10310</v>
      </c>
      <c r="I3138" t="s">
        <v>10326</v>
      </c>
      <c r="L3138">
        <v>1963</v>
      </c>
      <c r="R3138" t="s">
        <v>11038</v>
      </c>
      <c r="S3138" t="s">
        <v>10310</v>
      </c>
      <c r="U3138" t="s">
        <v>11050</v>
      </c>
      <c r="W3138" s="2" t="s">
        <v>11204</v>
      </c>
    </row>
    <row r="3139" spans="1:23" hidden="1" x14ac:dyDescent="0.45">
      <c r="A3139" s="1" t="s">
        <v>3122</v>
      </c>
      <c r="B3139" t="s">
        <v>6295</v>
      </c>
      <c r="D3139" t="s">
        <v>8045</v>
      </c>
      <c r="E3139" t="s">
        <v>9646</v>
      </c>
      <c r="F3139" t="s">
        <v>10299</v>
      </c>
      <c r="G3139">
        <v>2.5</v>
      </c>
      <c r="H3139" t="s">
        <v>10310</v>
      </c>
      <c r="I3139" t="s">
        <v>10326</v>
      </c>
      <c r="L3139">
        <v>2019</v>
      </c>
      <c r="R3139" t="s">
        <v>11038</v>
      </c>
      <c r="S3139" t="s">
        <v>10310</v>
      </c>
      <c r="U3139" t="s">
        <v>11047</v>
      </c>
      <c r="W3139" s="2" t="s">
        <v>11204</v>
      </c>
    </row>
    <row r="3140" spans="1:23" hidden="1" x14ac:dyDescent="0.45">
      <c r="A3140" s="1" t="s">
        <v>3123</v>
      </c>
      <c r="B3140" t="s">
        <v>6296</v>
      </c>
      <c r="D3140" t="s">
        <v>8037</v>
      </c>
      <c r="E3140" t="s">
        <v>9629</v>
      </c>
      <c r="F3140" t="s">
        <v>10299</v>
      </c>
      <c r="G3140">
        <v>7.3800000000000004E-2</v>
      </c>
      <c r="H3140" t="s">
        <v>10310</v>
      </c>
      <c r="I3140" t="s">
        <v>10326</v>
      </c>
      <c r="L3140">
        <v>1994</v>
      </c>
      <c r="R3140" t="s">
        <v>11038</v>
      </c>
      <c r="S3140" t="s">
        <v>10310</v>
      </c>
      <c r="U3140" t="s">
        <v>11047</v>
      </c>
      <c r="W3140" s="2" t="s">
        <v>11204</v>
      </c>
    </row>
    <row r="3141" spans="1:23" hidden="1" x14ac:dyDescent="0.45">
      <c r="A3141" s="1" t="s">
        <v>3124</v>
      </c>
      <c r="B3141" t="s">
        <v>6274</v>
      </c>
      <c r="D3141" t="s">
        <v>8048</v>
      </c>
      <c r="E3141" t="s">
        <v>9647</v>
      </c>
      <c r="F3141" t="s">
        <v>10299</v>
      </c>
      <c r="G3141">
        <v>41.5</v>
      </c>
      <c r="H3141" t="s">
        <v>10310</v>
      </c>
      <c r="I3141" t="s">
        <v>10326</v>
      </c>
      <c r="L3141">
        <v>1953</v>
      </c>
      <c r="R3141" t="s">
        <v>11038</v>
      </c>
      <c r="S3141" t="s">
        <v>10310</v>
      </c>
      <c r="U3141" t="s">
        <v>11048</v>
      </c>
      <c r="W3141" s="2" t="s">
        <v>11204</v>
      </c>
    </row>
    <row r="3142" spans="1:23" hidden="1" x14ac:dyDescent="0.45">
      <c r="A3142" s="1" t="s">
        <v>3125</v>
      </c>
      <c r="B3142" t="s">
        <v>6290</v>
      </c>
      <c r="D3142" t="s">
        <v>8040</v>
      </c>
      <c r="E3142" t="s">
        <v>3764</v>
      </c>
      <c r="F3142" t="s">
        <v>10299</v>
      </c>
      <c r="G3142">
        <v>1</v>
      </c>
      <c r="H3142" t="s">
        <v>10310</v>
      </c>
      <c r="I3142" t="s">
        <v>10326</v>
      </c>
      <c r="L3142">
        <v>1985</v>
      </c>
      <c r="R3142" t="s">
        <v>11038</v>
      </c>
      <c r="S3142" t="s">
        <v>10310</v>
      </c>
      <c r="U3142" t="s">
        <v>11050</v>
      </c>
      <c r="W3142" s="2" t="s">
        <v>11204</v>
      </c>
    </row>
    <row r="3143" spans="1:23" hidden="1" x14ac:dyDescent="0.45">
      <c r="A3143" s="1" t="s">
        <v>3126</v>
      </c>
      <c r="B3143" t="s">
        <v>6297</v>
      </c>
      <c r="D3143" t="s">
        <v>8037</v>
      </c>
      <c r="E3143" t="s">
        <v>9629</v>
      </c>
      <c r="F3143" t="s">
        <v>10299</v>
      </c>
      <c r="G3143">
        <v>4.5</v>
      </c>
      <c r="H3143" t="s">
        <v>10310</v>
      </c>
      <c r="I3143" t="s">
        <v>10326</v>
      </c>
      <c r="L3143">
        <v>2003</v>
      </c>
      <c r="R3143" t="s">
        <v>11038</v>
      </c>
      <c r="S3143" t="s">
        <v>10310</v>
      </c>
      <c r="U3143" t="s">
        <v>11047</v>
      </c>
      <c r="W3143" s="2" t="s">
        <v>11204</v>
      </c>
    </row>
    <row r="3144" spans="1:23" hidden="1" x14ac:dyDescent="0.45">
      <c r="A3144" s="1" t="s">
        <v>3127</v>
      </c>
      <c r="B3144" t="s">
        <v>6298</v>
      </c>
      <c r="D3144" t="s">
        <v>8028</v>
      </c>
      <c r="E3144" t="s">
        <v>9636</v>
      </c>
      <c r="F3144" t="s">
        <v>10299</v>
      </c>
      <c r="G3144">
        <v>5.6</v>
      </c>
      <c r="H3144" t="s">
        <v>10310</v>
      </c>
      <c r="I3144" t="s">
        <v>10326</v>
      </c>
      <c r="L3144">
        <v>1954</v>
      </c>
      <c r="R3144" t="s">
        <v>11038</v>
      </c>
      <c r="S3144" t="s">
        <v>10310</v>
      </c>
      <c r="U3144" t="s">
        <v>11050</v>
      </c>
      <c r="W3144" s="2" t="s">
        <v>11204</v>
      </c>
    </row>
    <row r="3145" spans="1:23" hidden="1" x14ac:dyDescent="0.45">
      <c r="A3145" s="1" t="s">
        <v>3128</v>
      </c>
      <c r="B3145" t="s">
        <v>6299</v>
      </c>
      <c r="D3145" t="s">
        <v>7986</v>
      </c>
      <c r="E3145" t="s">
        <v>9648</v>
      </c>
      <c r="F3145" t="s">
        <v>10299</v>
      </c>
      <c r="G3145">
        <v>2.9</v>
      </c>
      <c r="H3145" t="s">
        <v>10310</v>
      </c>
      <c r="I3145" t="s">
        <v>10326</v>
      </c>
      <c r="L3145">
        <v>2013</v>
      </c>
      <c r="R3145" t="s">
        <v>11038</v>
      </c>
      <c r="S3145" t="s">
        <v>10310</v>
      </c>
      <c r="U3145" t="s">
        <v>11047</v>
      </c>
      <c r="W3145" s="2" t="s">
        <v>11204</v>
      </c>
    </row>
    <row r="3146" spans="1:23" hidden="1" x14ac:dyDescent="0.45">
      <c r="A3146" s="1" t="s">
        <v>3129</v>
      </c>
      <c r="B3146" t="s">
        <v>6300</v>
      </c>
      <c r="D3146" t="s">
        <v>7986</v>
      </c>
      <c r="E3146" t="s">
        <v>9648</v>
      </c>
      <c r="F3146" t="s">
        <v>10299</v>
      </c>
      <c r="G3146">
        <v>8.199999999999999E-2</v>
      </c>
      <c r="H3146" t="s">
        <v>10310</v>
      </c>
      <c r="I3146" t="s">
        <v>10326</v>
      </c>
      <c r="L3146">
        <v>2007</v>
      </c>
      <c r="R3146" t="s">
        <v>11038</v>
      </c>
      <c r="S3146" t="s">
        <v>10310</v>
      </c>
      <c r="U3146" t="s">
        <v>11047</v>
      </c>
      <c r="W3146" s="2" t="s">
        <v>11204</v>
      </c>
    </row>
    <row r="3147" spans="1:23" hidden="1" x14ac:dyDescent="0.45">
      <c r="A3147" s="1" t="s">
        <v>3130</v>
      </c>
      <c r="B3147" t="s">
        <v>6301</v>
      </c>
      <c r="D3147" t="s">
        <v>8051</v>
      </c>
      <c r="E3147" t="s">
        <v>9649</v>
      </c>
      <c r="F3147" t="s">
        <v>10299</v>
      </c>
      <c r="G3147">
        <v>2.66</v>
      </c>
      <c r="H3147" t="s">
        <v>10310</v>
      </c>
      <c r="I3147" t="s">
        <v>10326</v>
      </c>
      <c r="L3147">
        <v>2012</v>
      </c>
      <c r="R3147" t="s">
        <v>11038</v>
      </c>
      <c r="S3147" t="s">
        <v>10310</v>
      </c>
      <c r="U3147" t="s">
        <v>11048</v>
      </c>
      <c r="W3147" s="2" t="s">
        <v>11204</v>
      </c>
    </row>
    <row r="3148" spans="1:23" hidden="1" x14ac:dyDescent="0.45">
      <c r="A3148" s="1" t="s">
        <v>3131</v>
      </c>
      <c r="D3148" t="s">
        <v>8052</v>
      </c>
      <c r="E3148" t="s">
        <v>9650</v>
      </c>
      <c r="F3148" t="s">
        <v>10299</v>
      </c>
      <c r="G3148">
        <v>0.2</v>
      </c>
      <c r="H3148" t="s">
        <v>10310</v>
      </c>
      <c r="I3148" t="s">
        <v>10326</v>
      </c>
      <c r="L3148">
        <v>1996</v>
      </c>
      <c r="R3148" t="s">
        <v>11038</v>
      </c>
      <c r="S3148" t="s">
        <v>10310</v>
      </c>
      <c r="U3148" t="s">
        <v>11047</v>
      </c>
      <c r="W3148" s="2" t="s">
        <v>11204</v>
      </c>
    </row>
    <row r="3149" spans="1:23" hidden="1" x14ac:dyDescent="0.45">
      <c r="A3149" s="1" t="s">
        <v>3132</v>
      </c>
      <c r="B3149" t="s">
        <v>6302</v>
      </c>
      <c r="D3149" t="s">
        <v>8042</v>
      </c>
      <c r="E3149" t="s">
        <v>1588</v>
      </c>
      <c r="F3149" t="s">
        <v>10299</v>
      </c>
      <c r="G3149">
        <v>4.3499999999999996</v>
      </c>
      <c r="H3149" t="s">
        <v>10310</v>
      </c>
      <c r="I3149" t="s">
        <v>10326</v>
      </c>
      <c r="L3149">
        <v>2011</v>
      </c>
      <c r="R3149" t="s">
        <v>11038</v>
      </c>
      <c r="S3149" t="s">
        <v>10310</v>
      </c>
      <c r="U3149" t="s">
        <v>11047</v>
      </c>
      <c r="W3149" s="2" t="s">
        <v>11204</v>
      </c>
    </row>
    <row r="3150" spans="1:23" hidden="1" x14ac:dyDescent="0.45">
      <c r="A3150" s="1" t="s">
        <v>3133</v>
      </c>
      <c r="D3150" t="s">
        <v>8041</v>
      </c>
      <c r="E3150" t="s">
        <v>9651</v>
      </c>
      <c r="F3150" t="s">
        <v>10299</v>
      </c>
      <c r="G3150">
        <v>1.4E-3</v>
      </c>
      <c r="H3150" t="s">
        <v>10310</v>
      </c>
      <c r="I3150" t="s">
        <v>10326</v>
      </c>
      <c r="L3150">
        <v>1998</v>
      </c>
      <c r="R3150" t="s">
        <v>11038</v>
      </c>
      <c r="S3150" t="s">
        <v>10310</v>
      </c>
      <c r="U3150" t="s">
        <v>11047</v>
      </c>
      <c r="W3150" s="2" t="s">
        <v>11204</v>
      </c>
    </row>
    <row r="3151" spans="1:23" hidden="1" x14ac:dyDescent="0.45">
      <c r="A3151" s="1" t="s">
        <v>3134</v>
      </c>
      <c r="B3151" t="s">
        <v>6303</v>
      </c>
      <c r="D3151" t="s">
        <v>8053</v>
      </c>
      <c r="E3151" t="s">
        <v>9652</v>
      </c>
      <c r="F3151" t="s">
        <v>10299</v>
      </c>
      <c r="G3151">
        <v>7.96</v>
      </c>
      <c r="H3151" t="s">
        <v>10310</v>
      </c>
      <c r="I3151" t="s">
        <v>10326</v>
      </c>
      <c r="L3151">
        <v>2018</v>
      </c>
      <c r="R3151" t="s">
        <v>11038</v>
      </c>
      <c r="S3151" t="s">
        <v>10310</v>
      </c>
      <c r="U3151" t="s">
        <v>11049</v>
      </c>
      <c r="W3151" s="2" t="s">
        <v>11204</v>
      </c>
    </row>
    <row r="3152" spans="1:23" hidden="1" x14ac:dyDescent="0.45">
      <c r="A3152" s="1" t="s">
        <v>3135</v>
      </c>
      <c r="B3152" t="s">
        <v>6304</v>
      </c>
      <c r="D3152" t="s">
        <v>8028</v>
      </c>
      <c r="E3152" t="s">
        <v>9653</v>
      </c>
      <c r="F3152" t="s">
        <v>10299</v>
      </c>
      <c r="G3152">
        <v>0.3</v>
      </c>
      <c r="H3152" t="s">
        <v>10310</v>
      </c>
      <c r="I3152" t="s">
        <v>10326</v>
      </c>
      <c r="L3152">
        <v>2008</v>
      </c>
      <c r="R3152" t="s">
        <v>11038</v>
      </c>
      <c r="S3152" t="s">
        <v>10310</v>
      </c>
      <c r="U3152" t="s">
        <v>11047</v>
      </c>
      <c r="W3152" s="2" t="s">
        <v>11204</v>
      </c>
    </row>
    <row r="3153" spans="1:23" hidden="1" x14ac:dyDescent="0.45">
      <c r="A3153" s="1" t="s">
        <v>3136</v>
      </c>
      <c r="B3153" t="s">
        <v>6305</v>
      </c>
      <c r="D3153" t="s">
        <v>8054</v>
      </c>
      <c r="E3153" t="s">
        <v>9654</v>
      </c>
      <c r="F3153" t="s">
        <v>10299</v>
      </c>
      <c r="G3153">
        <v>3.3</v>
      </c>
      <c r="H3153" t="s">
        <v>10310</v>
      </c>
      <c r="I3153" t="s">
        <v>10326</v>
      </c>
      <c r="L3153">
        <v>1938</v>
      </c>
      <c r="R3153" t="s">
        <v>11038</v>
      </c>
      <c r="S3153" t="s">
        <v>10310</v>
      </c>
      <c r="U3153" t="s">
        <v>11050</v>
      </c>
      <c r="W3153" s="2" t="s">
        <v>11204</v>
      </c>
    </row>
    <row r="3154" spans="1:23" hidden="1" x14ac:dyDescent="0.45">
      <c r="A3154" s="1" t="s">
        <v>3137</v>
      </c>
      <c r="B3154" t="s">
        <v>6306</v>
      </c>
      <c r="D3154" t="s">
        <v>8055</v>
      </c>
      <c r="E3154" t="s">
        <v>3805</v>
      </c>
      <c r="F3154" t="s">
        <v>10299</v>
      </c>
      <c r="G3154">
        <v>0.78</v>
      </c>
      <c r="H3154" t="s">
        <v>10310</v>
      </c>
      <c r="I3154" t="s">
        <v>10326</v>
      </c>
      <c r="L3154">
        <v>2008</v>
      </c>
      <c r="R3154" t="s">
        <v>11038</v>
      </c>
      <c r="S3154" t="s">
        <v>10310</v>
      </c>
      <c r="U3154" t="s">
        <v>11046</v>
      </c>
      <c r="W3154" s="2" t="s">
        <v>11204</v>
      </c>
    </row>
    <row r="3155" spans="1:23" hidden="1" x14ac:dyDescent="0.45">
      <c r="A3155" s="1" t="s">
        <v>3138</v>
      </c>
      <c r="B3155" t="s">
        <v>6307</v>
      </c>
      <c r="D3155" t="s">
        <v>8030</v>
      </c>
      <c r="E3155" t="s">
        <v>9655</v>
      </c>
      <c r="F3155" t="s">
        <v>10299</v>
      </c>
      <c r="G3155">
        <v>7.9</v>
      </c>
      <c r="H3155" t="s">
        <v>10310</v>
      </c>
      <c r="I3155" t="s">
        <v>10326</v>
      </c>
      <c r="L3155">
        <v>1985</v>
      </c>
      <c r="R3155" t="s">
        <v>11038</v>
      </c>
      <c r="S3155" t="s">
        <v>10310</v>
      </c>
      <c r="U3155" t="s">
        <v>11048</v>
      </c>
      <c r="W3155" s="2" t="s">
        <v>11204</v>
      </c>
    </row>
    <row r="3156" spans="1:23" hidden="1" x14ac:dyDescent="0.45">
      <c r="A3156" s="1" t="s">
        <v>3139</v>
      </c>
      <c r="B3156" t="s">
        <v>6308</v>
      </c>
      <c r="D3156" t="s">
        <v>8051</v>
      </c>
      <c r="E3156" t="s">
        <v>9649</v>
      </c>
      <c r="F3156" t="s">
        <v>10299</v>
      </c>
      <c r="G3156">
        <v>5.4</v>
      </c>
      <c r="H3156" t="s">
        <v>10310</v>
      </c>
      <c r="I3156" t="s">
        <v>10326</v>
      </c>
      <c r="L3156">
        <v>2013</v>
      </c>
      <c r="R3156" t="s">
        <v>11038</v>
      </c>
      <c r="S3156" t="s">
        <v>10310</v>
      </c>
      <c r="U3156" t="s">
        <v>11048</v>
      </c>
      <c r="W3156" s="2" t="s">
        <v>11204</v>
      </c>
    </row>
    <row r="3157" spans="1:23" hidden="1" x14ac:dyDescent="0.45">
      <c r="A3157" s="1" t="s">
        <v>3140</v>
      </c>
      <c r="B3157" t="s">
        <v>6309</v>
      </c>
      <c r="D3157" t="s">
        <v>8033</v>
      </c>
      <c r="E3157" t="s">
        <v>9656</v>
      </c>
      <c r="F3157" t="s">
        <v>10299</v>
      </c>
      <c r="G3157">
        <v>1.1000000000000001</v>
      </c>
      <c r="H3157" t="s">
        <v>10310</v>
      </c>
      <c r="I3157" t="s">
        <v>10326</v>
      </c>
      <c r="L3157">
        <v>1959</v>
      </c>
      <c r="R3157" t="s">
        <v>11038</v>
      </c>
      <c r="S3157" t="s">
        <v>10310</v>
      </c>
      <c r="U3157" t="s">
        <v>11048</v>
      </c>
      <c r="W3157" s="2" t="s">
        <v>11204</v>
      </c>
    </row>
    <row r="3158" spans="1:23" hidden="1" x14ac:dyDescent="0.45">
      <c r="A3158" s="1" t="s">
        <v>3141</v>
      </c>
      <c r="B3158" t="s">
        <v>6281</v>
      </c>
      <c r="D3158" t="s">
        <v>8032</v>
      </c>
      <c r="E3158" t="s">
        <v>9625</v>
      </c>
      <c r="F3158" t="s">
        <v>10299</v>
      </c>
      <c r="G3158">
        <v>2.9</v>
      </c>
      <c r="H3158" t="s">
        <v>10310</v>
      </c>
      <c r="I3158" t="s">
        <v>10326</v>
      </c>
      <c r="L3158">
        <v>2009</v>
      </c>
      <c r="R3158" t="s">
        <v>11038</v>
      </c>
      <c r="S3158" t="s">
        <v>10310</v>
      </c>
      <c r="U3158" t="s">
        <v>11046</v>
      </c>
      <c r="W3158" s="2" t="s">
        <v>11204</v>
      </c>
    </row>
    <row r="3159" spans="1:23" hidden="1" x14ac:dyDescent="0.45">
      <c r="A3159" s="1" t="s">
        <v>3142</v>
      </c>
      <c r="B3159" t="s">
        <v>6310</v>
      </c>
      <c r="D3159" t="s">
        <v>8042</v>
      </c>
      <c r="E3159" t="s">
        <v>1588</v>
      </c>
      <c r="F3159" t="s">
        <v>10299</v>
      </c>
      <c r="G3159">
        <v>15.9</v>
      </c>
      <c r="H3159" t="s">
        <v>10310</v>
      </c>
      <c r="I3159" t="s">
        <v>10326</v>
      </c>
      <c r="L3159">
        <v>1999</v>
      </c>
      <c r="R3159" t="s">
        <v>11038</v>
      </c>
      <c r="S3159" t="s">
        <v>10310</v>
      </c>
      <c r="U3159" t="s">
        <v>11047</v>
      </c>
      <c r="W3159" s="2" t="s">
        <v>11204</v>
      </c>
    </row>
    <row r="3160" spans="1:23" hidden="1" x14ac:dyDescent="0.45">
      <c r="A3160" s="1" t="s">
        <v>3143</v>
      </c>
      <c r="B3160" t="s">
        <v>6311</v>
      </c>
      <c r="D3160" t="s">
        <v>8056</v>
      </c>
      <c r="E3160" t="s">
        <v>9657</v>
      </c>
      <c r="F3160" t="s">
        <v>10299</v>
      </c>
      <c r="G3160">
        <v>9.5</v>
      </c>
      <c r="H3160" t="s">
        <v>10310</v>
      </c>
      <c r="I3160" t="s">
        <v>10326</v>
      </c>
      <c r="L3160">
        <v>1958</v>
      </c>
      <c r="R3160" t="s">
        <v>11038</v>
      </c>
      <c r="S3160" t="s">
        <v>10310</v>
      </c>
      <c r="U3160" t="s">
        <v>11046</v>
      </c>
      <c r="W3160" s="2" t="s">
        <v>11204</v>
      </c>
    </row>
    <row r="3161" spans="1:23" hidden="1" x14ac:dyDescent="0.45">
      <c r="A3161" s="1" t="s">
        <v>3144</v>
      </c>
      <c r="D3161" t="s">
        <v>8044</v>
      </c>
      <c r="E3161" t="s">
        <v>9658</v>
      </c>
      <c r="F3161" t="s">
        <v>10299</v>
      </c>
      <c r="G3161">
        <v>9.8000000000000004E-2</v>
      </c>
      <c r="H3161" t="s">
        <v>10310</v>
      </c>
      <c r="I3161" t="s">
        <v>10326</v>
      </c>
      <c r="L3161">
        <v>1999</v>
      </c>
      <c r="R3161" t="s">
        <v>11038</v>
      </c>
      <c r="S3161" t="s">
        <v>10310</v>
      </c>
      <c r="U3161" t="s">
        <v>11047</v>
      </c>
      <c r="W3161" s="2" t="s">
        <v>11204</v>
      </c>
    </row>
    <row r="3162" spans="1:23" hidden="1" x14ac:dyDescent="0.45">
      <c r="A3162" s="1" t="s">
        <v>3145</v>
      </c>
      <c r="B3162" t="s">
        <v>6312</v>
      </c>
      <c r="D3162" t="s">
        <v>8028</v>
      </c>
      <c r="E3162" t="s">
        <v>9621</v>
      </c>
      <c r="F3162" t="s">
        <v>10299</v>
      </c>
      <c r="G3162">
        <v>0.71</v>
      </c>
      <c r="H3162" t="s">
        <v>10310</v>
      </c>
      <c r="I3162" t="s">
        <v>10324</v>
      </c>
      <c r="L3162">
        <v>2015</v>
      </c>
      <c r="R3162" t="s">
        <v>11038</v>
      </c>
      <c r="S3162" t="s">
        <v>10310</v>
      </c>
      <c r="U3162" t="s">
        <v>11046</v>
      </c>
      <c r="V3162" t="s">
        <v>11182</v>
      </c>
      <c r="W3162" s="2" t="s">
        <v>11204</v>
      </c>
    </row>
    <row r="3163" spans="1:23" hidden="1" x14ac:dyDescent="0.45">
      <c r="A3163" s="1" t="s">
        <v>3146</v>
      </c>
      <c r="B3163" t="s">
        <v>6313</v>
      </c>
      <c r="D3163" t="s">
        <v>8057</v>
      </c>
      <c r="E3163" t="s">
        <v>9659</v>
      </c>
      <c r="F3163" t="s">
        <v>10299</v>
      </c>
      <c r="G3163">
        <v>32.5</v>
      </c>
      <c r="H3163" t="s">
        <v>10310</v>
      </c>
      <c r="I3163" t="s">
        <v>10326</v>
      </c>
      <c r="L3163">
        <v>1977</v>
      </c>
      <c r="R3163" t="s">
        <v>11038</v>
      </c>
      <c r="S3163" t="s">
        <v>10310</v>
      </c>
      <c r="U3163" t="s">
        <v>11050</v>
      </c>
      <c r="W3163" s="2" t="s">
        <v>11204</v>
      </c>
    </row>
    <row r="3164" spans="1:23" hidden="1" x14ac:dyDescent="0.45">
      <c r="A3164" s="1" t="s">
        <v>3147</v>
      </c>
      <c r="B3164" t="s">
        <v>6314</v>
      </c>
      <c r="D3164" t="s">
        <v>8032</v>
      </c>
      <c r="E3164" t="s">
        <v>9660</v>
      </c>
      <c r="F3164" t="s">
        <v>10299</v>
      </c>
      <c r="G3164">
        <v>5.5E-2</v>
      </c>
      <c r="H3164" t="s">
        <v>10310</v>
      </c>
      <c r="I3164" t="s">
        <v>10326</v>
      </c>
      <c r="L3164">
        <v>2017</v>
      </c>
      <c r="R3164" t="s">
        <v>11038</v>
      </c>
      <c r="S3164" t="s">
        <v>10310</v>
      </c>
      <c r="U3164" t="s">
        <v>11047</v>
      </c>
      <c r="W3164" s="2" t="s">
        <v>11204</v>
      </c>
    </row>
    <row r="3165" spans="1:23" hidden="1" x14ac:dyDescent="0.45">
      <c r="A3165" s="1" t="s">
        <v>3148</v>
      </c>
      <c r="B3165" t="s">
        <v>6281</v>
      </c>
      <c r="D3165" t="s">
        <v>8029</v>
      </c>
      <c r="E3165" t="s">
        <v>9661</v>
      </c>
      <c r="F3165" t="s">
        <v>10299</v>
      </c>
      <c r="G3165">
        <v>0.71</v>
      </c>
      <c r="H3165" t="s">
        <v>10310</v>
      </c>
      <c r="I3165" t="s">
        <v>10326</v>
      </c>
      <c r="L3165">
        <v>2006</v>
      </c>
      <c r="R3165" t="s">
        <v>11038</v>
      </c>
      <c r="S3165" t="s">
        <v>10310</v>
      </c>
      <c r="U3165" t="s">
        <v>11047</v>
      </c>
      <c r="W3165" s="2" t="s">
        <v>11204</v>
      </c>
    </row>
    <row r="3166" spans="1:23" hidden="1" x14ac:dyDescent="0.45">
      <c r="A3166" s="1" t="s">
        <v>3149</v>
      </c>
      <c r="D3166" t="s">
        <v>8058</v>
      </c>
      <c r="E3166" t="s">
        <v>9662</v>
      </c>
      <c r="F3166" t="s">
        <v>10299</v>
      </c>
      <c r="G3166">
        <v>0.04</v>
      </c>
      <c r="H3166" t="s">
        <v>10310</v>
      </c>
      <c r="I3166" t="s">
        <v>10326</v>
      </c>
      <c r="L3166">
        <v>1999</v>
      </c>
      <c r="R3166" t="s">
        <v>11038</v>
      </c>
      <c r="S3166" t="s">
        <v>10310</v>
      </c>
      <c r="U3166" t="s">
        <v>11046</v>
      </c>
      <c r="W3166" s="2" t="s">
        <v>11204</v>
      </c>
    </row>
    <row r="3167" spans="1:23" hidden="1" x14ac:dyDescent="0.45">
      <c r="A3167" s="1" t="s">
        <v>3150</v>
      </c>
      <c r="B3167" t="s">
        <v>6311</v>
      </c>
      <c r="D3167" t="s">
        <v>8059</v>
      </c>
      <c r="E3167" t="s">
        <v>9663</v>
      </c>
      <c r="F3167" t="s">
        <v>10299</v>
      </c>
      <c r="G3167">
        <v>55</v>
      </c>
      <c r="H3167" t="s">
        <v>10310</v>
      </c>
      <c r="I3167" t="s">
        <v>10326</v>
      </c>
      <c r="L3167">
        <v>1974</v>
      </c>
      <c r="R3167" t="s">
        <v>11038</v>
      </c>
      <c r="S3167" t="s">
        <v>10310</v>
      </c>
      <c r="U3167" t="s">
        <v>11046</v>
      </c>
      <c r="W3167" s="2" t="s">
        <v>11204</v>
      </c>
    </row>
    <row r="3168" spans="1:23" hidden="1" x14ac:dyDescent="0.45">
      <c r="A3168" s="1" t="s">
        <v>3151</v>
      </c>
      <c r="B3168" t="s">
        <v>6315</v>
      </c>
      <c r="D3168" t="s">
        <v>8060</v>
      </c>
      <c r="E3168" t="s">
        <v>9664</v>
      </c>
      <c r="F3168" t="s">
        <v>10299</v>
      </c>
      <c r="G3168">
        <v>0.71</v>
      </c>
      <c r="H3168" t="s">
        <v>10310</v>
      </c>
      <c r="I3168" t="s">
        <v>10326</v>
      </c>
      <c r="L3168">
        <v>2011</v>
      </c>
      <c r="R3168" t="s">
        <v>11038</v>
      </c>
      <c r="S3168" t="s">
        <v>10310</v>
      </c>
      <c r="U3168" t="s">
        <v>11046</v>
      </c>
      <c r="W3168" s="2" t="s">
        <v>11204</v>
      </c>
    </row>
    <row r="3169" spans="1:23" hidden="1" x14ac:dyDescent="0.45">
      <c r="A3169" s="1" t="s">
        <v>3152</v>
      </c>
      <c r="B3169" t="s">
        <v>6316</v>
      </c>
      <c r="D3169" t="s">
        <v>8061</v>
      </c>
      <c r="E3169" t="s">
        <v>9665</v>
      </c>
      <c r="F3169" t="s">
        <v>10299</v>
      </c>
      <c r="G3169">
        <v>0.65</v>
      </c>
      <c r="H3169" t="s">
        <v>10310</v>
      </c>
      <c r="I3169" t="s">
        <v>10326</v>
      </c>
      <c r="L3169">
        <v>2004</v>
      </c>
      <c r="R3169" t="s">
        <v>11038</v>
      </c>
      <c r="S3169" t="s">
        <v>10310</v>
      </c>
      <c r="U3169" t="s">
        <v>11046</v>
      </c>
      <c r="W3169" s="2" t="s">
        <v>11204</v>
      </c>
    </row>
    <row r="3170" spans="1:23" hidden="1" x14ac:dyDescent="0.45">
      <c r="A3170" s="1" t="s">
        <v>3153</v>
      </c>
      <c r="B3170" t="s">
        <v>6274</v>
      </c>
      <c r="D3170" t="s">
        <v>8033</v>
      </c>
      <c r="E3170" t="s">
        <v>9666</v>
      </c>
      <c r="F3170" t="s">
        <v>10299</v>
      </c>
      <c r="G3170">
        <v>20</v>
      </c>
      <c r="H3170" t="s">
        <v>10310</v>
      </c>
      <c r="I3170" t="s">
        <v>10326</v>
      </c>
      <c r="L3170">
        <v>1972</v>
      </c>
      <c r="R3170" t="s">
        <v>11038</v>
      </c>
      <c r="S3170" t="s">
        <v>10310</v>
      </c>
      <c r="U3170" t="s">
        <v>11048</v>
      </c>
      <c r="W3170" s="2" t="s">
        <v>11204</v>
      </c>
    </row>
    <row r="3171" spans="1:23" hidden="1" x14ac:dyDescent="0.45">
      <c r="A3171" s="1" t="s">
        <v>3154</v>
      </c>
      <c r="B3171" t="s">
        <v>6317</v>
      </c>
      <c r="D3171" t="s">
        <v>8043</v>
      </c>
      <c r="E3171" t="s">
        <v>9635</v>
      </c>
      <c r="F3171" t="s">
        <v>10299</v>
      </c>
      <c r="G3171">
        <v>9.9000000000000005E-2</v>
      </c>
      <c r="H3171" t="s">
        <v>10310</v>
      </c>
      <c r="I3171" t="s">
        <v>10326</v>
      </c>
      <c r="L3171">
        <v>2004</v>
      </c>
      <c r="R3171" t="s">
        <v>11038</v>
      </c>
      <c r="S3171" t="s">
        <v>10310</v>
      </c>
      <c r="U3171" t="s">
        <v>11046</v>
      </c>
      <c r="W3171" s="2" t="s">
        <v>11204</v>
      </c>
    </row>
    <row r="3172" spans="1:23" hidden="1" x14ac:dyDescent="0.45">
      <c r="A3172" s="1" t="s">
        <v>3155</v>
      </c>
      <c r="B3172" t="s">
        <v>6317</v>
      </c>
      <c r="D3172" t="s">
        <v>8043</v>
      </c>
      <c r="E3172" t="s">
        <v>9635</v>
      </c>
      <c r="F3172" t="s">
        <v>10299</v>
      </c>
      <c r="G3172">
        <v>0.14000000000000001</v>
      </c>
      <c r="H3172" t="s">
        <v>10310</v>
      </c>
      <c r="I3172" t="s">
        <v>10326</v>
      </c>
      <c r="L3172">
        <v>2009</v>
      </c>
      <c r="R3172" t="s">
        <v>11038</v>
      </c>
      <c r="S3172" t="s">
        <v>10310</v>
      </c>
      <c r="U3172" t="s">
        <v>11046</v>
      </c>
      <c r="W3172" s="2" t="s">
        <v>11204</v>
      </c>
    </row>
    <row r="3173" spans="1:23" hidden="1" x14ac:dyDescent="0.45">
      <c r="A3173" s="1" t="s">
        <v>3156</v>
      </c>
      <c r="B3173" t="s">
        <v>6294</v>
      </c>
      <c r="D3173" t="s">
        <v>8062</v>
      </c>
      <c r="E3173" t="s">
        <v>9667</v>
      </c>
      <c r="F3173" t="s">
        <v>10299</v>
      </c>
      <c r="G3173">
        <v>2.9</v>
      </c>
      <c r="H3173" t="s">
        <v>10310</v>
      </c>
      <c r="I3173" t="s">
        <v>10326</v>
      </c>
      <c r="L3173">
        <v>1960</v>
      </c>
      <c r="R3173" t="s">
        <v>11038</v>
      </c>
      <c r="S3173" t="s">
        <v>10310</v>
      </c>
      <c r="U3173" t="s">
        <v>11046</v>
      </c>
      <c r="W3173" s="2" t="s">
        <v>11204</v>
      </c>
    </row>
    <row r="3174" spans="1:23" hidden="1" x14ac:dyDescent="0.45">
      <c r="A3174" s="1" t="s">
        <v>3157</v>
      </c>
      <c r="B3174" t="s">
        <v>6318</v>
      </c>
      <c r="D3174" t="s">
        <v>8062</v>
      </c>
      <c r="E3174" t="s">
        <v>9667</v>
      </c>
      <c r="F3174" t="s">
        <v>10299</v>
      </c>
      <c r="G3174">
        <v>0.13200000000000001</v>
      </c>
      <c r="H3174" t="s">
        <v>10310</v>
      </c>
      <c r="I3174" t="s">
        <v>10326</v>
      </c>
      <c r="L3174">
        <v>2005</v>
      </c>
      <c r="R3174" t="s">
        <v>11038</v>
      </c>
      <c r="S3174" t="s">
        <v>10310</v>
      </c>
      <c r="U3174" t="s">
        <v>11046</v>
      </c>
      <c r="W3174" s="2" t="s">
        <v>11204</v>
      </c>
    </row>
    <row r="3175" spans="1:23" hidden="1" x14ac:dyDescent="0.45">
      <c r="A3175" s="1" t="s">
        <v>3158</v>
      </c>
      <c r="D3175" t="s">
        <v>8063</v>
      </c>
      <c r="E3175" t="s">
        <v>9668</v>
      </c>
      <c r="F3175" t="s">
        <v>10299</v>
      </c>
      <c r="G3175">
        <v>2.8000000000000001E-2</v>
      </c>
      <c r="H3175" t="s">
        <v>10310</v>
      </c>
      <c r="I3175" t="s">
        <v>10326</v>
      </c>
      <c r="L3175">
        <v>2005</v>
      </c>
      <c r="R3175" t="s">
        <v>11038</v>
      </c>
      <c r="S3175" t="s">
        <v>10310</v>
      </c>
      <c r="U3175" t="s">
        <v>11046</v>
      </c>
      <c r="W3175" s="2" t="s">
        <v>11204</v>
      </c>
    </row>
    <row r="3176" spans="1:23" hidden="1" x14ac:dyDescent="0.45">
      <c r="A3176" s="1" t="s">
        <v>3159</v>
      </c>
      <c r="B3176" t="s">
        <v>6274</v>
      </c>
      <c r="D3176" t="s">
        <v>8056</v>
      </c>
      <c r="E3176" t="s">
        <v>9669</v>
      </c>
      <c r="F3176" t="s">
        <v>10299</v>
      </c>
      <c r="G3176">
        <v>99.2</v>
      </c>
      <c r="H3176" t="s">
        <v>10310</v>
      </c>
      <c r="I3176" t="s">
        <v>10326</v>
      </c>
      <c r="L3176">
        <v>2003</v>
      </c>
      <c r="R3176" t="s">
        <v>11038</v>
      </c>
      <c r="S3176" t="s">
        <v>10310</v>
      </c>
      <c r="U3176" t="s">
        <v>11049</v>
      </c>
      <c r="W3176" s="2" t="s">
        <v>11204</v>
      </c>
    </row>
    <row r="3177" spans="1:23" hidden="1" x14ac:dyDescent="0.45">
      <c r="A3177" s="1" t="s">
        <v>3160</v>
      </c>
      <c r="B3177" t="s">
        <v>6319</v>
      </c>
      <c r="D3177" t="s">
        <v>8031</v>
      </c>
      <c r="E3177" t="s">
        <v>9624</v>
      </c>
      <c r="F3177" t="s">
        <v>10299</v>
      </c>
      <c r="G3177">
        <v>4.3</v>
      </c>
      <c r="H3177" t="s">
        <v>10310</v>
      </c>
      <c r="I3177" t="s">
        <v>10326</v>
      </c>
      <c r="L3177">
        <v>1931</v>
      </c>
      <c r="R3177" t="s">
        <v>11038</v>
      </c>
      <c r="S3177" t="s">
        <v>10310</v>
      </c>
      <c r="U3177" t="s">
        <v>11047</v>
      </c>
      <c r="W3177" s="2" t="s">
        <v>11204</v>
      </c>
    </row>
    <row r="3178" spans="1:23" hidden="1" x14ac:dyDescent="0.45">
      <c r="A3178" s="1" t="s">
        <v>3161</v>
      </c>
      <c r="B3178" t="s">
        <v>6320</v>
      </c>
      <c r="D3178" t="s">
        <v>8032</v>
      </c>
      <c r="E3178" t="s">
        <v>9625</v>
      </c>
      <c r="F3178" t="s">
        <v>10299</v>
      </c>
      <c r="G3178">
        <v>0.6</v>
      </c>
      <c r="H3178" t="s">
        <v>10310</v>
      </c>
      <c r="I3178" t="s">
        <v>10326</v>
      </c>
      <c r="L3178">
        <v>2009</v>
      </c>
      <c r="R3178" t="s">
        <v>11038</v>
      </c>
      <c r="S3178" t="s">
        <v>10310</v>
      </c>
      <c r="U3178" t="s">
        <v>11046</v>
      </c>
      <c r="W3178" s="2" t="s">
        <v>11204</v>
      </c>
    </row>
    <row r="3179" spans="1:23" hidden="1" x14ac:dyDescent="0.45">
      <c r="A3179" s="1" t="s">
        <v>3162</v>
      </c>
      <c r="B3179" t="s">
        <v>6281</v>
      </c>
      <c r="D3179" t="s">
        <v>8030</v>
      </c>
      <c r="E3179" t="s">
        <v>9670</v>
      </c>
      <c r="F3179" t="s">
        <v>10299</v>
      </c>
      <c r="G3179">
        <v>5.4950000000000001</v>
      </c>
      <c r="H3179" t="s">
        <v>10310</v>
      </c>
      <c r="I3179" t="s">
        <v>10326</v>
      </c>
      <c r="L3179">
        <v>2004</v>
      </c>
      <c r="R3179" t="s">
        <v>11038</v>
      </c>
      <c r="S3179" t="s">
        <v>10310</v>
      </c>
      <c r="U3179" t="s">
        <v>11046</v>
      </c>
      <c r="W3179" s="2" t="s">
        <v>11204</v>
      </c>
    </row>
    <row r="3180" spans="1:23" hidden="1" x14ac:dyDescent="0.45">
      <c r="A3180" s="1" t="s">
        <v>3163</v>
      </c>
      <c r="B3180" t="s">
        <v>6321</v>
      </c>
      <c r="D3180" t="s">
        <v>8057</v>
      </c>
      <c r="E3180" t="s">
        <v>9671</v>
      </c>
      <c r="F3180" t="s">
        <v>10299</v>
      </c>
      <c r="G3180">
        <v>0.9</v>
      </c>
      <c r="H3180" t="s">
        <v>10310</v>
      </c>
      <c r="I3180" t="s">
        <v>10326</v>
      </c>
      <c r="L3180">
        <v>2006</v>
      </c>
      <c r="R3180" t="s">
        <v>11038</v>
      </c>
      <c r="S3180" t="s">
        <v>10310</v>
      </c>
      <c r="U3180" t="s">
        <v>11046</v>
      </c>
      <c r="W3180" s="2" t="s">
        <v>11204</v>
      </c>
    </row>
    <row r="3181" spans="1:23" hidden="1" x14ac:dyDescent="0.45">
      <c r="A3181" s="1" t="s">
        <v>3164</v>
      </c>
      <c r="B3181" t="s">
        <v>6322</v>
      </c>
      <c r="D3181" t="s">
        <v>8041</v>
      </c>
      <c r="E3181" t="s">
        <v>9633</v>
      </c>
      <c r="F3181" t="s">
        <v>10299</v>
      </c>
      <c r="G3181">
        <v>3.68</v>
      </c>
      <c r="H3181" t="s">
        <v>10310</v>
      </c>
      <c r="I3181" t="s">
        <v>10326</v>
      </c>
      <c r="L3181">
        <v>1921</v>
      </c>
      <c r="R3181" t="s">
        <v>11038</v>
      </c>
      <c r="S3181" t="s">
        <v>10310</v>
      </c>
      <c r="U3181" t="s">
        <v>11048</v>
      </c>
      <c r="W3181" s="2" t="s">
        <v>11204</v>
      </c>
    </row>
    <row r="3182" spans="1:23" hidden="1" x14ac:dyDescent="0.45">
      <c r="A3182" s="1" t="s">
        <v>3165</v>
      </c>
      <c r="B3182" t="s">
        <v>6323</v>
      </c>
      <c r="D3182" t="s">
        <v>7917</v>
      </c>
      <c r="E3182" t="s">
        <v>9672</v>
      </c>
      <c r="F3182" t="s">
        <v>10299</v>
      </c>
      <c r="G3182">
        <v>4.95</v>
      </c>
      <c r="H3182" t="s">
        <v>10310</v>
      </c>
      <c r="I3182" t="s">
        <v>10326</v>
      </c>
      <c r="L3182">
        <v>2006</v>
      </c>
      <c r="R3182" t="s">
        <v>11038</v>
      </c>
      <c r="S3182" t="s">
        <v>10310</v>
      </c>
      <c r="U3182" t="s">
        <v>11047</v>
      </c>
      <c r="W3182" s="2" t="s">
        <v>11204</v>
      </c>
    </row>
    <row r="3183" spans="1:23" hidden="1" x14ac:dyDescent="0.45">
      <c r="A3183" s="1" t="s">
        <v>3166</v>
      </c>
      <c r="B3183" t="s">
        <v>6324</v>
      </c>
      <c r="D3183" t="s">
        <v>8037</v>
      </c>
      <c r="E3183" t="s">
        <v>9629</v>
      </c>
      <c r="F3183" t="s">
        <v>10299</v>
      </c>
      <c r="G3183">
        <v>5.3</v>
      </c>
      <c r="H3183" t="s">
        <v>10310</v>
      </c>
      <c r="I3183" t="s">
        <v>10326</v>
      </c>
      <c r="L3183">
        <v>2006</v>
      </c>
      <c r="R3183" t="s">
        <v>11038</v>
      </c>
      <c r="S3183" t="s">
        <v>10310</v>
      </c>
      <c r="U3183" t="s">
        <v>11047</v>
      </c>
      <c r="W3183" s="2" t="s">
        <v>11204</v>
      </c>
    </row>
    <row r="3184" spans="1:23" hidden="1" x14ac:dyDescent="0.45">
      <c r="A3184" s="1" t="s">
        <v>3167</v>
      </c>
      <c r="B3184" t="s">
        <v>6325</v>
      </c>
      <c r="D3184" t="s">
        <v>8048</v>
      </c>
      <c r="E3184" t="s">
        <v>9673</v>
      </c>
      <c r="F3184" t="s">
        <v>10299</v>
      </c>
      <c r="G3184">
        <v>0.09</v>
      </c>
      <c r="H3184" t="s">
        <v>10310</v>
      </c>
      <c r="I3184" t="s">
        <v>10326</v>
      </c>
      <c r="L3184">
        <v>2000</v>
      </c>
      <c r="R3184" t="s">
        <v>11038</v>
      </c>
      <c r="S3184" t="s">
        <v>10310</v>
      </c>
      <c r="U3184" t="s">
        <v>11050</v>
      </c>
      <c r="W3184" s="2" t="s">
        <v>11204</v>
      </c>
    </row>
    <row r="3185" spans="1:23" hidden="1" x14ac:dyDescent="0.45">
      <c r="A3185" s="1" t="s">
        <v>3168</v>
      </c>
      <c r="B3185" t="s">
        <v>6278</v>
      </c>
      <c r="D3185" t="s">
        <v>7777</v>
      </c>
      <c r="E3185" t="s">
        <v>9674</v>
      </c>
      <c r="F3185" t="s">
        <v>10299</v>
      </c>
      <c r="G3185">
        <v>8.1999999999999993</v>
      </c>
      <c r="H3185" t="s">
        <v>10310</v>
      </c>
      <c r="I3185" t="s">
        <v>10326</v>
      </c>
      <c r="L3185">
        <v>2017</v>
      </c>
      <c r="R3185" t="s">
        <v>11038</v>
      </c>
      <c r="S3185" t="s">
        <v>10310</v>
      </c>
      <c r="U3185" t="s">
        <v>11048</v>
      </c>
      <c r="W3185" s="2" t="s">
        <v>11204</v>
      </c>
    </row>
    <row r="3186" spans="1:23" hidden="1" x14ac:dyDescent="0.45">
      <c r="A3186" s="1" t="s">
        <v>3169</v>
      </c>
      <c r="B3186" t="s">
        <v>6326</v>
      </c>
      <c r="D3186" t="s">
        <v>8064</v>
      </c>
      <c r="E3186" t="s">
        <v>9675</v>
      </c>
      <c r="F3186" t="s">
        <v>10299</v>
      </c>
      <c r="G3186">
        <v>0.495</v>
      </c>
      <c r="H3186" t="s">
        <v>10310</v>
      </c>
      <c r="I3186" t="s">
        <v>10326</v>
      </c>
      <c r="L3186">
        <v>1952</v>
      </c>
      <c r="R3186" t="s">
        <v>11038</v>
      </c>
      <c r="S3186" t="s">
        <v>10310</v>
      </c>
      <c r="U3186" t="s">
        <v>11049</v>
      </c>
      <c r="W3186" s="2" t="s">
        <v>11204</v>
      </c>
    </row>
    <row r="3187" spans="1:23" hidden="1" x14ac:dyDescent="0.45">
      <c r="A3187" s="1" t="s">
        <v>3170</v>
      </c>
      <c r="B3187" t="s">
        <v>6327</v>
      </c>
      <c r="D3187" t="s">
        <v>8060</v>
      </c>
      <c r="E3187" t="s">
        <v>9676</v>
      </c>
      <c r="F3187" t="s">
        <v>10299</v>
      </c>
      <c r="G3187">
        <v>2.5000000000000001E-2</v>
      </c>
      <c r="H3187" t="s">
        <v>10310</v>
      </c>
      <c r="I3187" t="s">
        <v>10326</v>
      </c>
      <c r="L3187">
        <v>1999</v>
      </c>
      <c r="R3187" t="s">
        <v>11038</v>
      </c>
      <c r="S3187" t="s">
        <v>10310</v>
      </c>
      <c r="U3187" t="s">
        <v>11048</v>
      </c>
      <c r="W3187" s="2" t="s">
        <v>11204</v>
      </c>
    </row>
    <row r="3188" spans="1:23" hidden="1" x14ac:dyDescent="0.45">
      <c r="A3188" s="1" t="s">
        <v>3170</v>
      </c>
      <c r="B3188" t="s">
        <v>6328</v>
      </c>
      <c r="D3188" t="s">
        <v>7986</v>
      </c>
      <c r="E3188" t="s">
        <v>9648</v>
      </c>
      <c r="F3188" t="s">
        <v>10299</v>
      </c>
      <c r="G3188">
        <v>3.5999999999999997E-2</v>
      </c>
      <c r="H3188" t="s">
        <v>10310</v>
      </c>
      <c r="I3188" t="s">
        <v>10326</v>
      </c>
      <c r="L3188">
        <v>1997</v>
      </c>
      <c r="R3188" t="s">
        <v>11038</v>
      </c>
      <c r="S3188" t="s">
        <v>10310</v>
      </c>
      <c r="U3188" t="s">
        <v>11047</v>
      </c>
      <c r="W3188" s="2" t="s">
        <v>11204</v>
      </c>
    </row>
    <row r="3189" spans="1:23" hidden="1" x14ac:dyDescent="0.45">
      <c r="A3189" s="1" t="s">
        <v>3171</v>
      </c>
      <c r="B3189" t="s">
        <v>6303</v>
      </c>
      <c r="D3189" t="s">
        <v>8053</v>
      </c>
      <c r="E3189" t="s">
        <v>9652</v>
      </c>
      <c r="F3189" t="s">
        <v>10299</v>
      </c>
      <c r="G3189">
        <v>5.19</v>
      </c>
      <c r="H3189" t="s">
        <v>10310</v>
      </c>
      <c r="I3189" t="s">
        <v>10326</v>
      </c>
      <c r="L3189">
        <v>2018</v>
      </c>
      <c r="R3189" t="s">
        <v>11038</v>
      </c>
      <c r="S3189" t="s">
        <v>10310</v>
      </c>
      <c r="U3189" t="s">
        <v>11049</v>
      </c>
      <c r="W3189" s="2" t="s">
        <v>11204</v>
      </c>
    </row>
    <row r="3190" spans="1:23" hidden="1" x14ac:dyDescent="0.45">
      <c r="A3190" s="1" t="s">
        <v>3172</v>
      </c>
      <c r="B3190" t="s">
        <v>6329</v>
      </c>
      <c r="D3190" t="s">
        <v>8043</v>
      </c>
      <c r="E3190" t="s">
        <v>9635</v>
      </c>
      <c r="F3190" t="s">
        <v>10299</v>
      </c>
      <c r="G3190">
        <v>0.25</v>
      </c>
      <c r="H3190" t="s">
        <v>10310</v>
      </c>
      <c r="I3190" t="s">
        <v>10326</v>
      </c>
      <c r="L3190">
        <v>2006</v>
      </c>
      <c r="R3190" t="s">
        <v>11038</v>
      </c>
      <c r="S3190" t="s">
        <v>10310</v>
      </c>
      <c r="U3190" t="s">
        <v>11046</v>
      </c>
      <c r="W3190" s="2" t="s">
        <v>11204</v>
      </c>
    </row>
    <row r="3191" spans="1:23" hidden="1" x14ac:dyDescent="0.45">
      <c r="A3191" s="1" t="s">
        <v>3173</v>
      </c>
      <c r="D3191" t="s">
        <v>8065</v>
      </c>
      <c r="E3191" t="s">
        <v>9677</v>
      </c>
      <c r="F3191" t="s">
        <v>10299</v>
      </c>
      <c r="G3191">
        <v>4.0000000000000001E-3</v>
      </c>
      <c r="H3191" t="s">
        <v>10310</v>
      </c>
      <c r="I3191" t="s">
        <v>10326</v>
      </c>
      <c r="L3191">
        <v>2000</v>
      </c>
      <c r="R3191" t="s">
        <v>11038</v>
      </c>
      <c r="S3191" t="s">
        <v>10310</v>
      </c>
      <c r="U3191" t="s">
        <v>11047</v>
      </c>
      <c r="W3191" s="2" t="s">
        <v>11204</v>
      </c>
    </row>
    <row r="3192" spans="1:23" hidden="1" x14ac:dyDescent="0.45">
      <c r="A3192" s="1" t="s">
        <v>3174</v>
      </c>
      <c r="B3192" t="s">
        <v>6330</v>
      </c>
      <c r="D3192" t="s">
        <v>8066</v>
      </c>
      <c r="E3192" t="s">
        <v>9678</v>
      </c>
      <c r="F3192" t="s">
        <v>10299</v>
      </c>
      <c r="G3192">
        <v>0.12</v>
      </c>
      <c r="H3192" t="s">
        <v>10310</v>
      </c>
      <c r="I3192" t="s">
        <v>10326</v>
      </c>
      <c r="L3192">
        <v>1917</v>
      </c>
      <c r="R3192" t="s">
        <v>11038</v>
      </c>
      <c r="S3192" t="s">
        <v>10310</v>
      </c>
      <c r="U3192" t="s">
        <v>11048</v>
      </c>
      <c r="W3192" s="2" t="s">
        <v>11204</v>
      </c>
    </row>
    <row r="3193" spans="1:23" hidden="1" x14ac:dyDescent="0.45">
      <c r="A3193" s="1" t="s">
        <v>3175</v>
      </c>
      <c r="B3193" t="s">
        <v>6281</v>
      </c>
      <c r="D3193" t="s">
        <v>8061</v>
      </c>
      <c r="E3193" t="s">
        <v>9679</v>
      </c>
      <c r="F3193" t="s">
        <v>10299</v>
      </c>
      <c r="G3193">
        <v>2.66</v>
      </c>
      <c r="H3193" t="s">
        <v>10310</v>
      </c>
      <c r="I3193" t="s">
        <v>10326</v>
      </c>
      <c r="L3193">
        <v>2010</v>
      </c>
      <c r="R3193" t="s">
        <v>11038</v>
      </c>
      <c r="S3193" t="s">
        <v>10310</v>
      </c>
      <c r="U3193" t="s">
        <v>11049</v>
      </c>
      <c r="W3193" s="2" t="s">
        <v>11204</v>
      </c>
    </row>
    <row r="3194" spans="1:23" hidden="1" x14ac:dyDescent="0.45">
      <c r="A3194" s="1" t="s">
        <v>3176</v>
      </c>
      <c r="B3194" t="s">
        <v>6331</v>
      </c>
      <c r="D3194" t="s">
        <v>8034</v>
      </c>
      <c r="E3194" t="s">
        <v>9627</v>
      </c>
      <c r="F3194" t="s">
        <v>10299</v>
      </c>
      <c r="G3194">
        <v>100</v>
      </c>
      <c r="H3194" t="s">
        <v>10310</v>
      </c>
      <c r="I3194" t="s">
        <v>10326</v>
      </c>
      <c r="L3194">
        <v>1968</v>
      </c>
      <c r="R3194" t="s">
        <v>11038</v>
      </c>
      <c r="S3194" t="s">
        <v>10310</v>
      </c>
      <c r="U3194" t="s">
        <v>11046</v>
      </c>
      <c r="W3194" s="2" t="s">
        <v>11204</v>
      </c>
    </row>
    <row r="3195" spans="1:23" hidden="1" x14ac:dyDescent="0.45">
      <c r="A3195" s="1" t="s">
        <v>3177</v>
      </c>
      <c r="B3195" t="s">
        <v>6331</v>
      </c>
      <c r="D3195" t="s">
        <v>8034</v>
      </c>
      <c r="E3195" t="s">
        <v>9627</v>
      </c>
      <c r="F3195" t="s">
        <v>10299</v>
      </c>
      <c r="G3195">
        <v>5</v>
      </c>
      <c r="H3195" t="s">
        <v>10310</v>
      </c>
      <c r="I3195" t="s">
        <v>10326</v>
      </c>
      <c r="L3195">
        <v>1976</v>
      </c>
      <c r="R3195" t="s">
        <v>11038</v>
      </c>
      <c r="S3195" t="s">
        <v>10310</v>
      </c>
      <c r="U3195" t="s">
        <v>11046</v>
      </c>
      <c r="W3195" s="2" t="s">
        <v>11204</v>
      </c>
    </row>
    <row r="3196" spans="1:23" hidden="1" x14ac:dyDescent="0.45">
      <c r="A3196" s="1" t="s">
        <v>3178</v>
      </c>
      <c r="B3196" t="s">
        <v>6331</v>
      </c>
      <c r="D3196" t="s">
        <v>8034</v>
      </c>
      <c r="E3196" t="s">
        <v>9627</v>
      </c>
      <c r="F3196" t="s">
        <v>10299</v>
      </c>
      <c r="G3196">
        <v>13</v>
      </c>
      <c r="H3196" t="s">
        <v>10310</v>
      </c>
      <c r="I3196" t="s">
        <v>10326</v>
      </c>
      <c r="L3196">
        <v>1981</v>
      </c>
      <c r="R3196" t="s">
        <v>11038</v>
      </c>
      <c r="S3196" t="s">
        <v>10310</v>
      </c>
      <c r="U3196" t="s">
        <v>11046</v>
      </c>
      <c r="W3196" s="2" t="s">
        <v>11204</v>
      </c>
    </row>
    <row r="3197" spans="1:23" hidden="1" x14ac:dyDescent="0.45">
      <c r="A3197" s="1" t="s">
        <v>3179</v>
      </c>
      <c r="B3197" t="s">
        <v>6331</v>
      </c>
      <c r="D3197" t="s">
        <v>8034</v>
      </c>
      <c r="E3197" t="s">
        <v>9627</v>
      </c>
      <c r="F3197" t="s">
        <v>10299</v>
      </c>
      <c r="G3197">
        <v>8.1</v>
      </c>
      <c r="H3197" t="s">
        <v>10310</v>
      </c>
      <c r="I3197" t="s">
        <v>10326</v>
      </c>
      <c r="L3197">
        <v>2002</v>
      </c>
      <c r="R3197" t="s">
        <v>11038</v>
      </c>
      <c r="S3197" t="s">
        <v>10310</v>
      </c>
      <c r="U3197" t="s">
        <v>11046</v>
      </c>
      <c r="W3197" s="2" t="s">
        <v>11204</v>
      </c>
    </row>
    <row r="3198" spans="1:23" hidden="1" x14ac:dyDescent="0.45">
      <c r="A3198" s="1" t="s">
        <v>3180</v>
      </c>
      <c r="B3198" t="s">
        <v>6331</v>
      </c>
      <c r="D3198" t="s">
        <v>8034</v>
      </c>
      <c r="E3198" t="s">
        <v>9627</v>
      </c>
      <c r="F3198" t="s">
        <v>10299</v>
      </c>
      <c r="G3198">
        <v>230</v>
      </c>
      <c r="H3198" t="s">
        <v>10310</v>
      </c>
      <c r="I3198" t="s">
        <v>10326</v>
      </c>
      <c r="L3198">
        <v>2007</v>
      </c>
      <c r="R3198" t="s">
        <v>11038</v>
      </c>
      <c r="S3198" t="s">
        <v>10310</v>
      </c>
      <c r="U3198" t="s">
        <v>11046</v>
      </c>
      <c r="W3198" s="2" t="s">
        <v>11204</v>
      </c>
    </row>
    <row r="3199" spans="1:23" hidden="1" x14ac:dyDescent="0.45">
      <c r="A3199" s="1" t="s">
        <v>3181</v>
      </c>
      <c r="B3199" t="s">
        <v>6332</v>
      </c>
      <c r="D3199" t="s">
        <v>7917</v>
      </c>
      <c r="E3199" t="s">
        <v>9672</v>
      </c>
      <c r="F3199" t="s">
        <v>10299</v>
      </c>
      <c r="G3199">
        <v>0.56499999999999995</v>
      </c>
      <c r="H3199" t="s">
        <v>10310</v>
      </c>
      <c r="I3199" t="s">
        <v>10326</v>
      </c>
      <c r="L3199">
        <v>2007</v>
      </c>
      <c r="R3199" t="s">
        <v>11038</v>
      </c>
      <c r="S3199" t="s">
        <v>10310</v>
      </c>
      <c r="U3199" t="s">
        <v>11047</v>
      </c>
      <c r="W3199" s="2" t="s">
        <v>11204</v>
      </c>
    </row>
    <row r="3200" spans="1:23" hidden="1" x14ac:dyDescent="0.45">
      <c r="A3200" s="1" t="s">
        <v>3182</v>
      </c>
      <c r="D3200" t="s">
        <v>8037</v>
      </c>
      <c r="E3200" t="s">
        <v>9629</v>
      </c>
      <c r="F3200" t="s">
        <v>10299</v>
      </c>
      <c r="G3200">
        <v>1.7000000000000001E-2</v>
      </c>
      <c r="H3200" t="s">
        <v>10310</v>
      </c>
      <c r="I3200" t="s">
        <v>10326</v>
      </c>
      <c r="L3200">
        <v>2005</v>
      </c>
      <c r="R3200" t="s">
        <v>11038</v>
      </c>
      <c r="S3200" t="s">
        <v>10310</v>
      </c>
      <c r="U3200" t="s">
        <v>11047</v>
      </c>
      <c r="W3200" s="2" t="s">
        <v>11204</v>
      </c>
    </row>
    <row r="3201" spans="1:23" hidden="1" x14ac:dyDescent="0.45">
      <c r="A3201" s="1" t="s">
        <v>3183</v>
      </c>
      <c r="B3201" t="s">
        <v>6333</v>
      </c>
      <c r="D3201" t="s">
        <v>8061</v>
      </c>
      <c r="E3201" t="s">
        <v>9665</v>
      </c>
      <c r="F3201" t="s">
        <v>10299</v>
      </c>
      <c r="G3201">
        <v>0.09</v>
      </c>
      <c r="H3201" t="s">
        <v>10310</v>
      </c>
      <c r="I3201" t="s">
        <v>10326</v>
      </c>
      <c r="L3201">
        <v>2008</v>
      </c>
      <c r="R3201" t="s">
        <v>11038</v>
      </c>
      <c r="S3201" t="s">
        <v>10310</v>
      </c>
      <c r="U3201" t="s">
        <v>11046</v>
      </c>
      <c r="W3201" s="2" t="s">
        <v>11204</v>
      </c>
    </row>
    <row r="3202" spans="1:23" hidden="1" x14ac:dyDescent="0.45">
      <c r="A3202" s="1" t="s">
        <v>3184</v>
      </c>
      <c r="B3202" t="s">
        <v>6334</v>
      </c>
      <c r="D3202" t="s">
        <v>8039</v>
      </c>
      <c r="E3202" t="s">
        <v>9631</v>
      </c>
      <c r="F3202" t="s">
        <v>10299</v>
      </c>
      <c r="G3202">
        <v>1.35</v>
      </c>
      <c r="H3202" t="s">
        <v>10310</v>
      </c>
      <c r="I3202" t="s">
        <v>10326</v>
      </c>
      <c r="L3202">
        <v>2007</v>
      </c>
      <c r="R3202" t="s">
        <v>11038</v>
      </c>
      <c r="S3202" t="s">
        <v>10310</v>
      </c>
      <c r="U3202" t="s">
        <v>11049</v>
      </c>
      <c r="W3202" s="2" t="s">
        <v>11204</v>
      </c>
    </row>
    <row r="3203" spans="1:23" hidden="1" x14ac:dyDescent="0.45">
      <c r="A3203" s="1" t="s">
        <v>3185</v>
      </c>
      <c r="B3203" t="s">
        <v>6334</v>
      </c>
      <c r="D3203" t="s">
        <v>8039</v>
      </c>
      <c r="E3203" t="s">
        <v>9631</v>
      </c>
      <c r="F3203" t="s">
        <v>10299</v>
      </c>
      <c r="G3203">
        <v>1.25</v>
      </c>
      <c r="H3203" t="s">
        <v>10310</v>
      </c>
      <c r="I3203" t="s">
        <v>10326</v>
      </c>
      <c r="L3203">
        <v>2008</v>
      </c>
      <c r="R3203" t="s">
        <v>11038</v>
      </c>
      <c r="S3203" t="s">
        <v>10310</v>
      </c>
      <c r="U3203" t="s">
        <v>11049</v>
      </c>
      <c r="W3203" s="2" t="s">
        <v>11204</v>
      </c>
    </row>
    <row r="3204" spans="1:23" hidden="1" x14ac:dyDescent="0.45">
      <c r="A3204" s="1" t="s">
        <v>3186</v>
      </c>
      <c r="B3204" t="s">
        <v>6289</v>
      </c>
      <c r="D3204" t="s">
        <v>8047</v>
      </c>
      <c r="E3204" t="s">
        <v>9680</v>
      </c>
      <c r="F3204" t="s">
        <v>10299</v>
      </c>
      <c r="G3204">
        <v>57</v>
      </c>
      <c r="H3204" t="s">
        <v>10310</v>
      </c>
      <c r="I3204" t="s">
        <v>10326</v>
      </c>
      <c r="L3204">
        <v>1971</v>
      </c>
      <c r="R3204" t="s">
        <v>11038</v>
      </c>
      <c r="S3204" t="s">
        <v>10310</v>
      </c>
      <c r="U3204" t="s">
        <v>11047</v>
      </c>
      <c r="W3204" s="2" t="s">
        <v>11204</v>
      </c>
    </row>
    <row r="3205" spans="1:23" hidden="1" x14ac:dyDescent="0.45">
      <c r="A3205" s="1" t="s">
        <v>3187</v>
      </c>
      <c r="B3205" t="s">
        <v>6331</v>
      </c>
      <c r="D3205" t="s">
        <v>8060</v>
      </c>
      <c r="E3205" t="s">
        <v>9664</v>
      </c>
      <c r="F3205" t="s">
        <v>10299</v>
      </c>
      <c r="G3205">
        <v>1.9</v>
      </c>
      <c r="H3205" t="s">
        <v>10310</v>
      </c>
      <c r="I3205" t="s">
        <v>10326</v>
      </c>
      <c r="L3205">
        <v>2012</v>
      </c>
      <c r="R3205" t="s">
        <v>11038</v>
      </c>
      <c r="S3205" t="s">
        <v>10310</v>
      </c>
      <c r="U3205" t="s">
        <v>11046</v>
      </c>
      <c r="W3205" s="2" t="s">
        <v>11204</v>
      </c>
    </row>
    <row r="3206" spans="1:23" hidden="1" x14ac:dyDescent="0.45">
      <c r="A3206" s="1" t="s">
        <v>3188</v>
      </c>
      <c r="B3206" t="s">
        <v>6335</v>
      </c>
      <c r="D3206" t="s">
        <v>8067</v>
      </c>
      <c r="E3206" t="s">
        <v>9681</v>
      </c>
      <c r="F3206" t="s">
        <v>10299</v>
      </c>
      <c r="G3206">
        <v>0.09</v>
      </c>
      <c r="H3206" t="s">
        <v>10310</v>
      </c>
      <c r="I3206" t="s">
        <v>10326</v>
      </c>
      <c r="L3206">
        <v>2007</v>
      </c>
      <c r="R3206" t="s">
        <v>11038</v>
      </c>
      <c r="S3206" t="s">
        <v>10310</v>
      </c>
      <c r="U3206" t="s">
        <v>11046</v>
      </c>
      <c r="W3206" s="2" t="s">
        <v>11204</v>
      </c>
    </row>
    <row r="3207" spans="1:23" hidden="1" x14ac:dyDescent="0.45">
      <c r="A3207" s="1" t="s">
        <v>3189</v>
      </c>
      <c r="B3207" t="s">
        <v>6336</v>
      </c>
      <c r="D3207" t="s">
        <v>8068</v>
      </c>
      <c r="E3207" t="s">
        <v>9682</v>
      </c>
      <c r="F3207" t="s">
        <v>10299</v>
      </c>
      <c r="G3207">
        <v>212</v>
      </c>
      <c r="H3207" t="s">
        <v>10310</v>
      </c>
      <c r="I3207" t="s">
        <v>10326</v>
      </c>
      <c r="L3207">
        <v>1974</v>
      </c>
      <c r="R3207" t="s">
        <v>11038</v>
      </c>
      <c r="S3207" t="s">
        <v>10310</v>
      </c>
      <c r="U3207" t="s">
        <v>11049</v>
      </c>
      <c r="W3207" s="2" t="s">
        <v>11204</v>
      </c>
    </row>
    <row r="3208" spans="1:23" hidden="1" x14ac:dyDescent="0.45">
      <c r="A3208" s="1" t="s">
        <v>3190</v>
      </c>
      <c r="B3208" t="s">
        <v>6337</v>
      </c>
      <c r="D3208" t="s">
        <v>8061</v>
      </c>
      <c r="E3208" t="s">
        <v>9665</v>
      </c>
      <c r="F3208" t="s">
        <v>10299</v>
      </c>
      <c r="G3208">
        <v>1.95</v>
      </c>
      <c r="H3208" t="s">
        <v>10310</v>
      </c>
      <c r="I3208" t="s">
        <v>10326</v>
      </c>
      <c r="L3208">
        <v>2017</v>
      </c>
      <c r="R3208" t="s">
        <v>11038</v>
      </c>
      <c r="S3208" t="s">
        <v>10310</v>
      </c>
      <c r="U3208" t="s">
        <v>11046</v>
      </c>
      <c r="W3208" s="2" t="s">
        <v>11204</v>
      </c>
    </row>
    <row r="3209" spans="1:23" hidden="1" x14ac:dyDescent="0.45">
      <c r="A3209" s="1" t="s">
        <v>3191</v>
      </c>
      <c r="B3209" t="s">
        <v>6338</v>
      </c>
      <c r="D3209" t="s">
        <v>8035</v>
      </c>
      <c r="E3209" t="s">
        <v>9683</v>
      </c>
      <c r="F3209" t="s">
        <v>10299</v>
      </c>
      <c r="G3209">
        <v>51</v>
      </c>
      <c r="H3209" t="s">
        <v>10310</v>
      </c>
      <c r="I3209" t="s">
        <v>10326</v>
      </c>
      <c r="L3209">
        <v>1910</v>
      </c>
      <c r="R3209" t="s">
        <v>11038</v>
      </c>
      <c r="S3209" t="s">
        <v>10310</v>
      </c>
      <c r="U3209" t="s">
        <v>11050</v>
      </c>
      <c r="W3209" s="2" t="s">
        <v>11204</v>
      </c>
    </row>
    <row r="3210" spans="1:23" hidden="1" x14ac:dyDescent="0.45">
      <c r="A3210" s="1" t="s">
        <v>3192</v>
      </c>
      <c r="B3210" t="s">
        <v>6339</v>
      </c>
      <c r="D3210" t="s">
        <v>8037</v>
      </c>
      <c r="E3210" t="s">
        <v>9629</v>
      </c>
      <c r="F3210" t="s">
        <v>10299</v>
      </c>
      <c r="G3210">
        <v>0.16</v>
      </c>
      <c r="H3210" t="s">
        <v>10310</v>
      </c>
      <c r="I3210" t="s">
        <v>10326</v>
      </c>
      <c r="L3210">
        <v>2009</v>
      </c>
      <c r="R3210" t="s">
        <v>11038</v>
      </c>
      <c r="S3210" t="s">
        <v>10310</v>
      </c>
      <c r="U3210" t="s">
        <v>11047</v>
      </c>
      <c r="W3210" s="2" t="s">
        <v>11204</v>
      </c>
    </row>
    <row r="3211" spans="1:23" hidden="1" x14ac:dyDescent="0.45">
      <c r="A3211" s="1" t="s">
        <v>3193</v>
      </c>
      <c r="B3211" t="s">
        <v>6340</v>
      </c>
      <c r="D3211" t="s">
        <v>8034</v>
      </c>
      <c r="E3211" t="s">
        <v>9627</v>
      </c>
      <c r="F3211" t="s">
        <v>10299</v>
      </c>
      <c r="G3211">
        <v>0.4</v>
      </c>
      <c r="H3211" t="s">
        <v>10310</v>
      </c>
      <c r="I3211" t="s">
        <v>10326</v>
      </c>
      <c r="L3211">
        <v>2005</v>
      </c>
      <c r="R3211" t="s">
        <v>11038</v>
      </c>
      <c r="S3211" t="s">
        <v>10310</v>
      </c>
      <c r="U3211" t="s">
        <v>11046</v>
      </c>
      <c r="W3211" s="2" t="s">
        <v>11204</v>
      </c>
    </row>
    <row r="3212" spans="1:23" hidden="1" x14ac:dyDescent="0.45">
      <c r="A3212" s="1" t="s">
        <v>3193</v>
      </c>
      <c r="B3212" t="s">
        <v>6341</v>
      </c>
      <c r="D3212" t="s">
        <v>8039</v>
      </c>
      <c r="E3212" t="s">
        <v>9631</v>
      </c>
      <c r="F3212" t="s">
        <v>10299</v>
      </c>
      <c r="G3212">
        <v>0.86199999999999999</v>
      </c>
      <c r="H3212" t="s">
        <v>10310</v>
      </c>
      <c r="I3212" t="s">
        <v>10326</v>
      </c>
      <c r="L3212">
        <v>2007</v>
      </c>
      <c r="R3212" t="s">
        <v>11038</v>
      </c>
      <c r="S3212" t="s">
        <v>10310</v>
      </c>
      <c r="U3212" t="s">
        <v>11049</v>
      </c>
      <c r="W3212" s="2" t="s">
        <v>11204</v>
      </c>
    </row>
    <row r="3213" spans="1:23" hidden="1" x14ac:dyDescent="0.45">
      <c r="A3213" s="1" t="s">
        <v>3194</v>
      </c>
      <c r="B3213" t="s">
        <v>6342</v>
      </c>
      <c r="D3213" t="s">
        <v>8069</v>
      </c>
      <c r="E3213" t="s">
        <v>9684</v>
      </c>
      <c r="F3213" t="s">
        <v>10299</v>
      </c>
      <c r="G3213">
        <v>3.94</v>
      </c>
      <c r="H3213" t="s">
        <v>10310</v>
      </c>
      <c r="I3213" t="s">
        <v>10326</v>
      </c>
      <c r="L3213">
        <v>2009</v>
      </c>
      <c r="R3213" t="s">
        <v>11038</v>
      </c>
      <c r="S3213" t="s">
        <v>10310</v>
      </c>
      <c r="U3213" t="s">
        <v>11047</v>
      </c>
      <c r="W3213" s="2" t="s">
        <v>11204</v>
      </c>
    </row>
    <row r="3214" spans="1:23" hidden="1" x14ac:dyDescent="0.45">
      <c r="A3214" s="1" t="s">
        <v>3195</v>
      </c>
      <c r="B3214" t="s">
        <v>6290</v>
      </c>
      <c r="D3214" t="s">
        <v>8062</v>
      </c>
      <c r="E3214" t="s">
        <v>9685</v>
      </c>
      <c r="F3214" t="s">
        <v>10299</v>
      </c>
      <c r="G3214">
        <v>35.950000000000003</v>
      </c>
      <c r="H3214" t="s">
        <v>10310</v>
      </c>
      <c r="I3214" t="s">
        <v>10326</v>
      </c>
      <c r="L3214">
        <v>1978</v>
      </c>
      <c r="R3214" t="s">
        <v>11038</v>
      </c>
      <c r="S3214" t="s">
        <v>10310</v>
      </c>
      <c r="U3214" t="s">
        <v>11050</v>
      </c>
      <c r="W3214" s="2" t="s">
        <v>11204</v>
      </c>
    </row>
    <row r="3215" spans="1:23" hidden="1" x14ac:dyDescent="0.45">
      <c r="A3215" s="1" t="s">
        <v>3196</v>
      </c>
      <c r="B3215" t="s">
        <v>6274</v>
      </c>
      <c r="D3215" t="s">
        <v>8040</v>
      </c>
      <c r="E3215" t="s">
        <v>9686</v>
      </c>
      <c r="F3215" t="s">
        <v>10299</v>
      </c>
      <c r="G3215">
        <v>124</v>
      </c>
      <c r="H3215" t="s">
        <v>10310</v>
      </c>
      <c r="I3215" t="s">
        <v>10326</v>
      </c>
      <c r="L3215">
        <v>1977</v>
      </c>
      <c r="R3215" t="s">
        <v>11038</v>
      </c>
      <c r="S3215" t="s">
        <v>10310</v>
      </c>
      <c r="U3215" t="s">
        <v>11047</v>
      </c>
      <c r="W3215" s="2" t="s">
        <v>11204</v>
      </c>
    </row>
    <row r="3216" spans="1:23" hidden="1" x14ac:dyDescent="0.45">
      <c r="A3216" s="1" t="s">
        <v>3197</v>
      </c>
      <c r="B3216" t="s">
        <v>6343</v>
      </c>
      <c r="D3216" t="s">
        <v>8036</v>
      </c>
      <c r="E3216" t="s">
        <v>9637</v>
      </c>
      <c r="F3216" t="s">
        <v>10299</v>
      </c>
      <c r="G3216">
        <v>0.68</v>
      </c>
      <c r="H3216" t="s">
        <v>10310</v>
      </c>
      <c r="I3216" t="s">
        <v>10326</v>
      </c>
      <c r="L3216">
        <v>2012</v>
      </c>
      <c r="R3216" t="s">
        <v>11038</v>
      </c>
      <c r="S3216" t="s">
        <v>10310</v>
      </c>
      <c r="U3216" t="s">
        <v>11046</v>
      </c>
      <c r="W3216" s="2" t="s">
        <v>11204</v>
      </c>
    </row>
    <row r="3217" spans="1:23" hidden="1" x14ac:dyDescent="0.45">
      <c r="A3217" s="1" t="s">
        <v>3198</v>
      </c>
      <c r="B3217" t="s">
        <v>6289</v>
      </c>
      <c r="D3217" t="s">
        <v>8041</v>
      </c>
      <c r="E3217" t="s">
        <v>9687</v>
      </c>
      <c r="F3217" t="s">
        <v>10299</v>
      </c>
      <c r="G3217">
        <v>10.7</v>
      </c>
      <c r="H3217" t="s">
        <v>10310</v>
      </c>
      <c r="I3217" t="s">
        <v>10324</v>
      </c>
      <c r="L3217">
        <v>1955</v>
      </c>
      <c r="R3217" t="s">
        <v>11038</v>
      </c>
      <c r="S3217" t="s">
        <v>10310</v>
      </c>
      <c r="U3217" t="s">
        <v>11047</v>
      </c>
      <c r="W3217" s="2" t="s">
        <v>11204</v>
      </c>
    </row>
    <row r="3218" spans="1:23" hidden="1" x14ac:dyDescent="0.45">
      <c r="A3218" s="1" t="s">
        <v>3199</v>
      </c>
      <c r="B3218" t="s">
        <v>6344</v>
      </c>
      <c r="D3218" t="s">
        <v>8056</v>
      </c>
      <c r="E3218" t="s">
        <v>9688</v>
      </c>
      <c r="F3218" t="s">
        <v>10299</v>
      </c>
      <c r="G3218">
        <v>80</v>
      </c>
      <c r="H3218" t="s">
        <v>10310</v>
      </c>
      <c r="I3218" t="s">
        <v>10326</v>
      </c>
      <c r="L3218">
        <v>1982</v>
      </c>
      <c r="R3218" t="s">
        <v>11038</v>
      </c>
      <c r="S3218" t="s">
        <v>10310</v>
      </c>
      <c r="U3218" t="s">
        <v>11047</v>
      </c>
      <c r="W3218" s="2" t="s">
        <v>11204</v>
      </c>
    </row>
    <row r="3219" spans="1:23" hidden="1" x14ac:dyDescent="0.45">
      <c r="A3219" s="1" t="s">
        <v>3200</v>
      </c>
      <c r="B3219" t="s">
        <v>6345</v>
      </c>
      <c r="D3219" t="s">
        <v>8028</v>
      </c>
      <c r="E3219" t="s">
        <v>9653</v>
      </c>
      <c r="F3219" t="s">
        <v>10299</v>
      </c>
      <c r="G3219">
        <v>0.81</v>
      </c>
      <c r="H3219" t="s">
        <v>10310</v>
      </c>
      <c r="I3219" t="s">
        <v>10326</v>
      </c>
      <c r="L3219">
        <v>1912</v>
      </c>
      <c r="R3219" t="s">
        <v>11038</v>
      </c>
      <c r="S3219" t="s">
        <v>10310</v>
      </c>
      <c r="U3219" t="s">
        <v>11047</v>
      </c>
      <c r="W3219" s="2" t="s">
        <v>11204</v>
      </c>
    </row>
    <row r="3220" spans="1:23" hidden="1" x14ac:dyDescent="0.45">
      <c r="A3220" s="1" t="s">
        <v>3201</v>
      </c>
      <c r="B3220" t="s">
        <v>6346</v>
      </c>
      <c r="D3220" t="s">
        <v>8070</v>
      </c>
      <c r="E3220" t="s">
        <v>3591</v>
      </c>
      <c r="F3220" t="s">
        <v>10299</v>
      </c>
      <c r="G3220">
        <v>14.8</v>
      </c>
      <c r="H3220" t="s">
        <v>10310</v>
      </c>
      <c r="I3220" t="s">
        <v>10326</v>
      </c>
      <c r="L3220">
        <v>2006</v>
      </c>
      <c r="R3220" t="s">
        <v>11038</v>
      </c>
      <c r="S3220" t="s">
        <v>10310</v>
      </c>
      <c r="U3220" t="s">
        <v>11046</v>
      </c>
      <c r="W3220" s="2" t="s">
        <v>11204</v>
      </c>
    </row>
    <row r="3221" spans="1:23" hidden="1" x14ac:dyDescent="0.45">
      <c r="A3221" s="1" t="s">
        <v>3202</v>
      </c>
      <c r="B3221" t="s">
        <v>6347</v>
      </c>
      <c r="D3221" t="s">
        <v>8071</v>
      </c>
      <c r="E3221" t="s">
        <v>9689</v>
      </c>
      <c r="F3221" t="s">
        <v>10299</v>
      </c>
      <c r="G3221">
        <v>0.99</v>
      </c>
      <c r="H3221" t="s">
        <v>10310</v>
      </c>
      <c r="I3221" t="s">
        <v>10326</v>
      </c>
      <c r="L3221">
        <v>2016</v>
      </c>
      <c r="R3221" t="s">
        <v>11038</v>
      </c>
      <c r="S3221" t="s">
        <v>10310</v>
      </c>
      <c r="U3221" t="s">
        <v>11047</v>
      </c>
      <c r="W3221" s="2" t="s">
        <v>11204</v>
      </c>
    </row>
    <row r="3222" spans="1:23" hidden="1" x14ac:dyDescent="0.45">
      <c r="A3222" s="1" t="s">
        <v>3203</v>
      </c>
      <c r="B3222" t="s">
        <v>6348</v>
      </c>
      <c r="D3222" t="s">
        <v>8028</v>
      </c>
      <c r="E3222" t="s">
        <v>9690</v>
      </c>
      <c r="F3222" t="s">
        <v>10299</v>
      </c>
      <c r="G3222">
        <v>1</v>
      </c>
      <c r="H3222" t="s">
        <v>10310</v>
      </c>
      <c r="I3222" t="s">
        <v>10326</v>
      </c>
      <c r="L3222">
        <v>1988</v>
      </c>
      <c r="R3222" t="s">
        <v>11038</v>
      </c>
      <c r="S3222" t="s">
        <v>10310</v>
      </c>
      <c r="U3222" t="s">
        <v>11050</v>
      </c>
      <c r="W3222" s="2" t="s">
        <v>11204</v>
      </c>
    </row>
    <row r="3223" spans="1:23" hidden="1" x14ac:dyDescent="0.45">
      <c r="A3223" s="1" t="s">
        <v>3204</v>
      </c>
      <c r="B3223" t="s">
        <v>6349</v>
      </c>
      <c r="D3223" t="s">
        <v>8056</v>
      </c>
      <c r="E3223" t="s">
        <v>9691</v>
      </c>
      <c r="F3223" t="s">
        <v>10299</v>
      </c>
      <c r="G3223">
        <v>20</v>
      </c>
      <c r="H3223" t="s">
        <v>10310</v>
      </c>
      <c r="I3223" t="s">
        <v>10324</v>
      </c>
      <c r="L3223">
        <v>1981</v>
      </c>
      <c r="R3223" t="s">
        <v>11038</v>
      </c>
      <c r="S3223" t="s">
        <v>10310</v>
      </c>
      <c r="U3223" t="s">
        <v>11046</v>
      </c>
      <c r="V3223" t="s">
        <v>11182</v>
      </c>
      <c r="W3223" s="2" t="s">
        <v>11204</v>
      </c>
    </row>
    <row r="3224" spans="1:23" hidden="1" x14ac:dyDescent="0.45">
      <c r="A3224" s="1" t="s">
        <v>3205</v>
      </c>
      <c r="B3224" t="s">
        <v>6350</v>
      </c>
      <c r="D3224" t="s">
        <v>8070</v>
      </c>
      <c r="E3224" t="s">
        <v>9692</v>
      </c>
      <c r="F3224" t="s">
        <v>10299</v>
      </c>
      <c r="G3224">
        <v>0.84</v>
      </c>
      <c r="H3224" t="s">
        <v>10310</v>
      </c>
      <c r="I3224" t="s">
        <v>10326</v>
      </c>
      <c r="L3224">
        <v>1950</v>
      </c>
      <c r="R3224" t="s">
        <v>11038</v>
      </c>
      <c r="S3224" t="s">
        <v>10310</v>
      </c>
      <c r="U3224" t="s">
        <v>11048</v>
      </c>
      <c r="W3224" s="2" t="s">
        <v>11204</v>
      </c>
    </row>
    <row r="3225" spans="1:23" hidden="1" x14ac:dyDescent="0.45">
      <c r="A3225" s="1" t="s">
        <v>3206</v>
      </c>
      <c r="B3225" t="s">
        <v>6351</v>
      </c>
      <c r="D3225" t="s">
        <v>8052</v>
      </c>
      <c r="E3225" t="s">
        <v>9650</v>
      </c>
      <c r="F3225" t="s">
        <v>10299</v>
      </c>
      <c r="G3225">
        <v>1</v>
      </c>
      <c r="H3225" t="s">
        <v>10310</v>
      </c>
      <c r="I3225" t="s">
        <v>10326</v>
      </c>
      <c r="L3225">
        <v>2001</v>
      </c>
      <c r="R3225" t="s">
        <v>11038</v>
      </c>
      <c r="S3225" t="s">
        <v>10310</v>
      </c>
      <c r="U3225" t="s">
        <v>11047</v>
      </c>
      <c r="W3225" s="2" t="s">
        <v>11204</v>
      </c>
    </row>
    <row r="3226" spans="1:23" hidden="1" x14ac:dyDescent="0.45">
      <c r="A3226" s="1" t="s">
        <v>3207</v>
      </c>
      <c r="B3226" t="s">
        <v>6281</v>
      </c>
      <c r="D3226" t="s">
        <v>8025</v>
      </c>
      <c r="E3226" t="s">
        <v>9693</v>
      </c>
      <c r="F3226" t="s">
        <v>10299</v>
      </c>
      <c r="G3226">
        <v>1.5</v>
      </c>
      <c r="H3226" t="s">
        <v>10310</v>
      </c>
      <c r="I3226" t="s">
        <v>10326</v>
      </c>
      <c r="L3226">
        <v>1987</v>
      </c>
      <c r="R3226" t="s">
        <v>11038</v>
      </c>
      <c r="S3226" t="s">
        <v>10310</v>
      </c>
      <c r="U3226" t="s">
        <v>11050</v>
      </c>
      <c r="W3226" s="2" t="s">
        <v>11204</v>
      </c>
    </row>
    <row r="3227" spans="1:23" hidden="1" x14ac:dyDescent="0.45">
      <c r="A3227" s="1" t="s">
        <v>3207</v>
      </c>
      <c r="B3227" t="s">
        <v>6336</v>
      </c>
      <c r="D3227" t="s">
        <v>8040</v>
      </c>
      <c r="E3227" t="s">
        <v>9694</v>
      </c>
      <c r="F3227" t="s">
        <v>10299</v>
      </c>
      <c r="G3227">
        <v>8</v>
      </c>
      <c r="H3227" t="s">
        <v>10310</v>
      </c>
      <c r="I3227" t="s">
        <v>10326</v>
      </c>
      <c r="L3227">
        <v>1924</v>
      </c>
      <c r="R3227" t="s">
        <v>11038</v>
      </c>
      <c r="S3227" t="s">
        <v>10310</v>
      </c>
      <c r="U3227" t="s">
        <v>11050</v>
      </c>
      <c r="W3227" s="2" t="s">
        <v>11204</v>
      </c>
    </row>
    <row r="3228" spans="1:23" hidden="1" x14ac:dyDescent="0.45">
      <c r="A3228" s="1" t="s">
        <v>3208</v>
      </c>
      <c r="B3228" t="s">
        <v>6352</v>
      </c>
      <c r="D3228" t="s">
        <v>8039</v>
      </c>
      <c r="E3228" t="s">
        <v>9695</v>
      </c>
      <c r="F3228" t="s">
        <v>10299</v>
      </c>
      <c r="G3228">
        <v>0.47199999999999998</v>
      </c>
      <c r="H3228" t="s">
        <v>10310</v>
      </c>
      <c r="I3228" t="s">
        <v>10326</v>
      </c>
      <c r="L3228">
        <v>2004</v>
      </c>
      <c r="R3228" t="s">
        <v>11038</v>
      </c>
      <c r="S3228" t="s">
        <v>10310</v>
      </c>
      <c r="U3228" t="s">
        <v>11046</v>
      </c>
      <c r="W3228" s="2" t="s">
        <v>11204</v>
      </c>
    </row>
    <row r="3229" spans="1:23" hidden="1" x14ac:dyDescent="0.45">
      <c r="A3229" s="1" t="s">
        <v>3209</v>
      </c>
      <c r="B3229" t="s">
        <v>6290</v>
      </c>
      <c r="D3229" t="s">
        <v>8068</v>
      </c>
      <c r="E3229" t="s">
        <v>9696</v>
      </c>
      <c r="F3229" t="s">
        <v>10299</v>
      </c>
      <c r="G3229">
        <v>1.6</v>
      </c>
      <c r="H3229" t="s">
        <v>10310</v>
      </c>
      <c r="I3229" t="s">
        <v>10326</v>
      </c>
      <c r="L3229">
        <v>1957</v>
      </c>
      <c r="R3229" t="s">
        <v>11038</v>
      </c>
      <c r="S3229" t="s">
        <v>10310</v>
      </c>
      <c r="U3229" t="s">
        <v>11049</v>
      </c>
      <c r="W3229" s="2" t="s">
        <v>11204</v>
      </c>
    </row>
    <row r="3230" spans="1:23" hidden="1" x14ac:dyDescent="0.45">
      <c r="A3230" s="1" t="s">
        <v>3210</v>
      </c>
      <c r="B3230" t="s">
        <v>6353</v>
      </c>
      <c r="D3230" t="s">
        <v>8071</v>
      </c>
      <c r="E3230" t="s">
        <v>9689</v>
      </c>
      <c r="F3230" t="s">
        <v>10299</v>
      </c>
      <c r="G3230">
        <v>3.9</v>
      </c>
      <c r="H3230" t="s">
        <v>10310</v>
      </c>
      <c r="I3230" t="s">
        <v>10326</v>
      </c>
      <c r="L3230">
        <v>2005</v>
      </c>
      <c r="R3230" t="s">
        <v>11038</v>
      </c>
      <c r="S3230" t="s">
        <v>10310</v>
      </c>
      <c r="U3230" t="s">
        <v>11047</v>
      </c>
      <c r="W3230" s="2" t="s">
        <v>11204</v>
      </c>
    </row>
    <row r="3231" spans="1:23" hidden="1" x14ac:dyDescent="0.45">
      <c r="A3231" s="1" t="s">
        <v>3210</v>
      </c>
      <c r="B3231" t="s">
        <v>6354</v>
      </c>
      <c r="D3231" t="s">
        <v>8060</v>
      </c>
      <c r="E3231" t="s">
        <v>9697</v>
      </c>
      <c r="F3231" t="s">
        <v>10299</v>
      </c>
      <c r="G3231">
        <v>3.8</v>
      </c>
      <c r="H3231" t="s">
        <v>10310</v>
      </c>
      <c r="I3231" t="s">
        <v>10326</v>
      </c>
      <c r="L3231">
        <v>2018</v>
      </c>
      <c r="R3231" t="s">
        <v>11038</v>
      </c>
      <c r="S3231" t="s">
        <v>10310</v>
      </c>
      <c r="U3231" t="s">
        <v>11047</v>
      </c>
      <c r="W3231" s="2" t="s">
        <v>11204</v>
      </c>
    </row>
    <row r="3232" spans="1:23" hidden="1" x14ac:dyDescent="0.45">
      <c r="A3232" s="1" t="s">
        <v>3211</v>
      </c>
      <c r="B3232" t="s">
        <v>6355</v>
      </c>
      <c r="D3232" t="s">
        <v>8056</v>
      </c>
      <c r="E3232" t="s">
        <v>3440</v>
      </c>
      <c r="F3232" t="s">
        <v>10299</v>
      </c>
      <c r="G3232">
        <v>1.44</v>
      </c>
      <c r="H3232" t="s">
        <v>10310</v>
      </c>
      <c r="I3232" t="s">
        <v>10326</v>
      </c>
      <c r="L3232">
        <v>2000</v>
      </c>
      <c r="R3232" t="s">
        <v>11038</v>
      </c>
      <c r="S3232" t="s">
        <v>10310</v>
      </c>
      <c r="U3232" t="s">
        <v>11046</v>
      </c>
      <c r="W3232" s="2" t="s">
        <v>11204</v>
      </c>
    </row>
    <row r="3233" spans="1:23" hidden="1" x14ac:dyDescent="0.45">
      <c r="A3233" s="1" t="s">
        <v>3212</v>
      </c>
      <c r="D3233" t="s">
        <v>8028</v>
      </c>
      <c r="E3233" t="s">
        <v>9698</v>
      </c>
      <c r="F3233" t="s">
        <v>10299</v>
      </c>
      <c r="G3233">
        <v>3.3000000000000002E-2</v>
      </c>
      <c r="H3233" t="s">
        <v>10310</v>
      </c>
      <c r="I3233" t="s">
        <v>10326</v>
      </c>
      <c r="L3233">
        <v>1997</v>
      </c>
      <c r="R3233" t="s">
        <v>11038</v>
      </c>
      <c r="S3233" t="s">
        <v>10310</v>
      </c>
      <c r="U3233" t="s">
        <v>11047</v>
      </c>
      <c r="W3233" s="2" t="s">
        <v>11204</v>
      </c>
    </row>
    <row r="3234" spans="1:23" hidden="1" x14ac:dyDescent="0.45">
      <c r="A3234" s="1" t="s">
        <v>3213</v>
      </c>
      <c r="B3234" t="s">
        <v>6356</v>
      </c>
      <c r="D3234" t="s">
        <v>8026</v>
      </c>
      <c r="E3234" t="s">
        <v>9619</v>
      </c>
      <c r="F3234" t="s">
        <v>10299</v>
      </c>
      <c r="G3234">
        <v>0.56000000000000005</v>
      </c>
      <c r="H3234" t="s">
        <v>10310</v>
      </c>
      <c r="I3234" t="s">
        <v>10326</v>
      </c>
      <c r="L3234">
        <v>2007</v>
      </c>
      <c r="R3234" t="s">
        <v>11038</v>
      </c>
      <c r="S3234" t="s">
        <v>10310</v>
      </c>
      <c r="U3234" t="s">
        <v>11047</v>
      </c>
      <c r="W3234" s="2" t="s">
        <v>11204</v>
      </c>
    </row>
    <row r="3235" spans="1:23" hidden="1" x14ac:dyDescent="0.45">
      <c r="A3235" s="1" t="s">
        <v>3214</v>
      </c>
      <c r="B3235" t="s">
        <v>6357</v>
      </c>
      <c r="D3235" t="s">
        <v>8030</v>
      </c>
      <c r="E3235" t="s">
        <v>9670</v>
      </c>
      <c r="F3235" t="s">
        <v>10299</v>
      </c>
      <c r="G3235">
        <v>330</v>
      </c>
      <c r="H3235" t="s">
        <v>10310</v>
      </c>
      <c r="I3235" t="s">
        <v>10326</v>
      </c>
      <c r="L3235">
        <v>1964</v>
      </c>
      <c r="R3235" t="s">
        <v>11038</v>
      </c>
      <c r="S3235" t="s">
        <v>10310</v>
      </c>
      <c r="U3235" t="s">
        <v>11046</v>
      </c>
      <c r="W3235" s="2" t="s">
        <v>11204</v>
      </c>
    </row>
    <row r="3236" spans="1:23" hidden="1" x14ac:dyDescent="0.45">
      <c r="A3236" s="1" t="s">
        <v>3215</v>
      </c>
      <c r="D3236" t="s">
        <v>8065</v>
      </c>
      <c r="E3236" t="s">
        <v>9677</v>
      </c>
      <c r="F3236" t="s">
        <v>10299</v>
      </c>
      <c r="G3236">
        <v>2.1999999999999999E-2</v>
      </c>
      <c r="H3236" t="s">
        <v>10310</v>
      </c>
      <c r="I3236" t="s">
        <v>10326</v>
      </c>
      <c r="L3236">
        <v>1998</v>
      </c>
      <c r="R3236" t="s">
        <v>11038</v>
      </c>
      <c r="S3236" t="s">
        <v>10310</v>
      </c>
      <c r="U3236" t="s">
        <v>11047</v>
      </c>
      <c r="W3236" s="2" t="s">
        <v>11204</v>
      </c>
    </row>
    <row r="3237" spans="1:23" hidden="1" x14ac:dyDescent="0.45">
      <c r="A3237" s="1" t="s">
        <v>3216</v>
      </c>
      <c r="B3237" t="s">
        <v>6319</v>
      </c>
      <c r="D3237" t="s">
        <v>8032</v>
      </c>
      <c r="E3237" t="s">
        <v>9660</v>
      </c>
      <c r="F3237" t="s">
        <v>10299</v>
      </c>
      <c r="G3237">
        <v>1</v>
      </c>
      <c r="H3237" t="s">
        <v>10310</v>
      </c>
      <c r="I3237" t="s">
        <v>10326</v>
      </c>
      <c r="L3237">
        <v>2014</v>
      </c>
      <c r="R3237" t="s">
        <v>11038</v>
      </c>
      <c r="S3237" t="s">
        <v>10310</v>
      </c>
      <c r="U3237" t="s">
        <v>11047</v>
      </c>
      <c r="W3237" s="2" t="s">
        <v>11204</v>
      </c>
    </row>
    <row r="3238" spans="1:23" hidden="1" x14ac:dyDescent="0.45">
      <c r="A3238" s="1" t="s">
        <v>3217</v>
      </c>
      <c r="B3238" t="s">
        <v>6358</v>
      </c>
      <c r="D3238" t="s">
        <v>8048</v>
      </c>
      <c r="E3238" t="s">
        <v>3684</v>
      </c>
      <c r="F3238" t="s">
        <v>10299</v>
      </c>
      <c r="G3238">
        <v>7.4999999999999997E-2</v>
      </c>
      <c r="H3238" t="s">
        <v>10310</v>
      </c>
      <c r="I3238" t="s">
        <v>10326</v>
      </c>
      <c r="L3238">
        <v>2004</v>
      </c>
      <c r="R3238" t="s">
        <v>11038</v>
      </c>
      <c r="S3238" t="s">
        <v>10310</v>
      </c>
      <c r="U3238" t="s">
        <v>11046</v>
      </c>
      <c r="W3238" s="2" t="s">
        <v>11204</v>
      </c>
    </row>
    <row r="3239" spans="1:23" hidden="1" x14ac:dyDescent="0.45">
      <c r="A3239" s="1" t="s">
        <v>3218</v>
      </c>
      <c r="B3239" t="s">
        <v>6348</v>
      </c>
      <c r="D3239" t="s">
        <v>8028</v>
      </c>
      <c r="E3239" t="s">
        <v>9690</v>
      </c>
      <c r="F3239" t="s">
        <v>10299</v>
      </c>
      <c r="G3239">
        <v>2.2000000000000002</v>
      </c>
      <c r="H3239" t="s">
        <v>10310</v>
      </c>
      <c r="I3239" t="s">
        <v>10326</v>
      </c>
      <c r="L3239">
        <v>1982</v>
      </c>
      <c r="R3239" t="s">
        <v>11038</v>
      </c>
      <c r="S3239" t="s">
        <v>10310</v>
      </c>
      <c r="U3239" t="s">
        <v>11050</v>
      </c>
      <c r="W3239" s="2" t="s">
        <v>11204</v>
      </c>
    </row>
    <row r="3240" spans="1:23" hidden="1" x14ac:dyDescent="0.45">
      <c r="A3240" s="1" t="s">
        <v>3219</v>
      </c>
      <c r="B3240" t="s">
        <v>6359</v>
      </c>
      <c r="D3240" t="s">
        <v>8037</v>
      </c>
      <c r="E3240" t="s">
        <v>9629</v>
      </c>
      <c r="F3240" t="s">
        <v>10299</v>
      </c>
      <c r="G3240">
        <v>12.5</v>
      </c>
      <c r="H3240" t="s">
        <v>10310</v>
      </c>
      <c r="I3240" t="s">
        <v>10326</v>
      </c>
      <c r="L3240">
        <v>1934</v>
      </c>
      <c r="R3240" t="s">
        <v>11038</v>
      </c>
      <c r="S3240" t="s">
        <v>10310</v>
      </c>
      <c r="U3240" t="s">
        <v>11047</v>
      </c>
      <c r="W3240" s="2" t="s">
        <v>11204</v>
      </c>
    </row>
    <row r="3241" spans="1:23" hidden="1" x14ac:dyDescent="0.45">
      <c r="A3241" s="1" t="s">
        <v>3220</v>
      </c>
      <c r="B3241" t="s">
        <v>6360</v>
      </c>
      <c r="D3241" t="s">
        <v>8039</v>
      </c>
      <c r="E3241" t="s">
        <v>9699</v>
      </c>
      <c r="F3241" t="s">
        <v>10299</v>
      </c>
      <c r="G3241">
        <v>3.34</v>
      </c>
      <c r="H3241" t="s">
        <v>10310</v>
      </c>
      <c r="I3241" t="s">
        <v>10326</v>
      </c>
      <c r="L3241">
        <v>2010</v>
      </c>
      <c r="R3241" t="s">
        <v>11038</v>
      </c>
      <c r="S3241" t="s">
        <v>10310</v>
      </c>
      <c r="U3241" t="s">
        <v>11047</v>
      </c>
      <c r="W3241" s="2" t="s">
        <v>11204</v>
      </c>
    </row>
    <row r="3242" spans="1:23" hidden="1" x14ac:dyDescent="0.45">
      <c r="A3242" s="1" t="s">
        <v>3221</v>
      </c>
      <c r="B3242" t="s">
        <v>6281</v>
      </c>
      <c r="D3242" t="s">
        <v>8047</v>
      </c>
      <c r="E3242" t="s">
        <v>9680</v>
      </c>
      <c r="F3242" t="s">
        <v>10299</v>
      </c>
      <c r="G3242">
        <v>3.8</v>
      </c>
      <c r="H3242" t="s">
        <v>10310</v>
      </c>
      <c r="I3242" t="s">
        <v>10326</v>
      </c>
      <c r="L3242">
        <v>2010</v>
      </c>
      <c r="R3242" t="s">
        <v>11038</v>
      </c>
      <c r="S3242" t="s">
        <v>10310</v>
      </c>
      <c r="U3242" t="s">
        <v>11047</v>
      </c>
      <c r="W3242" s="2" t="s">
        <v>11204</v>
      </c>
    </row>
    <row r="3243" spans="1:23" hidden="1" x14ac:dyDescent="0.45">
      <c r="A3243" s="1" t="s">
        <v>3222</v>
      </c>
      <c r="B3243" t="s">
        <v>6290</v>
      </c>
      <c r="D3243" t="s">
        <v>8040</v>
      </c>
      <c r="E3243" t="s">
        <v>3764</v>
      </c>
      <c r="F3243" t="s">
        <v>10299</v>
      </c>
      <c r="G3243">
        <v>2.4</v>
      </c>
      <c r="H3243" t="s">
        <v>10310</v>
      </c>
      <c r="I3243" t="s">
        <v>10326</v>
      </c>
      <c r="L3243">
        <v>1920</v>
      </c>
      <c r="R3243" t="s">
        <v>11038</v>
      </c>
      <c r="S3243" t="s">
        <v>10310</v>
      </c>
      <c r="U3243" t="s">
        <v>11050</v>
      </c>
      <c r="W3243" s="2" t="s">
        <v>11204</v>
      </c>
    </row>
    <row r="3244" spans="1:23" hidden="1" x14ac:dyDescent="0.45">
      <c r="A3244" s="1" t="s">
        <v>3223</v>
      </c>
      <c r="B3244" t="s">
        <v>6361</v>
      </c>
      <c r="D3244" t="s">
        <v>8048</v>
      </c>
      <c r="E3244" t="s">
        <v>9642</v>
      </c>
      <c r="F3244" t="s">
        <v>10299</v>
      </c>
      <c r="G3244">
        <v>1.95</v>
      </c>
      <c r="H3244" t="s">
        <v>10310</v>
      </c>
      <c r="I3244" t="s">
        <v>10326</v>
      </c>
      <c r="L3244">
        <v>2018</v>
      </c>
      <c r="R3244" t="s">
        <v>11038</v>
      </c>
      <c r="S3244" t="s">
        <v>10310</v>
      </c>
      <c r="U3244" t="s">
        <v>11049</v>
      </c>
      <c r="W3244" s="2" t="s">
        <v>11204</v>
      </c>
    </row>
    <row r="3245" spans="1:23" hidden="1" x14ac:dyDescent="0.45">
      <c r="A3245" s="1" t="s">
        <v>3224</v>
      </c>
      <c r="B3245" t="s">
        <v>6289</v>
      </c>
      <c r="D3245" t="s">
        <v>8041</v>
      </c>
      <c r="E3245" t="s">
        <v>9687</v>
      </c>
      <c r="F3245" t="s">
        <v>10299</v>
      </c>
      <c r="G3245">
        <v>6</v>
      </c>
      <c r="H3245" t="s">
        <v>10310</v>
      </c>
      <c r="I3245" t="s">
        <v>10324</v>
      </c>
      <c r="L3245">
        <v>1988</v>
      </c>
      <c r="R3245" t="s">
        <v>11038</v>
      </c>
      <c r="S3245" t="s">
        <v>10310</v>
      </c>
      <c r="U3245" t="s">
        <v>11047</v>
      </c>
      <c r="V3245" t="s">
        <v>11182</v>
      </c>
      <c r="W3245" s="2" t="s">
        <v>11204</v>
      </c>
    </row>
    <row r="3246" spans="1:23" hidden="1" x14ac:dyDescent="0.45">
      <c r="A3246" s="1" t="s">
        <v>3225</v>
      </c>
      <c r="B3246" t="s">
        <v>6362</v>
      </c>
      <c r="D3246" t="s">
        <v>8072</v>
      </c>
      <c r="E3246" t="s">
        <v>9700</v>
      </c>
      <c r="F3246" t="s">
        <v>10299</v>
      </c>
      <c r="G3246">
        <v>0.3</v>
      </c>
      <c r="H3246" t="s">
        <v>10310</v>
      </c>
      <c r="I3246" t="s">
        <v>10326</v>
      </c>
      <c r="L3246">
        <v>2005</v>
      </c>
      <c r="R3246" t="s">
        <v>11038</v>
      </c>
      <c r="S3246" t="s">
        <v>10310</v>
      </c>
      <c r="U3246" t="s">
        <v>11049</v>
      </c>
      <c r="W3246" s="2" t="s">
        <v>11204</v>
      </c>
    </row>
    <row r="3247" spans="1:23" hidden="1" x14ac:dyDescent="0.45">
      <c r="A3247" s="1" t="s">
        <v>3225</v>
      </c>
      <c r="B3247" t="s">
        <v>6363</v>
      </c>
      <c r="D3247" t="s">
        <v>8073</v>
      </c>
      <c r="E3247" t="s">
        <v>9701</v>
      </c>
      <c r="F3247" t="s">
        <v>10299</v>
      </c>
      <c r="G3247">
        <v>0.54</v>
      </c>
      <c r="H3247" t="s">
        <v>10310</v>
      </c>
      <c r="I3247" t="s">
        <v>10326</v>
      </c>
      <c r="L3247">
        <v>2010</v>
      </c>
      <c r="R3247" t="s">
        <v>11038</v>
      </c>
      <c r="S3247" t="s">
        <v>10310</v>
      </c>
      <c r="U3247" t="s">
        <v>11047</v>
      </c>
      <c r="W3247" s="2" t="s">
        <v>11204</v>
      </c>
    </row>
    <row r="3248" spans="1:23" hidden="1" x14ac:dyDescent="0.45">
      <c r="A3248" s="1" t="s">
        <v>3226</v>
      </c>
      <c r="B3248" t="s">
        <v>6281</v>
      </c>
      <c r="D3248" t="s">
        <v>8025</v>
      </c>
      <c r="E3248" t="s">
        <v>9693</v>
      </c>
      <c r="F3248" t="s">
        <v>10299</v>
      </c>
      <c r="G3248">
        <v>1.5</v>
      </c>
      <c r="H3248" t="s">
        <v>10310</v>
      </c>
      <c r="I3248" t="s">
        <v>10326</v>
      </c>
      <c r="L3248">
        <v>1985</v>
      </c>
      <c r="R3248" t="s">
        <v>11038</v>
      </c>
      <c r="S3248" t="s">
        <v>10310</v>
      </c>
      <c r="U3248" t="s">
        <v>11050</v>
      </c>
      <c r="W3248" s="2" t="s">
        <v>11204</v>
      </c>
    </row>
    <row r="3249" spans="1:23" hidden="1" x14ac:dyDescent="0.45">
      <c r="A3249" s="1" t="s">
        <v>3227</v>
      </c>
      <c r="D3249" t="s">
        <v>8030</v>
      </c>
      <c r="E3249" t="s">
        <v>9655</v>
      </c>
      <c r="F3249" t="s">
        <v>10299</v>
      </c>
      <c r="G3249">
        <v>0.01</v>
      </c>
      <c r="H3249" t="s">
        <v>10310</v>
      </c>
      <c r="I3249" t="s">
        <v>10326</v>
      </c>
      <c r="L3249">
        <v>2009</v>
      </c>
      <c r="R3249" t="s">
        <v>11038</v>
      </c>
      <c r="S3249" t="s">
        <v>10310</v>
      </c>
      <c r="U3249" t="s">
        <v>11048</v>
      </c>
      <c r="W3249" s="2" t="s">
        <v>11204</v>
      </c>
    </row>
    <row r="3250" spans="1:23" hidden="1" x14ac:dyDescent="0.45">
      <c r="A3250" s="1" t="s">
        <v>3228</v>
      </c>
      <c r="B3250" t="s">
        <v>6364</v>
      </c>
      <c r="D3250" t="s">
        <v>8030</v>
      </c>
      <c r="E3250" t="s">
        <v>9623</v>
      </c>
      <c r="F3250" t="s">
        <v>10299</v>
      </c>
      <c r="G3250">
        <v>2.35</v>
      </c>
      <c r="H3250" t="s">
        <v>10310</v>
      </c>
      <c r="I3250" t="s">
        <v>10326</v>
      </c>
      <c r="L3250">
        <v>2008</v>
      </c>
      <c r="R3250" t="s">
        <v>11038</v>
      </c>
      <c r="S3250" t="s">
        <v>10310</v>
      </c>
      <c r="U3250" t="s">
        <v>11049</v>
      </c>
      <c r="W3250" s="2" t="s">
        <v>11204</v>
      </c>
    </row>
    <row r="3251" spans="1:23" hidden="1" x14ac:dyDescent="0.45">
      <c r="A3251" s="1" t="s">
        <v>3229</v>
      </c>
      <c r="D3251" t="s">
        <v>8055</v>
      </c>
      <c r="E3251" t="s">
        <v>9702</v>
      </c>
      <c r="F3251" t="s">
        <v>10299</v>
      </c>
      <c r="G3251">
        <v>1.4999999999999999E-2</v>
      </c>
      <c r="H3251" t="s">
        <v>10310</v>
      </c>
      <c r="I3251" t="s">
        <v>10326</v>
      </c>
      <c r="L3251">
        <v>2008</v>
      </c>
      <c r="R3251" t="s">
        <v>11038</v>
      </c>
      <c r="S3251" t="s">
        <v>10310</v>
      </c>
      <c r="U3251" t="s">
        <v>11047</v>
      </c>
      <c r="W3251" s="2" t="s">
        <v>11204</v>
      </c>
    </row>
    <row r="3252" spans="1:23" hidden="1" x14ac:dyDescent="0.45">
      <c r="A3252" s="1" t="s">
        <v>3230</v>
      </c>
      <c r="B3252" t="s">
        <v>6365</v>
      </c>
      <c r="D3252" t="s">
        <v>8031</v>
      </c>
      <c r="E3252" t="s">
        <v>9624</v>
      </c>
      <c r="F3252" t="s">
        <v>10299</v>
      </c>
      <c r="G3252">
        <v>1.2</v>
      </c>
      <c r="H3252" t="s">
        <v>10310</v>
      </c>
      <c r="I3252" t="s">
        <v>10326</v>
      </c>
      <c r="L3252">
        <v>2002</v>
      </c>
      <c r="R3252" t="s">
        <v>11038</v>
      </c>
      <c r="S3252" t="s">
        <v>10310</v>
      </c>
      <c r="U3252" t="s">
        <v>11047</v>
      </c>
      <c r="W3252" s="2" t="s">
        <v>11204</v>
      </c>
    </row>
    <row r="3253" spans="1:23" hidden="1" x14ac:dyDescent="0.45">
      <c r="A3253" s="1" t="s">
        <v>3231</v>
      </c>
      <c r="B3253" t="s">
        <v>6365</v>
      </c>
      <c r="D3253" t="s">
        <v>8031</v>
      </c>
      <c r="E3253" t="s">
        <v>9624</v>
      </c>
      <c r="F3253" t="s">
        <v>10299</v>
      </c>
      <c r="G3253">
        <v>1.7999999999999999E-2</v>
      </c>
      <c r="H3253" t="s">
        <v>10310</v>
      </c>
      <c r="I3253" t="s">
        <v>10326</v>
      </c>
      <c r="L3253">
        <v>2000</v>
      </c>
      <c r="R3253" t="s">
        <v>11038</v>
      </c>
      <c r="S3253" t="s">
        <v>10310</v>
      </c>
      <c r="U3253" t="s">
        <v>11047</v>
      </c>
      <c r="W3253" s="2" t="s">
        <v>11204</v>
      </c>
    </row>
    <row r="3254" spans="1:23" hidden="1" x14ac:dyDescent="0.45">
      <c r="A3254" s="1" t="s">
        <v>3232</v>
      </c>
      <c r="B3254" t="s">
        <v>6366</v>
      </c>
      <c r="D3254" t="s">
        <v>8074</v>
      </c>
      <c r="E3254" t="s">
        <v>9703</v>
      </c>
      <c r="F3254" t="s">
        <v>10299</v>
      </c>
      <c r="G3254">
        <v>8.8000000000000009E-2</v>
      </c>
      <c r="H3254" t="s">
        <v>10310</v>
      </c>
      <c r="I3254" t="s">
        <v>10326</v>
      </c>
      <c r="L3254">
        <v>2006</v>
      </c>
      <c r="R3254" t="s">
        <v>11038</v>
      </c>
      <c r="S3254" t="s">
        <v>10310</v>
      </c>
      <c r="U3254" t="s">
        <v>11047</v>
      </c>
      <c r="W3254" s="2" t="s">
        <v>11204</v>
      </c>
    </row>
    <row r="3255" spans="1:23" hidden="1" x14ac:dyDescent="0.45">
      <c r="A3255" s="1" t="s">
        <v>3233</v>
      </c>
      <c r="B3255" t="s">
        <v>6289</v>
      </c>
      <c r="D3255" t="s">
        <v>8041</v>
      </c>
      <c r="E3255" t="s">
        <v>9687</v>
      </c>
      <c r="F3255" t="s">
        <v>10299</v>
      </c>
      <c r="G3255">
        <v>6</v>
      </c>
      <c r="H3255" t="s">
        <v>10310</v>
      </c>
      <c r="I3255" t="s">
        <v>10326</v>
      </c>
      <c r="L3255">
        <v>1957</v>
      </c>
      <c r="R3255" t="s">
        <v>11038</v>
      </c>
      <c r="S3255" t="s">
        <v>10310</v>
      </c>
      <c r="U3255" t="s">
        <v>11047</v>
      </c>
      <c r="W3255" s="2" t="s">
        <v>11204</v>
      </c>
    </row>
    <row r="3256" spans="1:23" hidden="1" x14ac:dyDescent="0.45">
      <c r="A3256" s="1" t="s">
        <v>3234</v>
      </c>
      <c r="B3256" t="s">
        <v>6367</v>
      </c>
      <c r="D3256" t="s">
        <v>8056</v>
      </c>
      <c r="E3256" t="s">
        <v>3440</v>
      </c>
      <c r="F3256" t="s">
        <v>10299</v>
      </c>
      <c r="G3256">
        <v>0.63</v>
      </c>
      <c r="H3256" t="s">
        <v>10310</v>
      </c>
      <c r="I3256" t="s">
        <v>10326</v>
      </c>
      <c r="L3256">
        <v>1999</v>
      </c>
      <c r="R3256" t="s">
        <v>11038</v>
      </c>
      <c r="S3256" t="s">
        <v>10310</v>
      </c>
      <c r="U3256" t="s">
        <v>11046</v>
      </c>
      <c r="W3256" s="2" t="s">
        <v>11204</v>
      </c>
    </row>
    <row r="3257" spans="1:23" hidden="1" x14ac:dyDescent="0.45">
      <c r="A3257" s="1" t="s">
        <v>3235</v>
      </c>
      <c r="B3257" t="s">
        <v>6368</v>
      </c>
      <c r="D3257" t="s">
        <v>8071</v>
      </c>
      <c r="E3257" t="s">
        <v>9689</v>
      </c>
      <c r="F3257" t="s">
        <v>10299</v>
      </c>
      <c r="G3257">
        <v>13.27</v>
      </c>
      <c r="H3257" t="s">
        <v>10310</v>
      </c>
      <c r="I3257" t="s">
        <v>10326</v>
      </c>
      <c r="L3257">
        <v>2007</v>
      </c>
      <c r="R3257" t="s">
        <v>11038</v>
      </c>
      <c r="S3257" t="s">
        <v>10310</v>
      </c>
      <c r="U3257" t="s">
        <v>11047</v>
      </c>
      <c r="W3257" s="2" t="s">
        <v>11204</v>
      </c>
    </row>
    <row r="3258" spans="1:23" hidden="1" x14ac:dyDescent="0.45">
      <c r="A3258" s="1" t="s">
        <v>3236</v>
      </c>
      <c r="B3258" t="s">
        <v>6281</v>
      </c>
      <c r="D3258" t="s">
        <v>8048</v>
      </c>
      <c r="E3258" t="s">
        <v>9642</v>
      </c>
      <c r="F3258" t="s">
        <v>10299</v>
      </c>
      <c r="G3258">
        <v>3.2</v>
      </c>
      <c r="H3258" t="s">
        <v>10310</v>
      </c>
      <c r="I3258" t="s">
        <v>10326</v>
      </c>
      <c r="L3258">
        <v>2016</v>
      </c>
      <c r="R3258" t="s">
        <v>11038</v>
      </c>
      <c r="S3258" t="s">
        <v>10310</v>
      </c>
      <c r="U3258" t="s">
        <v>11049</v>
      </c>
      <c r="W3258" s="2" t="s">
        <v>11204</v>
      </c>
    </row>
    <row r="3259" spans="1:23" hidden="1" x14ac:dyDescent="0.45">
      <c r="A3259" s="1" t="s">
        <v>3237</v>
      </c>
      <c r="B3259" t="s">
        <v>6274</v>
      </c>
      <c r="D3259" t="s">
        <v>8036</v>
      </c>
      <c r="E3259" t="s">
        <v>4471</v>
      </c>
      <c r="F3259" t="s">
        <v>10299</v>
      </c>
      <c r="G3259">
        <v>20</v>
      </c>
      <c r="H3259" t="s">
        <v>10310</v>
      </c>
      <c r="I3259" t="s">
        <v>10326</v>
      </c>
      <c r="L3259">
        <v>1969</v>
      </c>
      <c r="R3259" t="s">
        <v>11038</v>
      </c>
      <c r="S3259" t="s">
        <v>10310</v>
      </c>
      <c r="U3259" t="s">
        <v>11046</v>
      </c>
      <c r="W3259" s="2" t="s">
        <v>11204</v>
      </c>
    </row>
    <row r="3260" spans="1:23" hidden="1" x14ac:dyDescent="0.45">
      <c r="A3260" s="1" t="s">
        <v>3238</v>
      </c>
      <c r="D3260" t="s">
        <v>7986</v>
      </c>
      <c r="E3260" t="s">
        <v>9648</v>
      </c>
      <c r="F3260" t="s">
        <v>10299</v>
      </c>
      <c r="G3260">
        <v>1.7600000000000001E-2</v>
      </c>
      <c r="H3260" t="s">
        <v>10310</v>
      </c>
      <c r="I3260" t="s">
        <v>10326</v>
      </c>
      <c r="L3260">
        <v>1971</v>
      </c>
      <c r="R3260" t="s">
        <v>11038</v>
      </c>
      <c r="S3260" t="s">
        <v>10310</v>
      </c>
      <c r="U3260" t="s">
        <v>11047</v>
      </c>
      <c r="W3260" s="2" t="s">
        <v>11204</v>
      </c>
    </row>
    <row r="3261" spans="1:23" hidden="1" x14ac:dyDescent="0.45">
      <c r="A3261" s="1" t="s">
        <v>3239</v>
      </c>
      <c r="B3261" t="s">
        <v>6290</v>
      </c>
      <c r="D3261" t="s">
        <v>8065</v>
      </c>
      <c r="E3261" t="s">
        <v>9704</v>
      </c>
      <c r="F3261" t="s">
        <v>10299</v>
      </c>
      <c r="G3261">
        <v>1.1779999999999999</v>
      </c>
      <c r="H3261" t="s">
        <v>10310</v>
      </c>
      <c r="I3261" t="s">
        <v>10324</v>
      </c>
      <c r="L3261">
        <v>1973</v>
      </c>
      <c r="R3261" t="s">
        <v>11038</v>
      </c>
      <c r="S3261" t="s">
        <v>10310</v>
      </c>
      <c r="U3261" t="s">
        <v>11050</v>
      </c>
      <c r="V3261" t="s">
        <v>11182</v>
      </c>
      <c r="W3261" s="2" t="s">
        <v>11204</v>
      </c>
    </row>
    <row r="3262" spans="1:23" hidden="1" x14ac:dyDescent="0.45">
      <c r="A3262" s="1" t="s">
        <v>3240</v>
      </c>
      <c r="B3262" t="s">
        <v>6369</v>
      </c>
      <c r="D3262" t="s">
        <v>8070</v>
      </c>
      <c r="E3262" t="s">
        <v>3591</v>
      </c>
      <c r="F3262" t="s">
        <v>10299</v>
      </c>
      <c r="G3262">
        <v>1.8</v>
      </c>
      <c r="H3262" t="s">
        <v>10310</v>
      </c>
      <c r="I3262" t="s">
        <v>10326</v>
      </c>
      <c r="L3262">
        <v>2006</v>
      </c>
      <c r="R3262" t="s">
        <v>11038</v>
      </c>
      <c r="S3262" t="s">
        <v>10310</v>
      </c>
      <c r="U3262" t="s">
        <v>11046</v>
      </c>
      <c r="W3262" s="2" t="s">
        <v>11204</v>
      </c>
    </row>
    <row r="3263" spans="1:23" hidden="1" x14ac:dyDescent="0.45">
      <c r="A3263" s="1" t="s">
        <v>3241</v>
      </c>
      <c r="B3263" t="s">
        <v>6369</v>
      </c>
      <c r="D3263" t="s">
        <v>8070</v>
      </c>
      <c r="E3263" t="s">
        <v>3591</v>
      </c>
      <c r="F3263" t="s">
        <v>10299</v>
      </c>
      <c r="G3263">
        <v>2.99</v>
      </c>
      <c r="H3263" t="s">
        <v>10310</v>
      </c>
      <c r="I3263" t="s">
        <v>10326</v>
      </c>
      <c r="L3263">
        <v>2016</v>
      </c>
      <c r="R3263" t="s">
        <v>11038</v>
      </c>
      <c r="S3263" t="s">
        <v>10310</v>
      </c>
      <c r="U3263" t="s">
        <v>11046</v>
      </c>
      <c r="W3263" s="2" t="s">
        <v>11204</v>
      </c>
    </row>
    <row r="3264" spans="1:23" hidden="1" x14ac:dyDescent="0.45">
      <c r="A3264" s="1" t="s">
        <v>3242</v>
      </c>
      <c r="B3264" t="s">
        <v>6313</v>
      </c>
      <c r="D3264" t="s">
        <v>8044</v>
      </c>
      <c r="E3264" t="s">
        <v>9705</v>
      </c>
      <c r="F3264" t="s">
        <v>10299</v>
      </c>
      <c r="G3264">
        <v>3</v>
      </c>
      <c r="H3264" t="s">
        <v>10310</v>
      </c>
      <c r="I3264" t="s">
        <v>10326</v>
      </c>
      <c r="L3264">
        <v>1986</v>
      </c>
      <c r="R3264" t="s">
        <v>11038</v>
      </c>
      <c r="S3264" t="s">
        <v>10310</v>
      </c>
      <c r="U3264" t="s">
        <v>11050</v>
      </c>
      <c r="W3264" s="2" t="s">
        <v>11204</v>
      </c>
    </row>
    <row r="3265" spans="1:23" hidden="1" x14ac:dyDescent="0.45">
      <c r="A3265" s="1" t="s">
        <v>3243</v>
      </c>
      <c r="B3265" t="s">
        <v>6370</v>
      </c>
      <c r="D3265" t="s">
        <v>8039</v>
      </c>
      <c r="E3265" t="s">
        <v>9706</v>
      </c>
      <c r="F3265" t="s">
        <v>10299</v>
      </c>
      <c r="G3265">
        <v>0.45</v>
      </c>
      <c r="H3265" t="s">
        <v>10310</v>
      </c>
      <c r="I3265" t="s">
        <v>10326</v>
      </c>
      <c r="L3265">
        <v>1914</v>
      </c>
      <c r="R3265" t="s">
        <v>11038</v>
      </c>
      <c r="S3265" t="s">
        <v>10310</v>
      </c>
      <c r="U3265" t="s">
        <v>11050</v>
      </c>
      <c r="W3265" s="2" t="s">
        <v>11204</v>
      </c>
    </row>
    <row r="3266" spans="1:23" hidden="1" x14ac:dyDescent="0.45">
      <c r="A3266" s="1" t="s">
        <v>3244</v>
      </c>
      <c r="B3266" t="s">
        <v>6370</v>
      </c>
      <c r="D3266" t="s">
        <v>8039</v>
      </c>
      <c r="E3266" t="s">
        <v>9706</v>
      </c>
      <c r="F3266" t="s">
        <v>10299</v>
      </c>
      <c r="G3266">
        <v>0.25</v>
      </c>
      <c r="H3266" t="s">
        <v>10310</v>
      </c>
      <c r="I3266" t="s">
        <v>10326</v>
      </c>
      <c r="L3266">
        <v>1922</v>
      </c>
      <c r="R3266" t="s">
        <v>11038</v>
      </c>
      <c r="S3266" t="s">
        <v>10310</v>
      </c>
      <c r="U3266" t="s">
        <v>11050</v>
      </c>
      <c r="W3266" s="2" t="s">
        <v>11204</v>
      </c>
    </row>
    <row r="3267" spans="1:23" hidden="1" x14ac:dyDescent="0.45">
      <c r="A3267" s="1" t="s">
        <v>3245</v>
      </c>
      <c r="B3267" t="s">
        <v>6331</v>
      </c>
      <c r="D3267" t="s">
        <v>8049</v>
      </c>
      <c r="E3267" t="s">
        <v>9707</v>
      </c>
      <c r="F3267" t="s">
        <v>10299</v>
      </c>
      <c r="G3267">
        <v>2.4</v>
      </c>
      <c r="H3267" t="s">
        <v>10310</v>
      </c>
      <c r="I3267" t="s">
        <v>10326</v>
      </c>
      <c r="L3267">
        <v>1921</v>
      </c>
      <c r="R3267" t="s">
        <v>11038</v>
      </c>
      <c r="S3267" t="s">
        <v>10310</v>
      </c>
      <c r="U3267" t="s">
        <v>11046</v>
      </c>
      <c r="W3267" s="2" t="s">
        <v>11204</v>
      </c>
    </row>
    <row r="3268" spans="1:23" hidden="1" x14ac:dyDescent="0.45">
      <c r="A3268" s="1" t="s">
        <v>3246</v>
      </c>
      <c r="B3268" t="s">
        <v>6371</v>
      </c>
      <c r="D3268" t="s">
        <v>8049</v>
      </c>
      <c r="E3268" t="s">
        <v>9708</v>
      </c>
      <c r="F3268" t="s">
        <v>10299</v>
      </c>
      <c r="G3268">
        <v>65</v>
      </c>
      <c r="H3268" t="s">
        <v>10310</v>
      </c>
      <c r="I3268" t="s">
        <v>10326</v>
      </c>
      <c r="L3268">
        <v>1912</v>
      </c>
      <c r="R3268" t="s">
        <v>11038</v>
      </c>
      <c r="S3268" t="s">
        <v>10310</v>
      </c>
      <c r="U3268" t="s">
        <v>11046</v>
      </c>
      <c r="W3268" s="2" t="s">
        <v>11204</v>
      </c>
    </row>
    <row r="3269" spans="1:23" hidden="1" x14ac:dyDescent="0.45">
      <c r="A3269" s="1" t="s">
        <v>3247</v>
      </c>
      <c r="B3269" t="s">
        <v>6274</v>
      </c>
      <c r="D3269" t="s">
        <v>8041</v>
      </c>
      <c r="E3269" t="s">
        <v>9633</v>
      </c>
      <c r="F3269" t="s">
        <v>10299</v>
      </c>
      <c r="G3269">
        <v>30</v>
      </c>
      <c r="H3269" t="s">
        <v>10310</v>
      </c>
      <c r="I3269" t="s">
        <v>10326</v>
      </c>
      <c r="L3269">
        <v>1977</v>
      </c>
      <c r="R3269" t="s">
        <v>11038</v>
      </c>
      <c r="S3269" t="s">
        <v>10310</v>
      </c>
      <c r="U3269" t="s">
        <v>11048</v>
      </c>
      <c r="W3269" s="2" t="s">
        <v>11204</v>
      </c>
    </row>
    <row r="3270" spans="1:23" hidden="1" x14ac:dyDescent="0.45">
      <c r="A3270" s="1" t="s">
        <v>3248</v>
      </c>
      <c r="B3270" t="s">
        <v>6309</v>
      </c>
      <c r="D3270" t="s">
        <v>8057</v>
      </c>
      <c r="E3270" t="s">
        <v>9709</v>
      </c>
      <c r="F3270" t="s">
        <v>10299</v>
      </c>
      <c r="G3270">
        <v>0.7</v>
      </c>
      <c r="H3270" t="s">
        <v>10310</v>
      </c>
      <c r="I3270" t="s">
        <v>10326</v>
      </c>
      <c r="L3270">
        <v>1953</v>
      </c>
      <c r="R3270" t="s">
        <v>11038</v>
      </c>
      <c r="S3270" t="s">
        <v>10310</v>
      </c>
      <c r="U3270" t="s">
        <v>11048</v>
      </c>
      <c r="W3270" s="2" t="s">
        <v>11204</v>
      </c>
    </row>
    <row r="3271" spans="1:23" hidden="1" x14ac:dyDescent="0.45">
      <c r="A3271" s="1" t="s">
        <v>3249</v>
      </c>
      <c r="B3271" t="s">
        <v>6372</v>
      </c>
      <c r="D3271" t="s">
        <v>7917</v>
      </c>
      <c r="E3271" t="s">
        <v>9710</v>
      </c>
      <c r="F3271" t="s">
        <v>10299</v>
      </c>
      <c r="G3271">
        <v>0.15</v>
      </c>
      <c r="H3271" t="s">
        <v>10310</v>
      </c>
      <c r="I3271" t="s">
        <v>10326</v>
      </c>
      <c r="L3271">
        <v>2002</v>
      </c>
      <c r="R3271" t="s">
        <v>11038</v>
      </c>
      <c r="S3271" t="s">
        <v>10310</v>
      </c>
      <c r="U3271" t="s">
        <v>11048</v>
      </c>
      <c r="W3271" s="2" t="s">
        <v>11204</v>
      </c>
    </row>
    <row r="3272" spans="1:23" hidden="1" x14ac:dyDescent="0.45">
      <c r="A3272" s="1" t="s">
        <v>3250</v>
      </c>
      <c r="B3272" t="s">
        <v>6373</v>
      </c>
      <c r="D3272" t="s">
        <v>8072</v>
      </c>
      <c r="E3272" t="s">
        <v>9711</v>
      </c>
      <c r="F3272" t="s">
        <v>10299</v>
      </c>
      <c r="G3272">
        <v>1.7</v>
      </c>
      <c r="H3272" t="s">
        <v>10310</v>
      </c>
      <c r="I3272" t="s">
        <v>10326</v>
      </c>
      <c r="L3272">
        <v>1990</v>
      </c>
      <c r="R3272" t="s">
        <v>11038</v>
      </c>
      <c r="S3272" t="s">
        <v>10310</v>
      </c>
      <c r="U3272" t="s">
        <v>11048</v>
      </c>
      <c r="W3272" s="2" t="s">
        <v>11204</v>
      </c>
    </row>
    <row r="3273" spans="1:23" hidden="1" x14ac:dyDescent="0.45">
      <c r="A3273" s="1" t="s">
        <v>3251</v>
      </c>
      <c r="B3273" t="s">
        <v>6281</v>
      </c>
      <c r="D3273" t="s">
        <v>8050</v>
      </c>
      <c r="E3273" t="s">
        <v>9712</v>
      </c>
      <c r="F3273" t="s">
        <v>10299</v>
      </c>
      <c r="G3273">
        <v>0.98</v>
      </c>
      <c r="H3273" t="s">
        <v>10310</v>
      </c>
      <c r="I3273" t="s">
        <v>10326</v>
      </c>
      <c r="L3273">
        <v>2009</v>
      </c>
      <c r="R3273" t="s">
        <v>11038</v>
      </c>
      <c r="S3273" t="s">
        <v>10310</v>
      </c>
      <c r="U3273" t="s">
        <v>11047</v>
      </c>
      <c r="W3273" s="2" t="s">
        <v>11204</v>
      </c>
    </row>
    <row r="3274" spans="1:23" hidden="1" x14ac:dyDescent="0.45">
      <c r="A3274" s="1" t="s">
        <v>3252</v>
      </c>
      <c r="B3274" t="s">
        <v>6374</v>
      </c>
      <c r="D3274" t="s">
        <v>8047</v>
      </c>
      <c r="E3274" t="s">
        <v>9713</v>
      </c>
      <c r="F3274" t="s">
        <v>10299</v>
      </c>
      <c r="G3274">
        <v>30</v>
      </c>
      <c r="H3274" t="s">
        <v>10310</v>
      </c>
      <c r="I3274" t="s">
        <v>10326</v>
      </c>
      <c r="L3274">
        <v>1958</v>
      </c>
      <c r="R3274" t="s">
        <v>11038</v>
      </c>
      <c r="S3274" t="s">
        <v>10310</v>
      </c>
      <c r="U3274" t="s">
        <v>11048</v>
      </c>
      <c r="W3274" s="2" t="s">
        <v>11204</v>
      </c>
    </row>
    <row r="3275" spans="1:23" hidden="1" x14ac:dyDescent="0.45">
      <c r="A3275" s="1" t="s">
        <v>3253</v>
      </c>
      <c r="B3275" t="s">
        <v>6375</v>
      </c>
      <c r="D3275" t="s">
        <v>8039</v>
      </c>
      <c r="E3275" t="s">
        <v>9714</v>
      </c>
      <c r="F3275" t="s">
        <v>10299</v>
      </c>
      <c r="G3275">
        <v>2.1999999999999999E-2</v>
      </c>
      <c r="H3275" t="s">
        <v>10310</v>
      </c>
      <c r="I3275" t="s">
        <v>10326</v>
      </c>
      <c r="L3275">
        <v>2009</v>
      </c>
      <c r="R3275" t="s">
        <v>11038</v>
      </c>
      <c r="S3275" t="s">
        <v>10310</v>
      </c>
      <c r="U3275" t="s">
        <v>11047</v>
      </c>
      <c r="W3275" s="2" t="s">
        <v>11204</v>
      </c>
    </row>
    <row r="3276" spans="1:23" hidden="1" x14ac:dyDescent="0.45">
      <c r="A3276" s="1" t="s">
        <v>3254</v>
      </c>
      <c r="B3276" t="s">
        <v>6376</v>
      </c>
      <c r="D3276" t="s">
        <v>8026</v>
      </c>
      <c r="E3276" t="s">
        <v>9619</v>
      </c>
      <c r="F3276" t="s">
        <v>10299</v>
      </c>
      <c r="G3276">
        <v>1.44</v>
      </c>
      <c r="H3276" t="s">
        <v>10310</v>
      </c>
      <c r="I3276" t="s">
        <v>10326</v>
      </c>
      <c r="L3276">
        <v>1920</v>
      </c>
      <c r="R3276" t="s">
        <v>11038</v>
      </c>
      <c r="S3276" t="s">
        <v>10310</v>
      </c>
      <c r="U3276" t="s">
        <v>11047</v>
      </c>
      <c r="W3276" s="2" t="s">
        <v>11204</v>
      </c>
    </row>
    <row r="3277" spans="1:23" hidden="1" x14ac:dyDescent="0.45">
      <c r="A3277" s="1" t="s">
        <v>3255</v>
      </c>
      <c r="B3277" t="s">
        <v>6319</v>
      </c>
      <c r="D3277" t="s">
        <v>8075</v>
      </c>
      <c r="E3277" t="s">
        <v>9715</v>
      </c>
      <c r="F3277" t="s">
        <v>10299</v>
      </c>
      <c r="G3277">
        <v>5.2</v>
      </c>
      <c r="H3277" t="s">
        <v>10310</v>
      </c>
      <c r="I3277" t="s">
        <v>10326</v>
      </c>
      <c r="L3277">
        <v>1990</v>
      </c>
      <c r="R3277" t="s">
        <v>11038</v>
      </c>
      <c r="S3277" t="s">
        <v>10310</v>
      </c>
      <c r="U3277" t="s">
        <v>11047</v>
      </c>
      <c r="W3277" s="2" t="s">
        <v>11204</v>
      </c>
    </row>
    <row r="3278" spans="1:23" hidden="1" x14ac:dyDescent="0.45">
      <c r="A3278" s="1" t="s">
        <v>3255</v>
      </c>
      <c r="B3278" t="s">
        <v>6377</v>
      </c>
      <c r="D3278" t="s">
        <v>8053</v>
      </c>
      <c r="E3278" t="s">
        <v>9652</v>
      </c>
      <c r="F3278" t="s">
        <v>10299</v>
      </c>
      <c r="G3278">
        <v>2.95</v>
      </c>
      <c r="H3278" t="s">
        <v>10310</v>
      </c>
      <c r="I3278" t="s">
        <v>10326</v>
      </c>
      <c r="L3278">
        <v>2005</v>
      </c>
      <c r="R3278" t="s">
        <v>11038</v>
      </c>
      <c r="S3278" t="s">
        <v>10310</v>
      </c>
      <c r="U3278" t="s">
        <v>11049</v>
      </c>
      <c r="W3278" s="2" t="s">
        <v>11204</v>
      </c>
    </row>
    <row r="3279" spans="1:23" hidden="1" x14ac:dyDescent="0.45">
      <c r="A3279" s="1" t="s">
        <v>3256</v>
      </c>
      <c r="B3279" t="s">
        <v>6378</v>
      </c>
      <c r="D3279" t="s">
        <v>8039</v>
      </c>
      <c r="E3279" t="s">
        <v>9631</v>
      </c>
      <c r="F3279" t="s">
        <v>10299</v>
      </c>
      <c r="G3279">
        <v>150</v>
      </c>
      <c r="H3279" t="s">
        <v>10310</v>
      </c>
      <c r="I3279" t="s">
        <v>10326</v>
      </c>
      <c r="L3279">
        <v>1990</v>
      </c>
      <c r="R3279" t="s">
        <v>11038</v>
      </c>
      <c r="S3279" t="s">
        <v>10310</v>
      </c>
      <c r="U3279" t="s">
        <v>11049</v>
      </c>
      <c r="W3279" s="2" t="s">
        <v>11204</v>
      </c>
    </row>
    <row r="3280" spans="1:23" hidden="1" x14ac:dyDescent="0.45">
      <c r="A3280" s="1" t="s">
        <v>3257</v>
      </c>
      <c r="B3280" t="s">
        <v>6379</v>
      </c>
      <c r="D3280" t="s">
        <v>8071</v>
      </c>
      <c r="E3280" t="s">
        <v>9689</v>
      </c>
      <c r="F3280" t="s">
        <v>10299</v>
      </c>
      <c r="G3280">
        <v>2.5</v>
      </c>
      <c r="H3280" t="s">
        <v>10310</v>
      </c>
      <c r="I3280" t="s">
        <v>10326</v>
      </c>
      <c r="L3280">
        <v>2017</v>
      </c>
      <c r="R3280" t="s">
        <v>11038</v>
      </c>
      <c r="S3280" t="s">
        <v>10310</v>
      </c>
      <c r="U3280" t="s">
        <v>11047</v>
      </c>
      <c r="W3280" s="2" t="s">
        <v>11204</v>
      </c>
    </row>
    <row r="3281" spans="1:23" hidden="1" x14ac:dyDescent="0.45">
      <c r="A3281" s="1" t="s">
        <v>3258</v>
      </c>
      <c r="B3281" t="s">
        <v>6319</v>
      </c>
      <c r="D3281" t="s">
        <v>8031</v>
      </c>
      <c r="E3281" t="s">
        <v>9624</v>
      </c>
      <c r="F3281" t="s">
        <v>10299</v>
      </c>
      <c r="G3281">
        <v>2.2999999999999998</v>
      </c>
      <c r="H3281" t="s">
        <v>10310</v>
      </c>
      <c r="I3281" t="s">
        <v>10326</v>
      </c>
      <c r="L3281">
        <v>2012</v>
      </c>
      <c r="R3281" t="s">
        <v>11038</v>
      </c>
      <c r="S3281" t="s">
        <v>10310</v>
      </c>
      <c r="U3281" t="s">
        <v>11047</v>
      </c>
      <c r="W3281" s="2" t="s">
        <v>11204</v>
      </c>
    </row>
    <row r="3282" spans="1:23" hidden="1" x14ac:dyDescent="0.45">
      <c r="A3282" s="1" t="s">
        <v>3259</v>
      </c>
      <c r="B3282" t="s">
        <v>6380</v>
      </c>
      <c r="D3282" t="s">
        <v>8034</v>
      </c>
      <c r="E3282" t="s">
        <v>9627</v>
      </c>
      <c r="F3282" t="s">
        <v>10299</v>
      </c>
      <c r="G3282">
        <v>3.1</v>
      </c>
      <c r="H3282" t="s">
        <v>10310</v>
      </c>
      <c r="I3282" t="s">
        <v>10326</v>
      </c>
      <c r="L3282">
        <v>2010</v>
      </c>
      <c r="R3282" t="s">
        <v>11038</v>
      </c>
      <c r="S3282" t="s">
        <v>10310</v>
      </c>
      <c r="U3282" t="s">
        <v>11049</v>
      </c>
      <c r="W3282" s="2" t="s">
        <v>11204</v>
      </c>
    </row>
    <row r="3283" spans="1:23" hidden="1" x14ac:dyDescent="0.45">
      <c r="A3283" s="1" t="s">
        <v>3259</v>
      </c>
      <c r="B3283" t="s">
        <v>6381</v>
      </c>
      <c r="D3283" t="s">
        <v>8060</v>
      </c>
      <c r="E3283" t="s">
        <v>9697</v>
      </c>
      <c r="F3283" t="s">
        <v>10299</v>
      </c>
      <c r="G3283">
        <v>0.9</v>
      </c>
      <c r="H3283" t="s">
        <v>10310</v>
      </c>
      <c r="I3283" t="s">
        <v>10326</v>
      </c>
      <c r="L3283">
        <v>2006</v>
      </c>
      <c r="R3283" t="s">
        <v>11038</v>
      </c>
      <c r="S3283" t="s">
        <v>10310</v>
      </c>
      <c r="U3283" t="s">
        <v>11047</v>
      </c>
      <c r="W3283" s="2" t="s">
        <v>11204</v>
      </c>
    </row>
    <row r="3284" spans="1:23" hidden="1" x14ac:dyDescent="0.45">
      <c r="A3284" s="1" t="s">
        <v>3260</v>
      </c>
      <c r="B3284" t="s">
        <v>6382</v>
      </c>
      <c r="D3284" t="s">
        <v>8057</v>
      </c>
      <c r="E3284" t="s">
        <v>9671</v>
      </c>
      <c r="F3284" t="s">
        <v>10299</v>
      </c>
      <c r="G3284">
        <v>4.9000000000000004</v>
      </c>
      <c r="H3284" t="s">
        <v>10310</v>
      </c>
      <c r="I3284" t="s">
        <v>10326</v>
      </c>
      <c r="L3284">
        <v>2010</v>
      </c>
      <c r="R3284" t="s">
        <v>11038</v>
      </c>
      <c r="S3284" t="s">
        <v>10310</v>
      </c>
      <c r="U3284" t="s">
        <v>11046</v>
      </c>
      <c r="W3284" s="2" t="s">
        <v>11204</v>
      </c>
    </row>
    <row r="3285" spans="1:23" hidden="1" x14ac:dyDescent="0.45">
      <c r="A3285" s="1" t="s">
        <v>3261</v>
      </c>
      <c r="B3285" t="s">
        <v>6383</v>
      </c>
      <c r="D3285" t="s">
        <v>8034</v>
      </c>
      <c r="E3285" t="s">
        <v>9627</v>
      </c>
      <c r="F3285" t="s">
        <v>10299</v>
      </c>
      <c r="G3285">
        <v>0.7</v>
      </c>
      <c r="H3285" t="s">
        <v>10310</v>
      </c>
      <c r="I3285" t="s">
        <v>10326</v>
      </c>
      <c r="L3285">
        <v>2010</v>
      </c>
      <c r="R3285" t="s">
        <v>11038</v>
      </c>
      <c r="S3285" t="s">
        <v>10310</v>
      </c>
      <c r="U3285" t="s">
        <v>11046</v>
      </c>
      <c r="W3285" s="2" t="s">
        <v>11204</v>
      </c>
    </row>
    <row r="3286" spans="1:23" hidden="1" x14ac:dyDescent="0.45">
      <c r="A3286" s="1" t="s">
        <v>3262</v>
      </c>
      <c r="B3286" t="s">
        <v>6384</v>
      </c>
      <c r="D3286" t="s">
        <v>8060</v>
      </c>
      <c r="E3286" t="s">
        <v>9664</v>
      </c>
      <c r="F3286" t="s">
        <v>10299</v>
      </c>
      <c r="G3286">
        <v>0.3</v>
      </c>
      <c r="H3286" t="s">
        <v>10310</v>
      </c>
      <c r="I3286" t="s">
        <v>10326</v>
      </c>
      <c r="L3286">
        <v>2010</v>
      </c>
      <c r="R3286" t="s">
        <v>11038</v>
      </c>
      <c r="S3286" t="s">
        <v>10310</v>
      </c>
      <c r="U3286" t="s">
        <v>11046</v>
      </c>
      <c r="W3286" s="2" t="s">
        <v>11204</v>
      </c>
    </row>
    <row r="3287" spans="1:23" hidden="1" x14ac:dyDescent="0.45">
      <c r="A3287" s="1" t="s">
        <v>3263</v>
      </c>
      <c r="B3287" t="s">
        <v>6294</v>
      </c>
      <c r="D3287" t="s">
        <v>8049</v>
      </c>
      <c r="E3287" t="s">
        <v>9716</v>
      </c>
      <c r="F3287" t="s">
        <v>10299</v>
      </c>
      <c r="G3287">
        <v>6.2</v>
      </c>
      <c r="H3287" t="s">
        <v>10310</v>
      </c>
      <c r="I3287" t="s">
        <v>10326</v>
      </c>
      <c r="L3287">
        <v>1907</v>
      </c>
      <c r="R3287" t="s">
        <v>11038</v>
      </c>
      <c r="S3287" t="s">
        <v>10310</v>
      </c>
      <c r="U3287" t="s">
        <v>11046</v>
      </c>
      <c r="W3287" s="2" t="s">
        <v>11204</v>
      </c>
    </row>
    <row r="3288" spans="1:23" hidden="1" x14ac:dyDescent="0.45">
      <c r="A3288" s="1" t="s">
        <v>3264</v>
      </c>
      <c r="B3288" t="s">
        <v>6385</v>
      </c>
      <c r="D3288" t="s">
        <v>8044</v>
      </c>
      <c r="E3288" t="s">
        <v>9717</v>
      </c>
      <c r="F3288" t="s">
        <v>10299</v>
      </c>
      <c r="G3288">
        <v>35.4</v>
      </c>
      <c r="H3288" t="s">
        <v>10310</v>
      </c>
      <c r="I3288" t="s">
        <v>10326</v>
      </c>
      <c r="L3288">
        <v>1978</v>
      </c>
      <c r="R3288" t="s">
        <v>11038</v>
      </c>
      <c r="S3288" t="s">
        <v>10310</v>
      </c>
      <c r="U3288" t="s">
        <v>11046</v>
      </c>
      <c r="W3288" s="2" t="s">
        <v>11204</v>
      </c>
    </row>
    <row r="3289" spans="1:23" hidden="1" x14ac:dyDescent="0.45">
      <c r="A3289" s="1" t="s">
        <v>3265</v>
      </c>
      <c r="B3289" t="s">
        <v>6323</v>
      </c>
      <c r="D3289" t="s">
        <v>7917</v>
      </c>
      <c r="E3289" t="s">
        <v>9672</v>
      </c>
      <c r="F3289" t="s">
        <v>10299</v>
      </c>
      <c r="G3289">
        <v>4.95</v>
      </c>
      <c r="H3289" t="s">
        <v>10310</v>
      </c>
      <c r="I3289" t="s">
        <v>10326</v>
      </c>
      <c r="L3289">
        <v>2007</v>
      </c>
      <c r="R3289" t="s">
        <v>11038</v>
      </c>
      <c r="S3289" t="s">
        <v>10310</v>
      </c>
      <c r="U3289" t="s">
        <v>11047</v>
      </c>
      <c r="W3289" s="2" t="s">
        <v>11204</v>
      </c>
    </row>
    <row r="3290" spans="1:23" hidden="1" x14ac:dyDescent="0.45">
      <c r="A3290" s="1" t="s">
        <v>3266</v>
      </c>
      <c r="D3290" t="s">
        <v>8027</v>
      </c>
      <c r="E3290" t="s">
        <v>9718</v>
      </c>
      <c r="F3290" t="s">
        <v>10299</v>
      </c>
      <c r="G3290">
        <v>2.7E-2</v>
      </c>
      <c r="H3290" t="s">
        <v>10310</v>
      </c>
      <c r="I3290" t="s">
        <v>10326</v>
      </c>
      <c r="L3290">
        <v>2005</v>
      </c>
      <c r="R3290" t="s">
        <v>11038</v>
      </c>
      <c r="S3290" t="s">
        <v>10310</v>
      </c>
      <c r="U3290" t="s">
        <v>11046</v>
      </c>
      <c r="W3290" s="2" t="s">
        <v>11204</v>
      </c>
    </row>
    <row r="3291" spans="1:23" hidden="1" x14ac:dyDescent="0.45">
      <c r="A3291" s="1" t="s">
        <v>3267</v>
      </c>
      <c r="B3291" t="s">
        <v>6386</v>
      </c>
      <c r="D3291" t="s">
        <v>8076</v>
      </c>
      <c r="E3291" t="s">
        <v>9719</v>
      </c>
      <c r="F3291" t="s">
        <v>10299</v>
      </c>
      <c r="G3291">
        <v>2.9969999999999999</v>
      </c>
      <c r="H3291" t="s">
        <v>10310</v>
      </c>
      <c r="I3291" t="s">
        <v>10326</v>
      </c>
      <c r="L3291">
        <v>2011</v>
      </c>
      <c r="R3291" t="s">
        <v>11038</v>
      </c>
      <c r="S3291" t="s">
        <v>10310</v>
      </c>
      <c r="U3291" t="s">
        <v>11049</v>
      </c>
      <c r="W3291" s="2" t="s">
        <v>11204</v>
      </c>
    </row>
    <row r="3292" spans="1:23" hidden="1" x14ac:dyDescent="0.45">
      <c r="A3292" s="1" t="s">
        <v>3268</v>
      </c>
      <c r="B3292" t="s">
        <v>6387</v>
      </c>
      <c r="D3292" t="s">
        <v>8056</v>
      </c>
      <c r="E3292" t="s">
        <v>3440</v>
      </c>
      <c r="F3292" t="s">
        <v>10299</v>
      </c>
      <c r="G3292">
        <v>1.6</v>
      </c>
      <c r="H3292" t="s">
        <v>10310</v>
      </c>
      <c r="I3292" t="s">
        <v>10326</v>
      </c>
      <c r="L3292">
        <v>2007</v>
      </c>
      <c r="R3292" t="s">
        <v>11038</v>
      </c>
      <c r="S3292" t="s">
        <v>10310</v>
      </c>
      <c r="U3292" t="s">
        <v>11046</v>
      </c>
      <c r="W3292" s="2" t="s">
        <v>11204</v>
      </c>
    </row>
    <row r="3293" spans="1:23" hidden="1" x14ac:dyDescent="0.45">
      <c r="A3293" s="1" t="s">
        <v>3269</v>
      </c>
      <c r="B3293" t="s">
        <v>6308</v>
      </c>
      <c r="D3293" t="s">
        <v>8025</v>
      </c>
      <c r="E3293" t="s">
        <v>9720</v>
      </c>
      <c r="F3293" t="s">
        <v>10299</v>
      </c>
      <c r="G3293">
        <v>5.6</v>
      </c>
      <c r="H3293" t="s">
        <v>10310</v>
      </c>
      <c r="I3293" t="s">
        <v>10326</v>
      </c>
      <c r="L3293">
        <v>2012</v>
      </c>
      <c r="R3293" t="s">
        <v>11038</v>
      </c>
      <c r="S3293" t="s">
        <v>10310</v>
      </c>
      <c r="U3293" t="s">
        <v>11048</v>
      </c>
      <c r="W3293" s="2" t="s">
        <v>11204</v>
      </c>
    </row>
    <row r="3294" spans="1:23" hidden="1" x14ac:dyDescent="0.45">
      <c r="A3294" s="1" t="s">
        <v>3270</v>
      </c>
      <c r="B3294" t="s">
        <v>6307</v>
      </c>
      <c r="D3294" t="s">
        <v>8048</v>
      </c>
      <c r="E3294" t="s">
        <v>9647</v>
      </c>
      <c r="F3294" t="s">
        <v>10299</v>
      </c>
      <c r="G3294">
        <v>26</v>
      </c>
      <c r="H3294" t="s">
        <v>10310</v>
      </c>
      <c r="I3294" t="s">
        <v>10326</v>
      </c>
      <c r="L3294">
        <v>1972</v>
      </c>
      <c r="R3294" t="s">
        <v>11038</v>
      </c>
      <c r="S3294" t="s">
        <v>10310</v>
      </c>
      <c r="U3294" t="s">
        <v>11048</v>
      </c>
      <c r="W3294" s="2" t="s">
        <v>11204</v>
      </c>
    </row>
    <row r="3295" spans="1:23" hidden="1" x14ac:dyDescent="0.45">
      <c r="A3295" s="1" t="s">
        <v>3271</v>
      </c>
      <c r="B3295" t="s">
        <v>6298</v>
      </c>
      <c r="D3295" t="s">
        <v>8026</v>
      </c>
      <c r="E3295" t="s">
        <v>9721</v>
      </c>
      <c r="F3295" t="s">
        <v>10299</v>
      </c>
      <c r="G3295">
        <v>14.3</v>
      </c>
      <c r="H3295" t="s">
        <v>10310</v>
      </c>
      <c r="I3295" t="s">
        <v>10326</v>
      </c>
      <c r="L3295">
        <v>1976</v>
      </c>
      <c r="R3295" t="s">
        <v>11038</v>
      </c>
      <c r="S3295" t="s">
        <v>10310</v>
      </c>
      <c r="U3295" t="s">
        <v>11050</v>
      </c>
      <c r="W3295" s="2" t="s">
        <v>11204</v>
      </c>
    </row>
    <row r="3296" spans="1:23" hidden="1" x14ac:dyDescent="0.45">
      <c r="A3296" s="1" t="s">
        <v>3272</v>
      </c>
      <c r="B3296" t="s">
        <v>6388</v>
      </c>
      <c r="D3296" t="s">
        <v>8066</v>
      </c>
      <c r="E3296" t="s">
        <v>9678</v>
      </c>
      <c r="F3296" t="s">
        <v>10299</v>
      </c>
      <c r="G3296">
        <v>5.0999999999999996</v>
      </c>
      <c r="H3296" t="s">
        <v>10310</v>
      </c>
      <c r="I3296" t="s">
        <v>10326</v>
      </c>
      <c r="L3296">
        <v>1952</v>
      </c>
      <c r="R3296" t="s">
        <v>11038</v>
      </c>
      <c r="S3296" t="s">
        <v>10310</v>
      </c>
      <c r="U3296" t="s">
        <v>11048</v>
      </c>
      <c r="W3296" s="2" t="s">
        <v>11204</v>
      </c>
    </row>
    <row r="3297" spans="1:23" hidden="1" x14ac:dyDescent="0.45">
      <c r="A3297" s="1" t="s">
        <v>3273</v>
      </c>
      <c r="B3297" t="s">
        <v>6388</v>
      </c>
      <c r="D3297" t="s">
        <v>8066</v>
      </c>
      <c r="E3297" t="s">
        <v>9678</v>
      </c>
      <c r="F3297" t="s">
        <v>10299</v>
      </c>
      <c r="G3297">
        <v>2.6</v>
      </c>
      <c r="H3297" t="s">
        <v>10310</v>
      </c>
      <c r="I3297" t="s">
        <v>10326</v>
      </c>
      <c r="L3297">
        <v>1957</v>
      </c>
      <c r="R3297" t="s">
        <v>11038</v>
      </c>
      <c r="S3297" t="s">
        <v>10310</v>
      </c>
      <c r="U3297" t="s">
        <v>11048</v>
      </c>
      <c r="W3297" s="2" t="s">
        <v>11204</v>
      </c>
    </row>
    <row r="3298" spans="1:23" hidden="1" x14ac:dyDescent="0.45">
      <c r="A3298" s="1" t="s">
        <v>3274</v>
      </c>
      <c r="D3298" t="s">
        <v>8035</v>
      </c>
      <c r="E3298" t="s">
        <v>3097</v>
      </c>
      <c r="F3298" t="s">
        <v>10299</v>
      </c>
      <c r="G3298">
        <v>3.7999999999999999E-2</v>
      </c>
      <c r="H3298" t="s">
        <v>10310</v>
      </c>
      <c r="I3298" t="s">
        <v>10326</v>
      </c>
      <c r="L3298">
        <v>2001</v>
      </c>
      <c r="R3298" t="s">
        <v>11038</v>
      </c>
      <c r="S3298" t="s">
        <v>10310</v>
      </c>
      <c r="U3298" t="s">
        <v>11048</v>
      </c>
      <c r="W3298" s="2" t="s">
        <v>11204</v>
      </c>
    </row>
    <row r="3299" spans="1:23" hidden="1" x14ac:dyDescent="0.45">
      <c r="A3299" s="1" t="s">
        <v>3275</v>
      </c>
      <c r="B3299" t="s">
        <v>6389</v>
      </c>
      <c r="D3299" t="s">
        <v>8077</v>
      </c>
      <c r="E3299" t="s">
        <v>9722</v>
      </c>
      <c r="F3299" t="s">
        <v>10299</v>
      </c>
      <c r="G3299">
        <v>8.0000000000000002E-3</v>
      </c>
      <c r="H3299" t="s">
        <v>10310</v>
      </c>
      <c r="I3299" t="s">
        <v>10326</v>
      </c>
      <c r="L3299">
        <v>1998</v>
      </c>
      <c r="R3299" t="s">
        <v>11038</v>
      </c>
      <c r="S3299" t="s">
        <v>10310</v>
      </c>
      <c r="U3299" t="s">
        <v>11047</v>
      </c>
      <c r="W3299" s="2" t="s">
        <v>11204</v>
      </c>
    </row>
    <row r="3300" spans="1:23" hidden="1" x14ac:dyDescent="0.45">
      <c r="A3300" s="1" t="s">
        <v>3276</v>
      </c>
      <c r="D3300" t="s">
        <v>8044</v>
      </c>
      <c r="E3300" t="s">
        <v>9717</v>
      </c>
      <c r="F3300" t="s">
        <v>10299</v>
      </c>
      <c r="G3300">
        <v>4.4999999999999998E-2</v>
      </c>
      <c r="H3300" t="s">
        <v>10310</v>
      </c>
      <c r="I3300" t="s">
        <v>10326</v>
      </c>
      <c r="L3300">
        <v>2009</v>
      </c>
      <c r="R3300" t="s">
        <v>11038</v>
      </c>
      <c r="S3300" t="s">
        <v>10310</v>
      </c>
      <c r="U3300" t="s">
        <v>11046</v>
      </c>
      <c r="W3300" s="2" t="s">
        <v>11204</v>
      </c>
    </row>
    <row r="3301" spans="1:23" hidden="1" x14ac:dyDescent="0.45">
      <c r="A3301" s="1" t="s">
        <v>3277</v>
      </c>
      <c r="B3301" t="s">
        <v>6290</v>
      </c>
      <c r="D3301" t="s">
        <v>8037</v>
      </c>
      <c r="E3301" t="s">
        <v>9723</v>
      </c>
      <c r="F3301" t="s">
        <v>10299</v>
      </c>
      <c r="G3301">
        <v>44.6</v>
      </c>
      <c r="H3301" t="s">
        <v>10310</v>
      </c>
      <c r="I3301" t="s">
        <v>10326</v>
      </c>
      <c r="L3301">
        <v>1989</v>
      </c>
      <c r="R3301" t="s">
        <v>11038</v>
      </c>
      <c r="S3301" t="s">
        <v>10310</v>
      </c>
      <c r="U3301" t="s">
        <v>11050</v>
      </c>
      <c r="W3301" s="2" t="s">
        <v>11204</v>
      </c>
    </row>
    <row r="3302" spans="1:23" hidden="1" x14ac:dyDescent="0.45">
      <c r="A3302" s="1" t="s">
        <v>3278</v>
      </c>
      <c r="B3302" t="s">
        <v>6281</v>
      </c>
      <c r="D3302" t="s">
        <v>8041</v>
      </c>
      <c r="E3302" t="s">
        <v>9651</v>
      </c>
      <c r="F3302" t="s">
        <v>10299</v>
      </c>
      <c r="G3302">
        <v>5.49</v>
      </c>
      <c r="H3302" t="s">
        <v>10310</v>
      </c>
      <c r="I3302" t="s">
        <v>10326</v>
      </c>
      <c r="L3302">
        <v>2012</v>
      </c>
      <c r="R3302" t="s">
        <v>11038</v>
      </c>
      <c r="S3302" t="s">
        <v>10310</v>
      </c>
      <c r="U3302" t="s">
        <v>11047</v>
      </c>
      <c r="W3302" s="2" t="s">
        <v>11204</v>
      </c>
    </row>
    <row r="3303" spans="1:23" hidden="1" x14ac:dyDescent="0.45">
      <c r="A3303" s="1" t="s">
        <v>3279</v>
      </c>
      <c r="B3303" t="s">
        <v>6390</v>
      </c>
      <c r="D3303" t="s">
        <v>8053</v>
      </c>
      <c r="E3303" t="s">
        <v>9724</v>
      </c>
      <c r="F3303" t="s">
        <v>10299</v>
      </c>
      <c r="G3303">
        <v>3.3</v>
      </c>
      <c r="H3303" t="s">
        <v>10310</v>
      </c>
      <c r="I3303" t="s">
        <v>10326</v>
      </c>
      <c r="L3303">
        <v>1987</v>
      </c>
      <c r="R3303" t="s">
        <v>11038</v>
      </c>
      <c r="S3303" t="s">
        <v>10310</v>
      </c>
      <c r="U3303" t="s">
        <v>11048</v>
      </c>
      <c r="W3303" s="2" t="s">
        <v>11204</v>
      </c>
    </row>
    <row r="3304" spans="1:23" hidden="1" x14ac:dyDescent="0.45">
      <c r="A3304" s="1" t="s">
        <v>3280</v>
      </c>
      <c r="D3304" t="s">
        <v>8061</v>
      </c>
      <c r="E3304" t="s">
        <v>9665</v>
      </c>
      <c r="F3304" t="s">
        <v>10299</v>
      </c>
      <c r="G3304">
        <v>2.1999999999999999E-2</v>
      </c>
      <c r="H3304" t="s">
        <v>10310</v>
      </c>
      <c r="I3304" t="s">
        <v>10326</v>
      </c>
      <c r="L3304">
        <v>2000</v>
      </c>
      <c r="R3304" t="s">
        <v>11038</v>
      </c>
      <c r="S3304" t="s">
        <v>10310</v>
      </c>
      <c r="U3304" t="s">
        <v>11046</v>
      </c>
      <c r="W3304" s="2" t="s">
        <v>11204</v>
      </c>
    </row>
    <row r="3305" spans="1:23" hidden="1" x14ac:dyDescent="0.45">
      <c r="A3305" s="1" t="s">
        <v>3281</v>
      </c>
      <c r="B3305" t="s">
        <v>6319</v>
      </c>
      <c r="D3305" t="s">
        <v>8075</v>
      </c>
      <c r="E3305" t="s">
        <v>9715</v>
      </c>
      <c r="F3305" t="s">
        <v>10299</v>
      </c>
      <c r="G3305">
        <v>2.5</v>
      </c>
      <c r="H3305" t="s">
        <v>10310</v>
      </c>
      <c r="I3305" t="s">
        <v>10326</v>
      </c>
      <c r="L3305">
        <v>2013</v>
      </c>
      <c r="R3305" t="s">
        <v>11038</v>
      </c>
      <c r="S3305" t="s">
        <v>10310</v>
      </c>
      <c r="U3305" t="s">
        <v>11047</v>
      </c>
      <c r="W3305" s="2" t="s">
        <v>11204</v>
      </c>
    </row>
    <row r="3306" spans="1:23" hidden="1" x14ac:dyDescent="0.45">
      <c r="A3306" s="1" t="s">
        <v>3282</v>
      </c>
      <c r="B3306" t="s">
        <v>6391</v>
      </c>
      <c r="D3306" t="s">
        <v>8075</v>
      </c>
      <c r="E3306" t="s">
        <v>9715</v>
      </c>
      <c r="F3306" t="s">
        <v>10299</v>
      </c>
      <c r="G3306">
        <v>4.18</v>
      </c>
      <c r="H3306" t="s">
        <v>10310</v>
      </c>
      <c r="I3306" t="s">
        <v>10326</v>
      </c>
      <c r="L3306">
        <v>2016</v>
      </c>
      <c r="R3306" t="s">
        <v>11038</v>
      </c>
      <c r="S3306" t="s">
        <v>10310</v>
      </c>
      <c r="U3306" t="s">
        <v>11047</v>
      </c>
      <c r="W3306" s="2" t="s">
        <v>11204</v>
      </c>
    </row>
    <row r="3307" spans="1:23" hidden="1" x14ac:dyDescent="0.45">
      <c r="A3307" s="1" t="s">
        <v>3283</v>
      </c>
      <c r="B3307" t="s">
        <v>6392</v>
      </c>
      <c r="D3307" t="s">
        <v>8046</v>
      </c>
      <c r="E3307" t="s">
        <v>9640</v>
      </c>
      <c r="F3307" t="s">
        <v>10299</v>
      </c>
      <c r="G3307">
        <v>140</v>
      </c>
      <c r="H3307" t="s">
        <v>10310</v>
      </c>
      <c r="I3307" t="s">
        <v>10326</v>
      </c>
      <c r="L3307">
        <v>1973</v>
      </c>
      <c r="R3307" t="s">
        <v>11038</v>
      </c>
      <c r="S3307" t="s">
        <v>10310</v>
      </c>
      <c r="U3307" t="s">
        <v>11047</v>
      </c>
      <c r="W3307" s="2" t="s">
        <v>11204</v>
      </c>
    </row>
    <row r="3308" spans="1:23" hidden="1" x14ac:dyDescent="0.45">
      <c r="A3308" s="1" t="s">
        <v>3284</v>
      </c>
      <c r="B3308" t="s">
        <v>6393</v>
      </c>
      <c r="D3308" t="s">
        <v>8058</v>
      </c>
      <c r="E3308" t="s">
        <v>9662</v>
      </c>
      <c r="F3308" t="s">
        <v>10299</v>
      </c>
      <c r="G3308">
        <v>2.2999999999999998</v>
      </c>
      <c r="H3308" t="s">
        <v>10310</v>
      </c>
      <c r="I3308" t="s">
        <v>10326</v>
      </c>
      <c r="L3308">
        <v>2008</v>
      </c>
      <c r="R3308" t="s">
        <v>11038</v>
      </c>
      <c r="S3308" t="s">
        <v>10310</v>
      </c>
      <c r="U3308" t="s">
        <v>11046</v>
      </c>
      <c r="W3308" s="2" t="s">
        <v>11204</v>
      </c>
    </row>
    <row r="3309" spans="1:23" hidden="1" x14ac:dyDescent="0.45">
      <c r="A3309" s="1" t="s">
        <v>3285</v>
      </c>
      <c r="B3309" t="s">
        <v>6394</v>
      </c>
      <c r="D3309" t="s">
        <v>8039</v>
      </c>
      <c r="E3309" t="s">
        <v>9699</v>
      </c>
      <c r="F3309" t="s">
        <v>10299</v>
      </c>
      <c r="G3309">
        <v>0.35</v>
      </c>
      <c r="H3309" t="s">
        <v>10310</v>
      </c>
      <c r="I3309" t="s">
        <v>10326</v>
      </c>
      <c r="L3309">
        <v>2002</v>
      </c>
      <c r="R3309" t="s">
        <v>11038</v>
      </c>
      <c r="S3309" t="s">
        <v>10310</v>
      </c>
      <c r="U3309" t="s">
        <v>11047</v>
      </c>
      <c r="W3309" s="2" t="s">
        <v>11204</v>
      </c>
    </row>
    <row r="3310" spans="1:23" hidden="1" x14ac:dyDescent="0.45">
      <c r="A3310" s="1" t="s">
        <v>3286</v>
      </c>
      <c r="B3310" t="s">
        <v>6395</v>
      </c>
      <c r="D3310" t="s">
        <v>8078</v>
      </c>
      <c r="E3310" t="s">
        <v>9725</v>
      </c>
      <c r="F3310" t="s">
        <v>10299</v>
      </c>
      <c r="G3310">
        <v>200</v>
      </c>
      <c r="H3310" t="s">
        <v>10310</v>
      </c>
      <c r="I3310" t="s">
        <v>10324</v>
      </c>
      <c r="L3310">
        <v>1979</v>
      </c>
      <c r="R3310" t="s">
        <v>11038</v>
      </c>
      <c r="S3310" t="s">
        <v>10310</v>
      </c>
      <c r="U3310" t="s">
        <v>11046</v>
      </c>
      <c r="W3310" s="2" t="s">
        <v>11204</v>
      </c>
    </row>
    <row r="3311" spans="1:23" hidden="1" x14ac:dyDescent="0.45">
      <c r="A3311" s="1" t="s">
        <v>3287</v>
      </c>
      <c r="B3311" t="s">
        <v>6396</v>
      </c>
      <c r="D3311" t="s">
        <v>8037</v>
      </c>
      <c r="E3311" t="s">
        <v>9629</v>
      </c>
      <c r="F3311" t="s">
        <v>10299</v>
      </c>
      <c r="G3311">
        <v>2</v>
      </c>
      <c r="H3311" t="s">
        <v>10310</v>
      </c>
      <c r="I3311" t="s">
        <v>10326</v>
      </c>
      <c r="L3311">
        <v>2010</v>
      </c>
      <c r="R3311" t="s">
        <v>11038</v>
      </c>
      <c r="S3311" t="s">
        <v>10310</v>
      </c>
      <c r="U3311" t="s">
        <v>11047</v>
      </c>
      <c r="W3311" s="2" t="s">
        <v>11204</v>
      </c>
    </row>
    <row r="3312" spans="1:23" hidden="1" x14ac:dyDescent="0.45">
      <c r="A3312" s="1" t="s">
        <v>3288</v>
      </c>
      <c r="B3312" t="s">
        <v>6390</v>
      </c>
      <c r="D3312" t="s">
        <v>8053</v>
      </c>
      <c r="E3312" t="s">
        <v>9724</v>
      </c>
      <c r="F3312" t="s">
        <v>10299</v>
      </c>
      <c r="G3312">
        <v>3.68</v>
      </c>
      <c r="H3312" t="s">
        <v>10310</v>
      </c>
      <c r="I3312" t="s">
        <v>10326</v>
      </c>
      <c r="L3312">
        <v>2011</v>
      </c>
      <c r="R3312" t="s">
        <v>11038</v>
      </c>
      <c r="S3312" t="s">
        <v>10310</v>
      </c>
      <c r="U3312" t="s">
        <v>11048</v>
      </c>
      <c r="W3312" s="2" t="s">
        <v>11204</v>
      </c>
    </row>
    <row r="3313" spans="1:23" hidden="1" x14ac:dyDescent="0.45">
      <c r="A3313" s="1" t="s">
        <v>3289</v>
      </c>
      <c r="B3313" t="s">
        <v>6311</v>
      </c>
      <c r="D3313" t="s">
        <v>8056</v>
      </c>
      <c r="E3313" t="s">
        <v>9657</v>
      </c>
      <c r="F3313" t="s">
        <v>10299</v>
      </c>
      <c r="G3313">
        <v>33</v>
      </c>
      <c r="H3313" t="s">
        <v>10310</v>
      </c>
      <c r="I3313" t="s">
        <v>10326</v>
      </c>
      <c r="L3313">
        <v>1951</v>
      </c>
      <c r="R3313" t="s">
        <v>11038</v>
      </c>
      <c r="S3313" t="s">
        <v>10310</v>
      </c>
      <c r="U3313" t="s">
        <v>11046</v>
      </c>
      <c r="W3313" s="2" t="s">
        <v>11204</v>
      </c>
    </row>
    <row r="3314" spans="1:23" hidden="1" x14ac:dyDescent="0.45">
      <c r="A3314" s="1" t="s">
        <v>3290</v>
      </c>
      <c r="B3314" t="s">
        <v>6397</v>
      </c>
      <c r="D3314" t="s">
        <v>8037</v>
      </c>
      <c r="E3314" t="s">
        <v>9726</v>
      </c>
      <c r="F3314" t="s">
        <v>10299</v>
      </c>
      <c r="G3314">
        <v>0.56999999999999995</v>
      </c>
      <c r="H3314" t="s">
        <v>10310</v>
      </c>
      <c r="I3314" t="s">
        <v>10326</v>
      </c>
      <c r="L3314">
        <v>1913</v>
      </c>
      <c r="R3314" t="s">
        <v>11038</v>
      </c>
      <c r="S3314" t="s">
        <v>10310</v>
      </c>
      <c r="U3314" t="s">
        <v>11050</v>
      </c>
      <c r="W3314" s="2" t="s">
        <v>11204</v>
      </c>
    </row>
    <row r="3315" spans="1:23" hidden="1" x14ac:dyDescent="0.45">
      <c r="A3315" s="1" t="s">
        <v>3291</v>
      </c>
      <c r="B3315" t="s">
        <v>6398</v>
      </c>
      <c r="D3315" t="s">
        <v>8063</v>
      </c>
      <c r="E3315" t="s">
        <v>9727</v>
      </c>
      <c r="F3315" t="s">
        <v>10299</v>
      </c>
      <c r="G3315">
        <v>6.9000000000000006E-2</v>
      </c>
      <c r="H3315" t="s">
        <v>10310</v>
      </c>
      <c r="I3315" t="s">
        <v>10326</v>
      </c>
      <c r="L3315">
        <v>1998</v>
      </c>
      <c r="R3315" t="s">
        <v>11038</v>
      </c>
      <c r="S3315" t="s">
        <v>10310</v>
      </c>
      <c r="U3315" t="s">
        <v>11049</v>
      </c>
      <c r="W3315" s="2" t="s">
        <v>11204</v>
      </c>
    </row>
    <row r="3316" spans="1:23" hidden="1" x14ac:dyDescent="0.45">
      <c r="A3316" s="1" t="s">
        <v>3292</v>
      </c>
      <c r="B3316" t="s">
        <v>6399</v>
      </c>
      <c r="D3316" t="s">
        <v>8079</v>
      </c>
      <c r="E3316" t="s">
        <v>9728</v>
      </c>
      <c r="F3316" t="s">
        <v>10299</v>
      </c>
      <c r="G3316">
        <v>2.8</v>
      </c>
      <c r="H3316" t="s">
        <v>10310</v>
      </c>
      <c r="I3316" t="s">
        <v>10326</v>
      </c>
      <c r="L3316">
        <v>2011</v>
      </c>
      <c r="R3316" t="s">
        <v>11038</v>
      </c>
      <c r="S3316" t="s">
        <v>10310</v>
      </c>
      <c r="U3316" t="s">
        <v>11047</v>
      </c>
      <c r="W3316" s="2" t="s">
        <v>11204</v>
      </c>
    </row>
    <row r="3317" spans="1:23" hidden="1" x14ac:dyDescent="0.45">
      <c r="A3317" s="1" t="s">
        <v>3293</v>
      </c>
      <c r="B3317" t="s">
        <v>6400</v>
      </c>
      <c r="D3317" t="s">
        <v>8029</v>
      </c>
      <c r="E3317" t="s">
        <v>9661</v>
      </c>
      <c r="F3317" t="s">
        <v>10299</v>
      </c>
      <c r="G3317">
        <v>6.5</v>
      </c>
      <c r="H3317" t="s">
        <v>10310</v>
      </c>
      <c r="I3317" t="s">
        <v>10326</v>
      </c>
      <c r="L3317">
        <v>1907</v>
      </c>
      <c r="R3317" t="s">
        <v>11038</v>
      </c>
      <c r="S3317" t="s">
        <v>10310</v>
      </c>
      <c r="U3317" t="s">
        <v>11047</v>
      </c>
      <c r="W3317" s="2" t="s">
        <v>11204</v>
      </c>
    </row>
    <row r="3318" spans="1:23" hidden="1" x14ac:dyDescent="0.45">
      <c r="A3318" s="1" t="s">
        <v>3294</v>
      </c>
      <c r="B3318" t="s">
        <v>6401</v>
      </c>
      <c r="D3318" t="s">
        <v>7917</v>
      </c>
      <c r="E3318" t="s">
        <v>9672</v>
      </c>
      <c r="F3318" t="s">
        <v>10299</v>
      </c>
      <c r="G3318">
        <v>0.99</v>
      </c>
      <c r="H3318" t="s">
        <v>10310</v>
      </c>
      <c r="I3318" t="s">
        <v>10326</v>
      </c>
      <c r="L3318">
        <v>1999</v>
      </c>
      <c r="R3318" t="s">
        <v>11038</v>
      </c>
      <c r="S3318" t="s">
        <v>10310</v>
      </c>
      <c r="U3318" t="s">
        <v>11047</v>
      </c>
      <c r="W3318" s="2" t="s">
        <v>11204</v>
      </c>
    </row>
    <row r="3319" spans="1:23" hidden="1" x14ac:dyDescent="0.45">
      <c r="A3319" s="1" t="s">
        <v>3295</v>
      </c>
      <c r="B3319" t="s">
        <v>6402</v>
      </c>
      <c r="D3319" t="s">
        <v>8041</v>
      </c>
      <c r="E3319" t="s">
        <v>9687</v>
      </c>
      <c r="F3319" t="s">
        <v>10299</v>
      </c>
      <c r="G3319">
        <v>2.1</v>
      </c>
      <c r="H3319" t="s">
        <v>10310</v>
      </c>
      <c r="I3319" t="s">
        <v>10326</v>
      </c>
      <c r="L3319">
        <v>2011</v>
      </c>
      <c r="R3319" t="s">
        <v>11038</v>
      </c>
      <c r="S3319" t="s">
        <v>10310</v>
      </c>
      <c r="U3319" t="s">
        <v>11047</v>
      </c>
      <c r="W3319" s="2" t="s">
        <v>11204</v>
      </c>
    </row>
    <row r="3320" spans="1:23" hidden="1" x14ac:dyDescent="0.45">
      <c r="A3320" s="1" t="s">
        <v>3296</v>
      </c>
      <c r="D3320" t="s">
        <v>8080</v>
      </c>
      <c r="E3320" t="s">
        <v>9729</v>
      </c>
      <c r="F3320" t="s">
        <v>10299</v>
      </c>
      <c r="G3320">
        <v>0.09</v>
      </c>
      <c r="H3320" t="s">
        <v>10310</v>
      </c>
      <c r="I3320" t="s">
        <v>10326</v>
      </c>
      <c r="L3320">
        <v>2004</v>
      </c>
      <c r="R3320" t="s">
        <v>11038</v>
      </c>
      <c r="S3320" t="s">
        <v>10310</v>
      </c>
      <c r="U3320" t="s">
        <v>11049</v>
      </c>
      <c r="W3320" s="2" t="s">
        <v>11204</v>
      </c>
    </row>
    <row r="3321" spans="1:23" hidden="1" x14ac:dyDescent="0.45">
      <c r="A3321" s="1" t="s">
        <v>3297</v>
      </c>
      <c r="B3321" t="s">
        <v>6403</v>
      </c>
      <c r="D3321" t="s">
        <v>8057</v>
      </c>
      <c r="E3321" t="s">
        <v>9671</v>
      </c>
      <c r="F3321" t="s">
        <v>10299</v>
      </c>
      <c r="G3321">
        <v>0.8</v>
      </c>
      <c r="H3321" t="s">
        <v>10310</v>
      </c>
      <c r="I3321" t="s">
        <v>10326</v>
      </c>
      <c r="L3321">
        <v>2004</v>
      </c>
      <c r="R3321" t="s">
        <v>11038</v>
      </c>
      <c r="S3321" t="s">
        <v>10310</v>
      </c>
      <c r="U3321" t="s">
        <v>11046</v>
      </c>
      <c r="W3321" s="2" t="s">
        <v>11204</v>
      </c>
    </row>
    <row r="3322" spans="1:23" hidden="1" x14ac:dyDescent="0.45">
      <c r="A3322" s="1" t="s">
        <v>3298</v>
      </c>
      <c r="B3322" t="s">
        <v>6298</v>
      </c>
      <c r="D3322" t="s">
        <v>8037</v>
      </c>
      <c r="E3322" t="s">
        <v>9726</v>
      </c>
      <c r="F3322" t="s">
        <v>10299</v>
      </c>
      <c r="G3322">
        <v>15</v>
      </c>
      <c r="H3322" t="s">
        <v>10310</v>
      </c>
      <c r="I3322" t="s">
        <v>10326</v>
      </c>
      <c r="L3322">
        <v>1975</v>
      </c>
      <c r="R3322" t="s">
        <v>11038</v>
      </c>
      <c r="S3322" t="s">
        <v>10310</v>
      </c>
      <c r="U3322" t="s">
        <v>11050</v>
      </c>
      <c r="W3322" s="2" t="s">
        <v>11204</v>
      </c>
    </row>
    <row r="3323" spans="1:23" hidden="1" x14ac:dyDescent="0.45">
      <c r="A3323" s="1" t="s">
        <v>3299</v>
      </c>
      <c r="B3323" t="s">
        <v>6404</v>
      </c>
      <c r="D3323" t="s">
        <v>8055</v>
      </c>
      <c r="E3323" t="s">
        <v>3805</v>
      </c>
      <c r="F3323" t="s">
        <v>10299</v>
      </c>
      <c r="G3323">
        <v>0.4</v>
      </c>
      <c r="H3323" t="s">
        <v>10310</v>
      </c>
      <c r="I3323" t="s">
        <v>10326</v>
      </c>
      <c r="L3323">
        <v>2000</v>
      </c>
      <c r="R3323" t="s">
        <v>11038</v>
      </c>
      <c r="S3323" t="s">
        <v>10310</v>
      </c>
      <c r="U3323" t="s">
        <v>11046</v>
      </c>
      <c r="W3323" s="2" t="s">
        <v>11204</v>
      </c>
    </row>
    <row r="3324" spans="1:23" hidden="1" x14ac:dyDescent="0.45">
      <c r="A3324" s="1" t="s">
        <v>3300</v>
      </c>
      <c r="B3324" t="s">
        <v>6405</v>
      </c>
      <c r="D3324" t="s">
        <v>8071</v>
      </c>
      <c r="E3324" t="s">
        <v>9689</v>
      </c>
      <c r="F3324" t="s">
        <v>10299</v>
      </c>
      <c r="G3324">
        <v>5</v>
      </c>
      <c r="H3324" t="s">
        <v>10310</v>
      </c>
      <c r="I3324" t="s">
        <v>10326</v>
      </c>
      <c r="L3324">
        <v>2007</v>
      </c>
      <c r="R3324" t="s">
        <v>11038</v>
      </c>
      <c r="S3324" t="s">
        <v>10310</v>
      </c>
      <c r="U3324" t="s">
        <v>11047</v>
      </c>
      <c r="W3324" s="2" t="s">
        <v>11204</v>
      </c>
    </row>
    <row r="3325" spans="1:23" hidden="1" x14ac:dyDescent="0.45">
      <c r="A3325" s="1" t="s">
        <v>3301</v>
      </c>
      <c r="B3325" t="s">
        <v>6290</v>
      </c>
      <c r="D3325" t="s">
        <v>8050</v>
      </c>
      <c r="E3325" t="s">
        <v>9645</v>
      </c>
      <c r="F3325" t="s">
        <v>10299</v>
      </c>
      <c r="G3325">
        <v>9.6</v>
      </c>
      <c r="H3325" t="s">
        <v>10310</v>
      </c>
      <c r="I3325" t="s">
        <v>10326</v>
      </c>
      <c r="L3325">
        <v>2000</v>
      </c>
      <c r="R3325" t="s">
        <v>11038</v>
      </c>
      <c r="S3325" t="s">
        <v>10310</v>
      </c>
      <c r="U3325" t="s">
        <v>11050</v>
      </c>
      <c r="W3325" s="2" t="s">
        <v>11204</v>
      </c>
    </row>
    <row r="3326" spans="1:23" hidden="1" x14ac:dyDescent="0.45">
      <c r="A3326" s="1" t="s">
        <v>3302</v>
      </c>
      <c r="B3326" t="s">
        <v>6406</v>
      </c>
      <c r="D3326" t="s">
        <v>8027</v>
      </c>
      <c r="E3326" t="s">
        <v>9620</v>
      </c>
      <c r="F3326" t="s">
        <v>10299</v>
      </c>
      <c r="G3326">
        <v>0.09</v>
      </c>
      <c r="H3326" t="s">
        <v>10310</v>
      </c>
      <c r="I3326" t="s">
        <v>10326</v>
      </c>
      <c r="L3326">
        <v>2008</v>
      </c>
      <c r="R3326" t="s">
        <v>11038</v>
      </c>
      <c r="S3326" t="s">
        <v>10310</v>
      </c>
      <c r="U3326" t="s">
        <v>11046</v>
      </c>
      <c r="W3326" s="2" t="s">
        <v>11204</v>
      </c>
    </row>
    <row r="3327" spans="1:23" hidden="1" x14ac:dyDescent="0.45">
      <c r="A3327" s="1" t="s">
        <v>3303</v>
      </c>
      <c r="B3327" t="s">
        <v>6407</v>
      </c>
      <c r="D3327" t="s">
        <v>8044</v>
      </c>
      <c r="E3327" t="s">
        <v>9658</v>
      </c>
      <c r="F3327" t="s">
        <v>10299</v>
      </c>
      <c r="G3327">
        <v>13.2</v>
      </c>
      <c r="H3327" t="s">
        <v>10310</v>
      </c>
      <c r="I3327" t="s">
        <v>10326</v>
      </c>
      <c r="L3327">
        <v>1983</v>
      </c>
      <c r="R3327" t="s">
        <v>11038</v>
      </c>
      <c r="S3327" t="s">
        <v>10310</v>
      </c>
      <c r="U3327" t="s">
        <v>11047</v>
      </c>
      <c r="W3327" s="2" t="s">
        <v>11204</v>
      </c>
    </row>
    <row r="3328" spans="1:23" hidden="1" x14ac:dyDescent="0.45">
      <c r="A3328" s="1" t="s">
        <v>3304</v>
      </c>
      <c r="B3328" t="s">
        <v>6408</v>
      </c>
      <c r="D3328" t="s">
        <v>8048</v>
      </c>
      <c r="E3328" t="s">
        <v>9642</v>
      </c>
      <c r="F3328" t="s">
        <v>10299</v>
      </c>
      <c r="G3328">
        <v>3.8</v>
      </c>
      <c r="H3328" t="s">
        <v>10310</v>
      </c>
      <c r="I3328" t="s">
        <v>10326</v>
      </c>
      <c r="L3328">
        <v>1954</v>
      </c>
      <c r="R3328" t="s">
        <v>11038</v>
      </c>
      <c r="S3328" t="s">
        <v>10310</v>
      </c>
      <c r="U3328" t="s">
        <v>11049</v>
      </c>
      <c r="W3328" s="2" t="s">
        <v>11204</v>
      </c>
    </row>
    <row r="3329" spans="1:23" hidden="1" x14ac:dyDescent="0.45">
      <c r="A3329" s="1" t="s">
        <v>3305</v>
      </c>
      <c r="B3329" t="s">
        <v>6294</v>
      </c>
      <c r="D3329" t="s">
        <v>8028</v>
      </c>
      <c r="E3329" t="s">
        <v>9621</v>
      </c>
      <c r="F3329" t="s">
        <v>10299</v>
      </c>
      <c r="G3329">
        <v>2.2999999999999998</v>
      </c>
      <c r="H3329" t="s">
        <v>10310</v>
      </c>
      <c r="I3329" t="s">
        <v>10326</v>
      </c>
      <c r="L3329">
        <v>1960</v>
      </c>
      <c r="R3329" t="s">
        <v>11038</v>
      </c>
      <c r="S3329" t="s">
        <v>10310</v>
      </c>
      <c r="U3329" t="s">
        <v>11046</v>
      </c>
      <c r="W3329" s="2" t="s">
        <v>11204</v>
      </c>
    </row>
    <row r="3330" spans="1:23" hidden="1" x14ac:dyDescent="0.45">
      <c r="A3330" s="1" t="s">
        <v>3306</v>
      </c>
      <c r="B3330" t="s">
        <v>6409</v>
      </c>
      <c r="D3330" t="s">
        <v>8079</v>
      </c>
      <c r="E3330" t="s">
        <v>9728</v>
      </c>
      <c r="F3330" t="s">
        <v>10299</v>
      </c>
      <c r="G3330">
        <v>6.085</v>
      </c>
      <c r="H3330" t="s">
        <v>10310</v>
      </c>
      <c r="I3330" t="s">
        <v>10326</v>
      </c>
      <c r="L3330">
        <v>2006</v>
      </c>
      <c r="R3330" t="s">
        <v>11038</v>
      </c>
      <c r="S3330" t="s">
        <v>10310</v>
      </c>
      <c r="U3330" t="s">
        <v>11047</v>
      </c>
      <c r="W3330" s="2" t="s">
        <v>11204</v>
      </c>
    </row>
    <row r="3331" spans="1:23" hidden="1" x14ac:dyDescent="0.45">
      <c r="A3331" s="1" t="s">
        <v>3307</v>
      </c>
      <c r="B3331" t="s">
        <v>6281</v>
      </c>
      <c r="D3331" t="s">
        <v>8075</v>
      </c>
      <c r="E3331" t="s">
        <v>9715</v>
      </c>
      <c r="F3331" t="s">
        <v>10299</v>
      </c>
      <c r="G3331">
        <v>1.8</v>
      </c>
      <c r="H3331" t="s">
        <v>10310</v>
      </c>
      <c r="I3331" t="s">
        <v>10326</v>
      </c>
      <c r="L3331">
        <v>2011</v>
      </c>
      <c r="R3331" t="s">
        <v>11038</v>
      </c>
      <c r="S3331" t="s">
        <v>10310</v>
      </c>
      <c r="U3331" t="s">
        <v>11047</v>
      </c>
      <c r="W3331" s="2" t="s">
        <v>11204</v>
      </c>
    </row>
    <row r="3332" spans="1:23" hidden="1" x14ac:dyDescent="0.45">
      <c r="A3332" s="1" t="s">
        <v>3308</v>
      </c>
      <c r="B3332" t="s">
        <v>6410</v>
      </c>
      <c r="D3332" t="s">
        <v>8025</v>
      </c>
      <c r="E3332" t="s">
        <v>9618</v>
      </c>
      <c r="F3332" t="s">
        <v>10299</v>
      </c>
      <c r="G3332">
        <v>15</v>
      </c>
      <c r="H3332" t="s">
        <v>10310</v>
      </c>
      <c r="I3332" t="s">
        <v>10326</v>
      </c>
      <c r="L3332">
        <v>1964</v>
      </c>
      <c r="R3332" t="s">
        <v>11038</v>
      </c>
      <c r="S3332" t="s">
        <v>10310</v>
      </c>
      <c r="U3332" t="s">
        <v>11046</v>
      </c>
      <c r="W3332" s="2" t="s">
        <v>11204</v>
      </c>
    </row>
    <row r="3333" spans="1:23" hidden="1" x14ac:dyDescent="0.45">
      <c r="A3333" s="1" t="s">
        <v>3308</v>
      </c>
      <c r="B3333" t="s">
        <v>6411</v>
      </c>
      <c r="D3333" t="s">
        <v>8065</v>
      </c>
      <c r="E3333" t="s">
        <v>9704</v>
      </c>
      <c r="F3333" t="s">
        <v>10299</v>
      </c>
      <c r="G3333">
        <v>4.0999999999999996</v>
      </c>
      <c r="H3333" t="s">
        <v>10310</v>
      </c>
      <c r="I3333" t="s">
        <v>10326</v>
      </c>
      <c r="L3333">
        <v>1956</v>
      </c>
      <c r="R3333" t="s">
        <v>11038</v>
      </c>
      <c r="S3333" t="s">
        <v>10310</v>
      </c>
      <c r="U3333" t="s">
        <v>11050</v>
      </c>
      <c r="W3333" s="2" t="s">
        <v>11204</v>
      </c>
    </row>
    <row r="3334" spans="1:23" hidden="1" x14ac:dyDescent="0.45">
      <c r="A3334" s="1" t="s">
        <v>3308</v>
      </c>
      <c r="B3334" t="s">
        <v>6412</v>
      </c>
      <c r="D3334" t="s">
        <v>8073</v>
      </c>
      <c r="E3334" t="s">
        <v>9730</v>
      </c>
      <c r="F3334" t="s">
        <v>10299</v>
      </c>
      <c r="G3334">
        <v>0.9</v>
      </c>
      <c r="H3334" t="s">
        <v>10310</v>
      </c>
      <c r="I3334" t="s">
        <v>10326</v>
      </c>
      <c r="L3334">
        <v>1903</v>
      </c>
      <c r="R3334" t="s">
        <v>11038</v>
      </c>
      <c r="S3334" t="s">
        <v>10310</v>
      </c>
      <c r="U3334" t="s">
        <v>11046</v>
      </c>
      <c r="W3334" s="2" t="s">
        <v>11204</v>
      </c>
    </row>
    <row r="3335" spans="1:23" hidden="1" x14ac:dyDescent="0.45">
      <c r="A3335" s="1" t="s">
        <v>3309</v>
      </c>
      <c r="B3335" t="s">
        <v>6413</v>
      </c>
      <c r="D3335" t="s">
        <v>8071</v>
      </c>
      <c r="E3335" t="s">
        <v>9689</v>
      </c>
      <c r="F3335" t="s">
        <v>10299</v>
      </c>
      <c r="G3335">
        <v>7</v>
      </c>
      <c r="H3335" t="s">
        <v>10310</v>
      </c>
      <c r="I3335" t="s">
        <v>10326</v>
      </c>
      <c r="L3335">
        <v>1917</v>
      </c>
      <c r="R3335" t="s">
        <v>11038</v>
      </c>
      <c r="S3335" t="s">
        <v>10310</v>
      </c>
      <c r="U3335" t="s">
        <v>11047</v>
      </c>
      <c r="W3335" s="2" t="s">
        <v>11204</v>
      </c>
    </row>
    <row r="3336" spans="1:23" hidden="1" x14ac:dyDescent="0.45">
      <c r="A3336" s="1" t="s">
        <v>3309</v>
      </c>
      <c r="B3336" t="s">
        <v>6392</v>
      </c>
      <c r="D3336" t="s">
        <v>8081</v>
      </c>
      <c r="E3336" t="s">
        <v>9731</v>
      </c>
      <c r="F3336" t="s">
        <v>10299</v>
      </c>
      <c r="G3336">
        <v>0.4</v>
      </c>
      <c r="H3336" t="s">
        <v>10310</v>
      </c>
      <c r="I3336" t="s">
        <v>10326</v>
      </c>
      <c r="L3336">
        <v>1922</v>
      </c>
      <c r="R3336" t="s">
        <v>11038</v>
      </c>
      <c r="S3336" t="s">
        <v>10310</v>
      </c>
      <c r="U3336" t="s">
        <v>11047</v>
      </c>
      <c r="W3336" s="2" t="s">
        <v>11204</v>
      </c>
    </row>
    <row r="3337" spans="1:23" hidden="1" x14ac:dyDescent="0.45">
      <c r="A3337" s="1" t="s">
        <v>3310</v>
      </c>
      <c r="B3337" t="s">
        <v>6414</v>
      </c>
      <c r="D3337" t="s">
        <v>8039</v>
      </c>
      <c r="E3337" t="s">
        <v>9631</v>
      </c>
      <c r="F3337" t="s">
        <v>10299</v>
      </c>
      <c r="G3337">
        <v>0.48</v>
      </c>
      <c r="H3337" t="s">
        <v>10310</v>
      </c>
      <c r="I3337" t="s">
        <v>10326</v>
      </c>
      <c r="L3337">
        <v>2015</v>
      </c>
      <c r="R3337" t="s">
        <v>11038</v>
      </c>
      <c r="S3337" t="s">
        <v>10310</v>
      </c>
      <c r="U3337" t="s">
        <v>11049</v>
      </c>
      <c r="W3337" s="2" t="s">
        <v>11204</v>
      </c>
    </row>
    <row r="3338" spans="1:23" hidden="1" x14ac:dyDescent="0.45">
      <c r="A3338" s="1" t="s">
        <v>3311</v>
      </c>
      <c r="B3338" t="s">
        <v>6414</v>
      </c>
      <c r="D3338" t="s">
        <v>8039</v>
      </c>
      <c r="E3338" t="s">
        <v>9631</v>
      </c>
      <c r="F3338" t="s">
        <v>10299</v>
      </c>
      <c r="G3338">
        <v>0.63</v>
      </c>
      <c r="H3338" t="s">
        <v>10310</v>
      </c>
      <c r="I3338" t="s">
        <v>10326</v>
      </c>
      <c r="L3338">
        <v>2019</v>
      </c>
      <c r="R3338" t="s">
        <v>11038</v>
      </c>
      <c r="S3338" t="s">
        <v>10310</v>
      </c>
      <c r="U3338" t="s">
        <v>11049</v>
      </c>
      <c r="W3338" s="2" t="s">
        <v>11204</v>
      </c>
    </row>
    <row r="3339" spans="1:23" hidden="1" x14ac:dyDescent="0.45">
      <c r="A3339" s="1" t="s">
        <v>3312</v>
      </c>
      <c r="D3339" t="s">
        <v>8041</v>
      </c>
      <c r="E3339" t="s">
        <v>9651</v>
      </c>
      <c r="F3339" t="s">
        <v>10299</v>
      </c>
      <c r="G3339">
        <v>3.2000000000000001E-2</v>
      </c>
      <c r="H3339" t="s">
        <v>10310</v>
      </c>
      <c r="I3339" t="s">
        <v>10326</v>
      </c>
      <c r="L3339">
        <v>1986</v>
      </c>
      <c r="R3339" t="s">
        <v>11038</v>
      </c>
      <c r="S3339" t="s">
        <v>10310</v>
      </c>
      <c r="U3339" t="s">
        <v>11047</v>
      </c>
      <c r="W3339" s="2" t="s">
        <v>11204</v>
      </c>
    </row>
    <row r="3340" spans="1:23" hidden="1" x14ac:dyDescent="0.45">
      <c r="A3340" s="1" t="s">
        <v>3313</v>
      </c>
      <c r="B3340" t="s">
        <v>6331</v>
      </c>
      <c r="D3340" t="s">
        <v>8036</v>
      </c>
      <c r="E3340" t="s">
        <v>9637</v>
      </c>
      <c r="F3340" t="s">
        <v>10299</v>
      </c>
      <c r="G3340">
        <v>30</v>
      </c>
      <c r="H3340" t="s">
        <v>10310</v>
      </c>
      <c r="I3340" t="s">
        <v>10326</v>
      </c>
      <c r="L3340">
        <v>1986</v>
      </c>
      <c r="R3340" t="s">
        <v>11038</v>
      </c>
      <c r="S3340" t="s">
        <v>10310</v>
      </c>
      <c r="U3340" t="s">
        <v>11046</v>
      </c>
      <c r="W3340" s="2" t="s">
        <v>11204</v>
      </c>
    </row>
    <row r="3341" spans="1:23" hidden="1" x14ac:dyDescent="0.45">
      <c r="A3341" s="1" t="s">
        <v>3314</v>
      </c>
      <c r="D3341" t="s">
        <v>8030</v>
      </c>
      <c r="E3341" t="s">
        <v>9623</v>
      </c>
      <c r="F3341" t="s">
        <v>10299</v>
      </c>
      <c r="G3341">
        <v>1.9E-2</v>
      </c>
      <c r="H3341" t="s">
        <v>10310</v>
      </c>
      <c r="I3341" t="s">
        <v>10326</v>
      </c>
      <c r="L3341">
        <v>2002</v>
      </c>
      <c r="R3341" t="s">
        <v>11038</v>
      </c>
      <c r="S3341" t="s">
        <v>10310</v>
      </c>
      <c r="U3341" t="s">
        <v>11049</v>
      </c>
      <c r="W3341" s="2" t="s">
        <v>11204</v>
      </c>
    </row>
    <row r="3342" spans="1:23" hidden="1" x14ac:dyDescent="0.45">
      <c r="A3342" s="1" t="s">
        <v>3315</v>
      </c>
      <c r="B3342" t="s">
        <v>6290</v>
      </c>
      <c r="D3342" t="s">
        <v>8072</v>
      </c>
      <c r="E3342" t="s">
        <v>9732</v>
      </c>
      <c r="F3342" t="s">
        <v>10299</v>
      </c>
      <c r="G3342">
        <v>9</v>
      </c>
      <c r="H3342" t="s">
        <v>10310</v>
      </c>
      <c r="I3342" t="s">
        <v>10326</v>
      </c>
      <c r="L3342">
        <v>1955</v>
      </c>
      <c r="R3342" t="s">
        <v>11038</v>
      </c>
      <c r="S3342" t="s">
        <v>10310</v>
      </c>
      <c r="U3342" t="s">
        <v>11050</v>
      </c>
      <c r="W3342" s="2" t="s">
        <v>11204</v>
      </c>
    </row>
    <row r="3343" spans="1:23" hidden="1" x14ac:dyDescent="0.45">
      <c r="A3343" s="1" t="s">
        <v>3316</v>
      </c>
      <c r="B3343" t="s">
        <v>6274</v>
      </c>
      <c r="D3343" t="s">
        <v>8029</v>
      </c>
      <c r="E3343" t="s">
        <v>9661</v>
      </c>
      <c r="F3343" t="s">
        <v>10299</v>
      </c>
      <c r="G3343">
        <v>80</v>
      </c>
      <c r="H3343" t="s">
        <v>10310</v>
      </c>
      <c r="I3343" t="s">
        <v>10326</v>
      </c>
      <c r="L3343">
        <v>2013</v>
      </c>
      <c r="R3343" t="s">
        <v>11038</v>
      </c>
      <c r="S3343" t="s">
        <v>10310</v>
      </c>
      <c r="U3343" t="s">
        <v>11047</v>
      </c>
      <c r="W3343" s="2" t="s">
        <v>11204</v>
      </c>
    </row>
    <row r="3344" spans="1:23" hidden="1" x14ac:dyDescent="0.45">
      <c r="A3344" s="1" t="s">
        <v>3317</v>
      </c>
      <c r="B3344" t="s">
        <v>6415</v>
      </c>
      <c r="D3344" t="s">
        <v>8036</v>
      </c>
      <c r="E3344" t="s">
        <v>9637</v>
      </c>
      <c r="F3344" t="s">
        <v>10299</v>
      </c>
      <c r="G3344">
        <v>4.0999999999999996</v>
      </c>
      <c r="H3344" t="s">
        <v>10310</v>
      </c>
      <c r="I3344" t="s">
        <v>10326</v>
      </c>
      <c r="L3344">
        <v>2013</v>
      </c>
      <c r="R3344" t="s">
        <v>11038</v>
      </c>
      <c r="S3344" t="s">
        <v>10310</v>
      </c>
      <c r="U3344" t="s">
        <v>11046</v>
      </c>
      <c r="W3344" s="2" t="s">
        <v>11204</v>
      </c>
    </row>
    <row r="3345" spans="1:23" hidden="1" x14ac:dyDescent="0.45">
      <c r="A3345" s="1" t="s">
        <v>3318</v>
      </c>
      <c r="B3345" t="s">
        <v>6281</v>
      </c>
      <c r="D3345" t="s">
        <v>8048</v>
      </c>
      <c r="E3345" t="s">
        <v>9642</v>
      </c>
      <c r="F3345" t="s">
        <v>10299</v>
      </c>
      <c r="G3345">
        <v>4</v>
      </c>
      <c r="H3345" t="s">
        <v>10310</v>
      </c>
      <c r="I3345" t="s">
        <v>10326</v>
      </c>
      <c r="L3345">
        <v>2009</v>
      </c>
      <c r="R3345" t="s">
        <v>11038</v>
      </c>
      <c r="S3345" t="s">
        <v>10310</v>
      </c>
      <c r="U3345" t="s">
        <v>11046</v>
      </c>
      <c r="W3345" s="2" t="s">
        <v>11204</v>
      </c>
    </row>
    <row r="3346" spans="1:23" hidden="1" x14ac:dyDescent="0.45">
      <c r="A3346" s="1" t="s">
        <v>3319</v>
      </c>
      <c r="B3346" t="s">
        <v>6416</v>
      </c>
      <c r="D3346" t="s">
        <v>8080</v>
      </c>
      <c r="E3346" t="s">
        <v>9729</v>
      </c>
      <c r="F3346" t="s">
        <v>10299</v>
      </c>
      <c r="G3346">
        <v>9.8000000000000007</v>
      </c>
      <c r="H3346" t="s">
        <v>10310</v>
      </c>
      <c r="I3346" t="s">
        <v>10326</v>
      </c>
      <c r="L3346">
        <v>2018</v>
      </c>
      <c r="R3346" t="s">
        <v>11038</v>
      </c>
      <c r="S3346" t="s">
        <v>10310</v>
      </c>
      <c r="U3346" t="s">
        <v>11049</v>
      </c>
      <c r="W3346" s="2" t="s">
        <v>11204</v>
      </c>
    </row>
    <row r="3347" spans="1:23" hidden="1" x14ac:dyDescent="0.45">
      <c r="A3347" s="1" t="s">
        <v>3320</v>
      </c>
      <c r="B3347" t="s">
        <v>6336</v>
      </c>
      <c r="D3347" t="s">
        <v>8068</v>
      </c>
      <c r="E3347" t="s">
        <v>9682</v>
      </c>
      <c r="F3347" t="s">
        <v>10299</v>
      </c>
      <c r="G3347">
        <v>4.9000000000000004</v>
      </c>
      <c r="H3347" t="s">
        <v>10310</v>
      </c>
      <c r="I3347" t="s">
        <v>10326</v>
      </c>
      <c r="L3347">
        <v>2013</v>
      </c>
      <c r="R3347" t="s">
        <v>11038</v>
      </c>
      <c r="S3347" t="s">
        <v>10310</v>
      </c>
      <c r="U3347" t="s">
        <v>11049</v>
      </c>
      <c r="W3347" s="2" t="s">
        <v>11204</v>
      </c>
    </row>
    <row r="3348" spans="1:23" hidden="1" x14ac:dyDescent="0.45">
      <c r="A3348" s="1" t="s">
        <v>3321</v>
      </c>
      <c r="B3348" t="s">
        <v>6308</v>
      </c>
      <c r="D3348" t="s">
        <v>8040</v>
      </c>
      <c r="E3348" t="s">
        <v>9733</v>
      </c>
      <c r="F3348" t="s">
        <v>10299</v>
      </c>
      <c r="G3348">
        <v>4.8</v>
      </c>
      <c r="H3348" t="s">
        <v>10310</v>
      </c>
      <c r="I3348" t="s">
        <v>10326</v>
      </c>
      <c r="L3348">
        <v>2012</v>
      </c>
      <c r="R3348" t="s">
        <v>11038</v>
      </c>
      <c r="S3348" t="s">
        <v>10310</v>
      </c>
      <c r="U3348" t="s">
        <v>11048</v>
      </c>
      <c r="W3348" s="2" t="s">
        <v>11204</v>
      </c>
    </row>
    <row r="3349" spans="1:23" hidden="1" x14ac:dyDescent="0.45">
      <c r="A3349" s="1" t="s">
        <v>3322</v>
      </c>
      <c r="B3349" t="s">
        <v>6417</v>
      </c>
      <c r="D3349" t="s">
        <v>8063</v>
      </c>
      <c r="E3349" t="s">
        <v>9734</v>
      </c>
      <c r="F3349" t="s">
        <v>10299</v>
      </c>
      <c r="G3349">
        <v>3.7000000000000012E-2</v>
      </c>
      <c r="H3349" t="s">
        <v>10310</v>
      </c>
      <c r="I3349" t="s">
        <v>10326</v>
      </c>
      <c r="L3349">
        <v>2005</v>
      </c>
      <c r="R3349" t="s">
        <v>11038</v>
      </c>
      <c r="S3349" t="s">
        <v>10310</v>
      </c>
      <c r="U3349" t="s">
        <v>11050</v>
      </c>
      <c r="W3349" s="2" t="s">
        <v>11204</v>
      </c>
    </row>
    <row r="3350" spans="1:23" hidden="1" x14ac:dyDescent="0.45">
      <c r="A3350" s="1" t="s">
        <v>3323</v>
      </c>
      <c r="B3350" t="s">
        <v>6418</v>
      </c>
      <c r="D3350" t="s">
        <v>8051</v>
      </c>
      <c r="E3350" t="s">
        <v>9735</v>
      </c>
      <c r="F3350" t="s">
        <v>10299</v>
      </c>
      <c r="G3350">
        <v>4.9000000000000004</v>
      </c>
      <c r="H3350" t="s">
        <v>10310</v>
      </c>
      <c r="I3350" t="s">
        <v>10326</v>
      </c>
      <c r="L3350">
        <v>2012</v>
      </c>
      <c r="R3350" t="s">
        <v>11038</v>
      </c>
      <c r="S3350" t="s">
        <v>10310</v>
      </c>
      <c r="U3350" t="s">
        <v>11047</v>
      </c>
      <c r="W3350" s="2" t="s">
        <v>11204</v>
      </c>
    </row>
    <row r="3351" spans="1:23" hidden="1" x14ac:dyDescent="0.45">
      <c r="A3351" s="1" t="s">
        <v>3324</v>
      </c>
      <c r="B3351" t="s">
        <v>6419</v>
      </c>
      <c r="D3351" t="s">
        <v>8037</v>
      </c>
      <c r="E3351" t="s">
        <v>9726</v>
      </c>
      <c r="F3351" t="s">
        <v>10299</v>
      </c>
      <c r="G3351">
        <v>71</v>
      </c>
      <c r="H3351" t="s">
        <v>10310</v>
      </c>
      <c r="I3351" t="s">
        <v>10326</v>
      </c>
      <c r="L3351">
        <v>1921</v>
      </c>
      <c r="R3351" t="s">
        <v>11038</v>
      </c>
      <c r="S3351" t="s">
        <v>10310</v>
      </c>
      <c r="U3351" t="s">
        <v>11050</v>
      </c>
      <c r="W3351" s="2" t="s">
        <v>11204</v>
      </c>
    </row>
    <row r="3352" spans="1:23" hidden="1" x14ac:dyDescent="0.45">
      <c r="A3352" s="1" t="s">
        <v>3325</v>
      </c>
      <c r="B3352" t="s">
        <v>6420</v>
      </c>
      <c r="D3352" t="s">
        <v>8051</v>
      </c>
      <c r="E3352" t="s">
        <v>9735</v>
      </c>
      <c r="F3352" t="s">
        <v>10299</v>
      </c>
      <c r="G3352">
        <v>5.0999999999999996</v>
      </c>
      <c r="H3352" t="s">
        <v>10310</v>
      </c>
      <c r="I3352" t="s">
        <v>10326</v>
      </c>
      <c r="L3352">
        <v>2007</v>
      </c>
      <c r="R3352" t="s">
        <v>11038</v>
      </c>
      <c r="S3352" t="s">
        <v>10310</v>
      </c>
      <c r="U3352" t="s">
        <v>11047</v>
      </c>
      <c r="W3352" s="2" t="s">
        <v>11204</v>
      </c>
    </row>
    <row r="3353" spans="1:23" hidden="1" x14ac:dyDescent="0.45">
      <c r="A3353" s="1" t="s">
        <v>3326</v>
      </c>
      <c r="B3353" t="s">
        <v>6421</v>
      </c>
      <c r="D3353" t="s">
        <v>8040</v>
      </c>
      <c r="E3353" t="s">
        <v>9736</v>
      </c>
      <c r="F3353" t="s">
        <v>10299</v>
      </c>
      <c r="G3353">
        <v>0.2</v>
      </c>
      <c r="H3353" t="s">
        <v>10310</v>
      </c>
      <c r="I3353" t="s">
        <v>10326</v>
      </c>
      <c r="L3353">
        <v>2006</v>
      </c>
      <c r="R3353" t="s">
        <v>11038</v>
      </c>
      <c r="S3353" t="s">
        <v>10310</v>
      </c>
      <c r="U3353" t="s">
        <v>11046</v>
      </c>
      <c r="W3353" s="2" t="s">
        <v>11204</v>
      </c>
    </row>
    <row r="3354" spans="1:23" hidden="1" x14ac:dyDescent="0.45">
      <c r="A3354" s="1" t="s">
        <v>3327</v>
      </c>
      <c r="B3354" t="s">
        <v>6422</v>
      </c>
      <c r="D3354" t="s">
        <v>8062</v>
      </c>
      <c r="E3354" t="s">
        <v>9737</v>
      </c>
      <c r="F3354" t="s">
        <v>10299</v>
      </c>
      <c r="G3354">
        <v>0.72499999999999998</v>
      </c>
      <c r="H3354" t="s">
        <v>10310</v>
      </c>
      <c r="I3354" t="s">
        <v>10326</v>
      </c>
      <c r="L3354">
        <v>2005</v>
      </c>
      <c r="R3354" t="s">
        <v>11038</v>
      </c>
      <c r="S3354" t="s">
        <v>10310</v>
      </c>
      <c r="U3354" t="s">
        <v>11049</v>
      </c>
      <c r="W3354" s="2" t="s">
        <v>11204</v>
      </c>
    </row>
    <row r="3355" spans="1:23" hidden="1" x14ac:dyDescent="0.45">
      <c r="A3355" s="1" t="s">
        <v>3328</v>
      </c>
      <c r="B3355" t="s">
        <v>6423</v>
      </c>
      <c r="D3355" t="s">
        <v>8061</v>
      </c>
      <c r="E3355" t="s">
        <v>9665</v>
      </c>
      <c r="F3355" t="s">
        <v>10299</v>
      </c>
      <c r="G3355">
        <v>4.4999999999999998E-2</v>
      </c>
      <c r="H3355" t="s">
        <v>10310</v>
      </c>
      <c r="I3355" t="s">
        <v>10326</v>
      </c>
      <c r="L3355">
        <v>2008</v>
      </c>
      <c r="R3355" t="s">
        <v>11038</v>
      </c>
      <c r="S3355" t="s">
        <v>10310</v>
      </c>
      <c r="U3355" t="s">
        <v>11046</v>
      </c>
      <c r="W3355" s="2" t="s">
        <v>11204</v>
      </c>
    </row>
    <row r="3356" spans="1:23" hidden="1" x14ac:dyDescent="0.45">
      <c r="A3356" s="1" t="s">
        <v>3329</v>
      </c>
      <c r="D3356" t="s">
        <v>8075</v>
      </c>
      <c r="E3356" t="s">
        <v>9715</v>
      </c>
      <c r="F3356" t="s">
        <v>10299</v>
      </c>
      <c r="G3356">
        <v>1.2E-2</v>
      </c>
      <c r="H3356" t="s">
        <v>10310</v>
      </c>
      <c r="I3356" t="s">
        <v>10326</v>
      </c>
      <c r="L3356">
        <v>1997</v>
      </c>
      <c r="R3356" t="s">
        <v>11038</v>
      </c>
      <c r="S3356" t="s">
        <v>10310</v>
      </c>
      <c r="U3356" t="s">
        <v>11047</v>
      </c>
      <c r="W3356" s="2" t="s">
        <v>11204</v>
      </c>
    </row>
    <row r="3357" spans="1:23" hidden="1" x14ac:dyDescent="0.45">
      <c r="A3357" s="1" t="s">
        <v>3330</v>
      </c>
      <c r="B3357" t="s">
        <v>6424</v>
      </c>
      <c r="D3357" t="s">
        <v>8048</v>
      </c>
      <c r="E3357" t="s">
        <v>9642</v>
      </c>
      <c r="F3357" t="s">
        <v>10299</v>
      </c>
      <c r="G3357">
        <v>4.5599999999999996</v>
      </c>
      <c r="H3357" t="s">
        <v>10310</v>
      </c>
      <c r="I3357" t="s">
        <v>10326</v>
      </c>
      <c r="L3357">
        <v>2018</v>
      </c>
      <c r="R3357" t="s">
        <v>11038</v>
      </c>
      <c r="S3357" t="s">
        <v>10310</v>
      </c>
      <c r="U3357" t="s">
        <v>11049</v>
      </c>
      <c r="W3357" s="2" t="s">
        <v>11204</v>
      </c>
    </row>
    <row r="3358" spans="1:23" hidden="1" x14ac:dyDescent="0.45">
      <c r="A3358" s="1" t="s">
        <v>3331</v>
      </c>
      <c r="B3358" t="s">
        <v>6425</v>
      </c>
      <c r="D3358" t="s">
        <v>8040</v>
      </c>
      <c r="E3358" t="s">
        <v>9632</v>
      </c>
      <c r="F3358" t="s">
        <v>10299</v>
      </c>
      <c r="G3358">
        <v>0.96499999999999997</v>
      </c>
      <c r="H3358" t="s">
        <v>10310</v>
      </c>
      <c r="I3358" t="s">
        <v>10326</v>
      </c>
      <c r="L3358">
        <v>2012</v>
      </c>
      <c r="R3358" t="s">
        <v>11038</v>
      </c>
      <c r="S3358" t="s">
        <v>10310</v>
      </c>
      <c r="U3358" t="s">
        <v>11049</v>
      </c>
      <c r="W3358" s="2" t="s">
        <v>11204</v>
      </c>
    </row>
    <row r="3359" spans="1:23" hidden="1" x14ac:dyDescent="0.45">
      <c r="A3359" s="1" t="s">
        <v>3331</v>
      </c>
      <c r="B3359" t="s">
        <v>6426</v>
      </c>
      <c r="D3359" t="s">
        <v>8074</v>
      </c>
      <c r="E3359" t="s">
        <v>9738</v>
      </c>
      <c r="F3359" t="s">
        <v>10299</v>
      </c>
      <c r="G3359">
        <v>0.27</v>
      </c>
      <c r="H3359" t="s">
        <v>10310</v>
      </c>
      <c r="I3359" t="s">
        <v>10326</v>
      </c>
      <c r="L3359">
        <v>2015</v>
      </c>
      <c r="R3359" t="s">
        <v>11038</v>
      </c>
      <c r="S3359" t="s">
        <v>10310</v>
      </c>
      <c r="U3359" t="s">
        <v>11047</v>
      </c>
      <c r="W3359" s="2" t="s">
        <v>11204</v>
      </c>
    </row>
    <row r="3360" spans="1:23" hidden="1" x14ac:dyDescent="0.45">
      <c r="A3360" s="1" t="s">
        <v>3332</v>
      </c>
      <c r="B3360" t="s">
        <v>6378</v>
      </c>
      <c r="D3360" t="s">
        <v>8030</v>
      </c>
      <c r="E3360" t="s">
        <v>9623</v>
      </c>
      <c r="F3360" t="s">
        <v>10299</v>
      </c>
      <c r="G3360">
        <v>330</v>
      </c>
      <c r="H3360" t="s">
        <v>10310</v>
      </c>
      <c r="I3360" t="s">
        <v>10326</v>
      </c>
      <c r="L3360">
        <v>1969</v>
      </c>
      <c r="R3360" t="s">
        <v>11038</v>
      </c>
      <c r="S3360" t="s">
        <v>10310</v>
      </c>
      <c r="U3360" t="s">
        <v>11049</v>
      </c>
      <c r="W3360" s="2" t="s">
        <v>11204</v>
      </c>
    </row>
    <row r="3361" spans="1:23" hidden="1" x14ac:dyDescent="0.45">
      <c r="A3361" s="1" t="s">
        <v>3333</v>
      </c>
      <c r="B3361" t="s">
        <v>6413</v>
      </c>
      <c r="D3361" t="s">
        <v>8071</v>
      </c>
      <c r="E3361" t="s">
        <v>9689</v>
      </c>
      <c r="F3361" t="s">
        <v>10299</v>
      </c>
      <c r="G3361">
        <v>0.38</v>
      </c>
      <c r="H3361" t="s">
        <v>10310</v>
      </c>
      <c r="I3361" t="s">
        <v>10326</v>
      </c>
      <c r="L3361">
        <v>1910</v>
      </c>
      <c r="R3361" t="s">
        <v>11038</v>
      </c>
      <c r="S3361" t="s">
        <v>10310</v>
      </c>
      <c r="U3361" t="s">
        <v>11047</v>
      </c>
      <c r="W3361" s="2" t="s">
        <v>11204</v>
      </c>
    </row>
    <row r="3362" spans="1:23" hidden="1" x14ac:dyDescent="0.45">
      <c r="A3362" s="1" t="s">
        <v>3334</v>
      </c>
      <c r="D3362" t="s">
        <v>8067</v>
      </c>
      <c r="E3362" t="s">
        <v>9739</v>
      </c>
      <c r="F3362" t="s">
        <v>10299</v>
      </c>
      <c r="G3362">
        <v>0.08</v>
      </c>
      <c r="H3362" t="s">
        <v>10310</v>
      </c>
      <c r="I3362" t="s">
        <v>10326</v>
      </c>
      <c r="L3362">
        <v>2006</v>
      </c>
      <c r="R3362" t="s">
        <v>11038</v>
      </c>
      <c r="S3362" t="s">
        <v>10310</v>
      </c>
      <c r="U3362" t="s">
        <v>11048</v>
      </c>
      <c r="W3362" s="2" t="s">
        <v>11204</v>
      </c>
    </row>
    <row r="3363" spans="1:23" hidden="1" x14ac:dyDescent="0.45">
      <c r="A3363" s="1" t="s">
        <v>3335</v>
      </c>
      <c r="B3363" t="s">
        <v>6311</v>
      </c>
      <c r="D3363" t="s">
        <v>8049</v>
      </c>
      <c r="E3363" t="s">
        <v>9708</v>
      </c>
      <c r="F3363" t="s">
        <v>10299</v>
      </c>
      <c r="G3363">
        <v>23.5</v>
      </c>
      <c r="H3363" t="s">
        <v>10310</v>
      </c>
      <c r="I3363" t="s">
        <v>10326</v>
      </c>
      <c r="L3363">
        <v>1904</v>
      </c>
      <c r="R3363" t="s">
        <v>11038</v>
      </c>
      <c r="S3363" t="s">
        <v>10310</v>
      </c>
      <c r="U3363" t="s">
        <v>11046</v>
      </c>
      <c r="W3363" s="2" t="s">
        <v>11204</v>
      </c>
    </row>
    <row r="3364" spans="1:23" hidden="1" x14ac:dyDescent="0.45">
      <c r="A3364" s="1" t="s">
        <v>3336</v>
      </c>
      <c r="B3364" t="s">
        <v>6427</v>
      </c>
      <c r="D3364" t="s">
        <v>8039</v>
      </c>
      <c r="E3364" t="s">
        <v>9631</v>
      </c>
      <c r="F3364" t="s">
        <v>10299</v>
      </c>
      <c r="G3364">
        <v>0.8</v>
      </c>
      <c r="H3364" t="s">
        <v>10310</v>
      </c>
      <c r="I3364" t="s">
        <v>10326</v>
      </c>
      <c r="L3364">
        <v>2007</v>
      </c>
      <c r="R3364" t="s">
        <v>11038</v>
      </c>
      <c r="S3364" t="s">
        <v>10310</v>
      </c>
      <c r="U3364" t="s">
        <v>11049</v>
      </c>
      <c r="W3364" s="2" t="s">
        <v>11204</v>
      </c>
    </row>
    <row r="3365" spans="1:23" hidden="1" x14ac:dyDescent="0.45">
      <c r="A3365" s="1" t="s">
        <v>3337</v>
      </c>
      <c r="D3365" t="s">
        <v>8050</v>
      </c>
      <c r="E3365" t="s">
        <v>9740</v>
      </c>
      <c r="F3365" t="s">
        <v>10299</v>
      </c>
      <c r="G3365">
        <v>3.5000000000000003E-2</v>
      </c>
      <c r="H3365" t="s">
        <v>10310</v>
      </c>
      <c r="I3365" t="s">
        <v>10326</v>
      </c>
      <c r="L3365">
        <v>2001</v>
      </c>
      <c r="R3365" t="s">
        <v>11038</v>
      </c>
      <c r="S3365" t="s">
        <v>10310</v>
      </c>
      <c r="U3365" t="s">
        <v>11047</v>
      </c>
      <c r="W3365" s="2" t="s">
        <v>11204</v>
      </c>
    </row>
    <row r="3366" spans="1:23" hidden="1" x14ac:dyDescent="0.45">
      <c r="A3366" s="1" t="s">
        <v>3338</v>
      </c>
      <c r="B3366" t="s">
        <v>6374</v>
      </c>
      <c r="D3366" t="s">
        <v>8047</v>
      </c>
      <c r="E3366" t="s">
        <v>9713</v>
      </c>
      <c r="F3366" t="s">
        <v>10299</v>
      </c>
      <c r="G3366">
        <v>48</v>
      </c>
      <c r="H3366" t="s">
        <v>10310</v>
      </c>
      <c r="I3366" t="s">
        <v>10326</v>
      </c>
      <c r="L3366">
        <v>1975</v>
      </c>
      <c r="R3366" t="s">
        <v>11038</v>
      </c>
      <c r="S3366" t="s">
        <v>10310</v>
      </c>
      <c r="U3366" t="s">
        <v>11048</v>
      </c>
      <c r="W3366" s="2" t="s">
        <v>11204</v>
      </c>
    </row>
    <row r="3367" spans="1:23" hidden="1" x14ac:dyDescent="0.45">
      <c r="A3367" s="1" t="s">
        <v>3339</v>
      </c>
      <c r="B3367" t="s">
        <v>6428</v>
      </c>
      <c r="D3367" t="s">
        <v>8050</v>
      </c>
      <c r="E3367" t="s">
        <v>9740</v>
      </c>
      <c r="F3367" t="s">
        <v>10299</v>
      </c>
      <c r="G3367">
        <v>0.32</v>
      </c>
      <c r="H3367" t="s">
        <v>10310</v>
      </c>
      <c r="I3367" t="s">
        <v>10326</v>
      </c>
      <c r="L3367">
        <v>2008</v>
      </c>
      <c r="R3367" t="s">
        <v>11038</v>
      </c>
      <c r="S3367" t="s">
        <v>10310</v>
      </c>
      <c r="U3367" t="s">
        <v>11047</v>
      </c>
      <c r="W3367" s="2" t="s">
        <v>11204</v>
      </c>
    </row>
    <row r="3368" spans="1:23" hidden="1" x14ac:dyDescent="0.45">
      <c r="A3368" s="1" t="s">
        <v>3340</v>
      </c>
      <c r="B3368" t="s">
        <v>6278</v>
      </c>
      <c r="D3368" t="s">
        <v>8070</v>
      </c>
      <c r="E3368" t="s">
        <v>4102</v>
      </c>
      <c r="F3368" t="s">
        <v>10299</v>
      </c>
      <c r="G3368">
        <v>21</v>
      </c>
      <c r="H3368" t="s">
        <v>10310</v>
      </c>
      <c r="I3368" t="s">
        <v>10326</v>
      </c>
      <c r="L3368">
        <v>1990</v>
      </c>
      <c r="R3368" t="s">
        <v>11038</v>
      </c>
      <c r="S3368" t="s">
        <v>10310</v>
      </c>
      <c r="U3368" t="s">
        <v>11048</v>
      </c>
      <c r="W3368" s="2" t="s">
        <v>11204</v>
      </c>
    </row>
    <row r="3369" spans="1:23" hidden="1" x14ac:dyDescent="0.45">
      <c r="A3369" s="1" t="s">
        <v>3341</v>
      </c>
      <c r="B3369" t="s">
        <v>6348</v>
      </c>
      <c r="D3369" t="s">
        <v>8037</v>
      </c>
      <c r="E3369" t="s">
        <v>9723</v>
      </c>
      <c r="F3369" t="s">
        <v>10299</v>
      </c>
      <c r="G3369">
        <v>5.5</v>
      </c>
      <c r="H3369" t="s">
        <v>10310</v>
      </c>
      <c r="I3369" t="s">
        <v>10326</v>
      </c>
      <c r="L3369">
        <v>2009</v>
      </c>
      <c r="R3369" t="s">
        <v>11038</v>
      </c>
      <c r="S3369" t="s">
        <v>10310</v>
      </c>
      <c r="U3369" t="s">
        <v>11050</v>
      </c>
      <c r="W3369" s="2" t="s">
        <v>11204</v>
      </c>
    </row>
    <row r="3370" spans="1:23" hidden="1" x14ac:dyDescent="0.45">
      <c r="A3370" s="1" t="s">
        <v>3342</v>
      </c>
      <c r="B3370" t="s">
        <v>6290</v>
      </c>
      <c r="D3370" t="s">
        <v>8026</v>
      </c>
      <c r="E3370" t="s">
        <v>9741</v>
      </c>
      <c r="F3370" t="s">
        <v>10299</v>
      </c>
      <c r="G3370">
        <v>17.8</v>
      </c>
      <c r="H3370" t="s">
        <v>10310</v>
      </c>
      <c r="I3370" t="s">
        <v>10326</v>
      </c>
      <c r="L3370">
        <v>1980</v>
      </c>
      <c r="R3370" t="s">
        <v>11038</v>
      </c>
      <c r="S3370" t="s">
        <v>10310</v>
      </c>
      <c r="U3370" t="s">
        <v>11050</v>
      </c>
      <c r="W3370" s="2" t="s">
        <v>11204</v>
      </c>
    </row>
    <row r="3371" spans="1:23" hidden="1" x14ac:dyDescent="0.45">
      <c r="A3371" s="1" t="s">
        <v>3343</v>
      </c>
      <c r="B3371" t="s">
        <v>6429</v>
      </c>
      <c r="D3371" t="s">
        <v>8034</v>
      </c>
      <c r="E3371" t="s">
        <v>9627</v>
      </c>
      <c r="F3371" t="s">
        <v>10299</v>
      </c>
      <c r="G3371">
        <v>0.97499999999999998</v>
      </c>
      <c r="H3371" t="s">
        <v>10310</v>
      </c>
      <c r="I3371" t="s">
        <v>10326</v>
      </c>
      <c r="L3371">
        <v>2014</v>
      </c>
      <c r="R3371" t="s">
        <v>11038</v>
      </c>
      <c r="S3371" t="s">
        <v>10310</v>
      </c>
      <c r="U3371" t="s">
        <v>11046</v>
      </c>
      <c r="W3371" s="2" t="s">
        <v>11204</v>
      </c>
    </row>
    <row r="3372" spans="1:23" hidden="1" x14ac:dyDescent="0.45">
      <c r="A3372" s="1" t="s">
        <v>3344</v>
      </c>
      <c r="B3372" t="s">
        <v>6430</v>
      </c>
      <c r="D3372" t="s">
        <v>8051</v>
      </c>
      <c r="E3372" t="s">
        <v>9735</v>
      </c>
      <c r="F3372" t="s">
        <v>10299</v>
      </c>
      <c r="G3372">
        <v>0.78</v>
      </c>
      <c r="H3372" t="s">
        <v>10310</v>
      </c>
      <c r="I3372" t="s">
        <v>10326</v>
      </c>
      <c r="L3372">
        <v>1929</v>
      </c>
      <c r="R3372" t="s">
        <v>11038</v>
      </c>
      <c r="S3372" t="s">
        <v>10310</v>
      </c>
      <c r="U3372" t="s">
        <v>11047</v>
      </c>
      <c r="W3372" s="2" t="s">
        <v>11204</v>
      </c>
    </row>
    <row r="3373" spans="1:23" hidden="1" x14ac:dyDescent="0.45">
      <c r="A3373" s="1" t="s">
        <v>3345</v>
      </c>
      <c r="B3373" t="s">
        <v>6430</v>
      </c>
      <c r="D3373" t="s">
        <v>8051</v>
      </c>
      <c r="E3373" t="s">
        <v>9735</v>
      </c>
      <c r="F3373" t="s">
        <v>10299</v>
      </c>
      <c r="G3373">
        <v>7</v>
      </c>
      <c r="H3373" t="s">
        <v>10310</v>
      </c>
      <c r="I3373" t="s">
        <v>10326</v>
      </c>
      <c r="L3373">
        <v>1952</v>
      </c>
      <c r="R3373" t="s">
        <v>11038</v>
      </c>
      <c r="S3373" t="s">
        <v>10310</v>
      </c>
      <c r="U3373" t="s">
        <v>11047</v>
      </c>
      <c r="W3373" s="2" t="s">
        <v>11204</v>
      </c>
    </row>
    <row r="3374" spans="1:23" hidden="1" x14ac:dyDescent="0.45">
      <c r="A3374" s="1" t="s">
        <v>3346</v>
      </c>
      <c r="B3374" t="s">
        <v>6290</v>
      </c>
      <c r="D3374" t="s">
        <v>8049</v>
      </c>
      <c r="E3374" t="s">
        <v>9742</v>
      </c>
      <c r="F3374" t="s">
        <v>10299</v>
      </c>
      <c r="G3374">
        <v>230</v>
      </c>
      <c r="H3374" t="s">
        <v>10310</v>
      </c>
      <c r="I3374" t="s">
        <v>10326</v>
      </c>
      <c r="L3374">
        <v>1963</v>
      </c>
      <c r="R3374" t="s">
        <v>11038</v>
      </c>
      <c r="S3374" t="s">
        <v>10310</v>
      </c>
      <c r="U3374" t="s">
        <v>11050</v>
      </c>
      <c r="W3374" s="2" t="s">
        <v>11204</v>
      </c>
    </row>
    <row r="3375" spans="1:23" hidden="1" x14ac:dyDescent="0.45">
      <c r="A3375" s="1" t="s">
        <v>3347</v>
      </c>
      <c r="B3375" t="s">
        <v>6311</v>
      </c>
      <c r="D3375" t="s">
        <v>8063</v>
      </c>
      <c r="E3375" t="s">
        <v>9668</v>
      </c>
      <c r="F3375" t="s">
        <v>10299</v>
      </c>
      <c r="G3375">
        <v>108</v>
      </c>
      <c r="H3375" t="s">
        <v>10310</v>
      </c>
      <c r="I3375" t="s">
        <v>10326</v>
      </c>
      <c r="L3375">
        <v>1972</v>
      </c>
      <c r="R3375" t="s">
        <v>11038</v>
      </c>
      <c r="S3375" t="s">
        <v>10310</v>
      </c>
      <c r="U3375" t="s">
        <v>11046</v>
      </c>
      <c r="W3375" s="2" t="s">
        <v>11204</v>
      </c>
    </row>
    <row r="3376" spans="1:23" hidden="1" x14ac:dyDescent="0.45">
      <c r="A3376" s="1" t="s">
        <v>3348</v>
      </c>
      <c r="B3376" t="s">
        <v>6431</v>
      </c>
      <c r="D3376" t="s">
        <v>8053</v>
      </c>
      <c r="E3376" t="s">
        <v>9743</v>
      </c>
      <c r="F3376" t="s">
        <v>10299</v>
      </c>
      <c r="G3376">
        <v>1.4279999999999999</v>
      </c>
      <c r="H3376" t="s">
        <v>10310</v>
      </c>
      <c r="I3376" t="s">
        <v>10326</v>
      </c>
      <c r="L3376">
        <v>2011</v>
      </c>
      <c r="R3376" t="s">
        <v>11038</v>
      </c>
      <c r="S3376" t="s">
        <v>10310</v>
      </c>
      <c r="U3376" t="s">
        <v>11049</v>
      </c>
      <c r="W3376" s="2" t="s">
        <v>11204</v>
      </c>
    </row>
    <row r="3377" spans="1:23" hidden="1" x14ac:dyDescent="0.45">
      <c r="A3377" s="1" t="s">
        <v>3349</v>
      </c>
      <c r="B3377" t="s">
        <v>6311</v>
      </c>
      <c r="D3377" t="s">
        <v>8039</v>
      </c>
      <c r="E3377" t="s">
        <v>9695</v>
      </c>
      <c r="F3377" t="s">
        <v>10299</v>
      </c>
      <c r="G3377">
        <v>23</v>
      </c>
      <c r="H3377" t="s">
        <v>10310</v>
      </c>
      <c r="I3377" t="s">
        <v>10326</v>
      </c>
      <c r="L3377">
        <v>1963</v>
      </c>
      <c r="R3377" t="s">
        <v>11038</v>
      </c>
      <c r="S3377" t="s">
        <v>10310</v>
      </c>
      <c r="U3377" t="s">
        <v>11046</v>
      </c>
      <c r="W3377" s="2" t="s">
        <v>11204</v>
      </c>
    </row>
    <row r="3378" spans="1:23" hidden="1" x14ac:dyDescent="0.45">
      <c r="A3378" s="1" t="s">
        <v>3350</v>
      </c>
      <c r="B3378" t="s">
        <v>6432</v>
      </c>
      <c r="D3378" t="s">
        <v>7986</v>
      </c>
      <c r="E3378" t="s">
        <v>9744</v>
      </c>
      <c r="F3378" t="s">
        <v>10299</v>
      </c>
      <c r="G3378">
        <v>1.5</v>
      </c>
      <c r="H3378" t="s">
        <v>10310</v>
      </c>
      <c r="I3378" t="s">
        <v>10326</v>
      </c>
      <c r="L3378">
        <v>1979</v>
      </c>
      <c r="R3378" t="s">
        <v>11038</v>
      </c>
      <c r="S3378" t="s">
        <v>10310</v>
      </c>
      <c r="U3378" t="s">
        <v>11048</v>
      </c>
      <c r="W3378" s="2" t="s">
        <v>11204</v>
      </c>
    </row>
    <row r="3379" spans="1:23" hidden="1" x14ac:dyDescent="0.45">
      <c r="A3379" s="1" t="s">
        <v>3351</v>
      </c>
      <c r="B3379" t="s">
        <v>6433</v>
      </c>
      <c r="D3379" t="s">
        <v>8068</v>
      </c>
      <c r="E3379" t="s">
        <v>9745</v>
      </c>
      <c r="F3379" t="s">
        <v>10299</v>
      </c>
      <c r="G3379">
        <v>5.0999999999999996</v>
      </c>
      <c r="H3379" t="s">
        <v>10310</v>
      </c>
      <c r="I3379" t="s">
        <v>10326</v>
      </c>
      <c r="L3379">
        <v>2018</v>
      </c>
      <c r="R3379" t="s">
        <v>11038</v>
      </c>
      <c r="S3379" t="s">
        <v>10310</v>
      </c>
      <c r="U3379" t="s">
        <v>11048</v>
      </c>
      <c r="W3379" s="2" t="s">
        <v>11204</v>
      </c>
    </row>
    <row r="3380" spans="1:23" hidden="1" x14ac:dyDescent="0.45">
      <c r="A3380" s="1" t="s">
        <v>3352</v>
      </c>
      <c r="D3380" t="s">
        <v>8057</v>
      </c>
      <c r="E3380" t="s">
        <v>9671</v>
      </c>
      <c r="F3380" t="s">
        <v>10299</v>
      </c>
      <c r="G3380">
        <v>0.1</v>
      </c>
      <c r="H3380" t="s">
        <v>10310</v>
      </c>
      <c r="I3380" t="s">
        <v>10326</v>
      </c>
      <c r="L3380">
        <v>1984</v>
      </c>
      <c r="R3380" t="s">
        <v>11038</v>
      </c>
      <c r="S3380" t="s">
        <v>10310</v>
      </c>
      <c r="U3380" t="s">
        <v>11046</v>
      </c>
      <c r="W3380" s="2" t="s">
        <v>11204</v>
      </c>
    </row>
    <row r="3381" spans="1:23" hidden="1" x14ac:dyDescent="0.45">
      <c r="A3381" s="1" t="s">
        <v>3353</v>
      </c>
      <c r="B3381" t="s">
        <v>6434</v>
      </c>
      <c r="D3381" t="s">
        <v>8080</v>
      </c>
      <c r="E3381" t="s">
        <v>9729</v>
      </c>
      <c r="F3381" t="s">
        <v>10299</v>
      </c>
      <c r="G3381">
        <v>2</v>
      </c>
      <c r="H3381" t="s">
        <v>10310</v>
      </c>
      <c r="I3381" t="s">
        <v>10326</v>
      </c>
      <c r="L3381">
        <v>1962</v>
      </c>
      <c r="R3381" t="s">
        <v>11038</v>
      </c>
      <c r="S3381" t="s">
        <v>10310</v>
      </c>
      <c r="U3381" t="s">
        <v>11049</v>
      </c>
      <c r="W3381" s="2" t="s">
        <v>11204</v>
      </c>
    </row>
    <row r="3382" spans="1:23" hidden="1" x14ac:dyDescent="0.45">
      <c r="A3382" s="1" t="s">
        <v>3354</v>
      </c>
      <c r="B3382" t="s">
        <v>6435</v>
      </c>
      <c r="D3382" t="s">
        <v>8039</v>
      </c>
      <c r="E3382" t="s">
        <v>9631</v>
      </c>
      <c r="F3382" t="s">
        <v>10299</v>
      </c>
      <c r="G3382">
        <v>0.8</v>
      </c>
      <c r="H3382" t="s">
        <v>10310</v>
      </c>
      <c r="I3382" t="s">
        <v>10326</v>
      </c>
      <c r="L3382">
        <v>2006</v>
      </c>
      <c r="R3382" t="s">
        <v>11038</v>
      </c>
      <c r="S3382" t="s">
        <v>10310</v>
      </c>
      <c r="U3382" t="s">
        <v>11049</v>
      </c>
      <c r="W3382" s="2" t="s">
        <v>11204</v>
      </c>
    </row>
    <row r="3383" spans="1:23" hidden="1" x14ac:dyDescent="0.45">
      <c r="A3383" s="1" t="s">
        <v>3355</v>
      </c>
      <c r="B3383" t="s">
        <v>6312</v>
      </c>
      <c r="D3383" t="s">
        <v>8028</v>
      </c>
      <c r="E3383" t="s">
        <v>9621</v>
      </c>
      <c r="F3383" t="s">
        <v>10299</v>
      </c>
      <c r="G3383">
        <v>4.3</v>
      </c>
      <c r="H3383" t="s">
        <v>10310</v>
      </c>
      <c r="I3383" t="s">
        <v>10326</v>
      </c>
      <c r="L3383">
        <v>2015</v>
      </c>
      <c r="R3383" t="s">
        <v>11038</v>
      </c>
      <c r="S3383" t="s">
        <v>10310</v>
      </c>
      <c r="U3383" t="s">
        <v>11046</v>
      </c>
      <c r="W3383" s="2" t="s">
        <v>11204</v>
      </c>
    </row>
    <row r="3384" spans="1:23" hidden="1" x14ac:dyDescent="0.45">
      <c r="A3384" s="1" t="s">
        <v>3356</v>
      </c>
      <c r="B3384" t="s">
        <v>6436</v>
      </c>
      <c r="D3384" t="s">
        <v>8034</v>
      </c>
      <c r="E3384" t="s">
        <v>9627</v>
      </c>
      <c r="F3384" t="s">
        <v>10299</v>
      </c>
      <c r="G3384">
        <v>0.16</v>
      </c>
      <c r="H3384" t="s">
        <v>10310</v>
      </c>
      <c r="I3384" t="s">
        <v>10326</v>
      </c>
      <c r="L3384">
        <v>2008</v>
      </c>
      <c r="R3384" t="s">
        <v>11038</v>
      </c>
      <c r="S3384" t="s">
        <v>10310</v>
      </c>
      <c r="U3384" t="s">
        <v>11046</v>
      </c>
      <c r="W3384" s="2" t="s">
        <v>11204</v>
      </c>
    </row>
    <row r="3385" spans="1:23" hidden="1" x14ac:dyDescent="0.45">
      <c r="A3385" s="1" t="s">
        <v>3357</v>
      </c>
      <c r="B3385" t="s">
        <v>6308</v>
      </c>
      <c r="D3385" t="s">
        <v>8081</v>
      </c>
      <c r="E3385" t="s">
        <v>9731</v>
      </c>
      <c r="F3385" t="s">
        <v>10299</v>
      </c>
      <c r="G3385">
        <v>4.83</v>
      </c>
      <c r="H3385" t="s">
        <v>10310</v>
      </c>
      <c r="I3385" t="s">
        <v>10326</v>
      </c>
      <c r="L3385">
        <v>2015</v>
      </c>
      <c r="R3385" t="s">
        <v>11038</v>
      </c>
      <c r="S3385" t="s">
        <v>10310</v>
      </c>
      <c r="U3385" t="s">
        <v>11047</v>
      </c>
      <c r="W3385" s="2" t="s">
        <v>11204</v>
      </c>
    </row>
    <row r="3386" spans="1:23" hidden="1" x14ac:dyDescent="0.45">
      <c r="A3386" s="1" t="s">
        <v>3358</v>
      </c>
      <c r="B3386" t="s">
        <v>6294</v>
      </c>
      <c r="D3386" t="s">
        <v>8056</v>
      </c>
      <c r="E3386" t="s">
        <v>9657</v>
      </c>
      <c r="F3386" t="s">
        <v>10299</v>
      </c>
      <c r="G3386">
        <v>50</v>
      </c>
      <c r="H3386" t="s">
        <v>10310</v>
      </c>
      <c r="I3386" t="s">
        <v>10326</v>
      </c>
      <c r="L3386">
        <v>1970</v>
      </c>
      <c r="R3386" t="s">
        <v>11038</v>
      </c>
      <c r="S3386" t="s">
        <v>10310</v>
      </c>
      <c r="U3386" t="s">
        <v>11046</v>
      </c>
      <c r="W3386" s="2" t="s">
        <v>11204</v>
      </c>
    </row>
    <row r="3387" spans="1:23" hidden="1" x14ac:dyDescent="0.45">
      <c r="A3387" s="1" t="s">
        <v>3359</v>
      </c>
      <c r="B3387" t="s">
        <v>6274</v>
      </c>
      <c r="D3387" t="s">
        <v>8040</v>
      </c>
      <c r="E3387" t="s">
        <v>9686</v>
      </c>
      <c r="F3387" t="s">
        <v>10299</v>
      </c>
      <c r="G3387">
        <v>18.8</v>
      </c>
      <c r="H3387" t="s">
        <v>10310</v>
      </c>
      <c r="I3387" t="s">
        <v>10326</v>
      </c>
      <c r="L3387">
        <v>1957</v>
      </c>
      <c r="R3387" t="s">
        <v>11038</v>
      </c>
      <c r="S3387" t="s">
        <v>10310</v>
      </c>
      <c r="U3387" t="s">
        <v>11047</v>
      </c>
      <c r="W3387" s="2" t="s">
        <v>11204</v>
      </c>
    </row>
    <row r="3388" spans="1:23" hidden="1" x14ac:dyDescent="0.45">
      <c r="A3388" s="1" t="s">
        <v>3360</v>
      </c>
      <c r="D3388" t="s">
        <v>8074</v>
      </c>
      <c r="E3388" t="s">
        <v>9746</v>
      </c>
      <c r="F3388" t="s">
        <v>10299</v>
      </c>
      <c r="G3388">
        <v>2.1000000000000001E-2</v>
      </c>
      <c r="H3388" t="s">
        <v>10310</v>
      </c>
      <c r="I3388" t="s">
        <v>10326</v>
      </c>
      <c r="L3388">
        <v>2006</v>
      </c>
      <c r="R3388" t="s">
        <v>11038</v>
      </c>
      <c r="S3388" t="s">
        <v>10310</v>
      </c>
      <c r="U3388" t="s">
        <v>11050</v>
      </c>
      <c r="W3388" s="2" t="s">
        <v>11204</v>
      </c>
    </row>
    <row r="3389" spans="1:23" hidden="1" x14ac:dyDescent="0.45">
      <c r="A3389" s="1" t="s">
        <v>3361</v>
      </c>
      <c r="B3389" t="s">
        <v>6371</v>
      </c>
      <c r="D3389" t="s">
        <v>8034</v>
      </c>
      <c r="E3389" t="s">
        <v>9747</v>
      </c>
      <c r="F3389" t="s">
        <v>10299</v>
      </c>
      <c r="G3389">
        <v>5.5</v>
      </c>
      <c r="H3389" t="s">
        <v>10310</v>
      </c>
      <c r="I3389" t="s">
        <v>10326</v>
      </c>
      <c r="L3389">
        <v>1981</v>
      </c>
      <c r="R3389" t="s">
        <v>11038</v>
      </c>
      <c r="S3389" t="s">
        <v>10310</v>
      </c>
      <c r="U3389" t="s">
        <v>11046</v>
      </c>
      <c r="W3389" s="2" t="s">
        <v>11204</v>
      </c>
    </row>
    <row r="3390" spans="1:23" hidden="1" x14ac:dyDescent="0.45">
      <c r="A3390" s="1" t="s">
        <v>3362</v>
      </c>
      <c r="B3390" t="s">
        <v>6371</v>
      </c>
      <c r="D3390" t="s">
        <v>8034</v>
      </c>
      <c r="E3390" t="s">
        <v>9747</v>
      </c>
      <c r="F3390" t="s">
        <v>10299</v>
      </c>
      <c r="G3390">
        <v>7.1</v>
      </c>
      <c r="H3390" t="s">
        <v>10310</v>
      </c>
      <c r="I3390" t="s">
        <v>10326</v>
      </c>
      <c r="L3390">
        <v>2009</v>
      </c>
      <c r="R3390" t="s">
        <v>11038</v>
      </c>
      <c r="S3390" t="s">
        <v>10310</v>
      </c>
      <c r="U3390" t="s">
        <v>11046</v>
      </c>
      <c r="W3390" s="2" t="s">
        <v>11204</v>
      </c>
    </row>
    <row r="3391" spans="1:23" hidden="1" x14ac:dyDescent="0.45">
      <c r="A3391" s="1" t="s">
        <v>3363</v>
      </c>
      <c r="B3391" t="s">
        <v>6437</v>
      </c>
      <c r="D3391" t="s">
        <v>8030</v>
      </c>
      <c r="E3391" t="s">
        <v>9748</v>
      </c>
      <c r="F3391" t="s">
        <v>10299</v>
      </c>
      <c r="G3391">
        <v>1.3</v>
      </c>
      <c r="H3391" t="s">
        <v>10310</v>
      </c>
      <c r="I3391" t="s">
        <v>10326</v>
      </c>
      <c r="L3391">
        <v>2006</v>
      </c>
      <c r="R3391" t="s">
        <v>11038</v>
      </c>
      <c r="S3391" t="s">
        <v>10310</v>
      </c>
      <c r="U3391" t="s">
        <v>11046</v>
      </c>
      <c r="W3391" s="2" t="s">
        <v>11204</v>
      </c>
    </row>
    <row r="3392" spans="1:23" hidden="1" x14ac:dyDescent="0.45">
      <c r="A3392" s="1" t="s">
        <v>3364</v>
      </c>
      <c r="D3392" t="s">
        <v>8025</v>
      </c>
      <c r="E3392" t="s">
        <v>9749</v>
      </c>
      <c r="F3392" t="s">
        <v>10299</v>
      </c>
      <c r="G3392">
        <v>0.9</v>
      </c>
      <c r="H3392" t="s">
        <v>10310</v>
      </c>
      <c r="I3392" t="s">
        <v>10326</v>
      </c>
      <c r="L3392">
        <v>2003</v>
      </c>
      <c r="R3392" t="s">
        <v>11038</v>
      </c>
      <c r="S3392" t="s">
        <v>10310</v>
      </c>
      <c r="U3392" t="s">
        <v>11046</v>
      </c>
      <c r="W3392" s="2" t="s">
        <v>11204</v>
      </c>
    </row>
    <row r="3393" spans="1:23" hidden="1" x14ac:dyDescent="0.45">
      <c r="A3393" s="1" t="s">
        <v>3365</v>
      </c>
      <c r="B3393" t="s">
        <v>6273</v>
      </c>
      <c r="D3393" t="s">
        <v>8028</v>
      </c>
      <c r="E3393" t="s">
        <v>9621</v>
      </c>
      <c r="F3393" t="s">
        <v>10299</v>
      </c>
      <c r="G3393">
        <v>5.5</v>
      </c>
      <c r="H3393" t="s">
        <v>10310</v>
      </c>
      <c r="I3393" t="s">
        <v>10326</v>
      </c>
      <c r="L3393">
        <v>2017</v>
      </c>
      <c r="R3393" t="s">
        <v>11038</v>
      </c>
      <c r="S3393" t="s">
        <v>10310</v>
      </c>
      <c r="U3393" t="s">
        <v>11046</v>
      </c>
      <c r="W3393" s="2" t="s">
        <v>11204</v>
      </c>
    </row>
    <row r="3394" spans="1:23" hidden="1" x14ac:dyDescent="0.45">
      <c r="A3394" s="1" t="s">
        <v>3366</v>
      </c>
      <c r="B3394" t="s">
        <v>6346</v>
      </c>
      <c r="D3394" t="s">
        <v>8078</v>
      </c>
      <c r="E3394" t="s">
        <v>9725</v>
      </c>
      <c r="F3394" t="s">
        <v>10299</v>
      </c>
      <c r="G3394">
        <v>80</v>
      </c>
      <c r="H3394" t="s">
        <v>10310</v>
      </c>
      <c r="I3394" t="s">
        <v>10326</v>
      </c>
      <c r="L3394">
        <v>1999</v>
      </c>
      <c r="R3394" t="s">
        <v>11038</v>
      </c>
      <c r="S3394" t="s">
        <v>10310</v>
      </c>
      <c r="U3394" t="s">
        <v>11046</v>
      </c>
      <c r="W3394" s="2" t="s">
        <v>11204</v>
      </c>
    </row>
    <row r="3395" spans="1:23" hidden="1" x14ac:dyDescent="0.45">
      <c r="A3395" s="1" t="s">
        <v>3367</v>
      </c>
      <c r="B3395" t="s">
        <v>6438</v>
      </c>
      <c r="D3395" t="s">
        <v>8071</v>
      </c>
      <c r="E3395" t="s">
        <v>9689</v>
      </c>
      <c r="F3395" t="s">
        <v>10299</v>
      </c>
      <c r="G3395">
        <v>0.05</v>
      </c>
      <c r="H3395" t="s">
        <v>10310</v>
      </c>
      <c r="I3395" t="s">
        <v>10326</v>
      </c>
      <c r="L3395">
        <v>2000</v>
      </c>
      <c r="R3395" t="s">
        <v>11038</v>
      </c>
      <c r="S3395" t="s">
        <v>10310</v>
      </c>
      <c r="U3395" t="s">
        <v>11047</v>
      </c>
      <c r="W3395" s="2" t="s">
        <v>11204</v>
      </c>
    </row>
    <row r="3396" spans="1:23" hidden="1" x14ac:dyDescent="0.45">
      <c r="A3396" s="1" t="s">
        <v>3368</v>
      </c>
      <c r="B3396" t="s">
        <v>6408</v>
      </c>
      <c r="D3396" t="s">
        <v>8030</v>
      </c>
      <c r="E3396" t="s">
        <v>9623</v>
      </c>
      <c r="F3396" t="s">
        <v>10299</v>
      </c>
      <c r="G3396">
        <v>4.99</v>
      </c>
      <c r="H3396" t="s">
        <v>10310</v>
      </c>
      <c r="I3396" t="s">
        <v>10326</v>
      </c>
      <c r="L3396">
        <v>2013</v>
      </c>
      <c r="R3396" t="s">
        <v>11038</v>
      </c>
      <c r="S3396" t="s">
        <v>10310</v>
      </c>
      <c r="U3396" t="s">
        <v>11049</v>
      </c>
      <c r="W3396" s="2" t="s">
        <v>11204</v>
      </c>
    </row>
    <row r="3397" spans="1:23" hidden="1" x14ac:dyDescent="0.45">
      <c r="A3397" s="1" t="s">
        <v>3369</v>
      </c>
      <c r="B3397" t="s">
        <v>6439</v>
      </c>
      <c r="D3397" t="s">
        <v>8075</v>
      </c>
      <c r="E3397" t="s">
        <v>9715</v>
      </c>
      <c r="F3397" t="s">
        <v>10299</v>
      </c>
      <c r="G3397">
        <v>1.85</v>
      </c>
      <c r="H3397" t="s">
        <v>10310</v>
      </c>
      <c r="I3397" t="s">
        <v>10326</v>
      </c>
      <c r="L3397">
        <v>2006</v>
      </c>
      <c r="R3397" t="s">
        <v>11038</v>
      </c>
      <c r="S3397" t="s">
        <v>10310</v>
      </c>
      <c r="U3397" t="s">
        <v>11047</v>
      </c>
      <c r="W3397" s="2" t="s">
        <v>11204</v>
      </c>
    </row>
    <row r="3398" spans="1:23" hidden="1" x14ac:dyDescent="0.45">
      <c r="A3398" s="1" t="s">
        <v>3370</v>
      </c>
      <c r="B3398" t="s">
        <v>6289</v>
      </c>
      <c r="D3398" t="s">
        <v>8041</v>
      </c>
      <c r="E3398" t="s">
        <v>9687</v>
      </c>
      <c r="F3398" t="s">
        <v>10299</v>
      </c>
      <c r="G3398">
        <v>48.1</v>
      </c>
      <c r="H3398" t="s">
        <v>10310</v>
      </c>
      <c r="I3398" t="s">
        <v>10326</v>
      </c>
      <c r="L3398">
        <v>2005</v>
      </c>
      <c r="R3398" t="s">
        <v>11038</v>
      </c>
      <c r="S3398" t="s">
        <v>10310</v>
      </c>
      <c r="U3398" t="s">
        <v>11047</v>
      </c>
      <c r="W3398" s="2" t="s">
        <v>11204</v>
      </c>
    </row>
    <row r="3399" spans="1:23" hidden="1" x14ac:dyDescent="0.45">
      <c r="A3399" s="1" t="s">
        <v>3371</v>
      </c>
      <c r="B3399" t="s">
        <v>6440</v>
      </c>
      <c r="D3399" t="s">
        <v>8047</v>
      </c>
      <c r="E3399" t="s">
        <v>9750</v>
      </c>
      <c r="F3399" t="s">
        <v>10299</v>
      </c>
      <c r="G3399">
        <v>0.4</v>
      </c>
      <c r="H3399" t="s">
        <v>10310</v>
      </c>
      <c r="I3399" t="s">
        <v>10326</v>
      </c>
      <c r="L3399">
        <v>1950</v>
      </c>
      <c r="R3399" t="s">
        <v>11038</v>
      </c>
      <c r="S3399" t="s">
        <v>10310</v>
      </c>
      <c r="U3399" t="s">
        <v>11050</v>
      </c>
      <c r="W3399" s="2" t="s">
        <v>11204</v>
      </c>
    </row>
    <row r="3400" spans="1:23" hidden="1" x14ac:dyDescent="0.45">
      <c r="A3400" s="1" t="s">
        <v>3372</v>
      </c>
      <c r="B3400" t="s">
        <v>6441</v>
      </c>
      <c r="D3400" t="s">
        <v>8078</v>
      </c>
      <c r="E3400" t="s">
        <v>9751</v>
      </c>
      <c r="F3400" t="s">
        <v>10299</v>
      </c>
      <c r="G3400">
        <v>2.9</v>
      </c>
      <c r="H3400" t="s">
        <v>10310</v>
      </c>
      <c r="I3400" t="s">
        <v>10326</v>
      </c>
      <c r="L3400">
        <v>2015</v>
      </c>
      <c r="R3400" t="s">
        <v>11038</v>
      </c>
      <c r="S3400" t="s">
        <v>10310</v>
      </c>
      <c r="U3400" t="s">
        <v>11046</v>
      </c>
      <c r="W3400" s="2" t="s">
        <v>11204</v>
      </c>
    </row>
    <row r="3401" spans="1:23" hidden="1" x14ac:dyDescent="0.45">
      <c r="A3401" s="1" t="s">
        <v>3373</v>
      </c>
      <c r="B3401" t="s">
        <v>6308</v>
      </c>
      <c r="D3401" t="s">
        <v>8040</v>
      </c>
      <c r="E3401" t="s">
        <v>9733</v>
      </c>
      <c r="F3401" t="s">
        <v>10299</v>
      </c>
      <c r="G3401">
        <v>5.2</v>
      </c>
      <c r="H3401" t="s">
        <v>10310</v>
      </c>
      <c r="I3401" t="s">
        <v>10326</v>
      </c>
      <c r="L3401">
        <v>2014</v>
      </c>
      <c r="R3401" t="s">
        <v>11038</v>
      </c>
      <c r="S3401" t="s">
        <v>10310</v>
      </c>
      <c r="U3401" t="s">
        <v>11048</v>
      </c>
      <c r="W3401" s="2" t="s">
        <v>11204</v>
      </c>
    </row>
    <row r="3402" spans="1:23" hidden="1" x14ac:dyDescent="0.45">
      <c r="A3402" s="1" t="s">
        <v>3374</v>
      </c>
      <c r="B3402" t="s">
        <v>6442</v>
      </c>
      <c r="D3402" t="s">
        <v>7917</v>
      </c>
      <c r="E3402" t="s">
        <v>9710</v>
      </c>
      <c r="F3402" t="s">
        <v>10299</v>
      </c>
      <c r="G3402">
        <v>8.8000000000000007</v>
      </c>
      <c r="H3402" t="s">
        <v>10310</v>
      </c>
      <c r="I3402" t="s">
        <v>10326</v>
      </c>
      <c r="L3402">
        <v>2013</v>
      </c>
      <c r="R3402" t="s">
        <v>11038</v>
      </c>
      <c r="S3402" t="s">
        <v>10310</v>
      </c>
      <c r="U3402" t="s">
        <v>11048</v>
      </c>
      <c r="W3402" s="2" t="s">
        <v>11204</v>
      </c>
    </row>
    <row r="3403" spans="1:23" hidden="1" x14ac:dyDescent="0.45">
      <c r="A3403" s="1" t="s">
        <v>3375</v>
      </c>
      <c r="B3403" t="s">
        <v>6442</v>
      </c>
      <c r="D3403" t="s">
        <v>7917</v>
      </c>
      <c r="E3403" t="s">
        <v>9710</v>
      </c>
      <c r="F3403" t="s">
        <v>10299</v>
      </c>
      <c r="G3403">
        <v>0.72299999999999998</v>
      </c>
      <c r="H3403" t="s">
        <v>10310</v>
      </c>
      <c r="I3403" t="s">
        <v>10326</v>
      </c>
      <c r="L3403">
        <v>2013</v>
      </c>
      <c r="R3403" t="s">
        <v>11038</v>
      </c>
      <c r="S3403" t="s">
        <v>10310</v>
      </c>
      <c r="U3403" t="s">
        <v>11048</v>
      </c>
      <c r="W3403" s="2" t="s">
        <v>11204</v>
      </c>
    </row>
    <row r="3404" spans="1:23" hidden="1" x14ac:dyDescent="0.45">
      <c r="A3404" s="1" t="s">
        <v>3376</v>
      </c>
      <c r="B3404" t="s">
        <v>6278</v>
      </c>
      <c r="D3404" t="s">
        <v>8056</v>
      </c>
      <c r="E3404" t="s">
        <v>9752</v>
      </c>
      <c r="F3404" t="s">
        <v>10299</v>
      </c>
      <c r="G3404">
        <v>7</v>
      </c>
      <c r="H3404" t="s">
        <v>10310</v>
      </c>
      <c r="I3404" t="s">
        <v>10326</v>
      </c>
      <c r="L3404">
        <v>2003</v>
      </c>
      <c r="R3404" t="s">
        <v>11038</v>
      </c>
      <c r="S3404" t="s">
        <v>10310</v>
      </c>
      <c r="U3404" t="s">
        <v>11048</v>
      </c>
      <c r="W3404" s="2" t="s">
        <v>11204</v>
      </c>
    </row>
    <row r="3405" spans="1:23" hidden="1" x14ac:dyDescent="0.45">
      <c r="A3405" s="1" t="s">
        <v>3377</v>
      </c>
      <c r="B3405" t="s">
        <v>6374</v>
      </c>
      <c r="D3405" t="s">
        <v>8029</v>
      </c>
      <c r="E3405" t="s">
        <v>9753</v>
      </c>
      <c r="F3405" t="s">
        <v>10299</v>
      </c>
      <c r="G3405">
        <v>12</v>
      </c>
      <c r="H3405" t="s">
        <v>10310</v>
      </c>
      <c r="I3405" t="s">
        <v>10326</v>
      </c>
      <c r="L3405">
        <v>1963</v>
      </c>
      <c r="R3405" t="s">
        <v>11038</v>
      </c>
      <c r="S3405" t="s">
        <v>10310</v>
      </c>
      <c r="U3405" t="s">
        <v>11048</v>
      </c>
      <c r="W3405" s="2" t="s">
        <v>11204</v>
      </c>
    </row>
    <row r="3406" spans="1:23" hidden="1" x14ac:dyDescent="0.45">
      <c r="A3406" s="1" t="s">
        <v>3378</v>
      </c>
      <c r="B3406" t="s">
        <v>6443</v>
      </c>
      <c r="D3406" t="s">
        <v>8070</v>
      </c>
      <c r="E3406" t="s">
        <v>3591</v>
      </c>
      <c r="F3406" t="s">
        <v>10299</v>
      </c>
      <c r="G3406">
        <v>0.113</v>
      </c>
      <c r="H3406" t="s">
        <v>10310</v>
      </c>
      <c r="I3406" t="s">
        <v>10326</v>
      </c>
      <c r="L3406">
        <v>2003</v>
      </c>
      <c r="R3406" t="s">
        <v>11038</v>
      </c>
      <c r="S3406" t="s">
        <v>10310</v>
      </c>
      <c r="U3406" t="s">
        <v>11046</v>
      </c>
      <c r="W3406" s="2" t="s">
        <v>11204</v>
      </c>
    </row>
    <row r="3407" spans="1:23" hidden="1" x14ac:dyDescent="0.45">
      <c r="A3407" s="1" t="s">
        <v>3379</v>
      </c>
      <c r="B3407" t="s">
        <v>6444</v>
      </c>
      <c r="D3407" t="s">
        <v>8034</v>
      </c>
      <c r="E3407" t="s">
        <v>9627</v>
      </c>
      <c r="F3407" t="s">
        <v>10299</v>
      </c>
      <c r="G3407">
        <v>0.45</v>
      </c>
      <c r="H3407" t="s">
        <v>10310</v>
      </c>
      <c r="I3407" t="s">
        <v>10326</v>
      </c>
      <c r="L3407">
        <v>2011</v>
      </c>
      <c r="R3407" t="s">
        <v>11038</v>
      </c>
      <c r="S3407" t="s">
        <v>10310</v>
      </c>
      <c r="U3407" t="s">
        <v>11049</v>
      </c>
      <c r="W3407" s="2" t="s">
        <v>11204</v>
      </c>
    </row>
    <row r="3408" spans="1:23" hidden="1" x14ac:dyDescent="0.45">
      <c r="A3408" s="1" t="s">
        <v>3380</v>
      </c>
      <c r="B3408" t="s">
        <v>6274</v>
      </c>
      <c r="D3408" t="s">
        <v>8070</v>
      </c>
      <c r="E3408" t="s">
        <v>9754</v>
      </c>
      <c r="F3408" t="s">
        <v>10299</v>
      </c>
      <c r="G3408">
        <v>2.5</v>
      </c>
      <c r="H3408" t="s">
        <v>10310</v>
      </c>
      <c r="I3408" t="s">
        <v>10326</v>
      </c>
      <c r="L3408">
        <v>2000</v>
      </c>
      <c r="R3408" t="s">
        <v>11038</v>
      </c>
      <c r="S3408" t="s">
        <v>10310</v>
      </c>
      <c r="U3408" t="s">
        <v>11047</v>
      </c>
      <c r="W3408" s="2" t="s">
        <v>11204</v>
      </c>
    </row>
    <row r="3409" spans="1:23" hidden="1" x14ac:dyDescent="0.45">
      <c r="A3409" s="1" t="s">
        <v>3380</v>
      </c>
      <c r="B3409" t="s">
        <v>6445</v>
      </c>
      <c r="D3409" t="s">
        <v>8049</v>
      </c>
      <c r="E3409" t="s">
        <v>9755</v>
      </c>
      <c r="F3409" t="s">
        <v>10299</v>
      </c>
      <c r="G3409">
        <v>4.95</v>
      </c>
      <c r="H3409" t="s">
        <v>10310</v>
      </c>
      <c r="I3409" t="s">
        <v>10326</v>
      </c>
      <c r="L3409">
        <v>2013</v>
      </c>
      <c r="R3409" t="s">
        <v>11038</v>
      </c>
      <c r="S3409" t="s">
        <v>10310</v>
      </c>
      <c r="U3409" t="s">
        <v>11048</v>
      </c>
      <c r="W3409" s="2" t="s">
        <v>11204</v>
      </c>
    </row>
    <row r="3410" spans="1:23" hidden="1" x14ac:dyDescent="0.45">
      <c r="A3410" s="1" t="s">
        <v>3381</v>
      </c>
      <c r="D3410" t="s">
        <v>8070</v>
      </c>
      <c r="E3410" t="s">
        <v>3591</v>
      </c>
      <c r="F3410" t="s">
        <v>10299</v>
      </c>
      <c r="G3410">
        <v>0.18</v>
      </c>
      <c r="H3410" t="s">
        <v>10310</v>
      </c>
      <c r="I3410" t="s">
        <v>10326</v>
      </c>
      <c r="L3410">
        <v>2001</v>
      </c>
      <c r="R3410" t="s">
        <v>11038</v>
      </c>
      <c r="S3410" t="s">
        <v>10310</v>
      </c>
      <c r="U3410" t="s">
        <v>11046</v>
      </c>
      <c r="W3410" s="2" t="s">
        <v>11204</v>
      </c>
    </row>
    <row r="3411" spans="1:23" hidden="1" x14ac:dyDescent="0.45">
      <c r="A3411" s="1" t="s">
        <v>3381</v>
      </c>
      <c r="B3411" t="s">
        <v>6290</v>
      </c>
      <c r="D3411" t="s">
        <v>8047</v>
      </c>
      <c r="E3411" t="s">
        <v>9641</v>
      </c>
      <c r="F3411" t="s">
        <v>10299</v>
      </c>
      <c r="G3411">
        <v>3.6</v>
      </c>
      <c r="H3411" t="s">
        <v>10310</v>
      </c>
      <c r="I3411" t="s">
        <v>10324</v>
      </c>
      <c r="L3411">
        <v>2013</v>
      </c>
      <c r="R3411" t="s">
        <v>11038</v>
      </c>
      <c r="S3411" t="s">
        <v>10310</v>
      </c>
      <c r="U3411" t="s">
        <v>11049</v>
      </c>
      <c r="V3411" t="s">
        <v>11182</v>
      </c>
      <c r="W3411" s="2" t="s">
        <v>11204</v>
      </c>
    </row>
    <row r="3412" spans="1:23" hidden="1" x14ac:dyDescent="0.45">
      <c r="A3412" s="1" t="s">
        <v>3382</v>
      </c>
      <c r="B3412" t="s">
        <v>6446</v>
      </c>
      <c r="D3412" t="s">
        <v>8044</v>
      </c>
      <c r="E3412" t="s">
        <v>9717</v>
      </c>
      <c r="F3412" t="s">
        <v>10299</v>
      </c>
      <c r="G3412">
        <v>0.32500000000000001</v>
      </c>
      <c r="H3412" t="s">
        <v>10310</v>
      </c>
      <c r="I3412" t="s">
        <v>10326</v>
      </c>
      <c r="L3412">
        <v>2006</v>
      </c>
      <c r="R3412" t="s">
        <v>11038</v>
      </c>
      <c r="S3412" t="s">
        <v>10310</v>
      </c>
      <c r="U3412" t="s">
        <v>11046</v>
      </c>
      <c r="W3412" s="2" t="s">
        <v>11204</v>
      </c>
    </row>
    <row r="3413" spans="1:23" hidden="1" x14ac:dyDescent="0.45">
      <c r="A3413" s="1" t="s">
        <v>3383</v>
      </c>
      <c r="B3413" t="s">
        <v>6447</v>
      </c>
      <c r="D3413" t="s">
        <v>8026</v>
      </c>
      <c r="E3413" t="s">
        <v>9741</v>
      </c>
      <c r="F3413" t="s">
        <v>10299</v>
      </c>
      <c r="G3413">
        <v>2.9</v>
      </c>
      <c r="H3413" t="s">
        <v>10310</v>
      </c>
      <c r="I3413" t="s">
        <v>10326</v>
      </c>
      <c r="L3413">
        <v>2014</v>
      </c>
      <c r="R3413" t="s">
        <v>11038</v>
      </c>
      <c r="S3413" t="s">
        <v>10310</v>
      </c>
      <c r="U3413" t="s">
        <v>11050</v>
      </c>
      <c r="W3413" s="2" t="s">
        <v>11204</v>
      </c>
    </row>
    <row r="3414" spans="1:23" hidden="1" x14ac:dyDescent="0.45">
      <c r="A3414" s="1" t="s">
        <v>3384</v>
      </c>
      <c r="B3414" t="s">
        <v>6336</v>
      </c>
      <c r="D3414" t="s">
        <v>8082</v>
      </c>
      <c r="E3414" t="s">
        <v>9756</v>
      </c>
      <c r="F3414" t="s">
        <v>10299</v>
      </c>
      <c r="G3414">
        <v>3.5</v>
      </c>
      <c r="H3414" t="s">
        <v>10310</v>
      </c>
      <c r="I3414" t="s">
        <v>10324</v>
      </c>
      <c r="L3414">
        <v>1987</v>
      </c>
      <c r="R3414" t="s">
        <v>11038</v>
      </c>
      <c r="S3414" t="s">
        <v>10310</v>
      </c>
      <c r="U3414" t="s">
        <v>11049</v>
      </c>
      <c r="V3414" t="s">
        <v>11182</v>
      </c>
      <c r="W3414" s="2" t="s">
        <v>11204</v>
      </c>
    </row>
    <row r="3415" spans="1:23" hidden="1" x14ac:dyDescent="0.45">
      <c r="A3415" s="1" t="s">
        <v>3385</v>
      </c>
      <c r="B3415" t="s">
        <v>6378</v>
      </c>
      <c r="D3415" t="s">
        <v>8039</v>
      </c>
      <c r="E3415" t="s">
        <v>9631</v>
      </c>
      <c r="F3415" t="s">
        <v>10299</v>
      </c>
      <c r="G3415">
        <v>25</v>
      </c>
      <c r="H3415" t="s">
        <v>10310</v>
      </c>
      <c r="I3415" t="s">
        <v>10326</v>
      </c>
      <c r="L3415">
        <v>1954</v>
      </c>
      <c r="R3415" t="s">
        <v>11038</v>
      </c>
      <c r="S3415" t="s">
        <v>10310</v>
      </c>
      <c r="U3415" t="s">
        <v>11049</v>
      </c>
      <c r="W3415" s="2" t="s">
        <v>11204</v>
      </c>
    </row>
    <row r="3416" spans="1:23" hidden="1" x14ac:dyDescent="0.45">
      <c r="A3416" s="1" t="s">
        <v>3386</v>
      </c>
      <c r="D3416" t="s">
        <v>8034</v>
      </c>
      <c r="E3416" t="s">
        <v>9627</v>
      </c>
      <c r="F3416" t="s">
        <v>10299</v>
      </c>
      <c r="G3416">
        <v>1.0999999999999999E-2</v>
      </c>
      <c r="H3416" t="s">
        <v>10310</v>
      </c>
      <c r="I3416" t="s">
        <v>10326</v>
      </c>
      <c r="L3416">
        <v>2000</v>
      </c>
      <c r="R3416" t="s">
        <v>11038</v>
      </c>
      <c r="S3416" t="s">
        <v>10310</v>
      </c>
      <c r="U3416" t="s">
        <v>11046</v>
      </c>
      <c r="W3416" s="2" t="s">
        <v>11204</v>
      </c>
    </row>
    <row r="3417" spans="1:23" hidden="1" x14ac:dyDescent="0.45">
      <c r="A3417" s="1" t="s">
        <v>3387</v>
      </c>
      <c r="B3417" t="s">
        <v>6448</v>
      </c>
      <c r="D3417" t="s">
        <v>8071</v>
      </c>
      <c r="E3417" t="s">
        <v>9689</v>
      </c>
      <c r="F3417" t="s">
        <v>10299</v>
      </c>
      <c r="G3417">
        <v>0.08</v>
      </c>
      <c r="H3417" t="s">
        <v>10310</v>
      </c>
      <c r="I3417" t="s">
        <v>10326</v>
      </c>
      <c r="L3417">
        <v>1999</v>
      </c>
      <c r="R3417" t="s">
        <v>11038</v>
      </c>
      <c r="S3417" t="s">
        <v>10310</v>
      </c>
      <c r="U3417" t="s">
        <v>11047</v>
      </c>
      <c r="W3417" s="2" t="s">
        <v>11204</v>
      </c>
    </row>
    <row r="3418" spans="1:23" hidden="1" x14ac:dyDescent="0.45">
      <c r="A3418" s="1" t="s">
        <v>3387</v>
      </c>
      <c r="B3418" t="s">
        <v>6449</v>
      </c>
      <c r="D3418" t="s">
        <v>7917</v>
      </c>
      <c r="E3418" t="s">
        <v>9672</v>
      </c>
      <c r="F3418" t="s">
        <v>10299</v>
      </c>
      <c r="G3418">
        <v>0.09</v>
      </c>
      <c r="H3418" t="s">
        <v>10310</v>
      </c>
      <c r="I3418" t="s">
        <v>10326</v>
      </c>
      <c r="L3418">
        <v>2007</v>
      </c>
      <c r="R3418" t="s">
        <v>11038</v>
      </c>
      <c r="S3418" t="s">
        <v>10310</v>
      </c>
      <c r="U3418" t="s">
        <v>11047</v>
      </c>
      <c r="W3418" s="2" t="s">
        <v>11204</v>
      </c>
    </row>
    <row r="3419" spans="1:23" hidden="1" x14ac:dyDescent="0.45">
      <c r="A3419" s="1" t="s">
        <v>3387</v>
      </c>
      <c r="B3419" t="s">
        <v>6450</v>
      </c>
      <c r="D3419" t="s">
        <v>8058</v>
      </c>
      <c r="E3419" t="s">
        <v>9662</v>
      </c>
      <c r="F3419" t="s">
        <v>10299</v>
      </c>
      <c r="G3419">
        <v>0.2</v>
      </c>
      <c r="H3419" t="s">
        <v>10310</v>
      </c>
      <c r="I3419" t="s">
        <v>10326</v>
      </c>
      <c r="L3419">
        <v>2014</v>
      </c>
      <c r="R3419" t="s">
        <v>11038</v>
      </c>
      <c r="S3419" t="s">
        <v>10310</v>
      </c>
      <c r="U3419" t="s">
        <v>11046</v>
      </c>
      <c r="W3419" s="2" t="s">
        <v>11204</v>
      </c>
    </row>
    <row r="3420" spans="1:23" hidden="1" x14ac:dyDescent="0.45">
      <c r="A3420" s="1" t="s">
        <v>3388</v>
      </c>
      <c r="B3420" t="s">
        <v>6370</v>
      </c>
      <c r="D3420" t="s">
        <v>8039</v>
      </c>
      <c r="E3420" t="s">
        <v>9706</v>
      </c>
      <c r="F3420" t="s">
        <v>10299</v>
      </c>
      <c r="G3420">
        <v>7.0000000000000007E-2</v>
      </c>
      <c r="H3420" t="s">
        <v>10310</v>
      </c>
      <c r="I3420" t="s">
        <v>10326</v>
      </c>
      <c r="L3420">
        <v>1972</v>
      </c>
      <c r="R3420" t="s">
        <v>11038</v>
      </c>
      <c r="S3420" t="s">
        <v>10310</v>
      </c>
      <c r="U3420" t="s">
        <v>11050</v>
      </c>
      <c r="W3420" s="2" t="s">
        <v>11204</v>
      </c>
    </row>
    <row r="3421" spans="1:23" hidden="1" x14ac:dyDescent="0.45">
      <c r="A3421" s="1" t="s">
        <v>3389</v>
      </c>
      <c r="B3421" t="s">
        <v>6451</v>
      </c>
      <c r="D3421" t="s">
        <v>8037</v>
      </c>
      <c r="E3421" t="s">
        <v>9629</v>
      </c>
      <c r="F3421" t="s">
        <v>10299</v>
      </c>
      <c r="G3421">
        <v>8.32</v>
      </c>
      <c r="H3421" t="s">
        <v>10310</v>
      </c>
      <c r="I3421" t="s">
        <v>10326</v>
      </c>
      <c r="L3421">
        <v>1995</v>
      </c>
      <c r="R3421" t="s">
        <v>11038</v>
      </c>
      <c r="S3421" t="s">
        <v>10310</v>
      </c>
      <c r="U3421" t="s">
        <v>11047</v>
      </c>
      <c r="W3421" s="2" t="s">
        <v>11204</v>
      </c>
    </row>
    <row r="3422" spans="1:23" hidden="1" x14ac:dyDescent="0.45">
      <c r="A3422" s="1" t="s">
        <v>3390</v>
      </c>
      <c r="B3422" t="s">
        <v>6290</v>
      </c>
      <c r="D3422" t="s">
        <v>8076</v>
      </c>
      <c r="E3422" t="s">
        <v>9757</v>
      </c>
      <c r="F3422" t="s">
        <v>10299</v>
      </c>
      <c r="G3422">
        <v>1.9</v>
      </c>
      <c r="H3422" t="s">
        <v>10310</v>
      </c>
      <c r="I3422" t="s">
        <v>10326</v>
      </c>
      <c r="L3422">
        <v>1994</v>
      </c>
      <c r="R3422" t="s">
        <v>11038</v>
      </c>
      <c r="S3422" t="s">
        <v>10310</v>
      </c>
      <c r="U3422" t="s">
        <v>11050</v>
      </c>
      <c r="W3422" s="2" t="s">
        <v>11204</v>
      </c>
    </row>
    <row r="3423" spans="1:23" hidden="1" x14ac:dyDescent="0.45">
      <c r="A3423" s="1" t="s">
        <v>3391</v>
      </c>
      <c r="B3423" t="s">
        <v>6452</v>
      </c>
      <c r="D3423" t="s">
        <v>8037</v>
      </c>
      <c r="E3423" t="s">
        <v>9629</v>
      </c>
      <c r="F3423" t="s">
        <v>10299</v>
      </c>
      <c r="G3423">
        <v>7.4999999999999997E-2</v>
      </c>
      <c r="H3423" t="s">
        <v>10310</v>
      </c>
      <c r="I3423" t="s">
        <v>10326</v>
      </c>
      <c r="L3423">
        <v>2013</v>
      </c>
      <c r="R3423" t="s">
        <v>11038</v>
      </c>
      <c r="S3423" t="s">
        <v>10310</v>
      </c>
      <c r="U3423" t="s">
        <v>11047</v>
      </c>
      <c r="W3423" s="2" t="s">
        <v>11204</v>
      </c>
    </row>
    <row r="3424" spans="1:23" hidden="1" x14ac:dyDescent="0.45">
      <c r="A3424" s="1" t="s">
        <v>3392</v>
      </c>
      <c r="B3424" t="s">
        <v>6378</v>
      </c>
      <c r="D3424" t="s">
        <v>8039</v>
      </c>
      <c r="E3424" t="s">
        <v>9631</v>
      </c>
      <c r="F3424" t="s">
        <v>10299</v>
      </c>
      <c r="G3424">
        <v>9</v>
      </c>
      <c r="H3424" t="s">
        <v>10310</v>
      </c>
      <c r="I3424" t="s">
        <v>10326</v>
      </c>
      <c r="L3424">
        <v>1917</v>
      </c>
      <c r="R3424" t="s">
        <v>11038</v>
      </c>
      <c r="S3424" t="s">
        <v>10310</v>
      </c>
      <c r="U3424" t="s">
        <v>11049</v>
      </c>
      <c r="W3424" s="2" t="s">
        <v>11204</v>
      </c>
    </row>
    <row r="3425" spans="1:23" hidden="1" x14ac:dyDescent="0.45">
      <c r="A3425" s="1" t="s">
        <v>3392</v>
      </c>
      <c r="B3425" t="s">
        <v>6453</v>
      </c>
      <c r="D3425" t="s">
        <v>8078</v>
      </c>
      <c r="E3425" t="s">
        <v>9725</v>
      </c>
      <c r="F3425" t="s">
        <v>10299</v>
      </c>
      <c r="G3425">
        <v>2.04</v>
      </c>
      <c r="H3425" t="s">
        <v>10310</v>
      </c>
      <c r="I3425" t="s">
        <v>10326</v>
      </c>
      <c r="L3425">
        <v>2007</v>
      </c>
      <c r="R3425" t="s">
        <v>11038</v>
      </c>
      <c r="S3425" t="s">
        <v>10310</v>
      </c>
      <c r="U3425" t="s">
        <v>11046</v>
      </c>
      <c r="W3425" s="2" t="s">
        <v>11204</v>
      </c>
    </row>
    <row r="3426" spans="1:23" hidden="1" x14ac:dyDescent="0.45">
      <c r="A3426" s="1" t="s">
        <v>3393</v>
      </c>
      <c r="B3426" t="s">
        <v>6454</v>
      </c>
      <c r="D3426" t="s">
        <v>8044</v>
      </c>
      <c r="E3426" t="s">
        <v>9705</v>
      </c>
      <c r="F3426" t="s">
        <v>10299</v>
      </c>
      <c r="G3426">
        <v>0.09</v>
      </c>
      <c r="H3426" t="s">
        <v>10310</v>
      </c>
      <c r="I3426" t="s">
        <v>10326</v>
      </c>
      <c r="L3426">
        <v>2006</v>
      </c>
      <c r="R3426" t="s">
        <v>11038</v>
      </c>
      <c r="S3426" t="s">
        <v>10310</v>
      </c>
      <c r="U3426" t="s">
        <v>11050</v>
      </c>
      <c r="W3426" s="2" t="s">
        <v>11204</v>
      </c>
    </row>
    <row r="3427" spans="1:23" hidden="1" x14ac:dyDescent="0.45">
      <c r="A3427" s="1" t="s">
        <v>3394</v>
      </c>
      <c r="B3427" t="s">
        <v>6402</v>
      </c>
      <c r="D3427" t="s">
        <v>7777</v>
      </c>
      <c r="E3427" t="s">
        <v>9758</v>
      </c>
      <c r="F3427" t="s">
        <v>10299</v>
      </c>
      <c r="G3427">
        <v>1.99</v>
      </c>
      <c r="H3427" t="s">
        <v>10310</v>
      </c>
      <c r="I3427" t="s">
        <v>10326</v>
      </c>
      <c r="L3427">
        <v>2008</v>
      </c>
      <c r="R3427" t="s">
        <v>11038</v>
      </c>
      <c r="S3427" t="s">
        <v>10310</v>
      </c>
      <c r="U3427" t="s">
        <v>11046</v>
      </c>
      <c r="W3427" s="2" t="s">
        <v>11204</v>
      </c>
    </row>
    <row r="3428" spans="1:23" hidden="1" x14ac:dyDescent="0.45">
      <c r="A3428" s="1" t="s">
        <v>3395</v>
      </c>
      <c r="B3428" t="s">
        <v>6273</v>
      </c>
      <c r="D3428" t="s">
        <v>8028</v>
      </c>
      <c r="E3428" t="s">
        <v>9621</v>
      </c>
      <c r="F3428" t="s">
        <v>10299</v>
      </c>
      <c r="G3428">
        <v>0.81</v>
      </c>
      <c r="H3428" t="s">
        <v>10310</v>
      </c>
      <c r="I3428" t="s">
        <v>10326</v>
      </c>
      <c r="L3428">
        <v>1908</v>
      </c>
      <c r="R3428" t="s">
        <v>11038</v>
      </c>
      <c r="S3428" t="s">
        <v>10310</v>
      </c>
      <c r="U3428" t="s">
        <v>11046</v>
      </c>
      <c r="W3428" s="2" t="s">
        <v>11204</v>
      </c>
    </row>
    <row r="3429" spans="1:23" hidden="1" x14ac:dyDescent="0.45">
      <c r="A3429" s="1" t="s">
        <v>3396</v>
      </c>
      <c r="B3429" t="s">
        <v>6455</v>
      </c>
      <c r="D3429" t="s">
        <v>8055</v>
      </c>
      <c r="E3429" t="s">
        <v>9702</v>
      </c>
      <c r="F3429" t="s">
        <v>10299</v>
      </c>
      <c r="G3429">
        <v>0.06</v>
      </c>
      <c r="H3429" t="s">
        <v>10310</v>
      </c>
      <c r="I3429" t="s">
        <v>10326</v>
      </c>
      <c r="L3429">
        <v>2002</v>
      </c>
      <c r="R3429" t="s">
        <v>11038</v>
      </c>
      <c r="S3429" t="s">
        <v>10310</v>
      </c>
      <c r="U3429" t="s">
        <v>11047</v>
      </c>
      <c r="W3429" s="2" t="s">
        <v>11204</v>
      </c>
    </row>
    <row r="3430" spans="1:23" hidden="1" x14ac:dyDescent="0.45">
      <c r="A3430" s="1" t="s">
        <v>3397</v>
      </c>
      <c r="B3430" t="s">
        <v>6456</v>
      </c>
      <c r="D3430" t="s">
        <v>8061</v>
      </c>
      <c r="E3430" t="s">
        <v>9665</v>
      </c>
      <c r="F3430" t="s">
        <v>10299</v>
      </c>
      <c r="G3430">
        <v>1.85</v>
      </c>
      <c r="H3430" t="s">
        <v>10310</v>
      </c>
      <c r="I3430" t="s">
        <v>10326</v>
      </c>
      <c r="L3430">
        <v>2006</v>
      </c>
      <c r="R3430" t="s">
        <v>11038</v>
      </c>
      <c r="S3430" t="s">
        <v>10310</v>
      </c>
      <c r="U3430" t="s">
        <v>11046</v>
      </c>
      <c r="W3430" s="2" t="s">
        <v>11204</v>
      </c>
    </row>
    <row r="3431" spans="1:23" hidden="1" x14ac:dyDescent="0.45">
      <c r="A3431" s="1" t="s">
        <v>3398</v>
      </c>
      <c r="B3431" t="s">
        <v>6457</v>
      </c>
      <c r="D3431" t="s">
        <v>8037</v>
      </c>
      <c r="E3431" t="s">
        <v>9629</v>
      </c>
      <c r="F3431" t="s">
        <v>10299</v>
      </c>
      <c r="G3431">
        <v>2.4</v>
      </c>
      <c r="H3431" t="s">
        <v>10310</v>
      </c>
      <c r="I3431" t="s">
        <v>10326</v>
      </c>
      <c r="L3431">
        <v>2008</v>
      </c>
      <c r="R3431" t="s">
        <v>11038</v>
      </c>
      <c r="S3431" t="s">
        <v>10310</v>
      </c>
      <c r="U3431" t="s">
        <v>11047</v>
      </c>
      <c r="W3431" s="2" t="s">
        <v>11204</v>
      </c>
    </row>
    <row r="3432" spans="1:23" hidden="1" x14ac:dyDescent="0.45">
      <c r="A3432" s="1" t="s">
        <v>3399</v>
      </c>
      <c r="B3432" t="s">
        <v>6290</v>
      </c>
      <c r="D3432" t="s">
        <v>8070</v>
      </c>
      <c r="E3432" t="s">
        <v>9759</v>
      </c>
      <c r="F3432" t="s">
        <v>10299</v>
      </c>
      <c r="G3432">
        <v>75</v>
      </c>
      <c r="H3432" t="s">
        <v>10310</v>
      </c>
      <c r="I3432" t="s">
        <v>10326</v>
      </c>
      <c r="L3432">
        <v>2005</v>
      </c>
      <c r="R3432" t="s">
        <v>11038</v>
      </c>
      <c r="S3432" t="s">
        <v>10310</v>
      </c>
      <c r="U3432" t="s">
        <v>11047</v>
      </c>
      <c r="W3432" s="2" t="s">
        <v>11204</v>
      </c>
    </row>
    <row r="3433" spans="1:23" hidden="1" x14ac:dyDescent="0.45">
      <c r="A3433" s="1" t="s">
        <v>3400</v>
      </c>
      <c r="B3433" t="s">
        <v>6458</v>
      </c>
      <c r="D3433" t="s">
        <v>8048</v>
      </c>
      <c r="E3433" t="s">
        <v>9642</v>
      </c>
      <c r="F3433" t="s">
        <v>10299</v>
      </c>
      <c r="G3433">
        <v>0.7</v>
      </c>
      <c r="H3433" t="s">
        <v>10310</v>
      </c>
      <c r="I3433" t="s">
        <v>10326</v>
      </c>
      <c r="L3433">
        <v>2013</v>
      </c>
      <c r="R3433" t="s">
        <v>11038</v>
      </c>
      <c r="S3433" t="s">
        <v>10310</v>
      </c>
      <c r="U3433" t="s">
        <v>11046</v>
      </c>
      <c r="W3433" s="2" t="s">
        <v>11204</v>
      </c>
    </row>
    <row r="3434" spans="1:23" hidden="1" x14ac:dyDescent="0.45">
      <c r="A3434" s="1" t="s">
        <v>3401</v>
      </c>
      <c r="B3434" t="s">
        <v>6459</v>
      </c>
      <c r="D3434" t="s">
        <v>8053</v>
      </c>
      <c r="E3434" t="s">
        <v>9652</v>
      </c>
      <c r="F3434" t="s">
        <v>10299</v>
      </c>
      <c r="G3434">
        <v>7.0000000000000007E-2</v>
      </c>
      <c r="H3434" t="s">
        <v>10310</v>
      </c>
      <c r="I3434" t="s">
        <v>10326</v>
      </c>
      <c r="L3434">
        <v>2007</v>
      </c>
      <c r="R3434" t="s">
        <v>11038</v>
      </c>
      <c r="S3434" t="s">
        <v>10310</v>
      </c>
      <c r="U3434" t="s">
        <v>11049</v>
      </c>
      <c r="W3434" s="2" t="s">
        <v>11204</v>
      </c>
    </row>
    <row r="3435" spans="1:23" hidden="1" x14ac:dyDescent="0.45">
      <c r="A3435" s="1" t="s">
        <v>3402</v>
      </c>
      <c r="B3435" t="s">
        <v>6460</v>
      </c>
      <c r="D3435" t="s">
        <v>8034</v>
      </c>
      <c r="E3435" t="s">
        <v>9627</v>
      </c>
      <c r="F3435" t="s">
        <v>10299</v>
      </c>
      <c r="G3435">
        <v>2.7E-2</v>
      </c>
      <c r="H3435" t="s">
        <v>10310</v>
      </c>
      <c r="I3435" t="s">
        <v>10326</v>
      </c>
      <c r="L3435">
        <v>2005</v>
      </c>
      <c r="R3435" t="s">
        <v>11038</v>
      </c>
      <c r="S3435" t="s">
        <v>10310</v>
      </c>
      <c r="U3435" t="s">
        <v>11046</v>
      </c>
      <c r="W3435" s="2" t="s">
        <v>11204</v>
      </c>
    </row>
    <row r="3436" spans="1:23" hidden="1" x14ac:dyDescent="0.45">
      <c r="A3436" s="1" t="s">
        <v>3403</v>
      </c>
      <c r="B3436" t="s">
        <v>6402</v>
      </c>
      <c r="D3436" t="s">
        <v>8083</v>
      </c>
      <c r="E3436" t="s">
        <v>9760</v>
      </c>
      <c r="F3436" t="s">
        <v>10299</v>
      </c>
      <c r="G3436">
        <v>7.0000000000000007E-2</v>
      </c>
      <c r="H3436" t="s">
        <v>10310</v>
      </c>
      <c r="I3436" t="s">
        <v>10326</v>
      </c>
      <c r="L3436">
        <v>2003</v>
      </c>
      <c r="R3436" t="s">
        <v>11038</v>
      </c>
      <c r="S3436" t="s">
        <v>10310</v>
      </c>
      <c r="U3436" t="s">
        <v>11047</v>
      </c>
      <c r="W3436" s="2" t="s">
        <v>11204</v>
      </c>
    </row>
    <row r="3437" spans="1:23" hidden="1" x14ac:dyDescent="0.45">
      <c r="A3437" s="1" t="s">
        <v>3404</v>
      </c>
      <c r="D3437" t="s">
        <v>8042</v>
      </c>
      <c r="E3437" t="s">
        <v>1588</v>
      </c>
      <c r="F3437" t="s">
        <v>10299</v>
      </c>
      <c r="G3437">
        <v>2.5000000000000001E-2</v>
      </c>
      <c r="H3437" t="s">
        <v>10310</v>
      </c>
      <c r="I3437" t="s">
        <v>10326</v>
      </c>
      <c r="L3437">
        <v>1998</v>
      </c>
      <c r="R3437" t="s">
        <v>11038</v>
      </c>
      <c r="S3437" t="s">
        <v>10310</v>
      </c>
      <c r="U3437" t="s">
        <v>11047</v>
      </c>
      <c r="W3437" s="2" t="s">
        <v>11204</v>
      </c>
    </row>
    <row r="3438" spans="1:23" hidden="1" x14ac:dyDescent="0.45">
      <c r="A3438" s="1" t="s">
        <v>3405</v>
      </c>
      <c r="B3438" t="s">
        <v>6461</v>
      </c>
      <c r="D3438" t="s">
        <v>8059</v>
      </c>
      <c r="E3438" t="s">
        <v>9761</v>
      </c>
      <c r="F3438" t="s">
        <v>10299</v>
      </c>
      <c r="G3438">
        <v>3.3</v>
      </c>
      <c r="H3438" t="s">
        <v>10310</v>
      </c>
      <c r="I3438" t="s">
        <v>10326</v>
      </c>
      <c r="L3438">
        <v>1901</v>
      </c>
      <c r="R3438" t="s">
        <v>11038</v>
      </c>
      <c r="S3438" t="s">
        <v>10310</v>
      </c>
      <c r="U3438" t="s">
        <v>11046</v>
      </c>
      <c r="W3438" s="2" t="s">
        <v>11204</v>
      </c>
    </row>
    <row r="3439" spans="1:23" hidden="1" x14ac:dyDescent="0.45">
      <c r="A3439" s="1" t="s">
        <v>3406</v>
      </c>
      <c r="B3439" t="s">
        <v>6378</v>
      </c>
      <c r="D3439" t="s">
        <v>8063</v>
      </c>
      <c r="E3439" t="s">
        <v>9727</v>
      </c>
      <c r="F3439" t="s">
        <v>10299</v>
      </c>
      <c r="G3439">
        <v>24.9</v>
      </c>
      <c r="H3439" t="s">
        <v>10310</v>
      </c>
      <c r="I3439" t="s">
        <v>10326</v>
      </c>
      <c r="L3439">
        <v>1912</v>
      </c>
      <c r="R3439" t="s">
        <v>11038</v>
      </c>
      <c r="S3439" t="s">
        <v>10310</v>
      </c>
      <c r="U3439" t="s">
        <v>11049</v>
      </c>
      <c r="W3439" s="2" t="s">
        <v>11204</v>
      </c>
    </row>
    <row r="3440" spans="1:23" hidden="1" x14ac:dyDescent="0.45">
      <c r="A3440" s="1" t="s">
        <v>3407</v>
      </c>
      <c r="D3440" t="s">
        <v>8049</v>
      </c>
      <c r="E3440" t="s">
        <v>9716</v>
      </c>
      <c r="F3440" t="s">
        <v>10299</v>
      </c>
      <c r="G3440">
        <v>6.0000000000000001E-3</v>
      </c>
      <c r="H3440" t="s">
        <v>10310</v>
      </c>
      <c r="I3440" t="s">
        <v>10326</v>
      </c>
      <c r="L3440">
        <v>1996</v>
      </c>
      <c r="R3440" t="s">
        <v>11038</v>
      </c>
      <c r="S3440" t="s">
        <v>10310</v>
      </c>
      <c r="U3440" t="s">
        <v>11046</v>
      </c>
      <c r="W3440" s="2" t="s">
        <v>11204</v>
      </c>
    </row>
    <row r="3441" spans="1:23" hidden="1" x14ac:dyDescent="0.45">
      <c r="A3441" s="1" t="s">
        <v>3408</v>
      </c>
      <c r="B3441" t="s">
        <v>6434</v>
      </c>
      <c r="D3441" t="s">
        <v>8048</v>
      </c>
      <c r="E3441" t="s">
        <v>9762</v>
      </c>
      <c r="F3441" t="s">
        <v>10299</v>
      </c>
      <c r="G3441">
        <v>45.6</v>
      </c>
      <c r="H3441" t="s">
        <v>10310</v>
      </c>
      <c r="I3441" t="s">
        <v>10326</v>
      </c>
      <c r="L3441">
        <v>1995</v>
      </c>
      <c r="R3441" t="s">
        <v>11038</v>
      </c>
      <c r="S3441" t="s">
        <v>10310</v>
      </c>
      <c r="U3441" t="s">
        <v>11046</v>
      </c>
      <c r="W3441" s="2" t="s">
        <v>11204</v>
      </c>
    </row>
    <row r="3442" spans="1:23" hidden="1" x14ac:dyDescent="0.45">
      <c r="A3442" s="1" t="s">
        <v>3409</v>
      </c>
      <c r="B3442" t="s">
        <v>6462</v>
      </c>
      <c r="D3442" t="s">
        <v>8061</v>
      </c>
      <c r="E3442" t="s">
        <v>9665</v>
      </c>
      <c r="F3442" t="s">
        <v>10299</v>
      </c>
      <c r="G3442">
        <v>2.5000000000000001E-2</v>
      </c>
      <c r="H3442" t="s">
        <v>10310</v>
      </c>
      <c r="I3442" t="s">
        <v>10326</v>
      </c>
      <c r="L3442">
        <v>2009</v>
      </c>
      <c r="R3442" t="s">
        <v>11038</v>
      </c>
      <c r="S3442" t="s">
        <v>10310</v>
      </c>
      <c r="U3442" t="s">
        <v>11046</v>
      </c>
      <c r="W3442" s="2" t="s">
        <v>11204</v>
      </c>
    </row>
    <row r="3443" spans="1:23" hidden="1" x14ac:dyDescent="0.45">
      <c r="A3443" s="1" t="s">
        <v>3410</v>
      </c>
      <c r="B3443" t="s">
        <v>6289</v>
      </c>
      <c r="D3443" t="s">
        <v>8061</v>
      </c>
      <c r="E3443" t="s">
        <v>3933</v>
      </c>
      <c r="F3443" t="s">
        <v>10299</v>
      </c>
      <c r="G3443">
        <v>20.6</v>
      </c>
      <c r="H3443" t="s">
        <v>10310</v>
      </c>
      <c r="I3443" t="s">
        <v>10326</v>
      </c>
      <c r="L3443">
        <v>1938</v>
      </c>
      <c r="R3443" t="s">
        <v>11038</v>
      </c>
      <c r="S3443" t="s">
        <v>10310</v>
      </c>
      <c r="U3443" t="s">
        <v>11047</v>
      </c>
      <c r="W3443" s="2" t="s">
        <v>11204</v>
      </c>
    </row>
    <row r="3444" spans="1:23" hidden="1" x14ac:dyDescent="0.45">
      <c r="A3444" s="1" t="s">
        <v>3411</v>
      </c>
      <c r="B3444" t="s">
        <v>6313</v>
      </c>
      <c r="D3444" t="s">
        <v>8061</v>
      </c>
      <c r="E3444" t="s">
        <v>4017</v>
      </c>
      <c r="F3444" t="s">
        <v>10299</v>
      </c>
      <c r="G3444">
        <v>40</v>
      </c>
      <c r="H3444" t="s">
        <v>10310</v>
      </c>
      <c r="I3444" t="s">
        <v>10326</v>
      </c>
      <c r="L3444">
        <v>1975</v>
      </c>
      <c r="R3444" t="s">
        <v>11038</v>
      </c>
      <c r="S3444" t="s">
        <v>10310</v>
      </c>
      <c r="U3444" t="s">
        <v>11050</v>
      </c>
      <c r="W3444" s="2" t="s">
        <v>11204</v>
      </c>
    </row>
    <row r="3445" spans="1:23" hidden="1" x14ac:dyDescent="0.45">
      <c r="A3445" s="1" t="s">
        <v>3412</v>
      </c>
      <c r="B3445" t="s">
        <v>6463</v>
      </c>
      <c r="D3445" t="s">
        <v>8037</v>
      </c>
      <c r="E3445" t="s">
        <v>9629</v>
      </c>
      <c r="F3445" t="s">
        <v>10299</v>
      </c>
      <c r="G3445">
        <v>1.08</v>
      </c>
      <c r="H3445" t="s">
        <v>10310</v>
      </c>
      <c r="I3445" t="s">
        <v>10326</v>
      </c>
      <c r="L3445">
        <v>2001</v>
      </c>
      <c r="R3445" t="s">
        <v>11038</v>
      </c>
      <c r="S3445" t="s">
        <v>10310</v>
      </c>
      <c r="U3445" t="s">
        <v>11047</v>
      </c>
      <c r="W3445" s="2" t="s">
        <v>11204</v>
      </c>
    </row>
    <row r="3446" spans="1:23" hidden="1" x14ac:dyDescent="0.45">
      <c r="A3446" s="1" t="s">
        <v>3413</v>
      </c>
      <c r="B3446" t="s">
        <v>6281</v>
      </c>
      <c r="D3446" t="s">
        <v>8030</v>
      </c>
      <c r="E3446" t="s">
        <v>9623</v>
      </c>
      <c r="F3446" t="s">
        <v>10299</v>
      </c>
      <c r="G3446">
        <v>5.49</v>
      </c>
      <c r="H3446" t="s">
        <v>10310</v>
      </c>
      <c r="I3446" t="s">
        <v>10326</v>
      </c>
      <c r="L3446">
        <v>2014</v>
      </c>
      <c r="R3446" t="s">
        <v>11038</v>
      </c>
      <c r="S3446" t="s">
        <v>10310</v>
      </c>
      <c r="U3446" t="s">
        <v>11049</v>
      </c>
      <c r="W3446" s="2" t="s">
        <v>11204</v>
      </c>
    </row>
    <row r="3447" spans="1:23" hidden="1" x14ac:dyDescent="0.45">
      <c r="A3447" s="1" t="s">
        <v>3414</v>
      </c>
      <c r="B3447" t="s">
        <v>6430</v>
      </c>
      <c r="D3447" t="s">
        <v>8051</v>
      </c>
      <c r="E3447" t="s">
        <v>9735</v>
      </c>
      <c r="F3447" t="s">
        <v>10299</v>
      </c>
      <c r="G3447">
        <v>4.95</v>
      </c>
      <c r="H3447" t="s">
        <v>10310</v>
      </c>
      <c r="I3447" t="s">
        <v>10326</v>
      </c>
      <c r="L3447">
        <v>2007</v>
      </c>
      <c r="R3447" t="s">
        <v>11038</v>
      </c>
      <c r="S3447" t="s">
        <v>10310</v>
      </c>
      <c r="U3447" t="s">
        <v>11047</v>
      </c>
      <c r="W3447" s="2" t="s">
        <v>11204</v>
      </c>
    </row>
    <row r="3448" spans="1:23" hidden="1" x14ac:dyDescent="0.45">
      <c r="A3448" s="1" t="s">
        <v>3415</v>
      </c>
      <c r="B3448" t="s">
        <v>6274</v>
      </c>
      <c r="D3448" t="s">
        <v>8074</v>
      </c>
      <c r="E3448" t="s">
        <v>9763</v>
      </c>
      <c r="F3448" t="s">
        <v>10299</v>
      </c>
      <c r="G3448">
        <v>2.35</v>
      </c>
      <c r="H3448" t="s">
        <v>10310</v>
      </c>
      <c r="I3448" t="s">
        <v>10326</v>
      </c>
      <c r="L3448">
        <v>2013</v>
      </c>
      <c r="R3448" t="s">
        <v>11038</v>
      </c>
      <c r="S3448" t="s">
        <v>10310</v>
      </c>
      <c r="U3448" t="s">
        <v>11048</v>
      </c>
      <c r="W3448" s="2" t="s">
        <v>11204</v>
      </c>
    </row>
    <row r="3449" spans="1:23" hidden="1" x14ac:dyDescent="0.45">
      <c r="A3449" s="1" t="s">
        <v>3416</v>
      </c>
      <c r="B3449" t="s">
        <v>6311</v>
      </c>
      <c r="D3449" t="s">
        <v>8059</v>
      </c>
      <c r="E3449" t="s">
        <v>9663</v>
      </c>
      <c r="F3449" t="s">
        <v>10299</v>
      </c>
      <c r="G3449">
        <v>1.43</v>
      </c>
      <c r="H3449" t="s">
        <v>10310</v>
      </c>
      <c r="I3449" t="s">
        <v>10326</v>
      </c>
      <c r="L3449">
        <v>2009</v>
      </c>
      <c r="R3449" t="s">
        <v>11038</v>
      </c>
      <c r="S3449" t="s">
        <v>10310</v>
      </c>
      <c r="U3449" t="s">
        <v>11046</v>
      </c>
      <c r="W3449" s="2" t="s">
        <v>11204</v>
      </c>
    </row>
    <row r="3450" spans="1:23" hidden="1" x14ac:dyDescent="0.45">
      <c r="A3450" s="1" t="s">
        <v>3417</v>
      </c>
      <c r="B3450" t="s">
        <v>6464</v>
      </c>
      <c r="D3450" t="s">
        <v>8050</v>
      </c>
      <c r="E3450" t="s">
        <v>9645</v>
      </c>
      <c r="F3450" t="s">
        <v>10299</v>
      </c>
      <c r="G3450">
        <v>0.62</v>
      </c>
      <c r="H3450" t="s">
        <v>10310</v>
      </c>
      <c r="I3450" t="s">
        <v>10326</v>
      </c>
      <c r="L3450">
        <v>2004</v>
      </c>
      <c r="R3450" t="s">
        <v>11038</v>
      </c>
      <c r="S3450" t="s">
        <v>10310</v>
      </c>
      <c r="U3450" t="s">
        <v>11050</v>
      </c>
      <c r="W3450" s="2" t="s">
        <v>11204</v>
      </c>
    </row>
    <row r="3451" spans="1:23" hidden="1" x14ac:dyDescent="0.45">
      <c r="A3451" s="1" t="s">
        <v>3418</v>
      </c>
      <c r="B3451" t="s">
        <v>6465</v>
      </c>
      <c r="D3451" t="s">
        <v>8083</v>
      </c>
      <c r="E3451" t="s">
        <v>9760</v>
      </c>
      <c r="F3451" t="s">
        <v>10299</v>
      </c>
      <c r="G3451">
        <v>1.7689999999999999</v>
      </c>
      <c r="H3451" t="s">
        <v>10310</v>
      </c>
      <c r="I3451" t="s">
        <v>10326</v>
      </c>
      <c r="L3451">
        <v>2011</v>
      </c>
      <c r="R3451" t="s">
        <v>11038</v>
      </c>
      <c r="S3451" t="s">
        <v>10310</v>
      </c>
      <c r="U3451" t="s">
        <v>11047</v>
      </c>
      <c r="W3451" s="2" t="s">
        <v>11204</v>
      </c>
    </row>
    <row r="3452" spans="1:23" hidden="1" x14ac:dyDescent="0.45">
      <c r="A3452" s="1" t="s">
        <v>3419</v>
      </c>
      <c r="B3452" t="s">
        <v>6298</v>
      </c>
      <c r="D3452" t="s">
        <v>8041</v>
      </c>
      <c r="E3452" t="s">
        <v>9764</v>
      </c>
      <c r="F3452" t="s">
        <v>10299</v>
      </c>
      <c r="G3452">
        <v>15</v>
      </c>
      <c r="H3452" t="s">
        <v>10310</v>
      </c>
      <c r="I3452" t="s">
        <v>10326</v>
      </c>
      <c r="L3452">
        <v>1971</v>
      </c>
      <c r="R3452" t="s">
        <v>11038</v>
      </c>
      <c r="S3452" t="s">
        <v>10310</v>
      </c>
      <c r="U3452" t="s">
        <v>11050</v>
      </c>
      <c r="W3452" s="2" t="s">
        <v>11204</v>
      </c>
    </row>
    <row r="3453" spans="1:23" hidden="1" x14ac:dyDescent="0.45">
      <c r="A3453" s="1" t="s">
        <v>3420</v>
      </c>
      <c r="B3453" t="s">
        <v>6466</v>
      </c>
      <c r="D3453" t="s">
        <v>8068</v>
      </c>
      <c r="E3453" t="s">
        <v>9765</v>
      </c>
      <c r="F3453" t="s">
        <v>10299</v>
      </c>
      <c r="G3453">
        <v>4.8</v>
      </c>
      <c r="H3453" t="s">
        <v>10310</v>
      </c>
      <c r="I3453" t="s">
        <v>10326</v>
      </c>
      <c r="L3453">
        <v>1952</v>
      </c>
      <c r="R3453" t="s">
        <v>11038</v>
      </c>
      <c r="S3453" t="s">
        <v>10310</v>
      </c>
      <c r="U3453" t="s">
        <v>11048</v>
      </c>
      <c r="W3453" s="2" t="s">
        <v>11204</v>
      </c>
    </row>
    <row r="3454" spans="1:23" hidden="1" x14ac:dyDescent="0.45">
      <c r="A3454" s="1" t="s">
        <v>3421</v>
      </c>
      <c r="B3454" t="s">
        <v>6467</v>
      </c>
      <c r="D3454" t="s">
        <v>8070</v>
      </c>
      <c r="E3454" t="s">
        <v>4102</v>
      </c>
      <c r="F3454" t="s">
        <v>10299</v>
      </c>
      <c r="G3454">
        <v>0.09</v>
      </c>
      <c r="H3454" t="s">
        <v>10310</v>
      </c>
      <c r="I3454" t="s">
        <v>10326</v>
      </c>
      <c r="L3454">
        <v>2007</v>
      </c>
      <c r="R3454" t="s">
        <v>11038</v>
      </c>
      <c r="S3454" t="s">
        <v>10310</v>
      </c>
      <c r="U3454" t="s">
        <v>11048</v>
      </c>
      <c r="W3454" s="2" t="s">
        <v>11204</v>
      </c>
    </row>
    <row r="3455" spans="1:23" hidden="1" x14ac:dyDescent="0.45">
      <c r="A3455" s="1" t="s">
        <v>3422</v>
      </c>
      <c r="B3455" t="s">
        <v>6281</v>
      </c>
      <c r="D3455" t="s">
        <v>8025</v>
      </c>
      <c r="E3455" t="s">
        <v>9693</v>
      </c>
      <c r="F3455" t="s">
        <v>10299</v>
      </c>
      <c r="G3455">
        <v>1.5</v>
      </c>
      <c r="H3455" t="s">
        <v>10310</v>
      </c>
      <c r="I3455" t="s">
        <v>10326</v>
      </c>
      <c r="L3455">
        <v>1987</v>
      </c>
      <c r="R3455" t="s">
        <v>11038</v>
      </c>
      <c r="S3455" t="s">
        <v>10310</v>
      </c>
      <c r="U3455" t="s">
        <v>11050</v>
      </c>
      <c r="W3455" s="2" t="s">
        <v>11204</v>
      </c>
    </row>
    <row r="3456" spans="1:23" hidden="1" x14ac:dyDescent="0.45">
      <c r="A3456" s="1" t="s">
        <v>3423</v>
      </c>
      <c r="B3456" t="s">
        <v>6468</v>
      </c>
      <c r="D3456" t="s">
        <v>8046</v>
      </c>
      <c r="E3456" t="s">
        <v>9640</v>
      </c>
      <c r="F3456" t="s">
        <v>10299</v>
      </c>
      <c r="G3456">
        <v>2</v>
      </c>
      <c r="H3456" t="s">
        <v>10310</v>
      </c>
      <c r="I3456" t="s">
        <v>10326</v>
      </c>
      <c r="L3456">
        <v>2004</v>
      </c>
      <c r="R3456" t="s">
        <v>11038</v>
      </c>
      <c r="S3456" t="s">
        <v>10310</v>
      </c>
      <c r="U3456" t="s">
        <v>11047</v>
      </c>
      <c r="W3456" s="2" t="s">
        <v>11204</v>
      </c>
    </row>
    <row r="3457" spans="1:23" hidden="1" x14ac:dyDescent="0.45">
      <c r="A3457" s="1" t="s">
        <v>3424</v>
      </c>
      <c r="B3457" t="s">
        <v>6469</v>
      </c>
      <c r="D3457" t="s">
        <v>8084</v>
      </c>
      <c r="E3457" t="s">
        <v>9766</v>
      </c>
      <c r="F3457" t="s">
        <v>10299</v>
      </c>
      <c r="G3457">
        <v>3</v>
      </c>
      <c r="H3457" t="s">
        <v>10310</v>
      </c>
      <c r="I3457" t="s">
        <v>10326</v>
      </c>
      <c r="L3457">
        <v>1905</v>
      </c>
      <c r="R3457" t="s">
        <v>11038</v>
      </c>
      <c r="S3457" t="s">
        <v>10310</v>
      </c>
      <c r="U3457" t="s">
        <v>11047</v>
      </c>
      <c r="W3457" s="2" t="s">
        <v>11204</v>
      </c>
    </row>
    <row r="3458" spans="1:23" hidden="1" x14ac:dyDescent="0.45">
      <c r="A3458" s="1" t="s">
        <v>3425</v>
      </c>
      <c r="B3458" t="s">
        <v>6470</v>
      </c>
      <c r="D3458" t="s">
        <v>8036</v>
      </c>
      <c r="E3458" t="s">
        <v>4471</v>
      </c>
      <c r="F3458" t="s">
        <v>10299</v>
      </c>
      <c r="G3458">
        <v>7.2</v>
      </c>
      <c r="H3458" t="s">
        <v>10310</v>
      </c>
      <c r="I3458" t="s">
        <v>10326</v>
      </c>
      <c r="L3458">
        <v>1996</v>
      </c>
      <c r="R3458" t="s">
        <v>11038</v>
      </c>
      <c r="S3458" t="s">
        <v>10310</v>
      </c>
      <c r="U3458" t="s">
        <v>11046</v>
      </c>
      <c r="W3458" s="2" t="s">
        <v>11204</v>
      </c>
    </row>
    <row r="3459" spans="1:23" hidden="1" x14ac:dyDescent="0.45">
      <c r="A3459" s="1" t="s">
        <v>3426</v>
      </c>
      <c r="B3459" t="s">
        <v>6445</v>
      </c>
      <c r="D3459" t="s">
        <v>8073</v>
      </c>
      <c r="E3459" t="s">
        <v>9767</v>
      </c>
      <c r="F3459" t="s">
        <v>10299</v>
      </c>
      <c r="G3459">
        <v>3</v>
      </c>
      <c r="H3459" t="s">
        <v>10310</v>
      </c>
      <c r="I3459" t="s">
        <v>10326</v>
      </c>
      <c r="L3459">
        <v>1910</v>
      </c>
      <c r="R3459" t="s">
        <v>11038</v>
      </c>
      <c r="S3459" t="s">
        <v>10310</v>
      </c>
      <c r="U3459" t="s">
        <v>11048</v>
      </c>
      <c r="W3459" s="2" t="s">
        <v>11204</v>
      </c>
    </row>
    <row r="3460" spans="1:23" hidden="1" x14ac:dyDescent="0.45">
      <c r="A3460" s="1" t="s">
        <v>3427</v>
      </c>
      <c r="B3460" t="s">
        <v>6445</v>
      </c>
      <c r="D3460" t="s">
        <v>8073</v>
      </c>
      <c r="E3460" t="s">
        <v>9767</v>
      </c>
      <c r="F3460" t="s">
        <v>10299</v>
      </c>
      <c r="G3460">
        <v>0.95</v>
      </c>
      <c r="H3460" t="s">
        <v>10310</v>
      </c>
      <c r="I3460" t="s">
        <v>10326</v>
      </c>
      <c r="L3460">
        <v>1949</v>
      </c>
      <c r="R3460" t="s">
        <v>11038</v>
      </c>
      <c r="S3460" t="s">
        <v>10310</v>
      </c>
      <c r="U3460" t="s">
        <v>11048</v>
      </c>
      <c r="W3460" s="2" t="s">
        <v>11204</v>
      </c>
    </row>
    <row r="3461" spans="1:23" hidden="1" x14ac:dyDescent="0.45">
      <c r="A3461" s="1" t="s">
        <v>3428</v>
      </c>
      <c r="B3461" t="s">
        <v>6471</v>
      </c>
      <c r="D3461" t="s">
        <v>8056</v>
      </c>
      <c r="E3461" t="s">
        <v>9688</v>
      </c>
      <c r="F3461" t="s">
        <v>10299</v>
      </c>
      <c r="G3461">
        <v>1.72</v>
      </c>
      <c r="H3461" t="s">
        <v>10310</v>
      </c>
      <c r="I3461" t="s">
        <v>10326</v>
      </c>
      <c r="L3461">
        <v>2007</v>
      </c>
      <c r="R3461" t="s">
        <v>11038</v>
      </c>
      <c r="S3461" t="s">
        <v>10310</v>
      </c>
      <c r="U3461" t="s">
        <v>11047</v>
      </c>
      <c r="W3461" s="2" t="s">
        <v>11204</v>
      </c>
    </row>
    <row r="3462" spans="1:23" hidden="1" x14ac:dyDescent="0.45">
      <c r="A3462" s="1" t="s">
        <v>3429</v>
      </c>
      <c r="B3462" t="s">
        <v>6472</v>
      </c>
      <c r="D3462" t="s">
        <v>8080</v>
      </c>
      <c r="E3462" t="s">
        <v>9729</v>
      </c>
      <c r="F3462" t="s">
        <v>10299</v>
      </c>
      <c r="G3462">
        <v>1.2749999999999999</v>
      </c>
      <c r="H3462" t="s">
        <v>10310</v>
      </c>
      <c r="I3462" t="s">
        <v>10326</v>
      </c>
      <c r="L3462">
        <v>2005</v>
      </c>
      <c r="R3462" t="s">
        <v>11038</v>
      </c>
      <c r="S3462" t="s">
        <v>10310</v>
      </c>
      <c r="U3462" t="s">
        <v>11049</v>
      </c>
      <c r="W3462" s="2" t="s">
        <v>11204</v>
      </c>
    </row>
    <row r="3463" spans="1:23" hidden="1" x14ac:dyDescent="0.45">
      <c r="A3463" s="1" t="s">
        <v>3430</v>
      </c>
      <c r="B3463" t="s">
        <v>6298</v>
      </c>
      <c r="D3463" t="s">
        <v>8037</v>
      </c>
      <c r="E3463" t="s">
        <v>9726</v>
      </c>
      <c r="F3463" t="s">
        <v>10299</v>
      </c>
      <c r="G3463">
        <v>13.5</v>
      </c>
      <c r="H3463" t="s">
        <v>10310</v>
      </c>
      <c r="I3463" t="s">
        <v>10326</v>
      </c>
      <c r="L3463">
        <v>1961</v>
      </c>
      <c r="R3463" t="s">
        <v>11038</v>
      </c>
      <c r="S3463" t="s">
        <v>10310</v>
      </c>
      <c r="U3463" t="s">
        <v>11050</v>
      </c>
      <c r="W3463" s="2" t="s">
        <v>11204</v>
      </c>
    </row>
    <row r="3464" spans="1:23" hidden="1" x14ac:dyDescent="0.45">
      <c r="A3464" s="1" t="s">
        <v>3431</v>
      </c>
      <c r="B3464" t="s">
        <v>6473</v>
      </c>
      <c r="D3464" t="s">
        <v>8030</v>
      </c>
      <c r="E3464" t="s">
        <v>9623</v>
      </c>
      <c r="F3464" t="s">
        <v>10299</v>
      </c>
      <c r="G3464">
        <v>4.62</v>
      </c>
      <c r="H3464" t="s">
        <v>10310</v>
      </c>
      <c r="I3464" t="s">
        <v>10326</v>
      </c>
      <c r="L3464">
        <v>2018</v>
      </c>
      <c r="R3464" t="s">
        <v>11038</v>
      </c>
      <c r="S3464" t="s">
        <v>10310</v>
      </c>
      <c r="U3464" t="s">
        <v>11049</v>
      </c>
      <c r="W3464" s="2" t="s">
        <v>11204</v>
      </c>
    </row>
    <row r="3465" spans="1:23" hidden="1" x14ac:dyDescent="0.45">
      <c r="A3465" s="1" t="s">
        <v>3432</v>
      </c>
      <c r="B3465" t="s">
        <v>6474</v>
      </c>
      <c r="D3465" t="s">
        <v>8056</v>
      </c>
      <c r="E3465" t="s">
        <v>3440</v>
      </c>
      <c r="F3465" t="s">
        <v>10299</v>
      </c>
      <c r="G3465">
        <v>1.44</v>
      </c>
      <c r="H3465" t="s">
        <v>10310</v>
      </c>
      <c r="I3465" t="s">
        <v>10326</v>
      </c>
      <c r="L3465">
        <v>2001</v>
      </c>
      <c r="R3465" t="s">
        <v>11038</v>
      </c>
      <c r="S3465" t="s">
        <v>10310</v>
      </c>
      <c r="U3465" t="s">
        <v>11046</v>
      </c>
      <c r="W3465" s="2" t="s">
        <v>11204</v>
      </c>
    </row>
    <row r="3466" spans="1:23" hidden="1" x14ac:dyDescent="0.45">
      <c r="A3466" s="1" t="s">
        <v>3433</v>
      </c>
      <c r="B3466" t="s">
        <v>6475</v>
      </c>
      <c r="D3466" t="s">
        <v>8053</v>
      </c>
      <c r="E3466" t="s">
        <v>9743</v>
      </c>
      <c r="F3466" t="s">
        <v>10299</v>
      </c>
      <c r="G3466">
        <v>2.38</v>
      </c>
      <c r="H3466" t="s">
        <v>10310</v>
      </c>
      <c r="I3466" t="s">
        <v>10326</v>
      </c>
      <c r="L3466">
        <v>2008</v>
      </c>
      <c r="R3466" t="s">
        <v>11038</v>
      </c>
      <c r="S3466" t="s">
        <v>10310</v>
      </c>
      <c r="U3466" t="s">
        <v>11049</v>
      </c>
      <c r="W3466" s="2" t="s">
        <v>11204</v>
      </c>
    </row>
    <row r="3467" spans="1:23" hidden="1" x14ac:dyDescent="0.45">
      <c r="A3467" s="1" t="s">
        <v>3434</v>
      </c>
      <c r="B3467" t="s">
        <v>6476</v>
      </c>
      <c r="D3467" t="s">
        <v>8030</v>
      </c>
      <c r="E3467" t="s">
        <v>9768</v>
      </c>
      <c r="F3467" t="s">
        <v>10299</v>
      </c>
      <c r="G3467">
        <v>2.9</v>
      </c>
      <c r="H3467" t="s">
        <v>10310</v>
      </c>
      <c r="I3467" t="s">
        <v>10326</v>
      </c>
      <c r="L3467">
        <v>2009</v>
      </c>
      <c r="R3467" t="s">
        <v>11038</v>
      </c>
      <c r="S3467" t="s">
        <v>10310</v>
      </c>
      <c r="U3467" t="s">
        <v>11047</v>
      </c>
      <c r="W3467" s="2" t="s">
        <v>11204</v>
      </c>
    </row>
    <row r="3468" spans="1:23" hidden="1" x14ac:dyDescent="0.45">
      <c r="A3468" s="1" t="s">
        <v>3435</v>
      </c>
      <c r="B3468" t="s">
        <v>6477</v>
      </c>
      <c r="D3468" t="s">
        <v>8049</v>
      </c>
      <c r="E3468" t="s">
        <v>9769</v>
      </c>
      <c r="F3468" t="s">
        <v>10299</v>
      </c>
      <c r="G3468">
        <v>0.28000000000000003</v>
      </c>
      <c r="H3468" t="s">
        <v>10310</v>
      </c>
      <c r="I3468" t="s">
        <v>10326</v>
      </c>
      <c r="L3468">
        <v>1928</v>
      </c>
      <c r="R3468" t="s">
        <v>11038</v>
      </c>
      <c r="S3468" t="s">
        <v>10310</v>
      </c>
      <c r="U3468" t="s">
        <v>11046</v>
      </c>
      <c r="W3468" s="2" t="s">
        <v>11204</v>
      </c>
    </row>
    <row r="3469" spans="1:23" hidden="1" x14ac:dyDescent="0.45">
      <c r="A3469" s="1" t="s">
        <v>3436</v>
      </c>
      <c r="B3469" t="s">
        <v>6281</v>
      </c>
      <c r="D3469" t="s">
        <v>8034</v>
      </c>
      <c r="E3469" t="s">
        <v>9627</v>
      </c>
      <c r="F3469" t="s">
        <v>10299</v>
      </c>
      <c r="G3469">
        <v>1.7</v>
      </c>
      <c r="H3469" t="s">
        <v>10310</v>
      </c>
      <c r="I3469" t="s">
        <v>10326</v>
      </c>
      <c r="L3469">
        <v>2007</v>
      </c>
      <c r="R3469" t="s">
        <v>11038</v>
      </c>
      <c r="S3469" t="s">
        <v>10310</v>
      </c>
      <c r="U3469" t="s">
        <v>11049</v>
      </c>
      <c r="W3469" s="2" t="s">
        <v>11204</v>
      </c>
    </row>
    <row r="3470" spans="1:23" hidden="1" x14ac:dyDescent="0.45">
      <c r="A3470" s="1" t="s">
        <v>3437</v>
      </c>
      <c r="B3470" t="s">
        <v>6319</v>
      </c>
      <c r="D3470" t="s">
        <v>8049</v>
      </c>
      <c r="E3470" t="s">
        <v>9770</v>
      </c>
      <c r="F3470" t="s">
        <v>10299</v>
      </c>
      <c r="G3470">
        <v>4</v>
      </c>
      <c r="H3470" t="s">
        <v>10310</v>
      </c>
      <c r="I3470" t="s">
        <v>10326</v>
      </c>
      <c r="L3470">
        <v>1954</v>
      </c>
      <c r="R3470" t="s">
        <v>11038</v>
      </c>
      <c r="S3470" t="s">
        <v>10310</v>
      </c>
      <c r="U3470" t="s">
        <v>11047</v>
      </c>
      <c r="W3470" s="2" t="s">
        <v>11204</v>
      </c>
    </row>
    <row r="3471" spans="1:23" hidden="1" x14ac:dyDescent="0.45">
      <c r="A3471" s="1" t="s">
        <v>3438</v>
      </c>
      <c r="D3471" t="s">
        <v>8037</v>
      </c>
      <c r="E3471" t="s">
        <v>9629</v>
      </c>
      <c r="F3471" t="s">
        <v>10299</v>
      </c>
      <c r="G3471">
        <v>1.66E-2</v>
      </c>
      <c r="H3471" t="s">
        <v>10310</v>
      </c>
      <c r="I3471" t="s">
        <v>10326</v>
      </c>
      <c r="L3471">
        <v>2007</v>
      </c>
      <c r="R3471" t="s">
        <v>11038</v>
      </c>
      <c r="S3471" t="s">
        <v>10310</v>
      </c>
      <c r="U3471" t="s">
        <v>11047</v>
      </c>
      <c r="W3471" s="2" t="s">
        <v>11204</v>
      </c>
    </row>
    <row r="3472" spans="1:23" hidden="1" x14ac:dyDescent="0.45">
      <c r="A3472" s="1" t="s">
        <v>3439</v>
      </c>
      <c r="B3472" t="s">
        <v>6478</v>
      </c>
      <c r="D3472" t="s">
        <v>8082</v>
      </c>
      <c r="E3472" t="s">
        <v>9771</v>
      </c>
      <c r="F3472" t="s">
        <v>10299</v>
      </c>
      <c r="G3472">
        <v>0.3</v>
      </c>
      <c r="H3472" t="s">
        <v>10310</v>
      </c>
      <c r="I3472" t="s">
        <v>10326</v>
      </c>
      <c r="L3472">
        <v>2012</v>
      </c>
      <c r="R3472" t="s">
        <v>11038</v>
      </c>
      <c r="S3472" t="s">
        <v>10310</v>
      </c>
      <c r="U3472" t="s">
        <v>11048</v>
      </c>
      <c r="W3472" s="2" t="s">
        <v>11204</v>
      </c>
    </row>
    <row r="3473" spans="1:23" hidden="1" x14ac:dyDescent="0.45">
      <c r="A3473" s="1" t="s">
        <v>3440</v>
      </c>
      <c r="B3473" t="s">
        <v>6479</v>
      </c>
      <c r="D3473" t="s">
        <v>8037</v>
      </c>
      <c r="E3473" t="s">
        <v>9629</v>
      </c>
      <c r="F3473" t="s">
        <v>10299</v>
      </c>
      <c r="G3473">
        <v>3.7</v>
      </c>
      <c r="H3473" t="s">
        <v>10310</v>
      </c>
      <c r="I3473" t="s">
        <v>10326</v>
      </c>
      <c r="L3473">
        <v>2011</v>
      </c>
      <c r="R3473" t="s">
        <v>11038</v>
      </c>
      <c r="S3473" t="s">
        <v>10310</v>
      </c>
      <c r="U3473" t="s">
        <v>11047</v>
      </c>
      <c r="W3473" s="2" t="s">
        <v>11204</v>
      </c>
    </row>
    <row r="3474" spans="1:23" hidden="1" x14ac:dyDescent="0.45">
      <c r="A3474" s="1" t="s">
        <v>3441</v>
      </c>
      <c r="B3474" t="s">
        <v>6480</v>
      </c>
      <c r="D3474" t="s">
        <v>8034</v>
      </c>
      <c r="E3474" t="s">
        <v>9627</v>
      </c>
      <c r="F3474" t="s">
        <v>10299</v>
      </c>
      <c r="G3474">
        <v>2.2000000000000002</v>
      </c>
      <c r="H3474" t="s">
        <v>10310</v>
      </c>
      <c r="I3474" t="s">
        <v>10326</v>
      </c>
      <c r="L3474">
        <v>2007</v>
      </c>
      <c r="R3474" t="s">
        <v>11038</v>
      </c>
      <c r="S3474" t="s">
        <v>10310</v>
      </c>
      <c r="U3474" t="s">
        <v>11049</v>
      </c>
      <c r="W3474" s="2" t="s">
        <v>11204</v>
      </c>
    </row>
    <row r="3475" spans="1:23" hidden="1" x14ac:dyDescent="0.45">
      <c r="A3475" s="1" t="s">
        <v>3442</v>
      </c>
      <c r="B3475" t="s">
        <v>6290</v>
      </c>
      <c r="D3475" t="s">
        <v>8068</v>
      </c>
      <c r="E3475" t="s">
        <v>9696</v>
      </c>
      <c r="F3475" t="s">
        <v>10299</v>
      </c>
      <c r="G3475">
        <v>10</v>
      </c>
      <c r="H3475" t="s">
        <v>10310</v>
      </c>
      <c r="I3475" t="s">
        <v>10326</v>
      </c>
      <c r="L3475">
        <v>1957</v>
      </c>
      <c r="R3475" t="s">
        <v>11038</v>
      </c>
      <c r="S3475" t="s">
        <v>10310</v>
      </c>
      <c r="U3475" t="s">
        <v>11049</v>
      </c>
      <c r="W3475" s="2" t="s">
        <v>11204</v>
      </c>
    </row>
    <row r="3476" spans="1:23" hidden="1" x14ac:dyDescent="0.45">
      <c r="A3476" s="1" t="s">
        <v>3443</v>
      </c>
      <c r="B3476" t="s">
        <v>6481</v>
      </c>
      <c r="D3476" t="s">
        <v>8036</v>
      </c>
      <c r="E3476" t="s">
        <v>9637</v>
      </c>
      <c r="F3476" t="s">
        <v>10299</v>
      </c>
      <c r="G3476">
        <v>3.2</v>
      </c>
      <c r="H3476" t="s">
        <v>10310</v>
      </c>
      <c r="I3476" t="s">
        <v>10326</v>
      </c>
      <c r="L3476">
        <v>2018</v>
      </c>
      <c r="R3476" t="s">
        <v>11038</v>
      </c>
      <c r="S3476" t="s">
        <v>10310</v>
      </c>
      <c r="U3476" t="s">
        <v>11046</v>
      </c>
      <c r="W3476" s="2" t="s">
        <v>11204</v>
      </c>
    </row>
    <row r="3477" spans="1:23" hidden="1" x14ac:dyDescent="0.45">
      <c r="A3477" s="1" t="s">
        <v>3444</v>
      </c>
      <c r="B3477" t="s">
        <v>6482</v>
      </c>
      <c r="D3477" t="s">
        <v>8063</v>
      </c>
      <c r="E3477" t="s">
        <v>9668</v>
      </c>
      <c r="F3477" t="s">
        <v>10299</v>
      </c>
      <c r="G3477">
        <v>9.5000000000000001E-2</v>
      </c>
      <c r="H3477" t="s">
        <v>10310</v>
      </c>
      <c r="I3477" t="s">
        <v>10326</v>
      </c>
      <c r="L3477">
        <v>2006</v>
      </c>
      <c r="R3477" t="s">
        <v>11038</v>
      </c>
      <c r="S3477" t="s">
        <v>10310</v>
      </c>
      <c r="U3477" t="s">
        <v>11046</v>
      </c>
      <c r="W3477" s="2" t="s">
        <v>11204</v>
      </c>
    </row>
    <row r="3478" spans="1:23" hidden="1" x14ac:dyDescent="0.45">
      <c r="A3478" s="1" t="s">
        <v>3445</v>
      </c>
      <c r="B3478" t="s">
        <v>6483</v>
      </c>
      <c r="D3478" t="s">
        <v>8056</v>
      </c>
      <c r="E3478" t="s">
        <v>4694</v>
      </c>
      <c r="F3478" t="s">
        <v>10299</v>
      </c>
      <c r="G3478">
        <v>2.1</v>
      </c>
      <c r="H3478" t="s">
        <v>10310</v>
      </c>
      <c r="I3478" t="s">
        <v>10326</v>
      </c>
      <c r="L3478">
        <v>2009</v>
      </c>
      <c r="R3478" t="s">
        <v>11038</v>
      </c>
      <c r="S3478" t="s">
        <v>10310</v>
      </c>
      <c r="U3478" t="s">
        <v>11050</v>
      </c>
      <c r="W3478" s="2" t="s">
        <v>11204</v>
      </c>
    </row>
    <row r="3479" spans="1:23" hidden="1" x14ac:dyDescent="0.45">
      <c r="A3479" s="1" t="s">
        <v>3446</v>
      </c>
      <c r="D3479" t="s">
        <v>8055</v>
      </c>
      <c r="E3479" t="s">
        <v>9702</v>
      </c>
      <c r="F3479" t="s">
        <v>10299</v>
      </c>
      <c r="G3479">
        <v>7.4999999999999997E-2</v>
      </c>
      <c r="H3479" t="s">
        <v>10310</v>
      </c>
      <c r="I3479" t="s">
        <v>10326</v>
      </c>
      <c r="L3479">
        <v>2000</v>
      </c>
      <c r="R3479" t="s">
        <v>11038</v>
      </c>
      <c r="S3479" t="s">
        <v>10310</v>
      </c>
      <c r="U3479" t="s">
        <v>11047</v>
      </c>
      <c r="W3479" s="2" t="s">
        <v>11204</v>
      </c>
    </row>
    <row r="3480" spans="1:23" hidden="1" x14ac:dyDescent="0.45">
      <c r="A3480" s="1" t="s">
        <v>3447</v>
      </c>
      <c r="B3480" t="s">
        <v>6274</v>
      </c>
      <c r="D3480" t="s">
        <v>8074</v>
      </c>
      <c r="E3480" t="s">
        <v>9763</v>
      </c>
      <c r="F3480" t="s">
        <v>10299</v>
      </c>
      <c r="G3480">
        <v>20</v>
      </c>
      <c r="H3480" t="s">
        <v>10310</v>
      </c>
      <c r="I3480" t="s">
        <v>10326</v>
      </c>
      <c r="L3480">
        <v>1920</v>
      </c>
      <c r="R3480" t="s">
        <v>11038</v>
      </c>
      <c r="S3480" t="s">
        <v>10310</v>
      </c>
      <c r="U3480" t="s">
        <v>11048</v>
      </c>
      <c r="W3480" s="2" t="s">
        <v>11204</v>
      </c>
    </row>
    <row r="3481" spans="1:23" hidden="1" x14ac:dyDescent="0.45">
      <c r="A3481" s="1" t="s">
        <v>3448</v>
      </c>
      <c r="B3481" t="s">
        <v>6484</v>
      </c>
      <c r="D3481" t="s">
        <v>8026</v>
      </c>
      <c r="E3481" t="s">
        <v>9619</v>
      </c>
      <c r="F3481" t="s">
        <v>10299</v>
      </c>
      <c r="G3481">
        <v>0.34899999999999998</v>
      </c>
      <c r="H3481" t="s">
        <v>10310</v>
      </c>
      <c r="I3481" t="s">
        <v>10326</v>
      </c>
      <c r="L3481">
        <v>2001</v>
      </c>
      <c r="R3481" t="s">
        <v>11038</v>
      </c>
      <c r="S3481" t="s">
        <v>10310</v>
      </c>
      <c r="U3481" t="s">
        <v>11047</v>
      </c>
      <c r="W3481" s="2" t="s">
        <v>11204</v>
      </c>
    </row>
    <row r="3482" spans="1:23" hidden="1" x14ac:dyDescent="0.45">
      <c r="A3482" s="1" t="s">
        <v>3449</v>
      </c>
      <c r="B3482" t="s">
        <v>6485</v>
      </c>
      <c r="D3482" t="s">
        <v>8042</v>
      </c>
      <c r="E3482" t="s">
        <v>1588</v>
      </c>
      <c r="F3482" t="s">
        <v>10299</v>
      </c>
      <c r="G3482">
        <v>0.85</v>
      </c>
      <c r="H3482" t="s">
        <v>10310</v>
      </c>
      <c r="I3482" t="s">
        <v>10326</v>
      </c>
      <c r="L3482">
        <v>2009</v>
      </c>
      <c r="R3482" t="s">
        <v>11038</v>
      </c>
      <c r="S3482" t="s">
        <v>10310</v>
      </c>
      <c r="U3482" t="s">
        <v>11047</v>
      </c>
      <c r="W3482" s="2" t="s">
        <v>11204</v>
      </c>
    </row>
    <row r="3483" spans="1:23" hidden="1" x14ac:dyDescent="0.45">
      <c r="A3483" s="1" t="s">
        <v>3450</v>
      </c>
      <c r="B3483" t="s">
        <v>6312</v>
      </c>
      <c r="D3483" t="s">
        <v>8028</v>
      </c>
      <c r="E3483" t="s">
        <v>9621</v>
      </c>
      <c r="F3483" t="s">
        <v>10299</v>
      </c>
      <c r="G3483">
        <v>0.52</v>
      </c>
      <c r="H3483" t="s">
        <v>10310</v>
      </c>
      <c r="I3483" t="s">
        <v>10326</v>
      </c>
      <c r="L3483">
        <v>2015</v>
      </c>
      <c r="R3483" t="s">
        <v>11038</v>
      </c>
      <c r="S3483" t="s">
        <v>10310</v>
      </c>
      <c r="U3483" t="s">
        <v>11046</v>
      </c>
      <c r="W3483" s="2" t="s">
        <v>11204</v>
      </c>
    </row>
    <row r="3484" spans="1:23" hidden="1" x14ac:dyDescent="0.45">
      <c r="A3484" s="1" t="s">
        <v>3451</v>
      </c>
      <c r="B3484" t="s">
        <v>6486</v>
      </c>
      <c r="D3484" t="s">
        <v>8030</v>
      </c>
      <c r="E3484" t="s">
        <v>9623</v>
      </c>
      <c r="F3484" t="s">
        <v>10299</v>
      </c>
      <c r="G3484">
        <v>4.04</v>
      </c>
      <c r="H3484" t="s">
        <v>10310</v>
      </c>
      <c r="I3484" t="s">
        <v>10326</v>
      </c>
      <c r="L3484">
        <v>2016</v>
      </c>
      <c r="R3484" t="s">
        <v>11038</v>
      </c>
      <c r="S3484" t="s">
        <v>10310</v>
      </c>
      <c r="U3484" t="s">
        <v>11049</v>
      </c>
      <c r="W3484" s="2" t="s">
        <v>11204</v>
      </c>
    </row>
    <row r="3485" spans="1:23" hidden="1" x14ac:dyDescent="0.45">
      <c r="A3485" s="1" t="s">
        <v>3452</v>
      </c>
      <c r="B3485" t="s">
        <v>6374</v>
      </c>
      <c r="D3485" t="s">
        <v>8042</v>
      </c>
      <c r="E3485" t="s">
        <v>9634</v>
      </c>
      <c r="F3485" t="s">
        <v>10299</v>
      </c>
      <c r="G3485">
        <v>26.8</v>
      </c>
      <c r="H3485" t="s">
        <v>10310</v>
      </c>
      <c r="I3485" t="s">
        <v>10326</v>
      </c>
      <c r="L3485">
        <v>2016</v>
      </c>
      <c r="R3485" t="s">
        <v>11038</v>
      </c>
      <c r="S3485" t="s">
        <v>10310</v>
      </c>
      <c r="U3485" t="s">
        <v>11048</v>
      </c>
      <c r="W3485" s="2" t="s">
        <v>11204</v>
      </c>
    </row>
    <row r="3486" spans="1:23" hidden="1" x14ac:dyDescent="0.45">
      <c r="A3486" s="1" t="s">
        <v>3453</v>
      </c>
      <c r="B3486" t="s">
        <v>6344</v>
      </c>
      <c r="D3486" t="s">
        <v>8056</v>
      </c>
      <c r="E3486" t="s">
        <v>9688</v>
      </c>
      <c r="F3486" t="s">
        <v>10299</v>
      </c>
      <c r="G3486">
        <v>75</v>
      </c>
      <c r="H3486" t="s">
        <v>10310</v>
      </c>
      <c r="I3486" t="s">
        <v>10326</v>
      </c>
      <c r="L3486">
        <v>1982</v>
      </c>
      <c r="R3486" t="s">
        <v>11038</v>
      </c>
      <c r="S3486" t="s">
        <v>10310</v>
      </c>
      <c r="U3486" t="s">
        <v>11047</v>
      </c>
      <c r="W3486" s="2" t="s">
        <v>11204</v>
      </c>
    </row>
    <row r="3487" spans="1:23" hidden="1" x14ac:dyDescent="0.45">
      <c r="A3487" s="1" t="s">
        <v>3454</v>
      </c>
      <c r="B3487" t="s">
        <v>6274</v>
      </c>
      <c r="D3487" t="s">
        <v>8031</v>
      </c>
      <c r="E3487" t="s">
        <v>9772</v>
      </c>
      <c r="F3487" t="s">
        <v>10299</v>
      </c>
      <c r="G3487">
        <v>0.3</v>
      </c>
      <c r="H3487" t="s">
        <v>10310</v>
      </c>
      <c r="I3487" t="s">
        <v>10324</v>
      </c>
      <c r="L3487">
        <v>2016</v>
      </c>
      <c r="R3487" t="s">
        <v>11038</v>
      </c>
      <c r="S3487" t="s">
        <v>10310</v>
      </c>
      <c r="U3487" t="s">
        <v>11049</v>
      </c>
      <c r="V3487" t="s">
        <v>11182</v>
      </c>
      <c r="W3487" s="2" t="s">
        <v>11204</v>
      </c>
    </row>
    <row r="3488" spans="1:23" hidden="1" x14ac:dyDescent="0.45">
      <c r="A3488" s="1" t="s">
        <v>3455</v>
      </c>
      <c r="B3488" t="s">
        <v>6487</v>
      </c>
      <c r="D3488" t="s">
        <v>8063</v>
      </c>
      <c r="E3488" t="s">
        <v>9727</v>
      </c>
      <c r="F3488" t="s">
        <v>10299</v>
      </c>
      <c r="G3488">
        <v>0.64200000000000002</v>
      </c>
      <c r="H3488" t="s">
        <v>10310</v>
      </c>
      <c r="I3488" t="s">
        <v>10326</v>
      </c>
      <c r="L3488">
        <v>2000</v>
      </c>
      <c r="R3488" t="s">
        <v>11038</v>
      </c>
      <c r="S3488" t="s">
        <v>10310</v>
      </c>
      <c r="U3488" t="s">
        <v>11049</v>
      </c>
      <c r="W3488" s="2" t="s">
        <v>11204</v>
      </c>
    </row>
    <row r="3489" spans="1:23" hidden="1" x14ac:dyDescent="0.45">
      <c r="A3489" s="1" t="s">
        <v>3456</v>
      </c>
      <c r="B3489" t="s">
        <v>6488</v>
      </c>
      <c r="D3489" t="s">
        <v>8047</v>
      </c>
      <c r="E3489" t="s">
        <v>9680</v>
      </c>
      <c r="F3489" t="s">
        <v>10299</v>
      </c>
      <c r="G3489">
        <v>2.1</v>
      </c>
      <c r="H3489" t="s">
        <v>10310</v>
      </c>
      <c r="I3489" t="s">
        <v>10326</v>
      </c>
      <c r="L3489">
        <v>2009</v>
      </c>
      <c r="R3489" t="s">
        <v>11038</v>
      </c>
      <c r="S3489" t="s">
        <v>10310</v>
      </c>
      <c r="U3489" t="s">
        <v>11047</v>
      </c>
      <c r="W3489" s="2" t="s">
        <v>11204</v>
      </c>
    </row>
    <row r="3490" spans="1:23" hidden="1" x14ac:dyDescent="0.45">
      <c r="A3490" s="1" t="s">
        <v>3457</v>
      </c>
      <c r="B3490" t="s">
        <v>6298</v>
      </c>
      <c r="D3490" t="s">
        <v>8037</v>
      </c>
      <c r="E3490" t="s">
        <v>9726</v>
      </c>
      <c r="F3490" t="s">
        <v>10299</v>
      </c>
      <c r="G3490">
        <v>18.600000000000001</v>
      </c>
      <c r="H3490" t="s">
        <v>10310</v>
      </c>
      <c r="I3490" t="s">
        <v>10326</v>
      </c>
      <c r="L3490">
        <v>1931</v>
      </c>
      <c r="R3490" t="s">
        <v>11038</v>
      </c>
      <c r="S3490" t="s">
        <v>10310</v>
      </c>
      <c r="U3490" t="s">
        <v>11050</v>
      </c>
      <c r="W3490" s="2" t="s">
        <v>11204</v>
      </c>
    </row>
    <row r="3491" spans="1:23" hidden="1" x14ac:dyDescent="0.45">
      <c r="A3491" s="1" t="s">
        <v>3458</v>
      </c>
      <c r="B3491" t="s">
        <v>6298</v>
      </c>
      <c r="D3491" t="s">
        <v>8037</v>
      </c>
      <c r="E3491" t="s">
        <v>9726</v>
      </c>
      <c r="F3491" t="s">
        <v>10299</v>
      </c>
      <c r="G3491">
        <v>30.2</v>
      </c>
      <c r="H3491" t="s">
        <v>10310</v>
      </c>
      <c r="I3491" t="s">
        <v>10326</v>
      </c>
      <c r="L3491">
        <v>1996</v>
      </c>
      <c r="R3491" t="s">
        <v>11038</v>
      </c>
      <c r="S3491" t="s">
        <v>10310</v>
      </c>
      <c r="U3491" t="s">
        <v>11050</v>
      </c>
      <c r="W3491" s="2" t="s">
        <v>11204</v>
      </c>
    </row>
    <row r="3492" spans="1:23" hidden="1" x14ac:dyDescent="0.45">
      <c r="A3492" s="1" t="s">
        <v>3459</v>
      </c>
      <c r="B3492" t="s">
        <v>6489</v>
      </c>
      <c r="D3492" t="s">
        <v>7986</v>
      </c>
      <c r="E3492" t="s">
        <v>9648</v>
      </c>
      <c r="F3492" t="s">
        <v>10299</v>
      </c>
      <c r="G3492">
        <v>9.5000000000000001E-2</v>
      </c>
      <c r="H3492" t="s">
        <v>10310</v>
      </c>
      <c r="I3492" t="s">
        <v>10326</v>
      </c>
      <c r="L3492">
        <v>2007</v>
      </c>
      <c r="R3492" t="s">
        <v>11038</v>
      </c>
      <c r="S3492" t="s">
        <v>10310</v>
      </c>
      <c r="U3492" t="s">
        <v>11047</v>
      </c>
      <c r="W3492" s="2" t="s">
        <v>11204</v>
      </c>
    </row>
    <row r="3493" spans="1:23" hidden="1" x14ac:dyDescent="0.45">
      <c r="A3493" s="1" t="s">
        <v>3460</v>
      </c>
      <c r="B3493" t="s">
        <v>6274</v>
      </c>
      <c r="D3493" t="s">
        <v>8070</v>
      </c>
      <c r="E3493" t="s">
        <v>9754</v>
      </c>
      <c r="F3493" t="s">
        <v>10299</v>
      </c>
      <c r="G3493">
        <v>25</v>
      </c>
      <c r="H3493" t="s">
        <v>10310</v>
      </c>
      <c r="I3493" t="s">
        <v>10326</v>
      </c>
      <c r="L3493">
        <v>1966</v>
      </c>
      <c r="R3493" t="s">
        <v>11038</v>
      </c>
      <c r="S3493" t="s">
        <v>10310</v>
      </c>
      <c r="U3493" t="s">
        <v>11047</v>
      </c>
      <c r="W3493" s="2" t="s">
        <v>11204</v>
      </c>
    </row>
    <row r="3494" spans="1:23" hidden="1" x14ac:dyDescent="0.45">
      <c r="A3494" s="1" t="s">
        <v>3461</v>
      </c>
      <c r="B3494" t="s">
        <v>6490</v>
      </c>
      <c r="D3494" t="s">
        <v>8048</v>
      </c>
      <c r="E3494" t="s">
        <v>9642</v>
      </c>
      <c r="F3494" t="s">
        <v>10299</v>
      </c>
      <c r="G3494">
        <v>0.99</v>
      </c>
      <c r="H3494" t="s">
        <v>10310</v>
      </c>
      <c r="I3494" t="s">
        <v>10326</v>
      </c>
      <c r="L3494">
        <v>2011</v>
      </c>
      <c r="R3494" t="s">
        <v>11038</v>
      </c>
      <c r="S3494" t="s">
        <v>10310</v>
      </c>
      <c r="U3494" t="s">
        <v>11049</v>
      </c>
      <c r="W3494" s="2" t="s">
        <v>11204</v>
      </c>
    </row>
    <row r="3495" spans="1:23" hidden="1" x14ac:dyDescent="0.45">
      <c r="A3495" s="1" t="s">
        <v>3462</v>
      </c>
      <c r="B3495" t="s">
        <v>6281</v>
      </c>
      <c r="D3495" t="s">
        <v>8059</v>
      </c>
      <c r="E3495" t="s">
        <v>9663</v>
      </c>
      <c r="F3495" t="s">
        <v>10299</v>
      </c>
      <c r="G3495">
        <v>0.72</v>
      </c>
      <c r="H3495" t="s">
        <v>10310</v>
      </c>
      <c r="I3495" t="s">
        <v>10326</v>
      </c>
      <c r="L3495">
        <v>2001</v>
      </c>
      <c r="R3495" t="s">
        <v>11038</v>
      </c>
      <c r="S3495" t="s">
        <v>10310</v>
      </c>
      <c r="U3495" t="s">
        <v>11046</v>
      </c>
      <c r="W3495" s="2" t="s">
        <v>11204</v>
      </c>
    </row>
    <row r="3496" spans="1:23" hidden="1" x14ac:dyDescent="0.45">
      <c r="A3496" s="1" t="s">
        <v>3463</v>
      </c>
      <c r="B3496" t="s">
        <v>6491</v>
      </c>
      <c r="D3496" t="s">
        <v>8037</v>
      </c>
      <c r="E3496" t="s">
        <v>9629</v>
      </c>
      <c r="F3496" t="s">
        <v>10299</v>
      </c>
      <c r="G3496">
        <v>0.5</v>
      </c>
      <c r="H3496" t="s">
        <v>10310</v>
      </c>
      <c r="I3496" t="s">
        <v>10326</v>
      </c>
      <c r="L3496">
        <v>1998</v>
      </c>
      <c r="R3496" t="s">
        <v>11038</v>
      </c>
      <c r="S3496" t="s">
        <v>10310</v>
      </c>
      <c r="U3496" t="s">
        <v>11047</v>
      </c>
      <c r="W3496" s="2" t="s">
        <v>11204</v>
      </c>
    </row>
    <row r="3497" spans="1:23" hidden="1" x14ac:dyDescent="0.45">
      <c r="A3497" s="1" t="s">
        <v>3464</v>
      </c>
      <c r="B3497" t="s">
        <v>6492</v>
      </c>
      <c r="D3497" t="s">
        <v>8044</v>
      </c>
      <c r="E3497" t="s">
        <v>9658</v>
      </c>
      <c r="F3497" t="s">
        <v>10299</v>
      </c>
      <c r="G3497">
        <v>0.08</v>
      </c>
      <c r="H3497" t="s">
        <v>10310</v>
      </c>
      <c r="I3497" t="s">
        <v>10326</v>
      </c>
      <c r="L3497">
        <v>2006</v>
      </c>
      <c r="R3497" t="s">
        <v>11038</v>
      </c>
      <c r="S3497" t="s">
        <v>10310</v>
      </c>
      <c r="U3497" t="s">
        <v>11047</v>
      </c>
      <c r="W3497" s="2" t="s">
        <v>11204</v>
      </c>
    </row>
    <row r="3498" spans="1:23" hidden="1" x14ac:dyDescent="0.45">
      <c r="A3498" s="1" t="s">
        <v>3465</v>
      </c>
      <c r="B3498" t="s">
        <v>6323</v>
      </c>
      <c r="D3498" t="s">
        <v>8045</v>
      </c>
      <c r="E3498" t="s">
        <v>9646</v>
      </c>
      <c r="F3498" t="s">
        <v>10299</v>
      </c>
      <c r="G3498">
        <v>1.1299999999999999</v>
      </c>
      <c r="H3498" t="s">
        <v>10310</v>
      </c>
      <c r="I3498" t="s">
        <v>10326</v>
      </c>
      <c r="L3498">
        <v>2016</v>
      </c>
      <c r="R3498" t="s">
        <v>11038</v>
      </c>
      <c r="S3498" t="s">
        <v>10310</v>
      </c>
      <c r="U3498" t="s">
        <v>11047</v>
      </c>
      <c r="W3498" s="2" t="s">
        <v>11204</v>
      </c>
    </row>
    <row r="3499" spans="1:23" hidden="1" x14ac:dyDescent="0.45">
      <c r="A3499" s="1" t="s">
        <v>3466</v>
      </c>
      <c r="B3499" t="s">
        <v>6493</v>
      </c>
      <c r="D3499" t="s">
        <v>8031</v>
      </c>
      <c r="E3499" t="s">
        <v>9773</v>
      </c>
      <c r="F3499" t="s">
        <v>10299</v>
      </c>
      <c r="G3499">
        <v>25.32</v>
      </c>
      <c r="H3499" t="s">
        <v>10310</v>
      </c>
      <c r="I3499" t="s">
        <v>10326</v>
      </c>
      <c r="L3499">
        <v>2006</v>
      </c>
      <c r="R3499" t="s">
        <v>11038</v>
      </c>
      <c r="S3499" t="s">
        <v>10310</v>
      </c>
      <c r="U3499" t="s">
        <v>11046</v>
      </c>
      <c r="W3499" s="2" t="s">
        <v>11204</v>
      </c>
    </row>
    <row r="3500" spans="1:23" hidden="1" x14ac:dyDescent="0.45">
      <c r="A3500" s="1" t="s">
        <v>3467</v>
      </c>
      <c r="B3500" t="s">
        <v>6494</v>
      </c>
      <c r="D3500" t="s">
        <v>8069</v>
      </c>
      <c r="E3500" t="s">
        <v>9684</v>
      </c>
      <c r="F3500" t="s">
        <v>10299</v>
      </c>
      <c r="G3500">
        <v>1.49</v>
      </c>
      <c r="H3500" t="s">
        <v>10310</v>
      </c>
      <c r="I3500" t="s">
        <v>10326</v>
      </c>
      <c r="L3500">
        <v>2009</v>
      </c>
      <c r="R3500" t="s">
        <v>11038</v>
      </c>
      <c r="S3500" t="s">
        <v>10310</v>
      </c>
      <c r="U3500" t="s">
        <v>11047</v>
      </c>
      <c r="W3500" s="2" t="s">
        <v>11204</v>
      </c>
    </row>
    <row r="3501" spans="1:23" hidden="1" x14ac:dyDescent="0.45">
      <c r="A3501" s="1" t="s">
        <v>3468</v>
      </c>
      <c r="B3501" t="s">
        <v>6342</v>
      </c>
      <c r="D3501" t="s">
        <v>8081</v>
      </c>
      <c r="E3501" t="s">
        <v>9731</v>
      </c>
      <c r="F3501" t="s">
        <v>10299</v>
      </c>
      <c r="G3501">
        <v>1.3</v>
      </c>
      <c r="H3501" t="s">
        <v>10310</v>
      </c>
      <c r="I3501" t="s">
        <v>10326</v>
      </c>
      <c r="L3501">
        <v>2012</v>
      </c>
      <c r="R3501" t="s">
        <v>11038</v>
      </c>
      <c r="S3501" t="s">
        <v>10310</v>
      </c>
      <c r="U3501" t="s">
        <v>11047</v>
      </c>
      <c r="W3501" s="2" t="s">
        <v>11204</v>
      </c>
    </row>
    <row r="3502" spans="1:23" hidden="1" x14ac:dyDescent="0.45">
      <c r="A3502" s="1" t="s">
        <v>3469</v>
      </c>
      <c r="B3502" t="s">
        <v>6495</v>
      </c>
      <c r="D3502" t="s">
        <v>8061</v>
      </c>
      <c r="E3502" t="s">
        <v>9665</v>
      </c>
      <c r="F3502" t="s">
        <v>10299</v>
      </c>
      <c r="G3502">
        <v>0.95599999999999996</v>
      </c>
      <c r="H3502" t="s">
        <v>10310</v>
      </c>
      <c r="I3502" t="s">
        <v>10326</v>
      </c>
      <c r="L3502">
        <v>2006</v>
      </c>
      <c r="R3502" t="s">
        <v>11038</v>
      </c>
      <c r="S3502" t="s">
        <v>10310</v>
      </c>
      <c r="U3502" t="s">
        <v>11046</v>
      </c>
      <c r="W3502" s="2" t="s">
        <v>11204</v>
      </c>
    </row>
    <row r="3503" spans="1:23" hidden="1" x14ac:dyDescent="0.45">
      <c r="A3503" s="1" t="s">
        <v>3470</v>
      </c>
      <c r="B3503" t="s">
        <v>6495</v>
      </c>
      <c r="D3503" t="s">
        <v>8061</v>
      </c>
      <c r="E3503" t="s">
        <v>9665</v>
      </c>
      <c r="F3503" t="s">
        <v>10299</v>
      </c>
      <c r="G3503">
        <v>0.5</v>
      </c>
      <c r="H3503" t="s">
        <v>10310</v>
      </c>
      <c r="I3503" t="s">
        <v>10326</v>
      </c>
      <c r="L3503">
        <v>2018</v>
      </c>
      <c r="R3503" t="s">
        <v>11038</v>
      </c>
      <c r="S3503" t="s">
        <v>10310</v>
      </c>
      <c r="U3503" t="s">
        <v>11046</v>
      </c>
      <c r="W3503" s="2" t="s">
        <v>11204</v>
      </c>
    </row>
    <row r="3504" spans="1:23" hidden="1" x14ac:dyDescent="0.45">
      <c r="A3504" s="1" t="s">
        <v>3471</v>
      </c>
      <c r="B3504" t="s">
        <v>6496</v>
      </c>
      <c r="D3504" t="s">
        <v>8050</v>
      </c>
      <c r="E3504" t="s">
        <v>9774</v>
      </c>
      <c r="F3504" t="s">
        <v>10299</v>
      </c>
      <c r="G3504">
        <v>0.86</v>
      </c>
      <c r="H3504" t="s">
        <v>10310</v>
      </c>
      <c r="I3504" t="s">
        <v>10326</v>
      </c>
      <c r="L3504">
        <v>1907</v>
      </c>
      <c r="R3504" t="s">
        <v>11038</v>
      </c>
      <c r="S3504" t="s">
        <v>10310</v>
      </c>
      <c r="U3504" t="s">
        <v>11050</v>
      </c>
      <c r="W3504" s="2" t="s">
        <v>11204</v>
      </c>
    </row>
    <row r="3505" spans="1:23" hidden="1" x14ac:dyDescent="0.45">
      <c r="A3505" s="1" t="s">
        <v>3472</v>
      </c>
      <c r="B3505" t="s">
        <v>6497</v>
      </c>
      <c r="D3505" t="s">
        <v>8032</v>
      </c>
      <c r="E3505" t="s">
        <v>9775</v>
      </c>
      <c r="F3505" t="s">
        <v>10299</v>
      </c>
      <c r="G3505">
        <v>6.35</v>
      </c>
      <c r="H3505" t="s">
        <v>10310</v>
      </c>
      <c r="I3505" t="s">
        <v>10326</v>
      </c>
      <c r="L3505">
        <v>2018</v>
      </c>
      <c r="R3505" t="s">
        <v>11038</v>
      </c>
      <c r="S3505" t="s">
        <v>10310</v>
      </c>
      <c r="U3505" t="s">
        <v>11048</v>
      </c>
      <c r="W3505" s="2" t="s">
        <v>11204</v>
      </c>
    </row>
    <row r="3506" spans="1:23" hidden="1" x14ac:dyDescent="0.45">
      <c r="A3506" s="1" t="s">
        <v>3473</v>
      </c>
      <c r="B3506" t="s">
        <v>6281</v>
      </c>
      <c r="D3506" t="s">
        <v>7917</v>
      </c>
      <c r="E3506" t="s">
        <v>9776</v>
      </c>
      <c r="F3506" t="s">
        <v>10299</v>
      </c>
      <c r="G3506">
        <v>1.125</v>
      </c>
      <c r="H3506" t="s">
        <v>10310</v>
      </c>
      <c r="I3506" t="s">
        <v>10326</v>
      </c>
      <c r="L3506">
        <v>2005</v>
      </c>
      <c r="R3506" t="s">
        <v>11038</v>
      </c>
      <c r="S3506" t="s">
        <v>10310</v>
      </c>
      <c r="U3506" t="s">
        <v>11050</v>
      </c>
      <c r="W3506" s="2" t="s">
        <v>11204</v>
      </c>
    </row>
    <row r="3507" spans="1:23" hidden="1" x14ac:dyDescent="0.45">
      <c r="A3507" s="1" t="s">
        <v>3474</v>
      </c>
      <c r="B3507" t="s">
        <v>6498</v>
      </c>
      <c r="D3507" t="s">
        <v>8041</v>
      </c>
      <c r="E3507" t="s">
        <v>9651</v>
      </c>
      <c r="F3507" t="s">
        <v>10299</v>
      </c>
      <c r="G3507">
        <v>5.9</v>
      </c>
      <c r="H3507" t="s">
        <v>10310</v>
      </c>
      <c r="I3507" t="s">
        <v>10326</v>
      </c>
      <c r="L3507">
        <v>2016</v>
      </c>
      <c r="R3507" t="s">
        <v>11038</v>
      </c>
      <c r="S3507" t="s">
        <v>10310</v>
      </c>
      <c r="U3507" t="s">
        <v>11047</v>
      </c>
      <c r="W3507" s="2" t="s">
        <v>11204</v>
      </c>
    </row>
    <row r="3508" spans="1:23" hidden="1" x14ac:dyDescent="0.45">
      <c r="A3508" s="1" t="s">
        <v>3475</v>
      </c>
      <c r="B3508" t="s">
        <v>6499</v>
      </c>
      <c r="D3508" t="s">
        <v>8056</v>
      </c>
      <c r="E3508" t="s">
        <v>9669</v>
      </c>
      <c r="F3508" t="s">
        <v>10299</v>
      </c>
      <c r="G3508">
        <v>3.5</v>
      </c>
      <c r="H3508" t="s">
        <v>10310</v>
      </c>
      <c r="I3508" t="s">
        <v>10326</v>
      </c>
      <c r="L3508">
        <v>2006</v>
      </c>
      <c r="R3508" t="s">
        <v>11038</v>
      </c>
      <c r="S3508" t="s">
        <v>10310</v>
      </c>
      <c r="U3508" t="s">
        <v>11049</v>
      </c>
      <c r="W3508" s="2" t="s">
        <v>11204</v>
      </c>
    </row>
    <row r="3509" spans="1:23" hidden="1" x14ac:dyDescent="0.45">
      <c r="A3509" s="1" t="s">
        <v>3476</v>
      </c>
      <c r="B3509" t="s">
        <v>6274</v>
      </c>
      <c r="D3509" t="s">
        <v>8042</v>
      </c>
      <c r="E3509" t="s">
        <v>1588</v>
      </c>
      <c r="F3509" t="s">
        <v>10299</v>
      </c>
      <c r="G3509">
        <v>143.5</v>
      </c>
      <c r="H3509" t="s">
        <v>10310</v>
      </c>
      <c r="I3509" t="s">
        <v>10326</v>
      </c>
      <c r="L3509">
        <v>1975</v>
      </c>
      <c r="R3509" t="s">
        <v>11038</v>
      </c>
      <c r="S3509" t="s">
        <v>10310</v>
      </c>
      <c r="U3509" t="s">
        <v>11047</v>
      </c>
      <c r="W3509" s="2" t="s">
        <v>11204</v>
      </c>
    </row>
    <row r="3510" spans="1:23" hidden="1" x14ac:dyDescent="0.45">
      <c r="A3510" s="1" t="s">
        <v>3476</v>
      </c>
      <c r="B3510" t="s">
        <v>6500</v>
      </c>
      <c r="D3510" t="s">
        <v>8045</v>
      </c>
      <c r="E3510" t="s">
        <v>9646</v>
      </c>
      <c r="F3510" t="s">
        <v>10299</v>
      </c>
      <c r="G3510">
        <v>7.0000000000000007E-2</v>
      </c>
      <c r="H3510" t="s">
        <v>10310</v>
      </c>
      <c r="I3510" t="s">
        <v>10326</v>
      </c>
      <c r="L3510">
        <v>2000</v>
      </c>
      <c r="R3510" t="s">
        <v>11038</v>
      </c>
      <c r="S3510" t="s">
        <v>10310</v>
      </c>
      <c r="U3510" t="s">
        <v>11047</v>
      </c>
      <c r="W3510" s="2" t="s">
        <v>11204</v>
      </c>
    </row>
    <row r="3511" spans="1:23" hidden="1" x14ac:dyDescent="0.45">
      <c r="A3511" s="1" t="s">
        <v>3477</v>
      </c>
      <c r="B3511" t="s">
        <v>6278</v>
      </c>
      <c r="D3511" t="s">
        <v>8036</v>
      </c>
      <c r="E3511" t="s">
        <v>9628</v>
      </c>
      <c r="F3511" t="s">
        <v>10299</v>
      </c>
      <c r="G3511">
        <v>48</v>
      </c>
      <c r="H3511" t="s">
        <v>10310</v>
      </c>
      <c r="I3511" t="s">
        <v>10326</v>
      </c>
      <c r="L3511">
        <v>1963</v>
      </c>
      <c r="R3511" t="s">
        <v>11038</v>
      </c>
      <c r="S3511" t="s">
        <v>10310</v>
      </c>
      <c r="U3511" t="s">
        <v>11048</v>
      </c>
      <c r="W3511" s="2" t="s">
        <v>11204</v>
      </c>
    </row>
    <row r="3512" spans="1:23" hidden="1" x14ac:dyDescent="0.45">
      <c r="A3512" s="1" t="s">
        <v>3478</v>
      </c>
      <c r="B3512" t="s">
        <v>6501</v>
      </c>
      <c r="D3512" t="s">
        <v>8036</v>
      </c>
      <c r="E3512" t="s">
        <v>9628</v>
      </c>
      <c r="F3512" t="s">
        <v>10299</v>
      </c>
      <c r="G3512">
        <v>1.3</v>
      </c>
      <c r="H3512" t="s">
        <v>10310</v>
      </c>
      <c r="I3512" t="s">
        <v>10326</v>
      </c>
      <c r="L3512">
        <v>2008</v>
      </c>
      <c r="R3512" t="s">
        <v>11038</v>
      </c>
      <c r="S3512" t="s">
        <v>10310</v>
      </c>
      <c r="U3512" t="s">
        <v>11048</v>
      </c>
      <c r="W3512" s="2" t="s">
        <v>11204</v>
      </c>
    </row>
    <row r="3513" spans="1:23" hidden="1" x14ac:dyDescent="0.45">
      <c r="A3513" s="1" t="s">
        <v>3479</v>
      </c>
      <c r="B3513" t="s">
        <v>6294</v>
      </c>
      <c r="D3513" t="s">
        <v>8056</v>
      </c>
      <c r="E3513" t="s">
        <v>9657</v>
      </c>
      <c r="F3513" t="s">
        <v>10299</v>
      </c>
      <c r="G3513">
        <v>0.85599999999999998</v>
      </c>
      <c r="H3513" t="s">
        <v>10310</v>
      </c>
      <c r="I3513" t="s">
        <v>10326</v>
      </c>
      <c r="L3513">
        <v>2012</v>
      </c>
      <c r="R3513" t="s">
        <v>11038</v>
      </c>
      <c r="S3513" t="s">
        <v>10310</v>
      </c>
      <c r="U3513" t="s">
        <v>11046</v>
      </c>
      <c r="W3513" s="2" t="s">
        <v>11204</v>
      </c>
    </row>
    <row r="3514" spans="1:23" hidden="1" x14ac:dyDescent="0.45">
      <c r="A3514" s="1" t="s">
        <v>3480</v>
      </c>
      <c r="B3514" t="s">
        <v>6502</v>
      </c>
      <c r="D3514" t="s">
        <v>8084</v>
      </c>
      <c r="E3514" t="s">
        <v>9777</v>
      </c>
      <c r="F3514" t="s">
        <v>10299</v>
      </c>
      <c r="G3514">
        <v>1.2E-2</v>
      </c>
      <c r="H3514" t="s">
        <v>10310</v>
      </c>
      <c r="I3514" t="s">
        <v>10326</v>
      </c>
      <c r="L3514">
        <v>2017</v>
      </c>
      <c r="R3514" t="s">
        <v>11038</v>
      </c>
      <c r="S3514" t="s">
        <v>10310</v>
      </c>
      <c r="U3514" t="s">
        <v>11046</v>
      </c>
      <c r="W3514" s="2" t="s">
        <v>11204</v>
      </c>
    </row>
    <row r="3515" spans="1:23" hidden="1" x14ac:dyDescent="0.45">
      <c r="A3515" s="1" t="s">
        <v>3481</v>
      </c>
      <c r="B3515" t="s">
        <v>6503</v>
      </c>
      <c r="D3515" t="s">
        <v>8046</v>
      </c>
      <c r="E3515" t="s">
        <v>9640</v>
      </c>
      <c r="F3515" t="s">
        <v>10299</v>
      </c>
      <c r="G3515">
        <v>34.700000000000003</v>
      </c>
      <c r="H3515" t="s">
        <v>10310</v>
      </c>
      <c r="I3515" t="s">
        <v>10326</v>
      </c>
      <c r="L3515">
        <v>1999</v>
      </c>
      <c r="R3515" t="s">
        <v>11038</v>
      </c>
      <c r="S3515" t="s">
        <v>10310</v>
      </c>
      <c r="U3515" t="s">
        <v>11047</v>
      </c>
      <c r="W3515" s="2" t="s">
        <v>11204</v>
      </c>
    </row>
    <row r="3516" spans="1:23" hidden="1" x14ac:dyDescent="0.45">
      <c r="A3516" s="1" t="s">
        <v>3482</v>
      </c>
      <c r="B3516" t="s">
        <v>6504</v>
      </c>
      <c r="D3516" t="s">
        <v>8057</v>
      </c>
      <c r="E3516" t="s">
        <v>9671</v>
      </c>
      <c r="F3516" t="s">
        <v>10299</v>
      </c>
      <c r="G3516">
        <v>1.4999999999999999E-2</v>
      </c>
      <c r="H3516" t="s">
        <v>10310</v>
      </c>
      <c r="I3516" t="s">
        <v>10326</v>
      </c>
      <c r="L3516">
        <v>2001</v>
      </c>
      <c r="R3516" t="s">
        <v>11038</v>
      </c>
      <c r="S3516" t="s">
        <v>10310</v>
      </c>
      <c r="U3516" t="s">
        <v>11046</v>
      </c>
      <c r="W3516" s="2" t="s">
        <v>11204</v>
      </c>
    </row>
    <row r="3517" spans="1:23" hidden="1" x14ac:dyDescent="0.45">
      <c r="A3517" s="1" t="s">
        <v>3483</v>
      </c>
      <c r="B3517" t="s">
        <v>6393</v>
      </c>
      <c r="D3517" t="s">
        <v>8040</v>
      </c>
      <c r="E3517" t="s">
        <v>9736</v>
      </c>
      <c r="F3517" t="s">
        <v>10299</v>
      </c>
      <c r="G3517">
        <v>3.08</v>
      </c>
      <c r="H3517" t="s">
        <v>10310</v>
      </c>
      <c r="I3517" t="s">
        <v>10326</v>
      </c>
      <c r="L3517">
        <v>1939</v>
      </c>
      <c r="R3517" t="s">
        <v>11038</v>
      </c>
      <c r="S3517" t="s">
        <v>10310</v>
      </c>
      <c r="U3517" t="s">
        <v>11046</v>
      </c>
      <c r="W3517" s="2" t="s">
        <v>11204</v>
      </c>
    </row>
    <row r="3518" spans="1:23" hidden="1" x14ac:dyDescent="0.45">
      <c r="A3518" s="1" t="s">
        <v>3484</v>
      </c>
      <c r="D3518" t="s">
        <v>8078</v>
      </c>
      <c r="E3518" t="s">
        <v>9725</v>
      </c>
      <c r="F3518" t="s">
        <v>10299</v>
      </c>
      <c r="G3518">
        <v>2.1999999999999999E-2</v>
      </c>
      <c r="H3518" t="s">
        <v>10310</v>
      </c>
      <c r="I3518" t="s">
        <v>10326</v>
      </c>
      <c r="L3518">
        <v>1999</v>
      </c>
      <c r="R3518" t="s">
        <v>11038</v>
      </c>
      <c r="S3518" t="s">
        <v>10310</v>
      </c>
      <c r="U3518" t="s">
        <v>11046</v>
      </c>
      <c r="W3518" s="2" t="s">
        <v>11204</v>
      </c>
    </row>
    <row r="3519" spans="1:23" hidden="1" x14ac:dyDescent="0.45">
      <c r="A3519" s="1" t="s">
        <v>3485</v>
      </c>
      <c r="B3519" t="s">
        <v>6378</v>
      </c>
      <c r="D3519" t="s">
        <v>8030</v>
      </c>
      <c r="E3519" t="s">
        <v>9623</v>
      </c>
      <c r="F3519" t="s">
        <v>10299</v>
      </c>
      <c r="G3519">
        <v>1.36</v>
      </c>
      <c r="H3519" t="s">
        <v>10310</v>
      </c>
      <c r="I3519" t="s">
        <v>10324</v>
      </c>
      <c r="L3519">
        <v>1975</v>
      </c>
      <c r="R3519" t="s">
        <v>11038</v>
      </c>
      <c r="S3519" t="s">
        <v>10310</v>
      </c>
      <c r="U3519" t="s">
        <v>11049</v>
      </c>
      <c r="V3519" t="s">
        <v>11182</v>
      </c>
      <c r="W3519" s="2" t="s">
        <v>11204</v>
      </c>
    </row>
    <row r="3520" spans="1:23" hidden="1" x14ac:dyDescent="0.45">
      <c r="A3520" s="1" t="s">
        <v>3486</v>
      </c>
      <c r="B3520" t="s">
        <v>6505</v>
      </c>
      <c r="D3520" t="s">
        <v>8037</v>
      </c>
      <c r="E3520" t="s">
        <v>9629</v>
      </c>
      <c r="F3520" t="s">
        <v>10299</v>
      </c>
      <c r="G3520">
        <v>0.95</v>
      </c>
      <c r="H3520" t="s">
        <v>10310</v>
      </c>
      <c r="I3520" t="s">
        <v>10326</v>
      </c>
      <c r="L3520">
        <v>2006</v>
      </c>
      <c r="R3520" t="s">
        <v>11038</v>
      </c>
      <c r="S3520" t="s">
        <v>10310</v>
      </c>
      <c r="U3520" t="s">
        <v>11047</v>
      </c>
      <c r="W3520" s="2" t="s">
        <v>11204</v>
      </c>
    </row>
    <row r="3521" spans="1:23" hidden="1" x14ac:dyDescent="0.45">
      <c r="A3521" s="1" t="s">
        <v>3487</v>
      </c>
      <c r="B3521" t="s">
        <v>6506</v>
      </c>
      <c r="D3521" t="s">
        <v>8072</v>
      </c>
      <c r="E3521" t="s">
        <v>9700</v>
      </c>
      <c r="F3521" t="s">
        <v>10299</v>
      </c>
      <c r="G3521">
        <v>1</v>
      </c>
      <c r="H3521" t="s">
        <v>10310</v>
      </c>
      <c r="I3521" t="s">
        <v>10326</v>
      </c>
      <c r="L3521">
        <v>2000</v>
      </c>
      <c r="R3521" t="s">
        <v>11038</v>
      </c>
      <c r="S3521" t="s">
        <v>10310</v>
      </c>
      <c r="U3521" t="s">
        <v>11049</v>
      </c>
      <c r="W3521" s="2" t="s">
        <v>11204</v>
      </c>
    </row>
    <row r="3522" spans="1:23" hidden="1" x14ac:dyDescent="0.45">
      <c r="A3522" s="1" t="s">
        <v>3488</v>
      </c>
      <c r="B3522" t="s">
        <v>6507</v>
      </c>
      <c r="D3522" t="s">
        <v>8045</v>
      </c>
      <c r="E3522" t="s">
        <v>9778</v>
      </c>
      <c r="F3522" t="s">
        <v>10299</v>
      </c>
      <c r="G3522">
        <v>6.5000000000000002E-2</v>
      </c>
      <c r="H3522" t="s">
        <v>10310</v>
      </c>
      <c r="I3522" t="s">
        <v>10326</v>
      </c>
      <c r="L3522">
        <v>2004</v>
      </c>
      <c r="R3522" t="s">
        <v>11038</v>
      </c>
      <c r="S3522" t="s">
        <v>10310</v>
      </c>
      <c r="U3522" t="s">
        <v>11050</v>
      </c>
      <c r="W3522" s="2" t="s">
        <v>11204</v>
      </c>
    </row>
    <row r="3523" spans="1:23" hidden="1" x14ac:dyDescent="0.45">
      <c r="A3523" s="1" t="s">
        <v>3489</v>
      </c>
      <c r="B3523" t="s">
        <v>6508</v>
      </c>
      <c r="D3523" t="s">
        <v>8034</v>
      </c>
      <c r="E3523" t="s">
        <v>9779</v>
      </c>
      <c r="F3523" t="s">
        <v>10299</v>
      </c>
      <c r="G3523">
        <v>2.4</v>
      </c>
      <c r="H3523" t="s">
        <v>10310</v>
      </c>
      <c r="I3523" t="s">
        <v>10326</v>
      </c>
      <c r="L3523">
        <v>2015</v>
      </c>
      <c r="R3523" t="s">
        <v>11038</v>
      </c>
      <c r="S3523" t="s">
        <v>10310</v>
      </c>
      <c r="U3523" t="s">
        <v>11048</v>
      </c>
      <c r="W3523" s="2" t="s">
        <v>11204</v>
      </c>
    </row>
    <row r="3524" spans="1:23" hidden="1" x14ac:dyDescent="0.45">
      <c r="A3524" s="1" t="s">
        <v>3490</v>
      </c>
      <c r="B3524" t="s">
        <v>6280</v>
      </c>
      <c r="D3524" t="s">
        <v>8041</v>
      </c>
      <c r="E3524" t="s">
        <v>9651</v>
      </c>
      <c r="F3524" t="s">
        <v>10299</v>
      </c>
      <c r="G3524">
        <v>1.76</v>
      </c>
      <c r="H3524" t="s">
        <v>10310</v>
      </c>
      <c r="I3524" t="s">
        <v>10326</v>
      </c>
      <c r="L3524">
        <v>1947</v>
      </c>
      <c r="R3524" t="s">
        <v>11038</v>
      </c>
      <c r="S3524" t="s">
        <v>10310</v>
      </c>
      <c r="U3524" t="s">
        <v>11047</v>
      </c>
      <c r="W3524" s="2" t="s">
        <v>11204</v>
      </c>
    </row>
    <row r="3525" spans="1:23" hidden="1" x14ac:dyDescent="0.45">
      <c r="A3525" s="1" t="s">
        <v>3491</v>
      </c>
      <c r="B3525" t="s">
        <v>6509</v>
      </c>
      <c r="D3525" t="s">
        <v>8074</v>
      </c>
      <c r="E3525" t="s">
        <v>9703</v>
      </c>
      <c r="F3525" t="s">
        <v>10299</v>
      </c>
      <c r="G3525">
        <v>0.95</v>
      </c>
      <c r="H3525" t="s">
        <v>10310</v>
      </c>
      <c r="I3525" t="s">
        <v>10326</v>
      </c>
      <c r="L3525">
        <v>2019</v>
      </c>
      <c r="R3525" t="s">
        <v>11038</v>
      </c>
      <c r="S3525" t="s">
        <v>10310</v>
      </c>
      <c r="U3525" t="s">
        <v>11047</v>
      </c>
      <c r="W3525" s="2" t="s">
        <v>11204</v>
      </c>
    </row>
    <row r="3526" spans="1:23" hidden="1" x14ac:dyDescent="0.45">
      <c r="A3526" s="1" t="s">
        <v>3492</v>
      </c>
      <c r="B3526" t="s">
        <v>6378</v>
      </c>
      <c r="D3526" t="s">
        <v>8063</v>
      </c>
      <c r="E3526" t="s">
        <v>9727</v>
      </c>
      <c r="F3526" t="s">
        <v>10299</v>
      </c>
      <c r="G3526">
        <v>36</v>
      </c>
      <c r="H3526" t="s">
        <v>10310</v>
      </c>
      <c r="I3526" t="s">
        <v>10326</v>
      </c>
      <c r="L3526">
        <v>1948</v>
      </c>
      <c r="R3526" t="s">
        <v>11038</v>
      </c>
      <c r="S3526" t="s">
        <v>10310</v>
      </c>
      <c r="U3526" t="s">
        <v>11049</v>
      </c>
      <c r="W3526" s="2" t="s">
        <v>11204</v>
      </c>
    </row>
    <row r="3527" spans="1:23" hidden="1" x14ac:dyDescent="0.45">
      <c r="A3527" s="1" t="s">
        <v>3493</v>
      </c>
      <c r="B3527" t="s">
        <v>6294</v>
      </c>
      <c r="D3527" t="s">
        <v>8078</v>
      </c>
      <c r="E3527" t="s">
        <v>9751</v>
      </c>
      <c r="F3527" t="s">
        <v>10299</v>
      </c>
      <c r="G3527">
        <v>33</v>
      </c>
      <c r="H3527" t="s">
        <v>10310</v>
      </c>
      <c r="I3527" t="s">
        <v>10326</v>
      </c>
      <c r="L3527">
        <v>1933</v>
      </c>
      <c r="R3527" t="s">
        <v>11038</v>
      </c>
      <c r="S3527" t="s">
        <v>10310</v>
      </c>
      <c r="U3527" t="s">
        <v>11046</v>
      </c>
      <c r="W3527" s="2" t="s">
        <v>11204</v>
      </c>
    </row>
    <row r="3528" spans="1:23" hidden="1" x14ac:dyDescent="0.45">
      <c r="A3528" s="1" t="s">
        <v>3494</v>
      </c>
      <c r="B3528" t="s">
        <v>6433</v>
      </c>
      <c r="D3528" t="s">
        <v>8042</v>
      </c>
      <c r="E3528" t="s">
        <v>9780</v>
      </c>
      <c r="F3528" t="s">
        <v>10299</v>
      </c>
      <c r="G3528">
        <v>5.0199999999999996</v>
      </c>
      <c r="H3528" t="s">
        <v>10310</v>
      </c>
      <c r="I3528" t="s">
        <v>10326</v>
      </c>
      <c r="L3528">
        <v>2018</v>
      </c>
      <c r="R3528" t="s">
        <v>11038</v>
      </c>
      <c r="S3528" t="s">
        <v>10310</v>
      </c>
      <c r="U3528" t="s">
        <v>11049</v>
      </c>
      <c r="W3528" s="2" t="s">
        <v>11204</v>
      </c>
    </row>
    <row r="3529" spans="1:23" hidden="1" x14ac:dyDescent="0.45">
      <c r="A3529" s="1" t="s">
        <v>3495</v>
      </c>
      <c r="B3529" t="s">
        <v>6510</v>
      </c>
      <c r="D3529" t="s">
        <v>8050</v>
      </c>
      <c r="E3529" t="s">
        <v>9774</v>
      </c>
      <c r="F3529" t="s">
        <v>10299</v>
      </c>
      <c r="G3529">
        <v>3.7999999999999999E-2</v>
      </c>
      <c r="H3529" t="s">
        <v>10310</v>
      </c>
      <c r="I3529" t="s">
        <v>10326</v>
      </c>
      <c r="L3529">
        <v>2004</v>
      </c>
      <c r="R3529" t="s">
        <v>11038</v>
      </c>
      <c r="S3529" t="s">
        <v>10310</v>
      </c>
      <c r="U3529" t="s">
        <v>11050</v>
      </c>
      <c r="W3529" s="2" t="s">
        <v>11204</v>
      </c>
    </row>
    <row r="3530" spans="1:23" hidden="1" x14ac:dyDescent="0.45">
      <c r="A3530" s="1" t="s">
        <v>3496</v>
      </c>
      <c r="B3530" t="s">
        <v>6511</v>
      </c>
      <c r="D3530" t="s">
        <v>8037</v>
      </c>
      <c r="E3530" t="s">
        <v>9629</v>
      </c>
      <c r="F3530" t="s">
        <v>10299</v>
      </c>
      <c r="G3530">
        <v>2.4329999999999998</v>
      </c>
      <c r="H3530" t="s">
        <v>10310</v>
      </c>
      <c r="I3530" t="s">
        <v>10326</v>
      </c>
      <c r="L3530">
        <v>2011</v>
      </c>
      <c r="R3530" t="s">
        <v>11038</v>
      </c>
      <c r="S3530" t="s">
        <v>10310</v>
      </c>
      <c r="U3530" t="s">
        <v>11047</v>
      </c>
      <c r="W3530" s="2" t="s">
        <v>11204</v>
      </c>
    </row>
    <row r="3531" spans="1:23" hidden="1" x14ac:dyDescent="0.45">
      <c r="A3531" s="1" t="s">
        <v>3497</v>
      </c>
      <c r="B3531" t="s">
        <v>6512</v>
      </c>
      <c r="D3531" t="s">
        <v>8036</v>
      </c>
      <c r="E3531" t="s">
        <v>9637</v>
      </c>
      <c r="F3531" t="s">
        <v>10299</v>
      </c>
      <c r="G3531">
        <v>1.089</v>
      </c>
      <c r="H3531" t="s">
        <v>10310</v>
      </c>
      <c r="I3531" t="s">
        <v>10326</v>
      </c>
      <c r="L3531">
        <v>2014</v>
      </c>
      <c r="R3531" t="s">
        <v>11038</v>
      </c>
      <c r="S3531" t="s">
        <v>10310</v>
      </c>
      <c r="U3531" t="s">
        <v>11046</v>
      </c>
      <c r="W3531" s="2" t="s">
        <v>11204</v>
      </c>
    </row>
    <row r="3532" spans="1:23" hidden="1" x14ac:dyDescent="0.45">
      <c r="A3532" s="1" t="s">
        <v>3498</v>
      </c>
      <c r="B3532" t="s">
        <v>6274</v>
      </c>
      <c r="D3532" t="s">
        <v>7986</v>
      </c>
      <c r="E3532" t="s">
        <v>9648</v>
      </c>
      <c r="F3532" t="s">
        <v>10299</v>
      </c>
      <c r="G3532">
        <v>15</v>
      </c>
      <c r="H3532" t="s">
        <v>10310</v>
      </c>
      <c r="I3532" t="s">
        <v>10326</v>
      </c>
      <c r="L3532">
        <v>1970</v>
      </c>
      <c r="R3532" t="s">
        <v>11038</v>
      </c>
      <c r="S3532" t="s">
        <v>10310</v>
      </c>
      <c r="U3532" t="s">
        <v>11047</v>
      </c>
      <c r="W3532" s="2" t="s">
        <v>11204</v>
      </c>
    </row>
    <row r="3533" spans="1:23" hidden="1" x14ac:dyDescent="0.45">
      <c r="A3533" s="1" t="s">
        <v>3499</v>
      </c>
      <c r="B3533" t="s">
        <v>6513</v>
      </c>
      <c r="D3533" t="s">
        <v>8037</v>
      </c>
      <c r="E3533" t="s">
        <v>9629</v>
      </c>
      <c r="F3533" t="s">
        <v>10299</v>
      </c>
      <c r="G3533">
        <v>0.182</v>
      </c>
      <c r="H3533" t="s">
        <v>10310</v>
      </c>
      <c r="I3533" t="s">
        <v>10326</v>
      </c>
      <c r="L3533">
        <v>1995</v>
      </c>
      <c r="R3533" t="s">
        <v>11038</v>
      </c>
      <c r="S3533" t="s">
        <v>10310</v>
      </c>
      <c r="U3533" t="s">
        <v>11047</v>
      </c>
      <c r="W3533" s="2" t="s">
        <v>11204</v>
      </c>
    </row>
    <row r="3534" spans="1:23" hidden="1" x14ac:dyDescent="0.45">
      <c r="A3534" s="1" t="s">
        <v>3500</v>
      </c>
      <c r="B3534" t="s">
        <v>6307</v>
      </c>
      <c r="D3534" t="s">
        <v>8084</v>
      </c>
      <c r="E3534" t="s">
        <v>9781</v>
      </c>
      <c r="F3534" t="s">
        <v>10299</v>
      </c>
      <c r="G3534">
        <v>80</v>
      </c>
      <c r="H3534" t="s">
        <v>10310</v>
      </c>
      <c r="I3534" t="s">
        <v>10326</v>
      </c>
      <c r="L3534">
        <v>1971</v>
      </c>
      <c r="R3534" t="s">
        <v>11038</v>
      </c>
      <c r="S3534" t="s">
        <v>10310</v>
      </c>
      <c r="U3534" t="s">
        <v>11048</v>
      </c>
      <c r="W3534" s="2" t="s">
        <v>11204</v>
      </c>
    </row>
    <row r="3535" spans="1:23" hidden="1" x14ac:dyDescent="0.45">
      <c r="A3535" s="1" t="s">
        <v>3501</v>
      </c>
      <c r="B3535" t="s">
        <v>6514</v>
      </c>
      <c r="D3535" t="s">
        <v>8073</v>
      </c>
      <c r="E3535" t="s">
        <v>9782</v>
      </c>
      <c r="F3535" t="s">
        <v>10299</v>
      </c>
      <c r="G3535">
        <v>0.17799999999999999</v>
      </c>
      <c r="H3535" t="s">
        <v>10310</v>
      </c>
      <c r="I3535" t="s">
        <v>10326</v>
      </c>
      <c r="L3535">
        <v>1998</v>
      </c>
      <c r="R3535" t="s">
        <v>11038</v>
      </c>
      <c r="S3535" t="s">
        <v>10310</v>
      </c>
      <c r="U3535" t="s">
        <v>11046</v>
      </c>
      <c r="W3535" s="2" t="s">
        <v>11204</v>
      </c>
    </row>
    <row r="3536" spans="1:23" hidden="1" x14ac:dyDescent="0.45">
      <c r="A3536" s="1" t="s">
        <v>3502</v>
      </c>
      <c r="B3536" t="s">
        <v>6515</v>
      </c>
      <c r="D3536" t="s">
        <v>8058</v>
      </c>
      <c r="E3536" t="s">
        <v>9662</v>
      </c>
      <c r="F3536" t="s">
        <v>10299</v>
      </c>
      <c r="G3536">
        <v>0.215</v>
      </c>
      <c r="H3536" t="s">
        <v>10310</v>
      </c>
      <c r="I3536" t="s">
        <v>10326</v>
      </c>
      <c r="L3536">
        <v>2009</v>
      </c>
      <c r="R3536" t="s">
        <v>11038</v>
      </c>
      <c r="S3536" t="s">
        <v>10310</v>
      </c>
      <c r="U3536" t="s">
        <v>11046</v>
      </c>
      <c r="W3536" s="2" t="s">
        <v>11204</v>
      </c>
    </row>
    <row r="3537" spans="1:23" hidden="1" x14ac:dyDescent="0.45">
      <c r="A3537" s="1" t="s">
        <v>3503</v>
      </c>
      <c r="B3537" t="s">
        <v>6516</v>
      </c>
      <c r="D3537" t="s">
        <v>8043</v>
      </c>
      <c r="E3537" t="s">
        <v>9783</v>
      </c>
      <c r="F3537" t="s">
        <v>10299</v>
      </c>
      <c r="G3537">
        <v>1.38</v>
      </c>
      <c r="H3537" t="s">
        <v>10310</v>
      </c>
      <c r="I3537" t="s">
        <v>10326</v>
      </c>
      <c r="L3537">
        <v>2007</v>
      </c>
      <c r="R3537" t="s">
        <v>11038</v>
      </c>
      <c r="S3537" t="s">
        <v>10310</v>
      </c>
      <c r="U3537" t="s">
        <v>11047</v>
      </c>
      <c r="W3537" s="2" t="s">
        <v>11204</v>
      </c>
    </row>
    <row r="3538" spans="1:23" hidden="1" x14ac:dyDescent="0.45">
      <c r="A3538" s="1" t="s">
        <v>3504</v>
      </c>
      <c r="B3538" t="s">
        <v>6311</v>
      </c>
      <c r="D3538" t="s">
        <v>8063</v>
      </c>
      <c r="E3538" t="s">
        <v>9784</v>
      </c>
      <c r="F3538" t="s">
        <v>10299</v>
      </c>
      <c r="G3538">
        <v>0.24</v>
      </c>
      <c r="H3538" t="s">
        <v>10310</v>
      </c>
      <c r="I3538" t="s">
        <v>10326</v>
      </c>
      <c r="L3538">
        <v>2016</v>
      </c>
      <c r="R3538" t="s">
        <v>11038</v>
      </c>
      <c r="S3538" t="s">
        <v>10310</v>
      </c>
      <c r="U3538" t="s">
        <v>11046</v>
      </c>
      <c r="W3538" s="2" t="s">
        <v>11204</v>
      </c>
    </row>
    <row r="3539" spans="1:23" hidden="1" x14ac:dyDescent="0.45">
      <c r="A3539" s="1" t="s">
        <v>3505</v>
      </c>
      <c r="D3539" t="s">
        <v>8065</v>
      </c>
      <c r="E3539" t="s">
        <v>9677</v>
      </c>
      <c r="F3539" t="s">
        <v>10299</v>
      </c>
      <c r="G3539">
        <v>0.56000000000000005</v>
      </c>
      <c r="H3539" t="s">
        <v>10310</v>
      </c>
      <c r="I3539" t="s">
        <v>10326</v>
      </c>
      <c r="L3539">
        <v>2001</v>
      </c>
      <c r="R3539" t="s">
        <v>11038</v>
      </c>
      <c r="S3539" t="s">
        <v>10310</v>
      </c>
      <c r="U3539" t="s">
        <v>11047</v>
      </c>
      <c r="W3539" s="2" t="s">
        <v>11204</v>
      </c>
    </row>
    <row r="3540" spans="1:23" hidden="1" x14ac:dyDescent="0.45">
      <c r="A3540" s="1" t="s">
        <v>3506</v>
      </c>
      <c r="B3540" t="s">
        <v>6517</v>
      </c>
      <c r="D3540" t="s">
        <v>8033</v>
      </c>
      <c r="E3540" t="s">
        <v>9666</v>
      </c>
      <c r="F3540" t="s">
        <v>10299</v>
      </c>
      <c r="G3540">
        <v>0.9</v>
      </c>
      <c r="H3540" t="s">
        <v>10310</v>
      </c>
      <c r="I3540" t="s">
        <v>10326</v>
      </c>
      <c r="L3540">
        <v>2007</v>
      </c>
      <c r="R3540" t="s">
        <v>11038</v>
      </c>
      <c r="S3540" t="s">
        <v>10310</v>
      </c>
      <c r="U3540" t="s">
        <v>11048</v>
      </c>
      <c r="W3540" s="2" t="s">
        <v>11204</v>
      </c>
    </row>
    <row r="3541" spans="1:23" hidden="1" x14ac:dyDescent="0.45">
      <c r="A3541" s="1" t="s">
        <v>3507</v>
      </c>
      <c r="D3541" t="s">
        <v>8025</v>
      </c>
      <c r="E3541" t="s">
        <v>9785</v>
      </c>
      <c r="F3541" t="s">
        <v>10299</v>
      </c>
      <c r="G3541">
        <v>1.4999999999999999E-2</v>
      </c>
      <c r="H3541" t="s">
        <v>10310</v>
      </c>
      <c r="I3541" t="s">
        <v>10326</v>
      </c>
      <c r="L3541">
        <v>2002</v>
      </c>
      <c r="R3541" t="s">
        <v>11038</v>
      </c>
      <c r="S3541" t="s">
        <v>10310</v>
      </c>
      <c r="U3541" t="s">
        <v>11046</v>
      </c>
      <c r="W3541" s="2" t="s">
        <v>11204</v>
      </c>
    </row>
    <row r="3542" spans="1:23" hidden="1" x14ac:dyDescent="0.45">
      <c r="A3542" s="1" t="s">
        <v>3508</v>
      </c>
      <c r="B3542" t="s">
        <v>6290</v>
      </c>
      <c r="D3542" t="s">
        <v>8035</v>
      </c>
      <c r="E3542" t="s">
        <v>9683</v>
      </c>
      <c r="F3542" t="s">
        <v>10299</v>
      </c>
      <c r="G3542">
        <v>31.85</v>
      </c>
      <c r="H3542" t="s">
        <v>10310</v>
      </c>
      <c r="I3542" t="s">
        <v>10326</v>
      </c>
      <c r="L3542">
        <v>1899</v>
      </c>
      <c r="R3542" t="s">
        <v>11038</v>
      </c>
      <c r="S3542" t="s">
        <v>10310</v>
      </c>
      <c r="U3542" t="s">
        <v>11050</v>
      </c>
      <c r="W3542" s="2" t="s">
        <v>11204</v>
      </c>
    </row>
    <row r="3543" spans="1:23" hidden="1" x14ac:dyDescent="0.45">
      <c r="A3543" s="1" t="s">
        <v>3509</v>
      </c>
      <c r="B3543" t="s">
        <v>6518</v>
      </c>
      <c r="D3543" t="s">
        <v>8081</v>
      </c>
      <c r="E3543" t="s">
        <v>9731</v>
      </c>
      <c r="F3543" t="s">
        <v>10299</v>
      </c>
      <c r="G3543">
        <v>0.84</v>
      </c>
      <c r="H3543" t="s">
        <v>10310</v>
      </c>
      <c r="I3543" t="s">
        <v>10326</v>
      </c>
      <c r="L3543">
        <v>2005</v>
      </c>
      <c r="R3543" t="s">
        <v>11038</v>
      </c>
      <c r="S3543" t="s">
        <v>10310</v>
      </c>
      <c r="U3543" t="s">
        <v>11047</v>
      </c>
      <c r="W3543" s="2" t="s">
        <v>11204</v>
      </c>
    </row>
    <row r="3544" spans="1:23" hidden="1" x14ac:dyDescent="0.45">
      <c r="A3544" s="1" t="s">
        <v>3510</v>
      </c>
      <c r="B3544" t="s">
        <v>6274</v>
      </c>
      <c r="D3544" t="s">
        <v>7917</v>
      </c>
      <c r="E3544" t="s">
        <v>9786</v>
      </c>
      <c r="F3544" t="s">
        <v>10299</v>
      </c>
      <c r="G3544">
        <v>7</v>
      </c>
      <c r="H3544" t="s">
        <v>10310</v>
      </c>
      <c r="I3544" t="s">
        <v>10326</v>
      </c>
      <c r="L3544">
        <v>1922</v>
      </c>
      <c r="R3544" t="s">
        <v>11038</v>
      </c>
      <c r="S3544" t="s">
        <v>10310</v>
      </c>
      <c r="U3544" t="s">
        <v>11050</v>
      </c>
      <c r="W3544" s="2" t="s">
        <v>11204</v>
      </c>
    </row>
    <row r="3545" spans="1:23" hidden="1" x14ac:dyDescent="0.45">
      <c r="A3545" s="1" t="s">
        <v>3511</v>
      </c>
      <c r="B3545" t="s">
        <v>6519</v>
      </c>
      <c r="D3545" t="s">
        <v>8035</v>
      </c>
      <c r="E3545" t="s">
        <v>3097</v>
      </c>
      <c r="F3545" t="s">
        <v>10299</v>
      </c>
      <c r="G3545">
        <v>0.8</v>
      </c>
      <c r="H3545" t="s">
        <v>10310</v>
      </c>
      <c r="I3545" t="s">
        <v>10326</v>
      </c>
      <c r="L3545">
        <v>1994</v>
      </c>
      <c r="R3545" t="s">
        <v>11038</v>
      </c>
      <c r="S3545" t="s">
        <v>10310</v>
      </c>
      <c r="U3545" t="s">
        <v>11048</v>
      </c>
      <c r="W3545" s="2" t="s">
        <v>11204</v>
      </c>
    </row>
    <row r="3546" spans="1:23" hidden="1" x14ac:dyDescent="0.45">
      <c r="A3546" s="1" t="s">
        <v>3512</v>
      </c>
      <c r="B3546" t="s">
        <v>6520</v>
      </c>
      <c r="D3546" t="s">
        <v>8059</v>
      </c>
      <c r="E3546" t="s">
        <v>9761</v>
      </c>
      <c r="F3546" t="s">
        <v>10299</v>
      </c>
      <c r="G3546">
        <v>1.9E-2</v>
      </c>
      <c r="H3546" t="s">
        <v>10310</v>
      </c>
      <c r="I3546" t="s">
        <v>10326</v>
      </c>
      <c r="L3546">
        <v>2006</v>
      </c>
      <c r="R3546" t="s">
        <v>11038</v>
      </c>
      <c r="S3546" t="s">
        <v>10310</v>
      </c>
      <c r="U3546" t="s">
        <v>11046</v>
      </c>
      <c r="W3546" s="2" t="s">
        <v>11204</v>
      </c>
    </row>
    <row r="3547" spans="1:23" hidden="1" x14ac:dyDescent="0.45">
      <c r="A3547" s="1" t="s">
        <v>3513</v>
      </c>
      <c r="D3547" t="s">
        <v>8062</v>
      </c>
      <c r="E3547" t="s">
        <v>9737</v>
      </c>
      <c r="F3547" t="s">
        <v>10299</v>
      </c>
      <c r="G3547">
        <v>0.01</v>
      </c>
      <c r="H3547" t="s">
        <v>10310</v>
      </c>
      <c r="I3547" t="s">
        <v>10326</v>
      </c>
      <c r="L3547">
        <v>2007</v>
      </c>
      <c r="R3547" t="s">
        <v>11038</v>
      </c>
      <c r="S3547" t="s">
        <v>10310</v>
      </c>
      <c r="U3547" t="s">
        <v>11049</v>
      </c>
      <c r="W3547" s="2" t="s">
        <v>11204</v>
      </c>
    </row>
    <row r="3548" spans="1:23" hidden="1" x14ac:dyDescent="0.45">
      <c r="A3548" s="1" t="s">
        <v>3514</v>
      </c>
      <c r="B3548" t="s">
        <v>6521</v>
      </c>
      <c r="D3548" t="s">
        <v>8033</v>
      </c>
      <c r="E3548" t="s">
        <v>9787</v>
      </c>
      <c r="F3548" t="s">
        <v>10299</v>
      </c>
      <c r="G3548">
        <v>0.59099999999999997</v>
      </c>
      <c r="H3548" t="s">
        <v>10310</v>
      </c>
      <c r="I3548" t="s">
        <v>10326</v>
      </c>
      <c r="L3548">
        <v>2014</v>
      </c>
      <c r="R3548" t="s">
        <v>11038</v>
      </c>
      <c r="S3548" t="s">
        <v>10310</v>
      </c>
      <c r="U3548" t="s">
        <v>11047</v>
      </c>
      <c r="W3548" s="2" t="s">
        <v>11204</v>
      </c>
    </row>
    <row r="3549" spans="1:23" hidden="1" x14ac:dyDescent="0.45">
      <c r="A3549" s="1" t="s">
        <v>3515</v>
      </c>
      <c r="D3549" t="s">
        <v>8072</v>
      </c>
      <c r="E3549" t="s">
        <v>9788</v>
      </c>
      <c r="F3549" t="s">
        <v>10299</v>
      </c>
      <c r="G3549">
        <v>0.05</v>
      </c>
      <c r="H3549" t="s">
        <v>10310</v>
      </c>
      <c r="I3549" t="s">
        <v>10326</v>
      </c>
      <c r="L3549">
        <v>2005</v>
      </c>
      <c r="R3549" t="s">
        <v>11038</v>
      </c>
      <c r="S3549" t="s">
        <v>10310</v>
      </c>
      <c r="U3549" t="s">
        <v>11047</v>
      </c>
      <c r="W3549" s="2" t="s">
        <v>11204</v>
      </c>
    </row>
    <row r="3550" spans="1:23" hidden="1" x14ac:dyDescent="0.45">
      <c r="A3550" s="1" t="s">
        <v>3516</v>
      </c>
      <c r="B3550" t="s">
        <v>6290</v>
      </c>
      <c r="D3550" t="s">
        <v>8040</v>
      </c>
      <c r="E3550" t="s">
        <v>9789</v>
      </c>
      <c r="F3550" t="s">
        <v>10299</v>
      </c>
      <c r="G3550">
        <v>4.7</v>
      </c>
      <c r="H3550" t="s">
        <v>10310</v>
      </c>
      <c r="I3550" t="s">
        <v>10326</v>
      </c>
      <c r="L3550">
        <v>1901</v>
      </c>
      <c r="R3550" t="s">
        <v>11038</v>
      </c>
      <c r="S3550" t="s">
        <v>10310</v>
      </c>
      <c r="U3550" t="s">
        <v>11050</v>
      </c>
      <c r="W3550" s="2" t="s">
        <v>11204</v>
      </c>
    </row>
    <row r="3551" spans="1:23" hidden="1" x14ac:dyDescent="0.45">
      <c r="A3551" s="1" t="s">
        <v>3516</v>
      </c>
      <c r="B3551" t="s">
        <v>6522</v>
      </c>
      <c r="D3551" t="s">
        <v>8070</v>
      </c>
      <c r="E3551" t="s">
        <v>4102</v>
      </c>
      <c r="F3551" t="s">
        <v>10299</v>
      </c>
      <c r="G3551">
        <v>0.13200000000000001</v>
      </c>
      <c r="H3551" t="s">
        <v>10310</v>
      </c>
      <c r="I3551" t="s">
        <v>10326</v>
      </c>
      <c r="L3551">
        <v>2014</v>
      </c>
      <c r="R3551" t="s">
        <v>11038</v>
      </c>
      <c r="S3551" t="s">
        <v>10310</v>
      </c>
      <c r="U3551" t="s">
        <v>11048</v>
      </c>
      <c r="W3551" s="2" t="s">
        <v>11204</v>
      </c>
    </row>
    <row r="3552" spans="1:23" hidden="1" x14ac:dyDescent="0.45">
      <c r="A3552" s="1" t="s">
        <v>3517</v>
      </c>
      <c r="B3552" t="s">
        <v>6350</v>
      </c>
      <c r="D3552" t="s">
        <v>8041</v>
      </c>
      <c r="E3552" t="s">
        <v>3517</v>
      </c>
      <c r="F3552" t="s">
        <v>10299</v>
      </c>
      <c r="G3552">
        <v>1.1000000000000001</v>
      </c>
      <c r="H3552" t="s">
        <v>10310</v>
      </c>
      <c r="I3552" t="s">
        <v>10326</v>
      </c>
      <c r="L3552">
        <v>1947</v>
      </c>
      <c r="R3552" t="s">
        <v>11038</v>
      </c>
      <c r="S3552" t="s">
        <v>10310</v>
      </c>
      <c r="U3552" t="s">
        <v>11048</v>
      </c>
      <c r="W3552" s="2" t="s">
        <v>11204</v>
      </c>
    </row>
    <row r="3553" spans="1:23" hidden="1" x14ac:dyDescent="0.45">
      <c r="A3553" s="1" t="s">
        <v>3518</v>
      </c>
      <c r="B3553" t="s">
        <v>6281</v>
      </c>
      <c r="D3553" t="s">
        <v>8072</v>
      </c>
      <c r="E3553" t="s">
        <v>9788</v>
      </c>
      <c r="F3553" t="s">
        <v>10299</v>
      </c>
      <c r="G3553">
        <v>0.72</v>
      </c>
      <c r="H3553" t="s">
        <v>10310</v>
      </c>
      <c r="I3553" t="s">
        <v>10326</v>
      </c>
      <c r="L3553">
        <v>1920</v>
      </c>
      <c r="R3553" t="s">
        <v>11038</v>
      </c>
      <c r="S3553" t="s">
        <v>10310</v>
      </c>
      <c r="U3553" t="s">
        <v>11047</v>
      </c>
      <c r="W3553" s="2" t="s">
        <v>11204</v>
      </c>
    </row>
    <row r="3554" spans="1:23" hidden="1" x14ac:dyDescent="0.45">
      <c r="A3554" s="1" t="s">
        <v>3519</v>
      </c>
      <c r="B3554" t="s">
        <v>6523</v>
      </c>
      <c r="D3554" t="s">
        <v>8061</v>
      </c>
      <c r="E3554" t="s">
        <v>9665</v>
      </c>
      <c r="F3554" t="s">
        <v>10299</v>
      </c>
      <c r="G3554">
        <v>7.0000000000000007E-2</v>
      </c>
      <c r="H3554" t="s">
        <v>10310</v>
      </c>
      <c r="I3554" t="s">
        <v>10326</v>
      </c>
      <c r="L3554">
        <v>1997</v>
      </c>
      <c r="R3554" t="s">
        <v>11038</v>
      </c>
      <c r="S3554" t="s">
        <v>10310</v>
      </c>
      <c r="U3554" t="s">
        <v>11046</v>
      </c>
      <c r="W3554" s="2" t="s">
        <v>11204</v>
      </c>
    </row>
    <row r="3555" spans="1:23" hidden="1" x14ac:dyDescent="0.45">
      <c r="A3555" s="1" t="s">
        <v>3520</v>
      </c>
      <c r="B3555" t="s">
        <v>6311</v>
      </c>
      <c r="D3555" t="s">
        <v>8025</v>
      </c>
      <c r="E3555" t="s">
        <v>9785</v>
      </c>
      <c r="F3555" t="s">
        <v>10299</v>
      </c>
      <c r="G3555">
        <v>22</v>
      </c>
      <c r="H3555" t="s">
        <v>10310</v>
      </c>
      <c r="I3555" t="s">
        <v>10326</v>
      </c>
      <c r="L3555">
        <v>1961</v>
      </c>
      <c r="R3555" t="s">
        <v>11038</v>
      </c>
      <c r="S3555" t="s">
        <v>10310</v>
      </c>
      <c r="U3555" t="s">
        <v>11046</v>
      </c>
      <c r="W3555" s="2" t="s">
        <v>11204</v>
      </c>
    </row>
    <row r="3556" spans="1:23" hidden="1" x14ac:dyDescent="0.45">
      <c r="A3556" s="1" t="s">
        <v>3521</v>
      </c>
      <c r="B3556" t="s">
        <v>6524</v>
      </c>
      <c r="D3556" t="s">
        <v>8036</v>
      </c>
      <c r="E3556" t="s">
        <v>4123</v>
      </c>
      <c r="F3556" t="s">
        <v>10299</v>
      </c>
      <c r="G3556">
        <v>2.4649999999999999</v>
      </c>
      <c r="H3556" t="s">
        <v>10310</v>
      </c>
      <c r="I3556" t="s">
        <v>10326</v>
      </c>
      <c r="L3556">
        <v>2012</v>
      </c>
      <c r="R3556" t="s">
        <v>11038</v>
      </c>
      <c r="S3556" t="s">
        <v>10310</v>
      </c>
      <c r="U3556" t="s">
        <v>11050</v>
      </c>
      <c r="W3556" s="2" t="s">
        <v>11204</v>
      </c>
    </row>
    <row r="3557" spans="1:23" hidden="1" x14ac:dyDescent="0.45">
      <c r="A3557" s="1" t="s">
        <v>3522</v>
      </c>
      <c r="B3557" t="s">
        <v>6402</v>
      </c>
      <c r="D3557" t="s">
        <v>8074</v>
      </c>
      <c r="E3557" t="s">
        <v>9703</v>
      </c>
      <c r="F3557" t="s">
        <v>10299</v>
      </c>
      <c r="G3557">
        <v>1.2999000000000001</v>
      </c>
      <c r="H3557" t="s">
        <v>10310</v>
      </c>
      <c r="I3557" t="s">
        <v>10326</v>
      </c>
      <c r="L3557">
        <v>1988</v>
      </c>
      <c r="R3557" t="s">
        <v>11038</v>
      </c>
      <c r="S3557" t="s">
        <v>10310</v>
      </c>
      <c r="U3557" t="s">
        <v>11047</v>
      </c>
      <c r="W3557" s="2" t="s">
        <v>11204</v>
      </c>
    </row>
    <row r="3558" spans="1:23" hidden="1" x14ac:dyDescent="0.45">
      <c r="A3558" s="1" t="s">
        <v>3523</v>
      </c>
      <c r="B3558" t="s">
        <v>6525</v>
      </c>
      <c r="D3558" t="s">
        <v>8080</v>
      </c>
      <c r="E3558" t="s">
        <v>9729</v>
      </c>
      <c r="F3558" t="s">
        <v>10299</v>
      </c>
      <c r="G3558">
        <v>9.9000000000000005E-2</v>
      </c>
      <c r="H3558" t="s">
        <v>10310</v>
      </c>
      <c r="I3558" t="s">
        <v>10326</v>
      </c>
      <c r="L3558">
        <v>2002</v>
      </c>
      <c r="R3558" t="s">
        <v>11038</v>
      </c>
      <c r="S3558" t="s">
        <v>10310</v>
      </c>
      <c r="U3558" t="s">
        <v>11049</v>
      </c>
      <c r="W3558" s="2" t="s">
        <v>11204</v>
      </c>
    </row>
    <row r="3559" spans="1:23" hidden="1" x14ac:dyDescent="0.45">
      <c r="A3559" s="1" t="s">
        <v>3524</v>
      </c>
      <c r="B3559" t="s">
        <v>6525</v>
      </c>
      <c r="D3559" t="s">
        <v>8080</v>
      </c>
      <c r="E3559" t="s">
        <v>9729</v>
      </c>
      <c r="F3559" t="s">
        <v>10299</v>
      </c>
      <c r="G3559">
        <v>9.9000000000000005E-2</v>
      </c>
      <c r="H3559" t="s">
        <v>10310</v>
      </c>
      <c r="I3559" t="s">
        <v>10326</v>
      </c>
      <c r="L3559">
        <v>2002</v>
      </c>
      <c r="R3559" t="s">
        <v>11038</v>
      </c>
      <c r="S3559" t="s">
        <v>10310</v>
      </c>
      <c r="U3559" t="s">
        <v>11049</v>
      </c>
      <c r="W3559" s="2" t="s">
        <v>11204</v>
      </c>
    </row>
    <row r="3560" spans="1:23" hidden="1" x14ac:dyDescent="0.45">
      <c r="A3560" s="1" t="s">
        <v>3525</v>
      </c>
      <c r="B3560" t="s">
        <v>6331</v>
      </c>
      <c r="D3560" t="s">
        <v>8032</v>
      </c>
      <c r="E3560" t="s">
        <v>9625</v>
      </c>
      <c r="F3560" t="s">
        <v>10299</v>
      </c>
      <c r="G3560">
        <v>24</v>
      </c>
      <c r="H3560" t="s">
        <v>10310</v>
      </c>
      <c r="I3560" t="s">
        <v>10326</v>
      </c>
      <c r="L3560">
        <v>1950</v>
      </c>
      <c r="R3560" t="s">
        <v>11038</v>
      </c>
      <c r="S3560" t="s">
        <v>10310</v>
      </c>
      <c r="U3560" t="s">
        <v>11046</v>
      </c>
      <c r="W3560" s="2" t="s">
        <v>11204</v>
      </c>
    </row>
    <row r="3561" spans="1:23" hidden="1" x14ac:dyDescent="0.45">
      <c r="A3561" s="1" t="s">
        <v>3526</v>
      </c>
      <c r="B3561" t="s">
        <v>6331</v>
      </c>
      <c r="D3561" t="s">
        <v>8032</v>
      </c>
      <c r="E3561" t="s">
        <v>9625</v>
      </c>
      <c r="F3561" t="s">
        <v>10299</v>
      </c>
      <c r="G3561">
        <v>12</v>
      </c>
      <c r="H3561" t="s">
        <v>10310</v>
      </c>
      <c r="I3561" t="s">
        <v>10326</v>
      </c>
      <c r="L3561">
        <v>1958</v>
      </c>
      <c r="R3561" t="s">
        <v>11038</v>
      </c>
      <c r="S3561" t="s">
        <v>10310</v>
      </c>
      <c r="U3561" t="s">
        <v>11046</v>
      </c>
      <c r="W3561" s="2" t="s">
        <v>11204</v>
      </c>
    </row>
    <row r="3562" spans="1:23" hidden="1" x14ac:dyDescent="0.45">
      <c r="A3562" s="1" t="s">
        <v>3527</v>
      </c>
      <c r="B3562" t="s">
        <v>6290</v>
      </c>
      <c r="D3562" t="s">
        <v>8029</v>
      </c>
      <c r="E3562" t="s">
        <v>9790</v>
      </c>
      <c r="F3562" t="s">
        <v>10299</v>
      </c>
      <c r="G3562">
        <v>108</v>
      </c>
      <c r="H3562" t="s">
        <v>10310</v>
      </c>
      <c r="I3562" t="s">
        <v>10326</v>
      </c>
      <c r="L3562">
        <v>1965</v>
      </c>
      <c r="R3562" t="s">
        <v>11038</v>
      </c>
      <c r="S3562" t="s">
        <v>10310</v>
      </c>
      <c r="U3562" t="s">
        <v>11050</v>
      </c>
      <c r="W3562" s="2" t="s">
        <v>11204</v>
      </c>
    </row>
    <row r="3563" spans="1:23" hidden="1" x14ac:dyDescent="0.45">
      <c r="A3563" s="1" t="s">
        <v>3528</v>
      </c>
      <c r="B3563" t="s">
        <v>6526</v>
      </c>
      <c r="D3563" t="s">
        <v>8034</v>
      </c>
      <c r="E3563" t="s">
        <v>9747</v>
      </c>
      <c r="F3563" t="s">
        <v>10299</v>
      </c>
      <c r="G3563">
        <v>1.8</v>
      </c>
      <c r="H3563" t="s">
        <v>10310</v>
      </c>
      <c r="I3563" t="s">
        <v>10326</v>
      </c>
      <c r="L3563">
        <v>2009</v>
      </c>
      <c r="R3563" t="s">
        <v>11038</v>
      </c>
      <c r="S3563" t="s">
        <v>10310</v>
      </c>
      <c r="U3563" t="s">
        <v>11046</v>
      </c>
      <c r="W3563" s="2" t="s">
        <v>11204</v>
      </c>
    </row>
    <row r="3564" spans="1:23" hidden="1" x14ac:dyDescent="0.45">
      <c r="A3564" s="1" t="s">
        <v>3529</v>
      </c>
      <c r="B3564" t="s">
        <v>6527</v>
      </c>
      <c r="D3564" t="s">
        <v>8065</v>
      </c>
      <c r="E3564" t="s">
        <v>9677</v>
      </c>
      <c r="F3564" t="s">
        <v>10299</v>
      </c>
      <c r="G3564">
        <v>1.1000000000000001</v>
      </c>
      <c r="H3564" t="s">
        <v>10310</v>
      </c>
      <c r="I3564" t="s">
        <v>10326</v>
      </c>
      <c r="L3564">
        <v>1980</v>
      </c>
      <c r="R3564" t="s">
        <v>11038</v>
      </c>
      <c r="S3564" t="s">
        <v>10310</v>
      </c>
      <c r="U3564" t="s">
        <v>11047</v>
      </c>
      <c r="W3564" s="2" t="s">
        <v>11204</v>
      </c>
    </row>
    <row r="3565" spans="1:23" hidden="1" x14ac:dyDescent="0.45">
      <c r="A3565" s="1" t="s">
        <v>3530</v>
      </c>
      <c r="B3565" t="s">
        <v>6528</v>
      </c>
      <c r="D3565" t="s">
        <v>8039</v>
      </c>
      <c r="E3565" t="s">
        <v>9699</v>
      </c>
      <c r="F3565" t="s">
        <v>10299</v>
      </c>
      <c r="G3565">
        <v>0.215</v>
      </c>
      <c r="H3565" t="s">
        <v>10310</v>
      </c>
      <c r="I3565" t="s">
        <v>10326</v>
      </c>
      <c r="L3565">
        <v>2009</v>
      </c>
      <c r="R3565" t="s">
        <v>11038</v>
      </c>
      <c r="S3565" t="s">
        <v>10310</v>
      </c>
      <c r="U3565" t="s">
        <v>11047</v>
      </c>
      <c r="W3565" s="2" t="s">
        <v>11204</v>
      </c>
    </row>
    <row r="3566" spans="1:23" hidden="1" x14ac:dyDescent="0.45">
      <c r="A3566" s="1" t="s">
        <v>3531</v>
      </c>
      <c r="B3566" t="s">
        <v>6303</v>
      </c>
      <c r="D3566" t="s">
        <v>8053</v>
      </c>
      <c r="E3566" t="s">
        <v>9652</v>
      </c>
      <c r="F3566" t="s">
        <v>10299</v>
      </c>
      <c r="G3566">
        <v>4.49</v>
      </c>
      <c r="H3566" t="s">
        <v>10310</v>
      </c>
      <c r="I3566" t="s">
        <v>10326</v>
      </c>
      <c r="L3566">
        <v>2018</v>
      </c>
      <c r="R3566" t="s">
        <v>11038</v>
      </c>
      <c r="S3566" t="s">
        <v>10310</v>
      </c>
      <c r="U3566" t="s">
        <v>11049</v>
      </c>
      <c r="W3566" s="2" t="s">
        <v>11204</v>
      </c>
    </row>
    <row r="3567" spans="1:23" hidden="1" x14ac:dyDescent="0.45">
      <c r="A3567" s="1" t="s">
        <v>3532</v>
      </c>
      <c r="B3567" t="s">
        <v>6529</v>
      </c>
      <c r="D3567" t="s">
        <v>8034</v>
      </c>
      <c r="E3567" t="s">
        <v>9627</v>
      </c>
      <c r="F3567" t="s">
        <v>10299</v>
      </c>
      <c r="G3567">
        <v>4.96</v>
      </c>
      <c r="H3567" t="s">
        <v>10310</v>
      </c>
      <c r="I3567" t="s">
        <v>10326</v>
      </c>
      <c r="L3567">
        <v>1954</v>
      </c>
      <c r="R3567" t="s">
        <v>11038</v>
      </c>
      <c r="S3567" t="s">
        <v>10310</v>
      </c>
      <c r="U3567" t="s">
        <v>11046</v>
      </c>
      <c r="W3567" s="2" t="s">
        <v>11204</v>
      </c>
    </row>
    <row r="3568" spans="1:23" hidden="1" x14ac:dyDescent="0.45">
      <c r="A3568" s="1" t="s">
        <v>3533</v>
      </c>
      <c r="B3568" t="s">
        <v>6530</v>
      </c>
      <c r="D3568" t="s">
        <v>8036</v>
      </c>
      <c r="E3568" t="s">
        <v>9637</v>
      </c>
      <c r="F3568" t="s">
        <v>10299</v>
      </c>
      <c r="G3568">
        <v>2</v>
      </c>
      <c r="H3568" t="s">
        <v>10310</v>
      </c>
      <c r="I3568" t="s">
        <v>10326</v>
      </c>
      <c r="L3568">
        <v>2010</v>
      </c>
      <c r="R3568" t="s">
        <v>11038</v>
      </c>
      <c r="S3568" t="s">
        <v>10310</v>
      </c>
      <c r="U3568" t="s">
        <v>11046</v>
      </c>
      <c r="W3568" s="2" t="s">
        <v>11204</v>
      </c>
    </row>
    <row r="3569" spans="1:23" hidden="1" x14ac:dyDescent="0.45">
      <c r="A3569" s="1" t="s">
        <v>3534</v>
      </c>
      <c r="B3569" t="s">
        <v>6408</v>
      </c>
      <c r="D3569" t="s">
        <v>8048</v>
      </c>
      <c r="E3569" t="s">
        <v>9642</v>
      </c>
      <c r="F3569" t="s">
        <v>10299</v>
      </c>
      <c r="G3569">
        <v>5.43</v>
      </c>
      <c r="H3569" t="s">
        <v>10310</v>
      </c>
      <c r="I3569" t="s">
        <v>10326</v>
      </c>
      <c r="L3569">
        <v>2018</v>
      </c>
      <c r="R3569" t="s">
        <v>11038</v>
      </c>
      <c r="S3569" t="s">
        <v>10310</v>
      </c>
      <c r="U3569" t="s">
        <v>11049</v>
      </c>
      <c r="W3569" s="2" t="s">
        <v>11204</v>
      </c>
    </row>
    <row r="3570" spans="1:23" hidden="1" x14ac:dyDescent="0.45">
      <c r="A3570" s="1" t="s">
        <v>3535</v>
      </c>
      <c r="B3570" t="s">
        <v>6531</v>
      </c>
      <c r="D3570" t="s">
        <v>8044</v>
      </c>
      <c r="E3570" t="s">
        <v>9791</v>
      </c>
      <c r="F3570" t="s">
        <v>10299</v>
      </c>
      <c r="G3570">
        <v>0.48</v>
      </c>
      <c r="H3570" t="s">
        <v>10310</v>
      </c>
      <c r="I3570" t="s">
        <v>10326</v>
      </c>
      <c r="L3570">
        <v>2010</v>
      </c>
      <c r="R3570" t="s">
        <v>11038</v>
      </c>
      <c r="S3570" t="s">
        <v>10310</v>
      </c>
      <c r="U3570" t="s">
        <v>11049</v>
      </c>
      <c r="W3570" s="2" t="s">
        <v>11204</v>
      </c>
    </row>
    <row r="3571" spans="1:23" hidden="1" x14ac:dyDescent="0.45">
      <c r="A3571" s="1" t="s">
        <v>3536</v>
      </c>
      <c r="B3571" t="s">
        <v>6397</v>
      </c>
      <c r="D3571" t="s">
        <v>8037</v>
      </c>
      <c r="E3571" t="s">
        <v>9726</v>
      </c>
      <c r="F3571" t="s">
        <v>10299</v>
      </c>
      <c r="G3571">
        <v>3.6</v>
      </c>
      <c r="H3571" t="s">
        <v>10310</v>
      </c>
      <c r="I3571" t="s">
        <v>10326</v>
      </c>
      <c r="L3571">
        <v>1938</v>
      </c>
      <c r="R3571" t="s">
        <v>11038</v>
      </c>
      <c r="S3571" t="s">
        <v>10310</v>
      </c>
      <c r="U3571" t="s">
        <v>11050</v>
      </c>
      <c r="W3571" s="2" t="s">
        <v>11204</v>
      </c>
    </row>
    <row r="3572" spans="1:23" hidden="1" x14ac:dyDescent="0.45">
      <c r="A3572" s="1" t="s">
        <v>3537</v>
      </c>
      <c r="B3572" t="s">
        <v>6281</v>
      </c>
      <c r="D3572" t="s">
        <v>8025</v>
      </c>
      <c r="E3572" t="s">
        <v>9693</v>
      </c>
      <c r="F3572" t="s">
        <v>10299</v>
      </c>
      <c r="G3572">
        <v>0.5</v>
      </c>
      <c r="H3572" t="s">
        <v>10310</v>
      </c>
      <c r="I3572" t="s">
        <v>10326</v>
      </c>
      <c r="L3572">
        <v>1985</v>
      </c>
      <c r="R3572" t="s">
        <v>11038</v>
      </c>
      <c r="S3572" t="s">
        <v>10310</v>
      </c>
      <c r="U3572" t="s">
        <v>11050</v>
      </c>
      <c r="W3572" s="2" t="s">
        <v>11204</v>
      </c>
    </row>
    <row r="3573" spans="1:23" hidden="1" x14ac:dyDescent="0.45">
      <c r="A3573" s="1" t="s">
        <v>3538</v>
      </c>
      <c r="D3573" t="s">
        <v>8061</v>
      </c>
      <c r="E3573" t="s">
        <v>9665</v>
      </c>
      <c r="F3573" t="s">
        <v>10299</v>
      </c>
      <c r="G3573">
        <v>2.1999999999999999E-2</v>
      </c>
      <c r="H3573" t="s">
        <v>10310</v>
      </c>
      <c r="I3573" t="s">
        <v>10326</v>
      </c>
      <c r="L3573">
        <v>2012</v>
      </c>
      <c r="R3573" t="s">
        <v>11038</v>
      </c>
      <c r="S3573" t="s">
        <v>10310</v>
      </c>
      <c r="U3573" t="s">
        <v>11046</v>
      </c>
      <c r="W3573" s="2" t="s">
        <v>11204</v>
      </c>
    </row>
    <row r="3574" spans="1:23" hidden="1" x14ac:dyDescent="0.45">
      <c r="A3574" s="1" t="s">
        <v>3539</v>
      </c>
      <c r="B3574" t="s">
        <v>6532</v>
      </c>
      <c r="D3574" t="s">
        <v>8078</v>
      </c>
      <c r="E3574" t="s">
        <v>9725</v>
      </c>
      <c r="F3574" t="s">
        <v>10299</v>
      </c>
      <c r="G3574">
        <v>1.65</v>
      </c>
      <c r="H3574" t="s">
        <v>10310</v>
      </c>
      <c r="I3574" t="s">
        <v>10326</v>
      </c>
      <c r="L3574">
        <v>2001</v>
      </c>
      <c r="R3574" t="s">
        <v>11038</v>
      </c>
      <c r="S3574" t="s">
        <v>10310</v>
      </c>
      <c r="U3574" t="s">
        <v>11046</v>
      </c>
      <c r="W3574" s="2" t="s">
        <v>11204</v>
      </c>
    </row>
    <row r="3575" spans="1:23" hidden="1" x14ac:dyDescent="0.45">
      <c r="A3575" s="1" t="s">
        <v>3540</v>
      </c>
      <c r="B3575" t="s">
        <v>6274</v>
      </c>
      <c r="D3575" t="s">
        <v>8051</v>
      </c>
      <c r="E3575" t="s">
        <v>4623</v>
      </c>
      <c r="F3575" t="s">
        <v>10299</v>
      </c>
      <c r="G3575">
        <v>4.9000000000000004</v>
      </c>
      <c r="H3575" t="s">
        <v>10310</v>
      </c>
      <c r="I3575" t="s">
        <v>10326</v>
      </c>
      <c r="L3575">
        <v>1957</v>
      </c>
      <c r="R3575" t="s">
        <v>11038</v>
      </c>
      <c r="S3575" t="s">
        <v>10310</v>
      </c>
      <c r="U3575" t="s">
        <v>11046</v>
      </c>
      <c r="W3575" s="2" t="s">
        <v>11204</v>
      </c>
    </row>
    <row r="3576" spans="1:23" hidden="1" x14ac:dyDescent="0.45">
      <c r="A3576" s="1" t="s">
        <v>3541</v>
      </c>
      <c r="B3576" t="s">
        <v>6393</v>
      </c>
      <c r="D3576" t="s">
        <v>8058</v>
      </c>
      <c r="E3576" t="s">
        <v>9662</v>
      </c>
      <c r="F3576" t="s">
        <v>10299</v>
      </c>
      <c r="G3576">
        <v>4.9000000000000004</v>
      </c>
      <c r="H3576" t="s">
        <v>10310</v>
      </c>
      <c r="I3576" t="s">
        <v>10326</v>
      </c>
      <c r="L3576">
        <v>1949</v>
      </c>
      <c r="R3576" t="s">
        <v>11038</v>
      </c>
      <c r="S3576" t="s">
        <v>10310</v>
      </c>
      <c r="U3576" t="s">
        <v>11046</v>
      </c>
      <c r="W3576" s="2" t="s">
        <v>11204</v>
      </c>
    </row>
    <row r="3577" spans="1:23" hidden="1" x14ac:dyDescent="0.45">
      <c r="A3577" s="1" t="s">
        <v>3542</v>
      </c>
      <c r="B3577" t="s">
        <v>6294</v>
      </c>
      <c r="D3577" t="s">
        <v>8063</v>
      </c>
      <c r="E3577" t="s">
        <v>9668</v>
      </c>
      <c r="F3577" t="s">
        <v>10299</v>
      </c>
      <c r="G3577">
        <v>16</v>
      </c>
      <c r="H3577" t="s">
        <v>10310</v>
      </c>
      <c r="I3577" t="s">
        <v>10326</v>
      </c>
      <c r="L3577">
        <v>1992</v>
      </c>
      <c r="R3577" t="s">
        <v>11038</v>
      </c>
      <c r="S3577" t="s">
        <v>10310</v>
      </c>
      <c r="U3577" t="s">
        <v>11046</v>
      </c>
      <c r="W3577" s="2" t="s">
        <v>11204</v>
      </c>
    </row>
    <row r="3578" spans="1:23" hidden="1" x14ac:dyDescent="0.45">
      <c r="A3578" s="1" t="s">
        <v>3543</v>
      </c>
      <c r="B3578" t="s">
        <v>6533</v>
      </c>
      <c r="D3578" t="s">
        <v>8081</v>
      </c>
      <c r="E3578" t="s">
        <v>9731</v>
      </c>
      <c r="F3578" t="s">
        <v>10299</v>
      </c>
      <c r="G3578">
        <v>2.6</v>
      </c>
      <c r="H3578" t="s">
        <v>10310</v>
      </c>
      <c r="I3578" t="s">
        <v>10326</v>
      </c>
      <c r="L3578">
        <v>1987</v>
      </c>
      <c r="R3578" t="s">
        <v>11038</v>
      </c>
      <c r="S3578" t="s">
        <v>10310</v>
      </c>
      <c r="U3578" t="s">
        <v>11047</v>
      </c>
      <c r="W3578" s="2" t="s">
        <v>11204</v>
      </c>
    </row>
    <row r="3579" spans="1:23" hidden="1" x14ac:dyDescent="0.45">
      <c r="A3579" s="1" t="s">
        <v>3544</v>
      </c>
      <c r="B3579" t="s">
        <v>6534</v>
      </c>
      <c r="D3579" t="s">
        <v>8032</v>
      </c>
      <c r="E3579" t="s">
        <v>9660</v>
      </c>
      <c r="F3579" t="s">
        <v>10299</v>
      </c>
      <c r="G3579">
        <v>8.0000000000000002E-3</v>
      </c>
      <c r="H3579" t="s">
        <v>10310</v>
      </c>
      <c r="I3579" t="s">
        <v>10326</v>
      </c>
      <c r="L3579">
        <v>2009</v>
      </c>
      <c r="R3579" t="s">
        <v>11038</v>
      </c>
      <c r="S3579" t="s">
        <v>10310</v>
      </c>
      <c r="U3579" t="s">
        <v>11047</v>
      </c>
      <c r="W3579" s="2" t="s">
        <v>11204</v>
      </c>
    </row>
    <row r="3580" spans="1:23" hidden="1" x14ac:dyDescent="0.45">
      <c r="A3580" s="1" t="s">
        <v>3545</v>
      </c>
      <c r="B3580" t="s">
        <v>6346</v>
      </c>
      <c r="D3580" t="s">
        <v>8070</v>
      </c>
      <c r="E3580" t="s">
        <v>3591</v>
      </c>
      <c r="F3580" t="s">
        <v>10299</v>
      </c>
      <c r="G3580">
        <v>0.76</v>
      </c>
      <c r="H3580" t="s">
        <v>10310</v>
      </c>
      <c r="I3580" t="s">
        <v>10326</v>
      </c>
      <c r="L3580">
        <v>1990</v>
      </c>
      <c r="R3580" t="s">
        <v>11038</v>
      </c>
      <c r="S3580" t="s">
        <v>10310</v>
      </c>
      <c r="U3580" t="s">
        <v>11046</v>
      </c>
      <c r="W3580" s="2" t="s">
        <v>11204</v>
      </c>
    </row>
    <row r="3581" spans="1:23" hidden="1" x14ac:dyDescent="0.45">
      <c r="A3581" s="1" t="s">
        <v>3546</v>
      </c>
      <c r="B3581" t="s">
        <v>6281</v>
      </c>
      <c r="D3581" t="s">
        <v>8068</v>
      </c>
      <c r="E3581" t="s">
        <v>9745</v>
      </c>
      <c r="F3581" t="s">
        <v>10299</v>
      </c>
      <c r="G3581">
        <v>2.2999999999999998</v>
      </c>
      <c r="H3581" t="s">
        <v>10310</v>
      </c>
      <c r="I3581" t="s">
        <v>10326</v>
      </c>
      <c r="L3581">
        <v>2009</v>
      </c>
      <c r="R3581" t="s">
        <v>11038</v>
      </c>
      <c r="S3581" t="s">
        <v>10310</v>
      </c>
      <c r="U3581" t="s">
        <v>11048</v>
      </c>
      <c r="W3581" s="2" t="s">
        <v>11204</v>
      </c>
    </row>
    <row r="3582" spans="1:23" hidden="1" x14ac:dyDescent="0.45">
      <c r="A3582" s="1" t="s">
        <v>3547</v>
      </c>
      <c r="B3582" t="s">
        <v>6535</v>
      </c>
      <c r="D3582" t="s">
        <v>8061</v>
      </c>
      <c r="E3582" t="s">
        <v>9665</v>
      </c>
      <c r="F3582" t="s">
        <v>10299</v>
      </c>
      <c r="G3582">
        <v>6.5000000000000002E-2</v>
      </c>
      <c r="H3582" t="s">
        <v>10310</v>
      </c>
      <c r="I3582" t="s">
        <v>10326</v>
      </c>
      <c r="L3582">
        <v>2010</v>
      </c>
      <c r="R3582" t="s">
        <v>11038</v>
      </c>
      <c r="S3582" t="s">
        <v>10310</v>
      </c>
      <c r="U3582" t="s">
        <v>11046</v>
      </c>
      <c r="W3582" s="2" t="s">
        <v>11204</v>
      </c>
    </row>
    <row r="3583" spans="1:23" hidden="1" x14ac:dyDescent="0.45">
      <c r="A3583" s="1" t="s">
        <v>3548</v>
      </c>
      <c r="B3583" t="s">
        <v>6536</v>
      </c>
      <c r="D3583" t="s">
        <v>7986</v>
      </c>
      <c r="E3583" t="s">
        <v>9648</v>
      </c>
      <c r="F3583" t="s">
        <v>10299</v>
      </c>
      <c r="G3583">
        <v>7.4999999999999997E-2</v>
      </c>
      <c r="H3583" t="s">
        <v>10310</v>
      </c>
      <c r="I3583" t="s">
        <v>10326</v>
      </c>
      <c r="L3583">
        <v>2019</v>
      </c>
      <c r="R3583" t="s">
        <v>11038</v>
      </c>
      <c r="S3583" t="s">
        <v>10310</v>
      </c>
      <c r="U3583" t="s">
        <v>11047</v>
      </c>
      <c r="W3583" s="2" t="s">
        <v>11204</v>
      </c>
    </row>
    <row r="3584" spans="1:23" hidden="1" x14ac:dyDescent="0.45">
      <c r="A3584" s="1" t="s">
        <v>3549</v>
      </c>
      <c r="B3584" t="s">
        <v>6374</v>
      </c>
      <c r="D3584" t="s">
        <v>8067</v>
      </c>
      <c r="E3584" t="s">
        <v>9739</v>
      </c>
      <c r="F3584" t="s">
        <v>10299</v>
      </c>
      <c r="G3584">
        <v>10</v>
      </c>
      <c r="H3584" t="s">
        <v>10310</v>
      </c>
      <c r="I3584" t="s">
        <v>10326</v>
      </c>
      <c r="L3584">
        <v>1981</v>
      </c>
      <c r="R3584" t="s">
        <v>11038</v>
      </c>
      <c r="S3584" t="s">
        <v>10310</v>
      </c>
      <c r="U3584" t="s">
        <v>11048</v>
      </c>
      <c r="W3584" s="2" t="s">
        <v>11204</v>
      </c>
    </row>
    <row r="3585" spans="1:23" hidden="1" x14ac:dyDescent="0.45">
      <c r="A3585" s="1" t="s">
        <v>3550</v>
      </c>
      <c r="B3585" t="s">
        <v>6537</v>
      </c>
      <c r="D3585" t="s">
        <v>8063</v>
      </c>
      <c r="E3585" t="s">
        <v>9668</v>
      </c>
      <c r="F3585" t="s">
        <v>10299</v>
      </c>
      <c r="G3585">
        <v>1.66</v>
      </c>
      <c r="H3585" t="s">
        <v>10310</v>
      </c>
      <c r="I3585" t="s">
        <v>10326</v>
      </c>
      <c r="L3585">
        <v>2015</v>
      </c>
      <c r="R3585" t="s">
        <v>11038</v>
      </c>
      <c r="S3585" t="s">
        <v>10310</v>
      </c>
      <c r="U3585" t="s">
        <v>11046</v>
      </c>
      <c r="W3585" s="2" t="s">
        <v>11204</v>
      </c>
    </row>
    <row r="3586" spans="1:23" hidden="1" x14ac:dyDescent="0.45">
      <c r="A3586" s="1" t="s">
        <v>3551</v>
      </c>
      <c r="B3586" t="s">
        <v>6274</v>
      </c>
      <c r="D3586" t="s">
        <v>8070</v>
      </c>
      <c r="E3586" t="s">
        <v>9754</v>
      </c>
      <c r="F3586" t="s">
        <v>10299</v>
      </c>
      <c r="G3586">
        <v>0.28000000000000003</v>
      </c>
      <c r="H3586" t="s">
        <v>10310</v>
      </c>
      <c r="I3586" t="s">
        <v>10326</v>
      </c>
      <c r="L3586">
        <v>2015</v>
      </c>
      <c r="R3586" t="s">
        <v>11038</v>
      </c>
      <c r="S3586" t="s">
        <v>10310</v>
      </c>
      <c r="U3586" t="s">
        <v>11047</v>
      </c>
      <c r="W3586" s="2" t="s">
        <v>11204</v>
      </c>
    </row>
    <row r="3587" spans="1:23" hidden="1" x14ac:dyDescent="0.45">
      <c r="A3587" s="1" t="s">
        <v>3552</v>
      </c>
      <c r="B3587" t="s">
        <v>6274</v>
      </c>
      <c r="D3587" t="s">
        <v>8033</v>
      </c>
      <c r="E3587" t="s">
        <v>9787</v>
      </c>
      <c r="F3587" t="s">
        <v>10299</v>
      </c>
      <c r="G3587">
        <v>32</v>
      </c>
      <c r="H3587" t="s">
        <v>10310</v>
      </c>
      <c r="I3587" t="s">
        <v>10326</v>
      </c>
      <c r="L3587">
        <v>1962</v>
      </c>
      <c r="R3587" t="s">
        <v>11038</v>
      </c>
      <c r="S3587" t="s">
        <v>10310</v>
      </c>
      <c r="U3587" t="s">
        <v>11047</v>
      </c>
      <c r="W3587" s="2" t="s">
        <v>11204</v>
      </c>
    </row>
    <row r="3588" spans="1:23" hidden="1" x14ac:dyDescent="0.45">
      <c r="A3588" s="1" t="s">
        <v>3553</v>
      </c>
      <c r="B3588" t="s">
        <v>6538</v>
      </c>
      <c r="D3588" t="s">
        <v>8075</v>
      </c>
      <c r="E3588" t="s">
        <v>9715</v>
      </c>
      <c r="F3588" t="s">
        <v>10299</v>
      </c>
      <c r="G3588">
        <v>0.5</v>
      </c>
      <c r="H3588" t="s">
        <v>10310</v>
      </c>
      <c r="I3588" t="s">
        <v>10326</v>
      </c>
      <c r="L3588">
        <v>1998</v>
      </c>
      <c r="R3588" t="s">
        <v>11038</v>
      </c>
      <c r="S3588" t="s">
        <v>10310</v>
      </c>
      <c r="U3588" t="s">
        <v>11047</v>
      </c>
      <c r="W3588" s="2" t="s">
        <v>11204</v>
      </c>
    </row>
    <row r="3589" spans="1:23" hidden="1" x14ac:dyDescent="0.45">
      <c r="A3589" s="1" t="s">
        <v>3554</v>
      </c>
      <c r="B3589" t="s">
        <v>6539</v>
      </c>
      <c r="D3589" t="s">
        <v>8028</v>
      </c>
      <c r="E3589" t="s">
        <v>9636</v>
      </c>
      <c r="F3589" t="s">
        <v>10299</v>
      </c>
      <c r="G3589">
        <v>0.32</v>
      </c>
      <c r="H3589" t="s">
        <v>10310</v>
      </c>
      <c r="I3589" t="s">
        <v>10326</v>
      </c>
      <c r="L3589">
        <v>1981</v>
      </c>
      <c r="R3589" t="s">
        <v>11038</v>
      </c>
      <c r="S3589" t="s">
        <v>10310</v>
      </c>
      <c r="U3589" t="s">
        <v>11050</v>
      </c>
      <c r="W3589" s="2" t="s">
        <v>11204</v>
      </c>
    </row>
    <row r="3590" spans="1:23" hidden="1" x14ac:dyDescent="0.45">
      <c r="A3590" s="1" t="s">
        <v>3555</v>
      </c>
      <c r="B3590" t="s">
        <v>6540</v>
      </c>
      <c r="D3590" t="s">
        <v>8028</v>
      </c>
      <c r="E3590" t="s">
        <v>9636</v>
      </c>
      <c r="F3590" t="s">
        <v>10299</v>
      </c>
      <c r="G3590">
        <v>0.6</v>
      </c>
      <c r="H3590" t="s">
        <v>10310</v>
      </c>
      <c r="I3590" t="s">
        <v>10326</v>
      </c>
      <c r="L3590">
        <v>1981</v>
      </c>
      <c r="R3590" t="s">
        <v>11038</v>
      </c>
      <c r="S3590" t="s">
        <v>10310</v>
      </c>
      <c r="U3590" t="s">
        <v>11050</v>
      </c>
      <c r="W3590" s="2" t="s">
        <v>11204</v>
      </c>
    </row>
    <row r="3591" spans="1:23" hidden="1" x14ac:dyDescent="0.45">
      <c r="A3591" s="1" t="s">
        <v>3556</v>
      </c>
      <c r="B3591" t="s">
        <v>6541</v>
      </c>
      <c r="D3591" t="s">
        <v>8043</v>
      </c>
      <c r="E3591" t="s">
        <v>9792</v>
      </c>
      <c r="F3591" t="s">
        <v>10299</v>
      </c>
      <c r="G3591">
        <v>0.25</v>
      </c>
      <c r="H3591" t="s">
        <v>10310</v>
      </c>
      <c r="I3591" t="s">
        <v>10326</v>
      </c>
      <c r="L3591">
        <v>2009</v>
      </c>
      <c r="R3591" t="s">
        <v>11038</v>
      </c>
      <c r="S3591" t="s">
        <v>10310</v>
      </c>
      <c r="U3591" t="s">
        <v>11048</v>
      </c>
      <c r="W3591" s="2" t="s">
        <v>11204</v>
      </c>
    </row>
    <row r="3592" spans="1:23" hidden="1" x14ac:dyDescent="0.45">
      <c r="A3592" s="1" t="s">
        <v>3557</v>
      </c>
      <c r="B3592" t="s">
        <v>6542</v>
      </c>
      <c r="D3592" t="s">
        <v>8071</v>
      </c>
      <c r="E3592" t="s">
        <v>9689</v>
      </c>
      <c r="F3592" t="s">
        <v>10299</v>
      </c>
      <c r="G3592">
        <v>1</v>
      </c>
      <c r="H3592" t="s">
        <v>10310</v>
      </c>
      <c r="I3592" t="s">
        <v>10326</v>
      </c>
      <c r="L3592">
        <v>2008</v>
      </c>
      <c r="R3592" t="s">
        <v>11038</v>
      </c>
      <c r="S3592" t="s">
        <v>10310</v>
      </c>
      <c r="U3592" t="s">
        <v>11047</v>
      </c>
      <c r="W3592" s="2" t="s">
        <v>11204</v>
      </c>
    </row>
    <row r="3593" spans="1:23" hidden="1" x14ac:dyDescent="0.45">
      <c r="A3593" s="1" t="s">
        <v>3558</v>
      </c>
      <c r="B3593" t="s">
        <v>6543</v>
      </c>
      <c r="D3593" t="s">
        <v>8041</v>
      </c>
      <c r="E3593" t="s">
        <v>9651</v>
      </c>
      <c r="F3593" t="s">
        <v>10299</v>
      </c>
      <c r="G3593">
        <v>2.8</v>
      </c>
      <c r="H3593" t="s">
        <v>10310</v>
      </c>
      <c r="I3593" t="s">
        <v>10326</v>
      </c>
      <c r="L3593">
        <v>2008</v>
      </c>
      <c r="R3593" t="s">
        <v>11038</v>
      </c>
      <c r="S3593" t="s">
        <v>10310</v>
      </c>
      <c r="U3593" t="s">
        <v>11047</v>
      </c>
      <c r="W3593" s="2" t="s">
        <v>11204</v>
      </c>
    </row>
    <row r="3594" spans="1:23" hidden="1" x14ac:dyDescent="0.45">
      <c r="A3594" s="1" t="s">
        <v>3559</v>
      </c>
      <c r="B3594" t="s">
        <v>6437</v>
      </c>
      <c r="D3594" t="s">
        <v>8030</v>
      </c>
      <c r="E3594" t="s">
        <v>9748</v>
      </c>
      <c r="F3594" t="s">
        <v>10299</v>
      </c>
      <c r="G3594">
        <v>0.4</v>
      </c>
      <c r="H3594" t="s">
        <v>10310</v>
      </c>
      <c r="I3594" t="s">
        <v>10326</v>
      </c>
      <c r="L3594">
        <v>2008</v>
      </c>
      <c r="R3594" t="s">
        <v>11038</v>
      </c>
      <c r="S3594" t="s">
        <v>10310</v>
      </c>
      <c r="U3594" t="s">
        <v>11046</v>
      </c>
      <c r="W3594" s="2" t="s">
        <v>11204</v>
      </c>
    </row>
    <row r="3595" spans="1:23" hidden="1" x14ac:dyDescent="0.45">
      <c r="A3595" s="1" t="s">
        <v>3559</v>
      </c>
      <c r="B3595" t="s">
        <v>6544</v>
      </c>
      <c r="D3595" t="s">
        <v>8031</v>
      </c>
      <c r="E3595" t="s">
        <v>9773</v>
      </c>
      <c r="F3595" t="s">
        <v>10299</v>
      </c>
      <c r="G3595">
        <v>2.4</v>
      </c>
      <c r="H3595" t="s">
        <v>10310</v>
      </c>
      <c r="I3595" t="s">
        <v>10326</v>
      </c>
      <c r="L3595">
        <v>2012</v>
      </c>
      <c r="R3595" t="s">
        <v>11038</v>
      </c>
      <c r="S3595" t="s">
        <v>10310</v>
      </c>
      <c r="U3595" t="s">
        <v>11046</v>
      </c>
      <c r="W3595" s="2" t="s">
        <v>11204</v>
      </c>
    </row>
    <row r="3596" spans="1:23" hidden="1" x14ac:dyDescent="0.45">
      <c r="A3596" s="1" t="s">
        <v>3560</v>
      </c>
      <c r="B3596" t="s">
        <v>6311</v>
      </c>
      <c r="D3596" t="s">
        <v>8031</v>
      </c>
      <c r="E3596" t="s">
        <v>9793</v>
      </c>
      <c r="F3596" t="s">
        <v>10299</v>
      </c>
      <c r="G3596">
        <v>56</v>
      </c>
      <c r="H3596" t="s">
        <v>10310</v>
      </c>
      <c r="I3596" t="s">
        <v>10326</v>
      </c>
      <c r="L3596">
        <v>1995</v>
      </c>
      <c r="R3596" t="s">
        <v>11038</v>
      </c>
      <c r="S3596" t="s">
        <v>10310</v>
      </c>
      <c r="U3596" t="s">
        <v>11046</v>
      </c>
      <c r="W3596" s="2" t="s">
        <v>11204</v>
      </c>
    </row>
    <row r="3597" spans="1:23" hidden="1" x14ac:dyDescent="0.45">
      <c r="A3597" s="1" t="s">
        <v>3561</v>
      </c>
      <c r="D3597" t="s">
        <v>8049</v>
      </c>
      <c r="E3597" t="s">
        <v>9708</v>
      </c>
      <c r="F3597" t="s">
        <v>10299</v>
      </c>
      <c r="G3597">
        <v>0.31</v>
      </c>
      <c r="H3597" t="s">
        <v>10310</v>
      </c>
      <c r="I3597" t="s">
        <v>10326</v>
      </c>
      <c r="L3597">
        <v>2004</v>
      </c>
      <c r="R3597" t="s">
        <v>11038</v>
      </c>
      <c r="S3597" t="s">
        <v>10310</v>
      </c>
      <c r="U3597" t="s">
        <v>11046</v>
      </c>
      <c r="W3597" s="2" t="s">
        <v>11204</v>
      </c>
    </row>
    <row r="3598" spans="1:23" hidden="1" x14ac:dyDescent="0.45">
      <c r="A3598" s="1" t="s">
        <v>3562</v>
      </c>
      <c r="B3598" t="s">
        <v>6545</v>
      </c>
      <c r="D3598" t="s">
        <v>8061</v>
      </c>
      <c r="E3598" t="s">
        <v>9665</v>
      </c>
      <c r="F3598" t="s">
        <v>10299</v>
      </c>
      <c r="G3598">
        <v>3.47</v>
      </c>
      <c r="H3598" t="s">
        <v>10310</v>
      </c>
      <c r="I3598" t="s">
        <v>10326</v>
      </c>
      <c r="L3598">
        <v>2003</v>
      </c>
      <c r="R3598" t="s">
        <v>11038</v>
      </c>
      <c r="S3598" t="s">
        <v>10310</v>
      </c>
      <c r="U3598" t="s">
        <v>11046</v>
      </c>
      <c r="W3598" s="2" t="s">
        <v>11204</v>
      </c>
    </row>
    <row r="3599" spans="1:23" hidden="1" x14ac:dyDescent="0.45">
      <c r="A3599" s="1" t="s">
        <v>3563</v>
      </c>
      <c r="B3599" t="s">
        <v>6546</v>
      </c>
      <c r="D3599" t="s">
        <v>8037</v>
      </c>
      <c r="E3599" t="s">
        <v>9629</v>
      </c>
      <c r="F3599" t="s">
        <v>10299</v>
      </c>
      <c r="G3599">
        <v>2.7</v>
      </c>
      <c r="H3599" t="s">
        <v>10310</v>
      </c>
      <c r="I3599" t="s">
        <v>10326</v>
      </c>
      <c r="L3599">
        <v>2018</v>
      </c>
      <c r="R3599" t="s">
        <v>11038</v>
      </c>
      <c r="S3599" t="s">
        <v>10310</v>
      </c>
      <c r="U3599" t="s">
        <v>11047</v>
      </c>
      <c r="W3599" s="2" t="s">
        <v>11204</v>
      </c>
    </row>
    <row r="3600" spans="1:23" hidden="1" x14ac:dyDescent="0.45">
      <c r="A3600" s="1" t="s">
        <v>3564</v>
      </c>
      <c r="B3600" t="s">
        <v>6547</v>
      </c>
      <c r="D3600" t="s">
        <v>8032</v>
      </c>
      <c r="E3600" t="s">
        <v>9660</v>
      </c>
      <c r="F3600" t="s">
        <v>10299</v>
      </c>
      <c r="G3600">
        <v>0.4</v>
      </c>
      <c r="H3600" t="s">
        <v>10310</v>
      </c>
      <c r="I3600" t="s">
        <v>10326</v>
      </c>
      <c r="L3600">
        <v>1997</v>
      </c>
      <c r="R3600" t="s">
        <v>11038</v>
      </c>
      <c r="S3600" t="s">
        <v>10310</v>
      </c>
      <c r="U3600" t="s">
        <v>11047</v>
      </c>
      <c r="W3600" s="2" t="s">
        <v>11204</v>
      </c>
    </row>
    <row r="3601" spans="1:23" hidden="1" x14ac:dyDescent="0.45">
      <c r="A3601" s="1" t="s">
        <v>3565</v>
      </c>
      <c r="B3601" t="s">
        <v>6548</v>
      </c>
      <c r="D3601" t="s">
        <v>8032</v>
      </c>
      <c r="E3601" t="s">
        <v>9660</v>
      </c>
      <c r="F3601" t="s">
        <v>10299</v>
      </c>
      <c r="G3601">
        <v>2.08</v>
      </c>
      <c r="H3601" t="s">
        <v>10310</v>
      </c>
      <c r="I3601" t="s">
        <v>10326</v>
      </c>
      <c r="L3601">
        <v>2019</v>
      </c>
      <c r="R3601" t="s">
        <v>11038</v>
      </c>
      <c r="S3601" t="s">
        <v>10310</v>
      </c>
      <c r="U3601" t="s">
        <v>11047</v>
      </c>
      <c r="W3601" s="2" t="s">
        <v>11204</v>
      </c>
    </row>
    <row r="3602" spans="1:23" hidden="1" x14ac:dyDescent="0.45">
      <c r="A3602" s="1" t="s">
        <v>3566</v>
      </c>
      <c r="B3602" t="s">
        <v>6378</v>
      </c>
      <c r="D3602" t="s">
        <v>8072</v>
      </c>
      <c r="E3602" t="s">
        <v>9700</v>
      </c>
      <c r="F3602" t="s">
        <v>10299</v>
      </c>
      <c r="G3602">
        <v>31.5</v>
      </c>
      <c r="H3602" t="s">
        <v>10310</v>
      </c>
      <c r="I3602" t="s">
        <v>10326</v>
      </c>
      <c r="L3602">
        <v>1992</v>
      </c>
      <c r="R3602" t="s">
        <v>11038</v>
      </c>
      <c r="S3602" t="s">
        <v>10310</v>
      </c>
      <c r="U3602" t="s">
        <v>11049</v>
      </c>
      <c r="W3602" s="2" t="s">
        <v>11204</v>
      </c>
    </row>
    <row r="3603" spans="1:23" hidden="1" x14ac:dyDescent="0.45">
      <c r="A3603" s="1" t="s">
        <v>3567</v>
      </c>
      <c r="B3603" t="s">
        <v>6362</v>
      </c>
      <c r="D3603" t="s">
        <v>8072</v>
      </c>
      <c r="E3603" t="s">
        <v>9700</v>
      </c>
      <c r="F3603" t="s">
        <v>10299</v>
      </c>
      <c r="G3603">
        <v>2.5</v>
      </c>
      <c r="H3603" t="s">
        <v>10310</v>
      </c>
      <c r="I3603" t="s">
        <v>10326</v>
      </c>
      <c r="L3603">
        <v>1977</v>
      </c>
      <c r="R3603" t="s">
        <v>11038</v>
      </c>
      <c r="S3603" t="s">
        <v>10310</v>
      </c>
      <c r="U3603" t="s">
        <v>11049</v>
      </c>
      <c r="W3603" s="2" t="s">
        <v>11204</v>
      </c>
    </row>
    <row r="3604" spans="1:23" hidden="1" x14ac:dyDescent="0.45">
      <c r="A3604" s="1" t="s">
        <v>3568</v>
      </c>
      <c r="B3604" t="s">
        <v>6549</v>
      </c>
      <c r="D3604" t="s">
        <v>8051</v>
      </c>
      <c r="E3604" t="s">
        <v>9794</v>
      </c>
      <c r="F3604" t="s">
        <v>10299</v>
      </c>
      <c r="G3604">
        <v>1.3</v>
      </c>
      <c r="H3604" t="s">
        <v>10310</v>
      </c>
      <c r="I3604" t="s">
        <v>10326</v>
      </c>
      <c r="L3604">
        <v>2007</v>
      </c>
      <c r="R3604" t="s">
        <v>11038</v>
      </c>
      <c r="S3604" t="s">
        <v>10310</v>
      </c>
      <c r="U3604" t="s">
        <v>11046</v>
      </c>
      <c r="W3604" s="2" t="s">
        <v>11204</v>
      </c>
    </row>
    <row r="3605" spans="1:23" hidden="1" x14ac:dyDescent="0.45">
      <c r="A3605" s="1" t="s">
        <v>3569</v>
      </c>
      <c r="B3605" t="s">
        <v>6550</v>
      </c>
      <c r="D3605" t="s">
        <v>8049</v>
      </c>
      <c r="E3605" t="s">
        <v>9716</v>
      </c>
      <c r="F3605" t="s">
        <v>10299</v>
      </c>
      <c r="G3605">
        <v>0.6</v>
      </c>
      <c r="H3605" t="s">
        <v>10310</v>
      </c>
      <c r="I3605" t="s">
        <v>10326</v>
      </c>
      <c r="L3605">
        <v>1945</v>
      </c>
      <c r="R3605" t="s">
        <v>11038</v>
      </c>
      <c r="S3605" t="s">
        <v>10310</v>
      </c>
      <c r="U3605" t="s">
        <v>11046</v>
      </c>
      <c r="W3605" s="2" t="s">
        <v>11204</v>
      </c>
    </row>
    <row r="3606" spans="1:23" hidden="1" x14ac:dyDescent="0.45">
      <c r="A3606" s="1" t="s">
        <v>3570</v>
      </c>
      <c r="B3606" t="s">
        <v>6551</v>
      </c>
      <c r="D3606" t="s">
        <v>7917</v>
      </c>
      <c r="E3606" t="s">
        <v>9786</v>
      </c>
      <c r="F3606" t="s">
        <v>10299</v>
      </c>
      <c r="G3606">
        <v>11</v>
      </c>
      <c r="H3606" t="s">
        <v>10310</v>
      </c>
      <c r="I3606" t="s">
        <v>10326</v>
      </c>
      <c r="L3606">
        <v>1953</v>
      </c>
      <c r="R3606" t="s">
        <v>11038</v>
      </c>
      <c r="S3606" t="s">
        <v>10310</v>
      </c>
      <c r="U3606" t="s">
        <v>11050</v>
      </c>
      <c r="W3606" s="2" t="s">
        <v>11204</v>
      </c>
    </row>
    <row r="3607" spans="1:23" hidden="1" x14ac:dyDescent="0.45">
      <c r="A3607" s="1" t="s">
        <v>3571</v>
      </c>
      <c r="B3607" t="s">
        <v>6445</v>
      </c>
      <c r="D3607" t="s">
        <v>8058</v>
      </c>
      <c r="E3607" t="s">
        <v>9795</v>
      </c>
      <c r="F3607" t="s">
        <v>10299</v>
      </c>
      <c r="G3607">
        <v>2.4</v>
      </c>
      <c r="H3607" t="s">
        <v>10310</v>
      </c>
      <c r="I3607" t="s">
        <v>10326</v>
      </c>
      <c r="L3607">
        <v>1958</v>
      </c>
      <c r="R3607" t="s">
        <v>11038</v>
      </c>
      <c r="S3607" t="s">
        <v>10310</v>
      </c>
      <c r="U3607" t="s">
        <v>11048</v>
      </c>
      <c r="W3607" s="2" t="s">
        <v>11204</v>
      </c>
    </row>
    <row r="3608" spans="1:23" hidden="1" x14ac:dyDescent="0.45">
      <c r="A3608" s="1" t="s">
        <v>3572</v>
      </c>
      <c r="D3608" t="s">
        <v>8037</v>
      </c>
      <c r="E3608" t="s">
        <v>9629</v>
      </c>
      <c r="F3608" t="s">
        <v>10299</v>
      </c>
      <c r="G3608">
        <v>0.17599999999999999</v>
      </c>
      <c r="H3608" t="s">
        <v>10310</v>
      </c>
      <c r="I3608" t="s">
        <v>10326</v>
      </c>
      <c r="L3608">
        <v>2003</v>
      </c>
      <c r="R3608" t="s">
        <v>11038</v>
      </c>
      <c r="S3608" t="s">
        <v>10310</v>
      </c>
      <c r="U3608" t="s">
        <v>11047</v>
      </c>
      <c r="W3608" s="2" t="s">
        <v>11204</v>
      </c>
    </row>
    <row r="3609" spans="1:23" hidden="1" x14ac:dyDescent="0.45">
      <c r="A3609" s="1" t="s">
        <v>3573</v>
      </c>
      <c r="B3609" t="s">
        <v>6552</v>
      </c>
      <c r="D3609" t="s">
        <v>8041</v>
      </c>
      <c r="E3609" t="s">
        <v>9764</v>
      </c>
      <c r="F3609" t="s">
        <v>10299</v>
      </c>
      <c r="G3609">
        <v>0.03</v>
      </c>
      <c r="H3609" t="s">
        <v>10310</v>
      </c>
      <c r="I3609" t="s">
        <v>10326</v>
      </c>
      <c r="L3609">
        <v>2005</v>
      </c>
      <c r="R3609" t="s">
        <v>11038</v>
      </c>
      <c r="S3609" t="s">
        <v>10310</v>
      </c>
      <c r="U3609" t="s">
        <v>11050</v>
      </c>
      <c r="W3609" s="2" t="s">
        <v>11204</v>
      </c>
    </row>
    <row r="3610" spans="1:23" hidden="1" x14ac:dyDescent="0.45">
      <c r="A3610" s="1" t="s">
        <v>3574</v>
      </c>
      <c r="B3610" t="s">
        <v>6290</v>
      </c>
      <c r="D3610" t="s">
        <v>8068</v>
      </c>
      <c r="E3610" t="s">
        <v>9696</v>
      </c>
      <c r="F3610" t="s">
        <v>10299</v>
      </c>
      <c r="G3610">
        <v>70</v>
      </c>
      <c r="H3610" t="s">
        <v>10310</v>
      </c>
      <c r="I3610" t="s">
        <v>10326</v>
      </c>
      <c r="L3610">
        <v>1960</v>
      </c>
      <c r="R3610" t="s">
        <v>11038</v>
      </c>
      <c r="S3610" t="s">
        <v>10310</v>
      </c>
      <c r="U3610" t="s">
        <v>11049</v>
      </c>
      <c r="W3610" s="2" t="s">
        <v>11204</v>
      </c>
    </row>
    <row r="3611" spans="1:23" hidden="1" x14ac:dyDescent="0.45">
      <c r="A3611" s="1" t="s">
        <v>3575</v>
      </c>
      <c r="B3611" t="s">
        <v>6290</v>
      </c>
      <c r="D3611" t="s">
        <v>8047</v>
      </c>
      <c r="E3611" t="s">
        <v>9796</v>
      </c>
      <c r="F3611" t="s">
        <v>10299</v>
      </c>
      <c r="G3611">
        <v>98</v>
      </c>
      <c r="H3611" t="s">
        <v>10310</v>
      </c>
      <c r="I3611" t="s">
        <v>10326</v>
      </c>
      <c r="L3611">
        <v>1960</v>
      </c>
      <c r="R3611" t="s">
        <v>11038</v>
      </c>
      <c r="S3611" t="s">
        <v>10310</v>
      </c>
      <c r="U3611" t="s">
        <v>11049</v>
      </c>
      <c r="W3611" s="2" t="s">
        <v>11204</v>
      </c>
    </row>
    <row r="3612" spans="1:23" hidden="1" x14ac:dyDescent="0.45">
      <c r="A3612" s="1" t="s">
        <v>3576</v>
      </c>
      <c r="B3612" t="s">
        <v>6298</v>
      </c>
      <c r="D3612" t="s">
        <v>8028</v>
      </c>
      <c r="E3612" t="s">
        <v>9636</v>
      </c>
      <c r="F3612" t="s">
        <v>10299</v>
      </c>
      <c r="G3612">
        <v>16.7</v>
      </c>
      <c r="H3612" t="s">
        <v>10310</v>
      </c>
      <c r="I3612" t="s">
        <v>10326</v>
      </c>
      <c r="L3612">
        <v>1946</v>
      </c>
      <c r="R3612" t="s">
        <v>11038</v>
      </c>
      <c r="S3612" t="s">
        <v>10310</v>
      </c>
      <c r="U3612" t="s">
        <v>11050</v>
      </c>
      <c r="W3612" s="2" t="s">
        <v>11204</v>
      </c>
    </row>
    <row r="3613" spans="1:23" hidden="1" x14ac:dyDescent="0.45">
      <c r="A3613" s="1" t="s">
        <v>3577</v>
      </c>
      <c r="B3613" t="s">
        <v>6553</v>
      </c>
      <c r="D3613" t="s">
        <v>8047</v>
      </c>
      <c r="E3613" t="s">
        <v>9796</v>
      </c>
      <c r="F3613" t="s">
        <v>10299</v>
      </c>
      <c r="G3613">
        <v>8.5000000000000006E-2</v>
      </c>
      <c r="H3613" t="s">
        <v>10310</v>
      </c>
      <c r="I3613" t="s">
        <v>10326</v>
      </c>
      <c r="L3613">
        <v>2008</v>
      </c>
      <c r="R3613" t="s">
        <v>11038</v>
      </c>
      <c r="S3613" t="s">
        <v>10310</v>
      </c>
      <c r="U3613" t="s">
        <v>11049</v>
      </c>
      <c r="W3613" s="2" t="s">
        <v>11204</v>
      </c>
    </row>
    <row r="3614" spans="1:23" hidden="1" x14ac:dyDescent="0.45">
      <c r="A3614" s="1" t="s">
        <v>3578</v>
      </c>
      <c r="B3614" t="s">
        <v>6310</v>
      </c>
      <c r="D3614" t="s">
        <v>8042</v>
      </c>
      <c r="E3614" t="s">
        <v>1588</v>
      </c>
      <c r="F3614" t="s">
        <v>10299</v>
      </c>
      <c r="G3614">
        <v>4.4000000000000004</v>
      </c>
      <c r="H3614" t="s">
        <v>10310</v>
      </c>
      <c r="I3614" t="s">
        <v>10326</v>
      </c>
      <c r="L3614">
        <v>2015</v>
      </c>
      <c r="R3614" t="s">
        <v>11038</v>
      </c>
      <c r="S3614" t="s">
        <v>10310</v>
      </c>
      <c r="U3614" t="s">
        <v>11047</v>
      </c>
      <c r="W3614" s="2" t="s">
        <v>11204</v>
      </c>
    </row>
    <row r="3615" spans="1:23" hidden="1" x14ac:dyDescent="0.45">
      <c r="A3615" s="1" t="s">
        <v>3579</v>
      </c>
      <c r="B3615" t="s">
        <v>6554</v>
      </c>
      <c r="D3615" t="s">
        <v>8055</v>
      </c>
      <c r="E3615" t="s">
        <v>9702</v>
      </c>
      <c r="F3615" t="s">
        <v>10299</v>
      </c>
      <c r="G3615">
        <v>0.32800000000000001</v>
      </c>
      <c r="H3615" t="s">
        <v>10310</v>
      </c>
      <c r="I3615" t="s">
        <v>10326</v>
      </c>
      <c r="L3615">
        <v>2012</v>
      </c>
      <c r="R3615" t="s">
        <v>11038</v>
      </c>
      <c r="S3615" t="s">
        <v>10310</v>
      </c>
      <c r="U3615" t="s">
        <v>11047</v>
      </c>
      <c r="W3615" s="2" t="s">
        <v>11204</v>
      </c>
    </row>
    <row r="3616" spans="1:23" hidden="1" x14ac:dyDescent="0.45">
      <c r="A3616" s="1" t="s">
        <v>3580</v>
      </c>
      <c r="B3616" t="s">
        <v>6378</v>
      </c>
      <c r="D3616" t="s">
        <v>8057</v>
      </c>
      <c r="E3616" t="s">
        <v>9797</v>
      </c>
      <c r="F3616" t="s">
        <v>10299</v>
      </c>
      <c r="G3616">
        <v>13.8</v>
      </c>
      <c r="H3616" t="s">
        <v>10310</v>
      </c>
      <c r="I3616" t="s">
        <v>10326</v>
      </c>
      <c r="L3616">
        <v>1919</v>
      </c>
      <c r="R3616" t="s">
        <v>11038</v>
      </c>
      <c r="S3616" t="s">
        <v>10310</v>
      </c>
      <c r="U3616" t="s">
        <v>11049</v>
      </c>
      <c r="W3616" s="2" t="s">
        <v>11204</v>
      </c>
    </row>
    <row r="3617" spans="1:23" hidden="1" x14ac:dyDescent="0.45">
      <c r="A3617" s="1" t="s">
        <v>3581</v>
      </c>
      <c r="B3617" t="s">
        <v>6434</v>
      </c>
      <c r="D3617" t="s">
        <v>8080</v>
      </c>
      <c r="E3617" t="s">
        <v>9729</v>
      </c>
      <c r="F3617" t="s">
        <v>10299</v>
      </c>
      <c r="G3617">
        <v>33</v>
      </c>
      <c r="H3617" t="s">
        <v>10310</v>
      </c>
      <c r="I3617" t="s">
        <v>10324</v>
      </c>
      <c r="L3617">
        <v>1962</v>
      </c>
      <c r="R3617" t="s">
        <v>11038</v>
      </c>
      <c r="S3617" t="s">
        <v>10310</v>
      </c>
      <c r="U3617" t="s">
        <v>11049</v>
      </c>
      <c r="W3617" s="2" t="s">
        <v>11204</v>
      </c>
    </row>
    <row r="3618" spans="1:23" hidden="1" x14ac:dyDescent="0.45">
      <c r="A3618" s="1" t="s">
        <v>3582</v>
      </c>
      <c r="B3618" t="s">
        <v>6308</v>
      </c>
      <c r="D3618" t="s">
        <v>8049</v>
      </c>
      <c r="E3618" t="s">
        <v>9755</v>
      </c>
      <c r="F3618" t="s">
        <v>10299</v>
      </c>
      <c r="G3618">
        <v>6.14</v>
      </c>
      <c r="H3618" t="s">
        <v>10310</v>
      </c>
      <c r="I3618" t="s">
        <v>10326</v>
      </c>
      <c r="L3618">
        <v>2016</v>
      </c>
      <c r="R3618" t="s">
        <v>11038</v>
      </c>
      <c r="S3618" t="s">
        <v>10310</v>
      </c>
      <c r="U3618" t="s">
        <v>11048</v>
      </c>
      <c r="W3618" s="2" t="s">
        <v>11204</v>
      </c>
    </row>
    <row r="3619" spans="1:23" hidden="1" x14ac:dyDescent="0.45">
      <c r="A3619" s="1" t="s">
        <v>3583</v>
      </c>
      <c r="B3619" t="s">
        <v>6555</v>
      </c>
      <c r="D3619" t="s">
        <v>8065</v>
      </c>
      <c r="E3619" t="s">
        <v>9677</v>
      </c>
      <c r="F3619" t="s">
        <v>10299</v>
      </c>
      <c r="G3619">
        <v>1.1000000000000001</v>
      </c>
      <c r="H3619" t="s">
        <v>10310</v>
      </c>
      <c r="I3619" t="s">
        <v>10326</v>
      </c>
      <c r="L3619">
        <v>2005</v>
      </c>
      <c r="R3619" t="s">
        <v>11038</v>
      </c>
      <c r="S3619" t="s">
        <v>10310</v>
      </c>
      <c r="U3619" t="s">
        <v>11047</v>
      </c>
      <c r="W3619" s="2" t="s">
        <v>11204</v>
      </c>
    </row>
    <row r="3620" spans="1:23" hidden="1" x14ac:dyDescent="0.45">
      <c r="A3620" s="1" t="s">
        <v>3584</v>
      </c>
      <c r="B3620" t="s">
        <v>6556</v>
      </c>
      <c r="D3620" t="s">
        <v>8071</v>
      </c>
      <c r="E3620" t="s">
        <v>9689</v>
      </c>
      <c r="F3620" t="s">
        <v>10299</v>
      </c>
      <c r="G3620">
        <v>1.88</v>
      </c>
      <c r="H3620" t="s">
        <v>10310</v>
      </c>
      <c r="I3620" t="s">
        <v>10326</v>
      </c>
      <c r="L3620">
        <v>2016</v>
      </c>
      <c r="R3620" t="s">
        <v>11038</v>
      </c>
      <c r="S3620" t="s">
        <v>10310</v>
      </c>
      <c r="U3620" t="s">
        <v>11047</v>
      </c>
      <c r="W3620" s="2" t="s">
        <v>11204</v>
      </c>
    </row>
    <row r="3621" spans="1:23" hidden="1" x14ac:dyDescent="0.45">
      <c r="A3621" s="1" t="s">
        <v>3585</v>
      </c>
      <c r="B3621" t="s">
        <v>6346</v>
      </c>
      <c r="D3621" t="s">
        <v>8062</v>
      </c>
      <c r="E3621" t="s">
        <v>9798</v>
      </c>
      <c r="F3621" t="s">
        <v>10299</v>
      </c>
      <c r="G3621">
        <v>1.48</v>
      </c>
      <c r="H3621" t="s">
        <v>10310</v>
      </c>
      <c r="I3621" t="s">
        <v>10326</v>
      </c>
      <c r="L3621">
        <v>1915</v>
      </c>
      <c r="R3621" t="s">
        <v>11038</v>
      </c>
      <c r="S3621" t="s">
        <v>10310</v>
      </c>
      <c r="U3621" t="s">
        <v>11046</v>
      </c>
      <c r="W3621" s="2" t="s">
        <v>11204</v>
      </c>
    </row>
    <row r="3622" spans="1:23" hidden="1" x14ac:dyDescent="0.45">
      <c r="A3622" s="1" t="s">
        <v>3585</v>
      </c>
      <c r="B3622" t="s">
        <v>6557</v>
      </c>
      <c r="D3622" t="s">
        <v>8043</v>
      </c>
      <c r="E3622" t="s">
        <v>9635</v>
      </c>
      <c r="F3622" t="s">
        <v>10299</v>
      </c>
      <c r="G3622">
        <v>0.27500000000000002</v>
      </c>
      <c r="H3622" t="s">
        <v>10310</v>
      </c>
      <c r="I3622" t="s">
        <v>10326</v>
      </c>
      <c r="L3622">
        <v>2008</v>
      </c>
      <c r="R3622" t="s">
        <v>11038</v>
      </c>
      <c r="S3622" t="s">
        <v>10310</v>
      </c>
      <c r="U3622" t="s">
        <v>11046</v>
      </c>
      <c r="W3622" s="2" t="s">
        <v>11204</v>
      </c>
    </row>
    <row r="3623" spans="1:23" hidden="1" x14ac:dyDescent="0.45">
      <c r="A3623" s="1" t="s">
        <v>3586</v>
      </c>
      <c r="B3623" t="s">
        <v>6558</v>
      </c>
      <c r="D3623" t="s">
        <v>8054</v>
      </c>
      <c r="E3623" t="s">
        <v>9799</v>
      </c>
      <c r="F3623" t="s">
        <v>10299</v>
      </c>
      <c r="G3623">
        <v>0.53</v>
      </c>
      <c r="H3623" t="s">
        <v>10310</v>
      </c>
      <c r="I3623" t="s">
        <v>10326</v>
      </c>
      <c r="L3623">
        <v>2009</v>
      </c>
      <c r="R3623" t="s">
        <v>11038</v>
      </c>
      <c r="S3623" t="s">
        <v>10310</v>
      </c>
      <c r="U3623" t="s">
        <v>11047</v>
      </c>
      <c r="W3623" s="2" t="s">
        <v>11204</v>
      </c>
    </row>
    <row r="3624" spans="1:23" hidden="1" x14ac:dyDescent="0.45">
      <c r="A3624" s="1" t="s">
        <v>3587</v>
      </c>
      <c r="B3624" t="s">
        <v>6559</v>
      </c>
      <c r="D3624" t="s">
        <v>8055</v>
      </c>
      <c r="E3624" t="s">
        <v>3805</v>
      </c>
      <c r="F3624" t="s">
        <v>10299</v>
      </c>
      <c r="G3624">
        <v>3.6</v>
      </c>
      <c r="H3624" t="s">
        <v>10310</v>
      </c>
      <c r="I3624" t="s">
        <v>10326</v>
      </c>
      <c r="L3624">
        <v>2007</v>
      </c>
      <c r="R3624" t="s">
        <v>11038</v>
      </c>
      <c r="S3624" t="s">
        <v>10310</v>
      </c>
      <c r="U3624" t="s">
        <v>11046</v>
      </c>
      <c r="W3624" s="2" t="s">
        <v>11204</v>
      </c>
    </row>
    <row r="3625" spans="1:23" hidden="1" x14ac:dyDescent="0.45">
      <c r="A3625" s="1" t="s">
        <v>3588</v>
      </c>
      <c r="B3625" t="s">
        <v>6294</v>
      </c>
      <c r="D3625" t="s">
        <v>8062</v>
      </c>
      <c r="E3625" t="s">
        <v>9667</v>
      </c>
      <c r="F3625" t="s">
        <v>10299</v>
      </c>
      <c r="G3625">
        <v>120</v>
      </c>
      <c r="H3625" t="s">
        <v>10310</v>
      </c>
      <c r="I3625" t="s">
        <v>10326</v>
      </c>
      <c r="L3625">
        <v>1958</v>
      </c>
      <c r="R3625" t="s">
        <v>11038</v>
      </c>
      <c r="S3625" t="s">
        <v>10310</v>
      </c>
      <c r="U3625" t="s">
        <v>11046</v>
      </c>
      <c r="W3625" s="2" t="s">
        <v>11204</v>
      </c>
    </row>
    <row r="3626" spans="1:23" hidden="1" x14ac:dyDescent="0.45">
      <c r="A3626" s="1" t="s">
        <v>3589</v>
      </c>
      <c r="B3626" t="s">
        <v>6560</v>
      </c>
      <c r="D3626" t="s">
        <v>8071</v>
      </c>
      <c r="E3626" t="s">
        <v>9689</v>
      </c>
      <c r="F3626" t="s">
        <v>10299</v>
      </c>
      <c r="G3626">
        <v>2.85</v>
      </c>
      <c r="H3626" t="s">
        <v>10310</v>
      </c>
      <c r="I3626" t="s">
        <v>10326</v>
      </c>
      <c r="L3626">
        <v>2008</v>
      </c>
      <c r="R3626" t="s">
        <v>11038</v>
      </c>
      <c r="S3626" t="s">
        <v>10310</v>
      </c>
      <c r="U3626" t="s">
        <v>11047</v>
      </c>
      <c r="W3626" s="2" t="s">
        <v>11204</v>
      </c>
    </row>
    <row r="3627" spans="1:23" hidden="1" x14ac:dyDescent="0.45">
      <c r="A3627" s="1" t="s">
        <v>3590</v>
      </c>
      <c r="B3627" t="s">
        <v>6561</v>
      </c>
      <c r="D3627" t="s">
        <v>8026</v>
      </c>
      <c r="E3627" t="s">
        <v>9619</v>
      </c>
      <c r="F3627" t="s">
        <v>10299</v>
      </c>
      <c r="G3627">
        <v>1.1000000000000001</v>
      </c>
      <c r="H3627" t="s">
        <v>10310</v>
      </c>
      <c r="I3627" t="s">
        <v>10326</v>
      </c>
      <c r="L3627">
        <v>2006</v>
      </c>
      <c r="R3627" t="s">
        <v>11038</v>
      </c>
      <c r="S3627" t="s">
        <v>10310</v>
      </c>
      <c r="U3627" t="s">
        <v>11047</v>
      </c>
      <c r="W3627" s="2" t="s">
        <v>11204</v>
      </c>
    </row>
    <row r="3628" spans="1:23" hidden="1" x14ac:dyDescent="0.45">
      <c r="A3628" s="1" t="s">
        <v>3591</v>
      </c>
      <c r="B3628" t="s">
        <v>6346</v>
      </c>
      <c r="D3628" t="s">
        <v>8070</v>
      </c>
      <c r="E3628" t="s">
        <v>3591</v>
      </c>
      <c r="F3628" t="s">
        <v>10299</v>
      </c>
      <c r="G3628">
        <v>6</v>
      </c>
      <c r="H3628" t="s">
        <v>10310</v>
      </c>
      <c r="I3628" t="s">
        <v>10326</v>
      </c>
      <c r="L3628">
        <v>1993</v>
      </c>
      <c r="R3628" t="s">
        <v>11038</v>
      </c>
      <c r="S3628" t="s">
        <v>10310</v>
      </c>
      <c r="U3628" t="s">
        <v>11046</v>
      </c>
      <c r="W3628" s="2" t="s">
        <v>11204</v>
      </c>
    </row>
    <row r="3629" spans="1:23" hidden="1" x14ac:dyDescent="0.45">
      <c r="A3629" s="1" t="s">
        <v>3592</v>
      </c>
      <c r="B3629" t="s">
        <v>6322</v>
      </c>
      <c r="D3629" t="s">
        <v>8041</v>
      </c>
      <c r="E3629" t="s">
        <v>9633</v>
      </c>
      <c r="F3629" t="s">
        <v>10299</v>
      </c>
      <c r="G3629">
        <v>2.5</v>
      </c>
      <c r="H3629" t="s">
        <v>10310</v>
      </c>
      <c r="I3629" t="s">
        <v>10326</v>
      </c>
      <c r="L3629">
        <v>1957</v>
      </c>
      <c r="R3629" t="s">
        <v>11038</v>
      </c>
      <c r="S3629" t="s">
        <v>10310</v>
      </c>
      <c r="U3629" t="s">
        <v>11048</v>
      </c>
      <c r="W3629" s="2" t="s">
        <v>11204</v>
      </c>
    </row>
    <row r="3630" spans="1:23" hidden="1" x14ac:dyDescent="0.45">
      <c r="A3630" s="1" t="s">
        <v>3593</v>
      </c>
      <c r="B3630" t="s">
        <v>6274</v>
      </c>
      <c r="D3630" t="s">
        <v>8061</v>
      </c>
      <c r="E3630" t="s">
        <v>9665</v>
      </c>
      <c r="F3630" t="s">
        <v>10299</v>
      </c>
      <c r="G3630">
        <v>6.6</v>
      </c>
      <c r="H3630" t="s">
        <v>10310</v>
      </c>
      <c r="I3630" t="s">
        <v>10324</v>
      </c>
      <c r="L3630">
        <v>1986</v>
      </c>
      <c r="R3630" t="s">
        <v>11038</v>
      </c>
      <c r="S3630" t="s">
        <v>10310</v>
      </c>
      <c r="U3630" t="s">
        <v>11046</v>
      </c>
      <c r="V3630" t="s">
        <v>11182</v>
      </c>
      <c r="W3630" s="2" t="s">
        <v>11204</v>
      </c>
    </row>
    <row r="3631" spans="1:23" hidden="1" x14ac:dyDescent="0.45">
      <c r="A3631" s="1" t="s">
        <v>3594</v>
      </c>
      <c r="B3631" t="s">
        <v>6562</v>
      </c>
      <c r="D3631" t="s">
        <v>8061</v>
      </c>
      <c r="E3631" t="s">
        <v>9665</v>
      </c>
      <c r="F3631" t="s">
        <v>10299</v>
      </c>
      <c r="G3631">
        <v>1.75</v>
      </c>
      <c r="H3631" t="s">
        <v>10310</v>
      </c>
      <c r="I3631" t="s">
        <v>10326</v>
      </c>
      <c r="L3631">
        <v>2009</v>
      </c>
      <c r="R3631" t="s">
        <v>11038</v>
      </c>
      <c r="S3631" t="s">
        <v>10310</v>
      </c>
      <c r="U3631" t="s">
        <v>11046</v>
      </c>
      <c r="W3631" s="2" t="s">
        <v>11204</v>
      </c>
    </row>
    <row r="3632" spans="1:23" hidden="1" x14ac:dyDescent="0.45">
      <c r="A3632" s="1" t="s">
        <v>3595</v>
      </c>
      <c r="B3632" t="s">
        <v>6562</v>
      </c>
      <c r="D3632" t="s">
        <v>8061</v>
      </c>
      <c r="E3632" t="s">
        <v>9665</v>
      </c>
      <c r="F3632" t="s">
        <v>10299</v>
      </c>
      <c r="G3632">
        <v>0.48</v>
      </c>
      <c r="H3632" t="s">
        <v>10310</v>
      </c>
      <c r="I3632" t="s">
        <v>10326</v>
      </c>
      <c r="L3632">
        <v>2009</v>
      </c>
      <c r="R3632" t="s">
        <v>11038</v>
      </c>
      <c r="S3632" t="s">
        <v>10310</v>
      </c>
      <c r="U3632" t="s">
        <v>11046</v>
      </c>
      <c r="W3632" s="2" t="s">
        <v>11204</v>
      </c>
    </row>
    <row r="3633" spans="1:23" hidden="1" x14ac:dyDescent="0.45">
      <c r="A3633" s="1" t="s">
        <v>3596</v>
      </c>
      <c r="B3633" t="s">
        <v>6563</v>
      </c>
      <c r="D3633" t="s">
        <v>8030</v>
      </c>
      <c r="E3633" t="s">
        <v>9623</v>
      </c>
      <c r="F3633" t="s">
        <v>10299</v>
      </c>
      <c r="G3633">
        <v>32.5</v>
      </c>
      <c r="H3633" t="s">
        <v>10310</v>
      </c>
      <c r="I3633" t="s">
        <v>10326</v>
      </c>
      <c r="L3633">
        <v>1953</v>
      </c>
      <c r="R3633" t="s">
        <v>11038</v>
      </c>
      <c r="S3633" t="s">
        <v>10310</v>
      </c>
      <c r="U3633" t="s">
        <v>11049</v>
      </c>
      <c r="W3633" s="2" t="s">
        <v>11204</v>
      </c>
    </row>
    <row r="3634" spans="1:23" hidden="1" x14ac:dyDescent="0.45">
      <c r="A3634" s="1" t="s">
        <v>3597</v>
      </c>
      <c r="B3634" t="s">
        <v>6564</v>
      </c>
      <c r="D3634" t="s">
        <v>8079</v>
      </c>
      <c r="E3634" t="s">
        <v>9728</v>
      </c>
      <c r="F3634" t="s">
        <v>10299</v>
      </c>
      <c r="G3634">
        <v>0.4</v>
      </c>
      <c r="H3634" t="s">
        <v>10310</v>
      </c>
      <c r="I3634" t="s">
        <v>10326</v>
      </c>
      <c r="L3634">
        <v>2007</v>
      </c>
      <c r="R3634" t="s">
        <v>11038</v>
      </c>
      <c r="S3634" t="s">
        <v>10310</v>
      </c>
      <c r="U3634" t="s">
        <v>11047</v>
      </c>
      <c r="W3634" s="2" t="s">
        <v>11204</v>
      </c>
    </row>
    <row r="3635" spans="1:23" hidden="1" x14ac:dyDescent="0.45">
      <c r="A3635" s="1" t="s">
        <v>3598</v>
      </c>
      <c r="B3635" t="s">
        <v>6565</v>
      </c>
      <c r="D3635" t="s">
        <v>8048</v>
      </c>
      <c r="E3635" t="s">
        <v>9673</v>
      </c>
      <c r="F3635" t="s">
        <v>10299</v>
      </c>
      <c r="G3635">
        <v>0.06</v>
      </c>
      <c r="H3635" t="s">
        <v>10310</v>
      </c>
      <c r="I3635" t="s">
        <v>10326</v>
      </c>
      <c r="L3635">
        <v>2000</v>
      </c>
      <c r="R3635" t="s">
        <v>11038</v>
      </c>
      <c r="S3635" t="s">
        <v>10310</v>
      </c>
      <c r="U3635" t="s">
        <v>11050</v>
      </c>
      <c r="W3635" s="2" t="s">
        <v>11204</v>
      </c>
    </row>
    <row r="3636" spans="1:23" hidden="1" x14ac:dyDescent="0.45">
      <c r="A3636" s="1" t="s">
        <v>3599</v>
      </c>
      <c r="B3636" t="s">
        <v>6298</v>
      </c>
      <c r="D3636" t="s">
        <v>8028</v>
      </c>
      <c r="E3636" t="s">
        <v>9636</v>
      </c>
      <c r="F3636" t="s">
        <v>10299</v>
      </c>
      <c r="G3636">
        <v>27</v>
      </c>
      <c r="H3636" t="s">
        <v>10310</v>
      </c>
      <c r="I3636" t="s">
        <v>10326</v>
      </c>
      <c r="L3636">
        <v>1978</v>
      </c>
      <c r="R3636" t="s">
        <v>11038</v>
      </c>
      <c r="S3636" t="s">
        <v>10310</v>
      </c>
      <c r="U3636" t="s">
        <v>11050</v>
      </c>
      <c r="W3636" s="2" t="s">
        <v>11204</v>
      </c>
    </row>
    <row r="3637" spans="1:23" hidden="1" x14ac:dyDescent="0.45">
      <c r="A3637" s="1" t="s">
        <v>3600</v>
      </c>
      <c r="B3637" t="s">
        <v>6274</v>
      </c>
      <c r="D3637" t="s">
        <v>8025</v>
      </c>
      <c r="E3637" t="s">
        <v>9618</v>
      </c>
      <c r="F3637" t="s">
        <v>10299</v>
      </c>
      <c r="G3637">
        <v>17</v>
      </c>
      <c r="H3637" t="s">
        <v>10310</v>
      </c>
      <c r="I3637" t="s">
        <v>10326</v>
      </c>
      <c r="L3637">
        <v>1987</v>
      </c>
      <c r="R3637" t="s">
        <v>11038</v>
      </c>
      <c r="S3637" t="s">
        <v>10310</v>
      </c>
      <c r="U3637" t="s">
        <v>11046</v>
      </c>
      <c r="W3637" s="2" t="s">
        <v>11204</v>
      </c>
    </row>
    <row r="3638" spans="1:23" hidden="1" x14ac:dyDescent="0.45">
      <c r="A3638" s="1" t="s">
        <v>3601</v>
      </c>
      <c r="B3638" t="s">
        <v>6294</v>
      </c>
      <c r="D3638" t="s">
        <v>8058</v>
      </c>
      <c r="E3638" t="s">
        <v>9800</v>
      </c>
      <c r="F3638" t="s">
        <v>10299</v>
      </c>
      <c r="G3638">
        <v>9.6</v>
      </c>
      <c r="H3638" t="s">
        <v>10310</v>
      </c>
      <c r="I3638" t="s">
        <v>10326</v>
      </c>
      <c r="L3638">
        <v>1913</v>
      </c>
      <c r="R3638" t="s">
        <v>11038</v>
      </c>
      <c r="S3638" t="s">
        <v>10310</v>
      </c>
      <c r="U3638" t="s">
        <v>11046</v>
      </c>
      <c r="W3638" s="2" t="s">
        <v>11204</v>
      </c>
    </row>
    <row r="3639" spans="1:23" hidden="1" x14ac:dyDescent="0.45">
      <c r="A3639" s="1" t="s">
        <v>3602</v>
      </c>
      <c r="B3639" t="s">
        <v>6290</v>
      </c>
      <c r="D3639" t="s">
        <v>8080</v>
      </c>
      <c r="E3639" t="s">
        <v>9801</v>
      </c>
      <c r="F3639" t="s">
        <v>10299</v>
      </c>
      <c r="G3639">
        <v>106</v>
      </c>
      <c r="H3639" t="s">
        <v>10310</v>
      </c>
      <c r="I3639" t="s">
        <v>10326</v>
      </c>
      <c r="L3639">
        <v>1956</v>
      </c>
      <c r="R3639" t="s">
        <v>11038</v>
      </c>
      <c r="S3639" t="s">
        <v>10310</v>
      </c>
      <c r="U3639" t="s">
        <v>11049</v>
      </c>
      <c r="W3639" s="2" t="s">
        <v>11204</v>
      </c>
    </row>
    <row r="3640" spans="1:23" hidden="1" x14ac:dyDescent="0.45">
      <c r="A3640" s="1" t="s">
        <v>3603</v>
      </c>
      <c r="B3640" t="s">
        <v>6290</v>
      </c>
      <c r="D3640" t="s">
        <v>8080</v>
      </c>
      <c r="E3640" t="s">
        <v>9801</v>
      </c>
      <c r="F3640" t="s">
        <v>10299</v>
      </c>
      <c r="G3640">
        <v>114</v>
      </c>
      <c r="H3640" t="s">
        <v>10310</v>
      </c>
      <c r="I3640" t="s">
        <v>10326</v>
      </c>
      <c r="L3640">
        <v>1949</v>
      </c>
      <c r="R3640" t="s">
        <v>11038</v>
      </c>
      <c r="S3640" t="s">
        <v>10310</v>
      </c>
      <c r="U3640" t="s">
        <v>11049</v>
      </c>
      <c r="W3640" s="2" t="s">
        <v>11204</v>
      </c>
    </row>
    <row r="3641" spans="1:23" hidden="1" x14ac:dyDescent="0.45">
      <c r="A3641" s="1" t="s">
        <v>3604</v>
      </c>
      <c r="B3641" t="s">
        <v>6290</v>
      </c>
      <c r="D3641" t="s">
        <v>8080</v>
      </c>
      <c r="E3641" t="s">
        <v>9801</v>
      </c>
      <c r="F3641" t="s">
        <v>10299</v>
      </c>
      <c r="G3641">
        <v>26</v>
      </c>
      <c r="H3641" t="s">
        <v>10310</v>
      </c>
      <c r="I3641" t="s">
        <v>10326</v>
      </c>
      <c r="L3641">
        <v>1957</v>
      </c>
      <c r="R3641" t="s">
        <v>11038</v>
      </c>
      <c r="S3641" t="s">
        <v>10310</v>
      </c>
      <c r="U3641" t="s">
        <v>11049</v>
      </c>
      <c r="W3641" s="2" t="s">
        <v>11204</v>
      </c>
    </row>
    <row r="3642" spans="1:23" hidden="1" x14ac:dyDescent="0.45">
      <c r="A3642" s="1" t="s">
        <v>3605</v>
      </c>
      <c r="B3642" t="s">
        <v>6290</v>
      </c>
      <c r="D3642" t="s">
        <v>8080</v>
      </c>
      <c r="E3642" t="s">
        <v>9801</v>
      </c>
      <c r="F3642" t="s">
        <v>10299</v>
      </c>
      <c r="G3642">
        <v>60</v>
      </c>
      <c r="H3642" t="s">
        <v>10310</v>
      </c>
      <c r="I3642" t="s">
        <v>10326</v>
      </c>
      <c r="L3642">
        <v>1958</v>
      </c>
      <c r="R3642" t="s">
        <v>11038</v>
      </c>
      <c r="S3642" t="s">
        <v>10310</v>
      </c>
      <c r="U3642" t="s">
        <v>11049</v>
      </c>
      <c r="W3642" s="2" t="s">
        <v>11204</v>
      </c>
    </row>
    <row r="3643" spans="1:23" hidden="1" x14ac:dyDescent="0.45">
      <c r="A3643" s="1" t="s">
        <v>3606</v>
      </c>
      <c r="B3643" t="s">
        <v>6566</v>
      </c>
      <c r="D3643" t="s">
        <v>8051</v>
      </c>
      <c r="E3643" t="s">
        <v>4623</v>
      </c>
      <c r="F3643" t="s">
        <v>10299</v>
      </c>
      <c r="G3643">
        <v>1.24</v>
      </c>
      <c r="H3643" t="s">
        <v>10310</v>
      </c>
      <c r="I3643" t="s">
        <v>10326</v>
      </c>
      <c r="L3643">
        <v>2012</v>
      </c>
      <c r="R3643" t="s">
        <v>11038</v>
      </c>
      <c r="S3643" t="s">
        <v>10310</v>
      </c>
      <c r="U3643" t="s">
        <v>11046</v>
      </c>
      <c r="W3643" s="2" t="s">
        <v>11204</v>
      </c>
    </row>
    <row r="3644" spans="1:23" hidden="1" x14ac:dyDescent="0.45">
      <c r="A3644" s="1" t="s">
        <v>3607</v>
      </c>
      <c r="B3644" t="s">
        <v>6567</v>
      </c>
      <c r="D3644" t="s">
        <v>8051</v>
      </c>
      <c r="E3644" t="s">
        <v>9735</v>
      </c>
      <c r="F3644" t="s">
        <v>10299</v>
      </c>
      <c r="G3644">
        <v>0.23599999999999999</v>
      </c>
      <c r="H3644" t="s">
        <v>10310</v>
      </c>
      <c r="I3644" t="s">
        <v>10326</v>
      </c>
      <c r="L3644">
        <v>2013</v>
      </c>
      <c r="R3644" t="s">
        <v>11038</v>
      </c>
      <c r="S3644" t="s">
        <v>10310</v>
      </c>
      <c r="U3644" t="s">
        <v>11047</v>
      </c>
      <c r="W3644" s="2" t="s">
        <v>11204</v>
      </c>
    </row>
    <row r="3645" spans="1:23" hidden="1" x14ac:dyDescent="0.45">
      <c r="A3645" s="1" t="s">
        <v>3608</v>
      </c>
      <c r="B3645" t="s">
        <v>6568</v>
      </c>
      <c r="D3645" t="s">
        <v>8080</v>
      </c>
      <c r="E3645" t="s">
        <v>9729</v>
      </c>
      <c r="F3645" t="s">
        <v>10299</v>
      </c>
      <c r="G3645">
        <v>8.1999999999999993</v>
      </c>
      <c r="H3645" t="s">
        <v>10310</v>
      </c>
      <c r="I3645" t="s">
        <v>10326</v>
      </c>
      <c r="L3645">
        <v>2019</v>
      </c>
      <c r="R3645" t="s">
        <v>11038</v>
      </c>
      <c r="S3645" t="s">
        <v>10310</v>
      </c>
      <c r="U3645" t="s">
        <v>11049</v>
      </c>
      <c r="W3645" s="2" t="s">
        <v>11204</v>
      </c>
    </row>
    <row r="3646" spans="1:23" hidden="1" x14ac:dyDescent="0.45">
      <c r="A3646" s="1" t="s">
        <v>3609</v>
      </c>
      <c r="B3646" t="s">
        <v>6357</v>
      </c>
      <c r="D3646" t="s">
        <v>8056</v>
      </c>
      <c r="E3646" t="s">
        <v>9691</v>
      </c>
      <c r="F3646" t="s">
        <v>10299</v>
      </c>
      <c r="G3646">
        <v>160</v>
      </c>
      <c r="H3646" t="s">
        <v>10310</v>
      </c>
      <c r="I3646" t="s">
        <v>10326</v>
      </c>
      <c r="L3646">
        <v>1987</v>
      </c>
      <c r="R3646" t="s">
        <v>11038</v>
      </c>
      <c r="S3646" t="s">
        <v>10310</v>
      </c>
      <c r="U3646" t="s">
        <v>11046</v>
      </c>
      <c r="W3646" s="2" t="s">
        <v>11204</v>
      </c>
    </row>
    <row r="3647" spans="1:23" hidden="1" x14ac:dyDescent="0.45">
      <c r="A3647" s="1" t="s">
        <v>3610</v>
      </c>
      <c r="B3647" t="s">
        <v>6357</v>
      </c>
      <c r="D3647" t="s">
        <v>8056</v>
      </c>
      <c r="E3647" t="s">
        <v>9691</v>
      </c>
      <c r="F3647" t="s">
        <v>10299</v>
      </c>
      <c r="G3647">
        <v>230</v>
      </c>
      <c r="H3647" t="s">
        <v>10310</v>
      </c>
      <c r="I3647" t="s">
        <v>10326</v>
      </c>
      <c r="L3647">
        <v>1981</v>
      </c>
      <c r="R3647" t="s">
        <v>11038</v>
      </c>
      <c r="S3647" t="s">
        <v>10310</v>
      </c>
      <c r="U3647" t="s">
        <v>11046</v>
      </c>
      <c r="W3647" s="2" t="s">
        <v>11204</v>
      </c>
    </row>
    <row r="3648" spans="1:23" hidden="1" x14ac:dyDescent="0.45">
      <c r="A3648" s="1" t="s">
        <v>3611</v>
      </c>
      <c r="B3648" t="s">
        <v>6569</v>
      </c>
      <c r="D3648" t="s">
        <v>8056</v>
      </c>
      <c r="E3648" t="s">
        <v>3440</v>
      </c>
      <c r="F3648" t="s">
        <v>10299</v>
      </c>
      <c r="G3648">
        <v>0.08</v>
      </c>
      <c r="H3648" t="s">
        <v>10310</v>
      </c>
      <c r="I3648" t="s">
        <v>10326</v>
      </c>
      <c r="L3648">
        <v>2005</v>
      </c>
      <c r="R3648" t="s">
        <v>11038</v>
      </c>
      <c r="S3648" t="s">
        <v>10310</v>
      </c>
      <c r="U3648" t="s">
        <v>11046</v>
      </c>
      <c r="W3648" s="2" t="s">
        <v>11204</v>
      </c>
    </row>
    <row r="3649" spans="1:23" hidden="1" x14ac:dyDescent="0.45">
      <c r="A3649" s="1" t="s">
        <v>3612</v>
      </c>
      <c r="D3649" t="s">
        <v>8044</v>
      </c>
      <c r="E3649" t="s">
        <v>9638</v>
      </c>
      <c r="F3649" t="s">
        <v>10299</v>
      </c>
      <c r="G3649">
        <v>4.4999999999999997E-3</v>
      </c>
      <c r="H3649" t="s">
        <v>10310</v>
      </c>
      <c r="I3649" t="s">
        <v>10326</v>
      </c>
      <c r="L3649">
        <v>1997</v>
      </c>
      <c r="R3649" t="s">
        <v>11038</v>
      </c>
      <c r="S3649" t="s">
        <v>10310</v>
      </c>
      <c r="U3649" t="s">
        <v>11047</v>
      </c>
      <c r="W3649" s="2" t="s">
        <v>11204</v>
      </c>
    </row>
    <row r="3650" spans="1:23" hidden="1" x14ac:dyDescent="0.45">
      <c r="A3650" s="1" t="s">
        <v>3613</v>
      </c>
      <c r="B3650" t="s">
        <v>6570</v>
      </c>
      <c r="D3650" t="s">
        <v>8042</v>
      </c>
      <c r="E3650" t="s">
        <v>1588</v>
      </c>
      <c r="F3650" t="s">
        <v>10299</v>
      </c>
      <c r="G3650">
        <v>0.65</v>
      </c>
      <c r="H3650" t="s">
        <v>10310</v>
      </c>
      <c r="I3650" t="s">
        <v>10326</v>
      </c>
      <c r="L3650">
        <v>2009</v>
      </c>
      <c r="R3650" t="s">
        <v>11038</v>
      </c>
      <c r="S3650" t="s">
        <v>10310</v>
      </c>
      <c r="U3650" t="s">
        <v>11047</v>
      </c>
      <c r="W3650" s="2" t="s">
        <v>11204</v>
      </c>
    </row>
    <row r="3651" spans="1:23" hidden="1" x14ac:dyDescent="0.45">
      <c r="A3651" s="1" t="s">
        <v>3614</v>
      </c>
      <c r="B3651" t="s">
        <v>6571</v>
      </c>
      <c r="D3651" t="s">
        <v>8047</v>
      </c>
      <c r="E3651" t="s">
        <v>9641</v>
      </c>
      <c r="F3651" t="s">
        <v>10299</v>
      </c>
      <c r="G3651">
        <v>25</v>
      </c>
      <c r="H3651" t="s">
        <v>10310</v>
      </c>
      <c r="I3651" t="s">
        <v>10326</v>
      </c>
      <c r="L3651">
        <v>2016</v>
      </c>
      <c r="R3651" t="s">
        <v>11038</v>
      </c>
      <c r="S3651" t="s">
        <v>10310</v>
      </c>
      <c r="U3651" t="s">
        <v>11049</v>
      </c>
      <c r="W3651" s="2" t="s">
        <v>11204</v>
      </c>
    </row>
    <row r="3652" spans="1:23" hidden="1" x14ac:dyDescent="0.45">
      <c r="A3652" s="1" t="s">
        <v>3615</v>
      </c>
      <c r="B3652" t="s">
        <v>6434</v>
      </c>
      <c r="D3652" t="s">
        <v>8082</v>
      </c>
      <c r="E3652" t="s">
        <v>9756</v>
      </c>
      <c r="F3652" t="s">
        <v>10299</v>
      </c>
      <c r="G3652">
        <v>48.9</v>
      </c>
      <c r="H3652" t="s">
        <v>10310</v>
      </c>
      <c r="I3652" t="s">
        <v>10326</v>
      </c>
      <c r="L3652">
        <v>2012</v>
      </c>
      <c r="R3652" t="s">
        <v>11038</v>
      </c>
      <c r="S3652" t="s">
        <v>10310</v>
      </c>
      <c r="U3652" t="s">
        <v>11049</v>
      </c>
      <c r="W3652" s="2" t="s">
        <v>11204</v>
      </c>
    </row>
    <row r="3653" spans="1:23" hidden="1" x14ac:dyDescent="0.45">
      <c r="A3653" s="1" t="s">
        <v>3616</v>
      </c>
      <c r="B3653" t="s">
        <v>6572</v>
      </c>
      <c r="D3653" t="s">
        <v>8037</v>
      </c>
      <c r="E3653" t="s">
        <v>9629</v>
      </c>
      <c r="F3653" t="s">
        <v>10299</v>
      </c>
      <c r="G3653">
        <v>8.6</v>
      </c>
      <c r="H3653" t="s">
        <v>10310</v>
      </c>
      <c r="I3653" t="s">
        <v>10326</v>
      </c>
      <c r="L3653">
        <v>2017</v>
      </c>
      <c r="R3653" t="s">
        <v>11038</v>
      </c>
      <c r="S3653" t="s">
        <v>10310</v>
      </c>
      <c r="U3653" t="s">
        <v>11047</v>
      </c>
      <c r="W3653" s="2" t="s">
        <v>11204</v>
      </c>
    </row>
    <row r="3654" spans="1:23" hidden="1" x14ac:dyDescent="0.45">
      <c r="A3654" s="1" t="s">
        <v>3617</v>
      </c>
      <c r="B3654" t="s">
        <v>6290</v>
      </c>
      <c r="D3654" t="s">
        <v>8047</v>
      </c>
      <c r="E3654" t="s">
        <v>9750</v>
      </c>
      <c r="F3654" t="s">
        <v>10299</v>
      </c>
      <c r="G3654">
        <v>2.2000000000000002</v>
      </c>
      <c r="H3654" t="s">
        <v>10310</v>
      </c>
      <c r="I3654" t="s">
        <v>10326</v>
      </c>
      <c r="L3654">
        <v>1930</v>
      </c>
      <c r="R3654" t="s">
        <v>11038</v>
      </c>
      <c r="S3654" t="s">
        <v>10310</v>
      </c>
      <c r="U3654" t="s">
        <v>11050</v>
      </c>
      <c r="W3654" s="2" t="s">
        <v>11204</v>
      </c>
    </row>
    <row r="3655" spans="1:23" hidden="1" x14ac:dyDescent="0.45">
      <c r="A3655" s="1" t="s">
        <v>3618</v>
      </c>
      <c r="B3655" t="s">
        <v>6573</v>
      </c>
      <c r="D3655" t="s">
        <v>8058</v>
      </c>
      <c r="E3655" t="s">
        <v>9662</v>
      </c>
      <c r="F3655" t="s">
        <v>10299</v>
      </c>
      <c r="G3655">
        <v>0.99</v>
      </c>
      <c r="H3655" t="s">
        <v>10310</v>
      </c>
      <c r="I3655" t="s">
        <v>10326</v>
      </c>
      <c r="L3655">
        <v>2009</v>
      </c>
      <c r="R3655" t="s">
        <v>11038</v>
      </c>
      <c r="S3655" t="s">
        <v>10310</v>
      </c>
      <c r="U3655" t="s">
        <v>11046</v>
      </c>
      <c r="W3655" s="2" t="s">
        <v>11204</v>
      </c>
    </row>
    <row r="3656" spans="1:23" hidden="1" x14ac:dyDescent="0.45">
      <c r="A3656" s="1" t="s">
        <v>3619</v>
      </c>
      <c r="B3656" t="s">
        <v>6378</v>
      </c>
      <c r="D3656" t="s">
        <v>8061</v>
      </c>
      <c r="E3656" t="s">
        <v>9679</v>
      </c>
      <c r="F3656" t="s">
        <v>10299</v>
      </c>
      <c r="G3656">
        <v>2.8</v>
      </c>
      <c r="H3656" t="s">
        <v>10310</v>
      </c>
      <c r="I3656" t="s">
        <v>10326</v>
      </c>
      <c r="L3656">
        <v>1944</v>
      </c>
      <c r="R3656" t="s">
        <v>11038</v>
      </c>
      <c r="S3656" t="s">
        <v>10310</v>
      </c>
      <c r="U3656" t="s">
        <v>11049</v>
      </c>
      <c r="W3656" s="2" t="s">
        <v>11204</v>
      </c>
    </row>
    <row r="3657" spans="1:23" hidden="1" x14ac:dyDescent="0.45">
      <c r="A3657" s="1" t="s">
        <v>3620</v>
      </c>
      <c r="B3657" t="s">
        <v>6281</v>
      </c>
      <c r="D3657" t="s">
        <v>8030</v>
      </c>
      <c r="E3657" t="s">
        <v>9670</v>
      </c>
      <c r="F3657" t="s">
        <v>10299</v>
      </c>
      <c r="G3657">
        <v>1.8</v>
      </c>
      <c r="H3657" t="s">
        <v>10310</v>
      </c>
      <c r="I3657" t="s">
        <v>10326</v>
      </c>
      <c r="L3657">
        <v>2016</v>
      </c>
      <c r="R3657" t="s">
        <v>11038</v>
      </c>
      <c r="S3657" t="s">
        <v>10310</v>
      </c>
      <c r="U3657" t="s">
        <v>11046</v>
      </c>
      <c r="W3657" s="2" t="s">
        <v>11204</v>
      </c>
    </row>
    <row r="3658" spans="1:23" hidden="1" x14ac:dyDescent="0.45">
      <c r="A3658" s="1" t="s">
        <v>3621</v>
      </c>
      <c r="B3658" t="s">
        <v>6574</v>
      </c>
      <c r="D3658" t="s">
        <v>7777</v>
      </c>
      <c r="E3658" t="s">
        <v>9674</v>
      </c>
      <c r="F3658" t="s">
        <v>10299</v>
      </c>
      <c r="G3658">
        <v>2.5000000000000001E-2</v>
      </c>
      <c r="H3658" t="s">
        <v>10310</v>
      </c>
      <c r="I3658" t="s">
        <v>10326</v>
      </c>
      <c r="L3658">
        <v>2012</v>
      </c>
      <c r="R3658" t="s">
        <v>11038</v>
      </c>
      <c r="S3658" t="s">
        <v>10310</v>
      </c>
      <c r="U3658" t="s">
        <v>11048</v>
      </c>
      <c r="W3658" s="2" t="s">
        <v>11204</v>
      </c>
    </row>
    <row r="3659" spans="1:23" hidden="1" x14ac:dyDescent="0.45">
      <c r="A3659" s="1" t="s">
        <v>3622</v>
      </c>
      <c r="B3659" t="s">
        <v>6393</v>
      </c>
      <c r="D3659" t="s">
        <v>8040</v>
      </c>
      <c r="E3659" t="s">
        <v>9736</v>
      </c>
      <c r="F3659" t="s">
        <v>10299</v>
      </c>
      <c r="G3659">
        <v>2.88</v>
      </c>
      <c r="H3659" t="s">
        <v>10310</v>
      </c>
      <c r="I3659" t="s">
        <v>10326</v>
      </c>
      <c r="L3659">
        <v>1956</v>
      </c>
      <c r="R3659" t="s">
        <v>11038</v>
      </c>
      <c r="S3659" t="s">
        <v>10310</v>
      </c>
      <c r="U3659" t="s">
        <v>11046</v>
      </c>
      <c r="W3659" s="2" t="s">
        <v>11204</v>
      </c>
    </row>
    <row r="3660" spans="1:23" hidden="1" x14ac:dyDescent="0.45">
      <c r="A3660" s="1" t="s">
        <v>3623</v>
      </c>
      <c r="D3660" t="s">
        <v>8074</v>
      </c>
      <c r="E3660" t="s">
        <v>9703</v>
      </c>
      <c r="F3660" t="s">
        <v>10299</v>
      </c>
      <c r="G3660">
        <v>9.4999999999999998E-3</v>
      </c>
      <c r="H3660" t="s">
        <v>10310</v>
      </c>
      <c r="I3660" t="s">
        <v>10326</v>
      </c>
      <c r="L3660">
        <v>2004</v>
      </c>
      <c r="R3660" t="s">
        <v>11038</v>
      </c>
      <c r="S3660" t="s">
        <v>10310</v>
      </c>
      <c r="U3660" t="s">
        <v>11047</v>
      </c>
      <c r="W3660" s="2" t="s">
        <v>11204</v>
      </c>
    </row>
    <row r="3661" spans="1:23" hidden="1" x14ac:dyDescent="0.45">
      <c r="A3661" s="1" t="s">
        <v>3624</v>
      </c>
      <c r="B3661" t="s">
        <v>6575</v>
      </c>
      <c r="D3661" t="s">
        <v>8026</v>
      </c>
      <c r="E3661" t="s">
        <v>9619</v>
      </c>
      <c r="F3661" t="s">
        <v>10299</v>
      </c>
      <c r="G3661">
        <v>5.89</v>
      </c>
      <c r="H3661" t="s">
        <v>10310</v>
      </c>
      <c r="I3661" t="s">
        <v>10326</v>
      </c>
      <c r="L3661">
        <v>2016</v>
      </c>
      <c r="R3661" t="s">
        <v>11038</v>
      </c>
      <c r="S3661" t="s">
        <v>10310</v>
      </c>
      <c r="U3661" t="s">
        <v>11047</v>
      </c>
      <c r="W3661" s="2" t="s">
        <v>11204</v>
      </c>
    </row>
    <row r="3662" spans="1:23" hidden="1" x14ac:dyDescent="0.45">
      <c r="A3662" s="1" t="s">
        <v>3625</v>
      </c>
      <c r="B3662" t="s">
        <v>6576</v>
      </c>
      <c r="D3662" t="s">
        <v>8036</v>
      </c>
      <c r="E3662" t="s">
        <v>9637</v>
      </c>
      <c r="F3662" t="s">
        <v>10299</v>
      </c>
      <c r="G3662">
        <v>4.62</v>
      </c>
      <c r="H3662" t="s">
        <v>10310</v>
      </c>
      <c r="I3662" t="s">
        <v>10326</v>
      </c>
      <c r="L3662">
        <v>2010</v>
      </c>
      <c r="R3662" t="s">
        <v>11038</v>
      </c>
      <c r="S3662" t="s">
        <v>10310</v>
      </c>
      <c r="U3662" t="s">
        <v>11046</v>
      </c>
      <c r="W3662" s="2" t="s">
        <v>11204</v>
      </c>
    </row>
    <row r="3663" spans="1:23" hidden="1" x14ac:dyDescent="0.45">
      <c r="A3663" s="1" t="s">
        <v>3626</v>
      </c>
      <c r="B3663" t="s">
        <v>6577</v>
      </c>
      <c r="D3663" t="s">
        <v>8040</v>
      </c>
      <c r="E3663" t="s">
        <v>9632</v>
      </c>
      <c r="F3663" t="s">
        <v>10299</v>
      </c>
      <c r="G3663">
        <v>0.22</v>
      </c>
      <c r="H3663" t="s">
        <v>10310</v>
      </c>
      <c r="I3663" t="s">
        <v>10326</v>
      </c>
      <c r="L3663">
        <v>1939</v>
      </c>
      <c r="R3663" t="s">
        <v>11038</v>
      </c>
      <c r="S3663" t="s">
        <v>10310</v>
      </c>
      <c r="U3663" t="s">
        <v>11049</v>
      </c>
      <c r="W3663" s="2" t="s">
        <v>11204</v>
      </c>
    </row>
    <row r="3664" spans="1:23" hidden="1" x14ac:dyDescent="0.45">
      <c r="A3664" s="1" t="s">
        <v>3627</v>
      </c>
      <c r="B3664" t="s">
        <v>6578</v>
      </c>
      <c r="D3664" t="s">
        <v>8045</v>
      </c>
      <c r="E3664" t="s">
        <v>9778</v>
      </c>
      <c r="F3664" t="s">
        <v>10299</v>
      </c>
      <c r="G3664">
        <v>7.2</v>
      </c>
      <c r="H3664" t="s">
        <v>10310</v>
      </c>
      <c r="I3664" t="s">
        <v>10326</v>
      </c>
      <c r="L3664">
        <v>1990</v>
      </c>
      <c r="R3664" t="s">
        <v>11038</v>
      </c>
      <c r="S3664" t="s">
        <v>10310</v>
      </c>
      <c r="U3664" t="s">
        <v>11050</v>
      </c>
      <c r="W3664" s="2" t="s">
        <v>11204</v>
      </c>
    </row>
    <row r="3665" spans="1:23" hidden="1" x14ac:dyDescent="0.45">
      <c r="A3665" s="1" t="s">
        <v>3628</v>
      </c>
      <c r="B3665" t="s">
        <v>6579</v>
      </c>
      <c r="D3665" t="s">
        <v>8033</v>
      </c>
      <c r="E3665" t="s">
        <v>9802</v>
      </c>
      <c r="F3665" t="s">
        <v>10299</v>
      </c>
      <c r="G3665">
        <v>0.2</v>
      </c>
      <c r="H3665" t="s">
        <v>10310</v>
      </c>
      <c r="I3665" t="s">
        <v>10326</v>
      </c>
      <c r="L3665">
        <v>1998</v>
      </c>
      <c r="R3665" t="s">
        <v>11038</v>
      </c>
      <c r="S3665" t="s">
        <v>10310</v>
      </c>
      <c r="U3665" t="s">
        <v>11050</v>
      </c>
      <c r="W3665" s="2" t="s">
        <v>11204</v>
      </c>
    </row>
    <row r="3666" spans="1:23" hidden="1" x14ac:dyDescent="0.45">
      <c r="A3666" s="1" t="s">
        <v>3629</v>
      </c>
      <c r="D3666" t="s">
        <v>8074</v>
      </c>
      <c r="E3666" t="s">
        <v>9738</v>
      </c>
      <c r="F3666" t="s">
        <v>10299</v>
      </c>
      <c r="G3666">
        <v>0.10920000000000001</v>
      </c>
      <c r="H3666" t="s">
        <v>10310</v>
      </c>
      <c r="I3666" t="s">
        <v>10326</v>
      </c>
      <c r="L3666">
        <v>1999</v>
      </c>
      <c r="R3666" t="s">
        <v>11038</v>
      </c>
      <c r="S3666" t="s">
        <v>10310</v>
      </c>
      <c r="U3666" t="s">
        <v>11047</v>
      </c>
      <c r="W3666" s="2" t="s">
        <v>11204</v>
      </c>
    </row>
    <row r="3667" spans="1:23" hidden="1" x14ac:dyDescent="0.45">
      <c r="A3667" s="1" t="s">
        <v>3630</v>
      </c>
      <c r="B3667" t="s">
        <v>6580</v>
      </c>
      <c r="D3667" t="s">
        <v>8053</v>
      </c>
      <c r="E3667" t="s">
        <v>9652</v>
      </c>
      <c r="F3667" t="s">
        <v>10299</v>
      </c>
      <c r="G3667">
        <v>2.5</v>
      </c>
      <c r="H3667" t="s">
        <v>10310</v>
      </c>
      <c r="I3667" t="s">
        <v>10326</v>
      </c>
      <c r="L3667">
        <v>2004</v>
      </c>
      <c r="R3667" t="s">
        <v>11038</v>
      </c>
      <c r="S3667" t="s">
        <v>10310</v>
      </c>
      <c r="U3667" t="s">
        <v>11049</v>
      </c>
      <c r="W3667" s="2" t="s">
        <v>11204</v>
      </c>
    </row>
    <row r="3668" spans="1:23" hidden="1" x14ac:dyDescent="0.45">
      <c r="A3668" s="1" t="s">
        <v>3631</v>
      </c>
      <c r="B3668" t="s">
        <v>6311</v>
      </c>
      <c r="D3668" t="s">
        <v>8031</v>
      </c>
      <c r="E3668" t="s">
        <v>9793</v>
      </c>
      <c r="F3668" t="s">
        <v>10299</v>
      </c>
      <c r="G3668">
        <v>45</v>
      </c>
      <c r="H3668" t="s">
        <v>10310</v>
      </c>
      <c r="I3668" t="s">
        <v>10326</v>
      </c>
      <c r="L3668">
        <v>1971</v>
      </c>
      <c r="R3668" t="s">
        <v>11038</v>
      </c>
      <c r="S3668" t="s">
        <v>10310</v>
      </c>
      <c r="U3668" t="s">
        <v>11046</v>
      </c>
      <c r="W3668" s="2" t="s">
        <v>11204</v>
      </c>
    </row>
    <row r="3669" spans="1:23" hidden="1" x14ac:dyDescent="0.45">
      <c r="A3669" s="1" t="s">
        <v>3632</v>
      </c>
      <c r="B3669" t="s">
        <v>6274</v>
      </c>
      <c r="D3669" t="s">
        <v>8042</v>
      </c>
      <c r="E3669" t="s">
        <v>4614</v>
      </c>
      <c r="F3669" t="s">
        <v>10299</v>
      </c>
      <c r="G3669">
        <v>60</v>
      </c>
      <c r="H3669" t="s">
        <v>10310</v>
      </c>
      <c r="I3669" t="s">
        <v>10326</v>
      </c>
      <c r="L3669">
        <v>1969</v>
      </c>
      <c r="R3669" t="s">
        <v>11038</v>
      </c>
      <c r="S3669" t="s">
        <v>10310</v>
      </c>
      <c r="U3669" t="s">
        <v>11049</v>
      </c>
      <c r="W3669" s="2" t="s">
        <v>11204</v>
      </c>
    </row>
    <row r="3670" spans="1:23" hidden="1" x14ac:dyDescent="0.45">
      <c r="A3670" s="1" t="s">
        <v>3633</v>
      </c>
      <c r="B3670" t="s">
        <v>6581</v>
      </c>
      <c r="D3670" t="s">
        <v>8073</v>
      </c>
      <c r="E3670" t="s">
        <v>9701</v>
      </c>
      <c r="F3670" t="s">
        <v>10299</v>
      </c>
      <c r="G3670">
        <v>2.9950000000000001</v>
      </c>
      <c r="H3670" t="s">
        <v>10310</v>
      </c>
      <c r="I3670" t="s">
        <v>10326</v>
      </c>
      <c r="L3670">
        <v>2012</v>
      </c>
      <c r="R3670" t="s">
        <v>11038</v>
      </c>
      <c r="S3670" t="s">
        <v>10310</v>
      </c>
      <c r="U3670" t="s">
        <v>11047</v>
      </c>
      <c r="W3670" s="2" t="s">
        <v>11204</v>
      </c>
    </row>
    <row r="3671" spans="1:23" hidden="1" x14ac:dyDescent="0.45">
      <c r="A3671" s="1" t="s">
        <v>3634</v>
      </c>
      <c r="B3671" t="s">
        <v>6582</v>
      </c>
      <c r="D3671" t="s">
        <v>8031</v>
      </c>
      <c r="E3671" t="s">
        <v>9773</v>
      </c>
      <c r="F3671" t="s">
        <v>10299</v>
      </c>
      <c r="G3671">
        <v>0.45</v>
      </c>
      <c r="H3671" t="s">
        <v>10310</v>
      </c>
      <c r="I3671" t="s">
        <v>10326</v>
      </c>
      <c r="L3671">
        <v>2003</v>
      </c>
      <c r="R3671" t="s">
        <v>11038</v>
      </c>
      <c r="S3671" t="s">
        <v>10310</v>
      </c>
      <c r="U3671" t="s">
        <v>11046</v>
      </c>
      <c r="W3671" s="2" t="s">
        <v>11204</v>
      </c>
    </row>
    <row r="3672" spans="1:23" hidden="1" x14ac:dyDescent="0.45">
      <c r="A3672" s="1" t="s">
        <v>3635</v>
      </c>
      <c r="B3672" t="s">
        <v>6583</v>
      </c>
      <c r="D3672" t="s">
        <v>8042</v>
      </c>
      <c r="E3672" t="s">
        <v>4614</v>
      </c>
      <c r="F3672" t="s">
        <v>10299</v>
      </c>
      <c r="G3672">
        <v>1.35</v>
      </c>
      <c r="H3672" t="s">
        <v>10310</v>
      </c>
      <c r="I3672" t="s">
        <v>10326</v>
      </c>
      <c r="L3672">
        <v>2004</v>
      </c>
      <c r="R3672" t="s">
        <v>11038</v>
      </c>
      <c r="S3672" t="s">
        <v>10310</v>
      </c>
      <c r="U3672" t="s">
        <v>11049</v>
      </c>
      <c r="W3672" s="2" t="s">
        <v>11204</v>
      </c>
    </row>
    <row r="3673" spans="1:23" hidden="1" x14ac:dyDescent="0.45">
      <c r="A3673" s="1" t="s">
        <v>3636</v>
      </c>
      <c r="D3673" t="s">
        <v>8068</v>
      </c>
      <c r="E3673" t="s">
        <v>9696</v>
      </c>
      <c r="F3673" t="s">
        <v>10299</v>
      </c>
      <c r="G3673">
        <v>4.8000000000000001E-2</v>
      </c>
      <c r="H3673" t="s">
        <v>10310</v>
      </c>
      <c r="I3673" t="s">
        <v>10326</v>
      </c>
      <c r="L3673">
        <v>2001</v>
      </c>
      <c r="R3673" t="s">
        <v>11038</v>
      </c>
      <c r="S3673" t="s">
        <v>10310</v>
      </c>
      <c r="U3673" t="s">
        <v>11049</v>
      </c>
      <c r="W3673" s="2" t="s">
        <v>11204</v>
      </c>
    </row>
    <row r="3674" spans="1:23" hidden="1" x14ac:dyDescent="0.45">
      <c r="A3674" s="1" t="s">
        <v>3637</v>
      </c>
      <c r="B3674" t="s">
        <v>6584</v>
      </c>
      <c r="D3674" t="s">
        <v>8075</v>
      </c>
      <c r="E3674" t="s">
        <v>9715</v>
      </c>
      <c r="F3674" t="s">
        <v>10299</v>
      </c>
      <c r="G3674">
        <v>1.0999999999999999E-2</v>
      </c>
      <c r="H3674" t="s">
        <v>10310</v>
      </c>
      <c r="I3674" t="s">
        <v>10326</v>
      </c>
      <c r="L3674">
        <v>1998</v>
      </c>
      <c r="R3674" t="s">
        <v>11038</v>
      </c>
      <c r="S3674" t="s">
        <v>10310</v>
      </c>
      <c r="U3674" t="s">
        <v>11047</v>
      </c>
      <c r="W3674" s="2" t="s">
        <v>11204</v>
      </c>
    </row>
    <row r="3675" spans="1:23" hidden="1" x14ac:dyDescent="0.45">
      <c r="A3675" s="1" t="s">
        <v>3638</v>
      </c>
      <c r="B3675" t="s">
        <v>6290</v>
      </c>
      <c r="D3675" t="s">
        <v>8059</v>
      </c>
      <c r="E3675" t="s">
        <v>9803</v>
      </c>
      <c r="F3675" t="s">
        <v>10299</v>
      </c>
      <c r="G3675">
        <v>112</v>
      </c>
      <c r="H3675" t="s">
        <v>10310</v>
      </c>
      <c r="I3675" t="s">
        <v>10326</v>
      </c>
      <c r="L3675">
        <v>1963</v>
      </c>
      <c r="R3675" t="s">
        <v>11038</v>
      </c>
      <c r="S3675" t="s">
        <v>10310</v>
      </c>
      <c r="U3675" t="s">
        <v>11050</v>
      </c>
      <c r="W3675" s="2" t="s">
        <v>11204</v>
      </c>
    </row>
    <row r="3676" spans="1:23" hidden="1" x14ac:dyDescent="0.45">
      <c r="A3676" s="1" t="s">
        <v>3639</v>
      </c>
      <c r="B3676" t="s">
        <v>6585</v>
      </c>
      <c r="D3676" t="s">
        <v>8043</v>
      </c>
      <c r="E3676" t="s">
        <v>9635</v>
      </c>
      <c r="F3676" t="s">
        <v>10299</v>
      </c>
      <c r="G3676">
        <v>0.08</v>
      </c>
      <c r="H3676" t="s">
        <v>10310</v>
      </c>
      <c r="I3676" t="s">
        <v>10326</v>
      </c>
      <c r="L3676">
        <v>2007</v>
      </c>
      <c r="R3676" t="s">
        <v>11038</v>
      </c>
      <c r="S3676" t="s">
        <v>10310</v>
      </c>
      <c r="U3676" t="s">
        <v>11046</v>
      </c>
      <c r="W3676" s="2" t="s">
        <v>11204</v>
      </c>
    </row>
    <row r="3677" spans="1:23" hidden="1" x14ac:dyDescent="0.45">
      <c r="A3677" s="1" t="s">
        <v>3640</v>
      </c>
      <c r="D3677" t="s">
        <v>8049</v>
      </c>
      <c r="E3677" t="s">
        <v>9708</v>
      </c>
      <c r="F3677" t="s">
        <v>10299</v>
      </c>
      <c r="G3677">
        <v>1.2E-2</v>
      </c>
      <c r="H3677" t="s">
        <v>10310</v>
      </c>
      <c r="I3677" t="s">
        <v>10326</v>
      </c>
      <c r="L3677">
        <v>2000</v>
      </c>
      <c r="R3677" t="s">
        <v>11038</v>
      </c>
      <c r="S3677" t="s">
        <v>10310</v>
      </c>
      <c r="U3677" t="s">
        <v>11046</v>
      </c>
      <c r="W3677" s="2" t="s">
        <v>11204</v>
      </c>
    </row>
    <row r="3678" spans="1:23" hidden="1" x14ac:dyDescent="0.45">
      <c r="A3678" s="1" t="s">
        <v>3641</v>
      </c>
      <c r="B3678" t="s">
        <v>6395</v>
      </c>
      <c r="D3678" t="s">
        <v>8039</v>
      </c>
      <c r="E3678" t="s">
        <v>9695</v>
      </c>
      <c r="F3678" t="s">
        <v>10299</v>
      </c>
      <c r="G3678">
        <v>2</v>
      </c>
      <c r="H3678" t="s">
        <v>10310</v>
      </c>
      <c r="I3678" t="s">
        <v>10324</v>
      </c>
      <c r="L3678">
        <v>1983</v>
      </c>
      <c r="R3678" t="s">
        <v>11038</v>
      </c>
      <c r="S3678" t="s">
        <v>10310</v>
      </c>
      <c r="U3678" t="s">
        <v>11046</v>
      </c>
      <c r="V3678" t="s">
        <v>11182</v>
      </c>
      <c r="W3678" s="2" t="s">
        <v>11204</v>
      </c>
    </row>
    <row r="3679" spans="1:23" hidden="1" x14ac:dyDescent="0.45">
      <c r="A3679" s="1" t="s">
        <v>3642</v>
      </c>
      <c r="B3679" t="s">
        <v>6311</v>
      </c>
      <c r="D3679" t="s">
        <v>8063</v>
      </c>
      <c r="E3679" t="s">
        <v>9784</v>
      </c>
      <c r="F3679" t="s">
        <v>10299</v>
      </c>
      <c r="G3679">
        <v>25.1</v>
      </c>
      <c r="H3679" t="s">
        <v>10310</v>
      </c>
      <c r="I3679" t="s">
        <v>10326</v>
      </c>
      <c r="L3679">
        <v>1964</v>
      </c>
      <c r="R3679" t="s">
        <v>11038</v>
      </c>
      <c r="S3679" t="s">
        <v>10310</v>
      </c>
      <c r="U3679" t="s">
        <v>11046</v>
      </c>
      <c r="W3679" s="2" t="s">
        <v>11204</v>
      </c>
    </row>
    <row r="3680" spans="1:23" hidden="1" x14ac:dyDescent="0.45">
      <c r="A3680" s="1" t="s">
        <v>3643</v>
      </c>
      <c r="B3680" t="s">
        <v>6586</v>
      </c>
      <c r="D3680" t="s">
        <v>8056</v>
      </c>
      <c r="E3680" t="s">
        <v>9688</v>
      </c>
      <c r="F3680" t="s">
        <v>10299</v>
      </c>
      <c r="G3680">
        <v>0.25</v>
      </c>
      <c r="H3680" t="s">
        <v>10310</v>
      </c>
      <c r="I3680" t="s">
        <v>10326</v>
      </c>
      <c r="L3680">
        <v>2006</v>
      </c>
      <c r="R3680" t="s">
        <v>11038</v>
      </c>
      <c r="S3680" t="s">
        <v>10310</v>
      </c>
      <c r="U3680" t="s">
        <v>11047</v>
      </c>
      <c r="W3680" s="2" t="s">
        <v>11204</v>
      </c>
    </row>
    <row r="3681" spans="1:23" hidden="1" x14ac:dyDescent="0.45">
      <c r="A3681" s="1" t="s">
        <v>3644</v>
      </c>
      <c r="B3681" t="s">
        <v>6587</v>
      </c>
      <c r="D3681" t="s">
        <v>8039</v>
      </c>
      <c r="E3681" t="s">
        <v>9804</v>
      </c>
      <c r="F3681" t="s">
        <v>10299</v>
      </c>
      <c r="G3681">
        <v>0.04</v>
      </c>
      <c r="H3681" t="s">
        <v>10310</v>
      </c>
      <c r="I3681" t="s">
        <v>10326</v>
      </c>
      <c r="L3681">
        <v>2002</v>
      </c>
      <c r="R3681" t="s">
        <v>11038</v>
      </c>
      <c r="S3681" t="s">
        <v>10310</v>
      </c>
      <c r="U3681" t="s">
        <v>11048</v>
      </c>
      <c r="W3681" s="2" t="s">
        <v>11204</v>
      </c>
    </row>
    <row r="3682" spans="1:23" hidden="1" x14ac:dyDescent="0.45">
      <c r="A3682" s="1" t="s">
        <v>3645</v>
      </c>
      <c r="B3682" t="s">
        <v>6588</v>
      </c>
      <c r="D3682" t="s">
        <v>8073</v>
      </c>
      <c r="E3682" t="s">
        <v>9701</v>
      </c>
      <c r="F3682" t="s">
        <v>10299</v>
      </c>
      <c r="G3682">
        <v>0.06</v>
      </c>
      <c r="H3682" t="s">
        <v>10310</v>
      </c>
      <c r="I3682" t="s">
        <v>10326</v>
      </c>
      <c r="L3682">
        <v>2014</v>
      </c>
      <c r="R3682" t="s">
        <v>11038</v>
      </c>
      <c r="S3682" t="s">
        <v>10310</v>
      </c>
      <c r="U3682" t="s">
        <v>11047</v>
      </c>
      <c r="W3682" s="2" t="s">
        <v>11204</v>
      </c>
    </row>
    <row r="3683" spans="1:23" hidden="1" x14ac:dyDescent="0.45">
      <c r="A3683" s="1" t="s">
        <v>3646</v>
      </c>
      <c r="B3683" t="s">
        <v>6589</v>
      </c>
      <c r="D3683" t="s">
        <v>8070</v>
      </c>
      <c r="E3683" t="s">
        <v>3591</v>
      </c>
      <c r="F3683" t="s">
        <v>10299</v>
      </c>
      <c r="G3683">
        <v>0.55000000000000004</v>
      </c>
      <c r="H3683" t="s">
        <v>10310</v>
      </c>
      <c r="I3683" t="s">
        <v>10326</v>
      </c>
      <c r="L3683">
        <v>2013</v>
      </c>
      <c r="R3683" t="s">
        <v>11038</v>
      </c>
      <c r="S3683" t="s">
        <v>10310</v>
      </c>
      <c r="U3683" t="s">
        <v>11046</v>
      </c>
      <c r="W3683" s="2" t="s">
        <v>11204</v>
      </c>
    </row>
    <row r="3684" spans="1:23" hidden="1" x14ac:dyDescent="0.45">
      <c r="A3684" s="1" t="s">
        <v>3647</v>
      </c>
      <c r="B3684" t="s">
        <v>6590</v>
      </c>
      <c r="D3684" t="s">
        <v>8043</v>
      </c>
      <c r="E3684" t="s">
        <v>9635</v>
      </c>
      <c r="F3684" t="s">
        <v>10299</v>
      </c>
      <c r="G3684">
        <v>3.7000000000000012E-2</v>
      </c>
      <c r="H3684" t="s">
        <v>10310</v>
      </c>
      <c r="I3684" t="s">
        <v>10326</v>
      </c>
      <c r="L3684">
        <v>2014</v>
      </c>
      <c r="R3684" t="s">
        <v>11038</v>
      </c>
      <c r="S3684" t="s">
        <v>10310</v>
      </c>
      <c r="U3684" t="s">
        <v>11046</v>
      </c>
      <c r="W3684" s="2" t="s">
        <v>11204</v>
      </c>
    </row>
    <row r="3685" spans="1:23" hidden="1" x14ac:dyDescent="0.45">
      <c r="A3685" s="1" t="s">
        <v>3648</v>
      </c>
      <c r="B3685" t="s">
        <v>6591</v>
      </c>
      <c r="D3685" t="s">
        <v>8037</v>
      </c>
      <c r="E3685" t="s">
        <v>9629</v>
      </c>
      <c r="F3685" t="s">
        <v>10299</v>
      </c>
      <c r="G3685">
        <v>1.33</v>
      </c>
      <c r="H3685" t="s">
        <v>10310</v>
      </c>
      <c r="I3685" t="s">
        <v>10326</v>
      </c>
      <c r="L3685">
        <v>2003</v>
      </c>
      <c r="R3685" t="s">
        <v>11038</v>
      </c>
      <c r="S3685" t="s">
        <v>10310</v>
      </c>
      <c r="U3685" t="s">
        <v>11047</v>
      </c>
      <c r="W3685" s="2" t="s">
        <v>11204</v>
      </c>
    </row>
    <row r="3686" spans="1:23" hidden="1" x14ac:dyDescent="0.45">
      <c r="A3686" s="1" t="s">
        <v>3649</v>
      </c>
      <c r="B3686" t="s">
        <v>6274</v>
      </c>
      <c r="D3686" t="s">
        <v>8061</v>
      </c>
      <c r="E3686" t="s">
        <v>9665</v>
      </c>
      <c r="F3686" t="s">
        <v>10299</v>
      </c>
      <c r="G3686">
        <v>160</v>
      </c>
      <c r="H3686" t="s">
        <v>10310</v>
      </c>
      <c r="I3686" t="s">
        <v>10326</v>
      </c>
      <c r="L3686">
        <v>1980</v>
      </c>
      <c r="R3686" t="s">
        <v>11038</v>
      </c>
      <c r="S3686" t="s">
        <v>10310</v>
      </c>
      <c r="U3686" t="s">
        <v>11046</v>
      </c>
      <c r="W3686" s="2" t="s">
        <v>11204</v>
      </c>
    </row>
    <row r="3687" spans="1:23" hidden="1" x14ac:dyDescent="0.45">
      <c r="A3687" s="1" t="s">
        <v>3650</v>
      </c>
      <c r="B3687" t="s">
        <v>6290</v>
      </c>
      <c r="D3687" t="s">
        <v>8051</v>
      </c>
      <c r="E3687" t="s">
        <v>9805</v>
      </c>
      <c r="F3687" t="s">
        <v>10299</v>
      </c>
      <c r="G3687">
        <v>2.9</v>
      </c>
      <c r="H3687" t="s">
        <v>10310</v>
      </c>
      <c r="I3687" t="s">
        <v>10326</v>
      </c>
      <c r="L3687">
        <v>1986</v>
      </c>
      <c r="R3687" t="s">
        <v>11038</v>
      </c>
      <c r="S3687" t="s">
        <v>10310</v>
      </c>
      <c r="U3687" t="s">
        <v>11050</v>
      </c>
      <c r="W3687" s="2" t="s">
        <v>11204</v>
      </c>
    </row>
    <row r="3688" spans="1:23" hidden="1" x14ac:dyDescent="0.45">
      <c r="A3688" s="1" t="s">
        <v>3651</v>
      </c>
      <c r="B3688" t="s">
        <v>6592</v>
      </c>
      <c r="D3688" t="s">
        <v>8070</v>
      </c>
      <c r="E3688" t="s">
        <v>9754</v>
      </c>
      <c r="F3688" t="s">
        <v>10299</v>
      </c>
      <c r="G3688">
        <v>4.53</v>
      </c>
      <c r="H3688" t="s">
        <v>10310</v>
      </c>
      <c r="I3688" t="s">
        <v>10326</v>
      </c>
      <c r="L3688">
        <v>2013</v>
      </c>
      <c r="R3688" t="s">
        <v>11038</v>
      </c>
      <c r="S3688" t="s">
        <v>10310</v>
      </c>
      <c r="U3688" t="s">
        <v>11047</v>
      </c>
      <c r="W3688" s="2" t="s">
        <v>11204</v>
      </c>
    </row>
    <row r="3689" spans="1:23" hidden="1" x14ac:dyDescent="0.45">
      <c r="A3689" s="1" t="s">
        <v>3652</v>
      </c>
      <c r="B3689" t="s">
        <v>6311</v>
      </c>
      <c r="D3689" t="s">
        <v>8056</v>
      </c>
      <c r="E3689" t="s">
        <v>9657</v>
      </c>
      <c r="F3689" t="s">
        <v>10299</v>
      </c>
      <c r="G3689">
        <v>25</v>
      </c>
      <c r="H3689" t="s">
        <v>10310</v>
      </c>
      <c r="I3689" t="s">
        <v>10326</v>
      </c>
      <c r="L3689">
        <v>1919</v>
      </c>
      <c r="R3689" t="s">
        <v>11038</v>
      </c>
      <c r="S3689" t="s">
        <v>10310</v>
      </c>
      <c r="U3689" t="s">
        <v>11046</v>
      </c>
      <c r="W3689" s="2" t="s">
        <v>11204</v>
      </c>
    </row>
    <row r="3690" spans="1:23" hidden="1" x14ac:dyDescent="0.45">
      <c r="A3690" s="1" t="s">
        <v>3653</v>
      </c>
      <c r="B3690" t="s">
        <v>6348</v>
      </c>
      <c r="D3690" t="s">
        <v>8028</v>
      </c>
      <c r="E3690" t="s">
        <v>9690</v>
      </c>
      <c r="F3690" t="s">
        <v>10299</v>
      </c>
      <c r="G3690">
        <v>1.1000000000000001</v>
      </c>
      <c r="H3690" t="s">
        <v>10310</v>
      </c>
      <c r="I3690" t="s">
        <v>10326</v>
      </c>
      <c r="L3690">
        <v>1989</v>
      </c>
      <c r="R3690" t="s">
        <v>11038</v>
      </c>
      <c r="S3690" t="s">
        <v>10310</v>
      </c>
      <c r="U3690" t="s">
        <v>11050</v>
      </c>
      <c r="W3690" s="2" t="s">
        <v>11204</v>
      </c>
    </row>
    <row r="3691" spans="1:23" hidden="1" x14ac:dyDescent="0.45">
      <c r="A3691" s="1" t="s">
        <v>3654</v>
      </c>
      <c r="D3691" t="s">
        <v>8036</v>
      </c>
      <c r="E3691" t="s">
        <v>9628</v>
      </c>
      <c r="F3691" t="s">
        <v>10299</v>
      </c>
      <c r="G3691">
        <v>1.7999999999999999E-2</v>
      </c>
      <c r="H3691" t="s">
        <v>10310</v>
      </c>
      <c r="I3691" t="s">
        <v>10326</v>
      </c>
      <c r="L3691">
        <v>2004</v>
      </c>
      <c r="R3691" t="s">
        <v>11038</v>
      </c>
      <c r="S3691" t="s">
        <v>10310</v>
      </c>
      <c r="U3691" t="s">
        <v>11048</v>
      </c>
      <c r="W3691" s="2" t="s">
        <v>11204</v>
      </c>
    </row>
    <row r="3692" spans="1:23" hidden="1" x14ac:dyDescent="0.45">
      <c r="A3692" s="1" t="s">
        <v>3655</v>
      </c>
      <c r="B3692" t="s">
        <v>6281</v>
      </c>
      <c r="D3692" t="s">
        <v>8050</v>
      </c>
      <c r="E3692" t="s">
        <v>9645</v>
      </c>
      <c r="F3692" t="s">
        <v>10299</v>
      </c>
      <c r="G3692">
        <v>0.88</v>
      </c>
      <c r="H3692" t="s">
        <v>10310</v>
      </c>
      <c r="I3692" t="s">
        <v>10326</v>
      </c>
      <c r="L3692">
        <v>2013</v>
      </c>
      <c r="R3692" t="s">
        <v>11038</v>
      </c>
      <c r="S3692" t="s">
        <v>10310</v>
      </c>
      <c r="U3692" t="s">
        <v>11050</v>
      </c>
      <c r="W3692" s="2" t="s">
        <v>11204</v>
      </c>
    </row>
    <row r="3693" spans="1:23" hidden="1" x14ac:dyDescent="0.45">
      <c r="A3693" s="1" t="s">
        <v>3656</v>
      </c>
      <c r="B3693" t="s">
        <v>6294</v>
      </c>
      <c r="D3693" t="s">
        <v>8071</v>
      </c>
      <c r="E3693" t="s">
        <v>9806</v>
      </c>
      <c r="F3693" t="s">
        <v>10299</v>
      </c>
      <c r="G3693">
        <v>2</v>
      </c>
      <c r="H3693" t="s">
        <v>10310</v>
      </c>
      <c r="I3693" t="s">
        <v>10326</v>
      </c>
      <c r="L3693">
        <v>1980</v>
      </c>
      <c r="R3693" t="s">
        <v>11038</v>
      </c>
      <c r="S3693" t="s">
        <v>10310</v>
      </c>
      <c r="U3693" t="s">
        <v>11050</v>
      </c>
      <c r="W3693" s="2" t="s">
        <v>11204</v>
      </c>
    </row>
    <row r="3694" spans="1:23" hidden="1" x14ac:dyDescent="0.45">
      <c r="A3694" s="1" t="s">
        <v>3657</v>
      </c>
      <c r="B3694" t="s">
        <v>6271</v>
      </c>
      <c r="D3694" t="s">
        <v>8028</v>
      </c>
      <c r="E3694" t="s">
        <v>9636</v>
      </c>
      <c r="F3694" t="s">
        <v>10299</v>
      </c>
      <c r="G3694">
        <v>29.4</v>
      </c>
      <c r="H3694" t="s">
        <v>10310</v>
      </c>
      <c r="I3694" t="s">
        <v>10326</v>
      </c>
      <c r="L3694">
        <v>1920</v>
      </c>
      <c r="R3694" t="s">
        <v>11038</v>
      </c>
      <c r="S3694" t="s">
        <v>10310</v>
      </c>
      <c r="U3694" t="s">
        <v>11050</v>
      </c>
      <c r="W3694" s="2" t="s">
        <v>11204</v>
      </c>
    </row>
    <row r="3695" spans="1:23" hidden="1" x14ac:dyDescent="0.45">
      <c r="A3695" s="1" t="s">
        <v>3658</v>
      </c>
      <c r="B3695" t="s">
        <v>6274</v>
      </c>
      <c r="D3695" t="s">
        <v>8029</v>
      </c>
      <c r="E3695" t="s">
        <v>9661</v>
      </c>
      <c r="F3695" t="s">
        <v>10299</v>
      </c>
      <c r="G3695">
        <v>93</v>
      </c>
      <c r="H3695" t="s">
        <v>10310</v>
      </c>
      <c r="I3695" t="s">
        <v>10326</v>
      </c>
      <c r="L3695">
        <v>1965</v>
      </c>
      <c r="R3695" t="s">
        <v>11038</v>
      </c>
      <c r="S3695" t="s">
        <v>10310</v>
      </c>
      <c r="U3695" t="s">
        <v>11047</v>
      </c>
      <c r="W3695" s="2" t="s">
        <v>11204</v>
      </c>
    </row>
    <row r="3696" spans="1:23" hidden="1" x14ac:dyDescent="0.45">
      <c r="A3696" s="1" t="s">
        <v>3659</v>
      </c>
      <c r="B3696" t="s">
        <v>6274</v>
      </c>
      <c r="D3696" t="s">
        <v>8029</v>
      </c>
      <c r="E3696" t="s">
        <v>9661</v>
      </c>
      <c r="F3696" t="s">
        <v>10299</v>
      </c>
      <c r="G3696">
        <v>16.399999999999999</v>
      </c>
      <c r="H3696" t="s">
        <v>10310</v>
      </c>
      <c r="I3696" t="s">
        <v>10326</v>
      </c>
      <c r="L3696">
        <v>1978</v>
      </c>
      <c r="R3696" t="s">
        <v>11038</v>
      </c>
      <c r="S3696" t="s">
        <v>10310</v>
      </c>
      <c r="U3696" t="s">
        <v>11047</v>
      </c>
      <c r="W3696" s="2" t="s">
        <v>11204</v>
      </c>
    </row>
    <row r="3697" spans="1:23" hidden="1" x14ac:dyDescent="0.45">
      <c r="A3697" s="1" t="s">
        <v>3660</v>
      </c>
      <c r="B3697" t="s">
        <v>6593</v>
      </c>
      <c r="D3697" t="s">
        <v>8075</v>
      </c>
      <c r="E3697" t="s">
        <v>9715</v>
      </c>
      <c r="F3697" t="s">
        <v>10299</v>
      </c>
      <c r="G3697">
        <v>1.1000000000000001</v>
      </c>
      <c r="H3697" t="s">
        <v>10310</v>
      </c>
      <c r="I3697" t="s">
        <v>10326</v>
      </c>
      <c r="L3697">
        <v>1998</v>
      </c>
      <c r="R3697" t="s">
        <v>11038</v>
      </c>
      <c r="S3697" t="s">
        <v>10310</v>
      </c>
      <c r="U3697" t="s">
        <v>11047</v>
      </c>
      <c r="W3697" s="2" t="s">
        <v>11204</v>
      </c>
    </row>
    <row r="3698" spans="1:23" hidden="1" x14ac:dyDescent="0.45">
      <c r="A3698" s="1" t="s">
        <v>3661</v>
      </c>
      <c r="B3698" t="s">
        <v>6311</v>
      </c>
      <c r="D3698" t="s">
        <v>8055</v>
      </c>
      <c r="E3698" t="s">
        <v>3805</v>
      </c>
      <c r="F3698" t="s">
        <v>10299</v>
      </c>
      <c r="G3698">
        <v>7.5</v>
      </c>
      <c r="H3698" t="s">
        <v>10310</v>
      </c>
      <c r="I3698" t="s">
        <v>10326</v>
      </c>
      <c r="L3698">
        <v>1948</v>
      </c>
      <c r="R3698" t="s">
        <v>11038</v>
      </c>
      <c r="S3698" t="s">
        <v>10310</v>
      </c>
      <c r="U3698" t="s">
        <v>11046</v>
      </c>
      <c r="W3698" s="2" t="s">
        <v>11204</v>
      </c>
    </row>
    <row r="3699" spans="1:23" hidden="1" x14ac:dyDescent="0.45">
      <c r="A3699" s="1" t="s">
        <v>3662</v>
      </c>
      <c r="B3699" t="s">
        <v>6392</v>
      </c>
      <c r="D3699" t="s">
        <v>8039</v>
      </c>
      <c r="E3699" t="s">
        <v>9714</v>
      </c>
      <c r="F3699" t="s">
        <v>10299</v>
      </c>
      <c r="G3699">
        <v>25</v>
      </c>
      <c r="H3699" t="s">
        <v>10310</v>
      </c>
      <c r="I3699" t="s">
        <v>10326</v>
      </c>
      <c r="L3699">
        <v>1966</v>
      </c>
      <c r="R3699" t="s">
        <v>11038</v>
      </c>
      <c r="S3699" t="s">
        <v>10310</v>
      </c>
      <c r="U3699" t="s">
        <v>11047</v>
      </c>
      <c r="W3699" s="2" t="s">
        <v>11204</v>
      </c>
    </row>
    <row r="3700" spans="1:23" hidden="1" x14ac:dyDescent="0.45">
      <c r="A3700" s="1" t="s">
        <v>3663</v>
      </c>
      <c r="B3700" t="s">
        <v>6594</v>
      </c>
      <c r="D3700" t="s">
        <v>8026</v>
      </c>
      <c r="E3700" t="s">
        <v>9619</v>
      </c>
      <c r="F3700" t="s">
        <v>10299</v>
      </c>
      <c r="G3700">
        <v>0.1</v>
      </c>
      <c r="H3700" t="s">
        <v>10310</v>
      </c>
      <c r="I3700" t="s">
        <v>10326</v>
      </c>
      <c r="L3700">
        <v>2007</v>
      </c>
      <c r="R3700" t="s">
        <v>11038</v>
      </c>
      <c r="S3700" t="s">
        <v>10310</v>
      </c>
      <c r="U3700" t="s">
        <v>11047</v>
      </c>
      <c r="W3700" s="2" t="s">
        <v>11204</v>
      </c>
    </row>
    <row r="3701" spans="1:23" hidden="1" x14ac:dyDescent="0.45">
      <c r="A3701" s="1" t="s">
        <v>3664</v>
      </c>
      <c r="B3701" t="s">
        <v>6595</v>
      </c>
      <c r="D3701" t="s">
        <v>8041</v>
      </c>
      <c r="E3701" t="s">
        <v>9633</v>
      </c>
      <c r="F3701" t="s">
        <v>10299</v>
      </c>
      <c r="G3701">
        <v>12</v>
      </c>
      <c r="H3701" t="s">
        <v>10310</v>
      </c>
      <c r="I3701" t="s">
        <v>10326</v>
      </c>
      <c r="L3701">
        <v>1954</v>
      </c>
      <c r="R3701" t="s">
        <v>11038</v>
      </c>
      <c r="S3701" t="s">
        <v>10310</v>
      </c>
      <c r="U3701" t="s">
        <v>11048</v>
      </c>
      <c r="W3701" s="2" t="s">
        <v>11204</v>
      </c>
    </row>
    <row r="3702" spans="1:23" hidden="1" x14ac:dyDescent="0.45">
      <c r="A3702" s="1" t="s">
        <v>3665</v>
      </c>
      <c r="B3702" t="s">
        <v>6359</v>
      </c>
      <c r="D3702" t="s">
        <v>8060</v>
      </c>
      <c r="E3702" t="s">
        <v>9697</v>
      </c>
      <c r="F3702" t="s">
        <v>10299</v>
      </c>
      <c r="G3702">
        <v>4.8499999999999996</v>
      </c>
      <c r="H3702" t="s">
        <v>10310</v>
      </c>
      <c r="I3702" t="s">
        <v>10326</v>
      </c>
      <c r="L3702">
        <v>1955</v>
      </c>
      <c r="R3702" t="s">
        <v>11038</v>
      </c>
      <c r="S3702" t="s">
        <v>10310</v>
      </c>
      <c r="U3702" t="s">
        <v>11047</v>
      </c>
      <c r="W3702" s="2" t="s">
        <v>11204</v>
      </c>
    </row>
    <row r="3703" spans="1:23" hidden="1" x14ac:dyDescent="0.45">
      <c r="A3703" s="1" t="s">
        <v>3666</v>
      </c>
      <c r="B3703" t="s">
        <v>6596</v>
      </c>
      <c r="D3703" t="s">
        <v>8048</v>
      </c>
      <c r="E3703" t="s">
        <v>9642</v>
      </c>
      <c r="F3703" t="s">
        <v>10299</v>
      </c>
      <c r="G3703">
        <v>4.9000000000000004</v>
      </c>
      <c r="H3703" t="s">
        <v>10310</v>
      </c>
      <c r="I3703" t="s">
        <v>10326</v>
      </c>
      <c r="L3703">
        <v>2014</v>
      </c>
      <c r="R3703" t="s">
        <v>11038</v>
      </c>
      <c r="S3703" t="s">
        <v>10310</v>
      </c>
      <c r="U3703" t="s">
        <v>11046</v>
      </c>
      <c r="W3703" s="2" t="s">
        <v>11204</v>
      </c>
    </row>
    <row r="3704" spans="1:23" hidden="1" x14ac:dyDescent="0.45">
      <c r="A3704" s="1" t="s">
        <v>3667</v>
      </c>
      <c r="D3704" t="s">
        <v>8052</v>
      </c>
      <c r="E3704" t="s">
        <v>9650</v>
      </c>
      <c r="F3704" t="s">
        <v>10299</v>
      </c>
      <c r="G3704">
        <v>5.0000000000000001E-3</v>
      </c>
      <c r="H3704" t="s">
        <v>10310</v>
      </c>
      <c r="I3704" t="s">
        <v>10326</v>
      </c>
      <c r="L3704">
        <v>2001</v>
      </c>
      <c r="R3704" t="s">
        <v>11038</v>
      </c>
      <c r="S3704" t="s">
        <v>10310</v>
      </c>
      <c r="U3704" t="s">
        <v>11047</v>
      </c>
      <c r="W3704" s="2" t="s">
        <v>11204</v>
      </c>
    </row>
    <row r="3705" spans="1:23" hidden="1" x14ac:dyDescent="0.45">
      <c r="A3705" s="1" t="s">
        <v>3668</v>
      </c>
      <c r="B3705" t="s">
        <v>6274</v>
      </c>
      <c r="D3705" t="s">
        <v>8048</v>
      </c>
      <c r="E3705" t="s">
        <v>9642</v>
      </c>
      <c r="F3705" t="s">
        <v>10299</v>
      </c>
      <c r="G3705">
        <v>5</v>
      </c>
      <c r="H3705" t="s">
        <v>10310</v>
      </c>
      <c r="I3705" t="s">
        <v>10326</v>
      </c>
      <c r="L3705">
        <v>2006</v>
      </c>
      <c r="R3705" t="s">
        <v>11038</v>
      </c>
      <c r="S3705" t="s">
        <v>10310</v>
      </c>
      <c r="U3705" t="s">
        <v>11046</v>
      </c>
      <c r="W3705" s="2" t="s">
        <v>11204</v>
      </c>
    </row>
    <row r="3706" spans="1:23" hidden="1" x14ac:dyDescent="0.45">
      <c r="A3706" s="1" t="s">
        <v>3669</v>
      </c>
      <c r="B3706" t="s">
        <v>6311</v>
      </c>
      <c r="D3706" t="s">
        <v>8036</v>
      </c>
      <c r="E3706" t="s">
        <v>9807</v>
      </c>
      <c r="F3706" t="s">
        <v>10299</v>
      </c>
      <c r="G3706">
        <v>48</v>
      </c>
      <c r="H3706" t="s">
        <v>10310</v>
      </c>
      <c r="I3706" t="s">
        <v>10326</v>
      </c>
      <c r="L3706">
        <v>1957</v>
      </c>
      <c r="R3706" t="s">
        <v>11038</v>
      </c>
      <c r="S3706" t="s">
        <v>10310</v>
      </c>
      <c r="U3706" t="s">
        <v>11046</v>
      </c>
      <c r="W3706" s="2" t="s">
        <v>11204</v>
      </c>
    </row>
    <row r="3707" spans="1:23" hidden="1" x14ac:dyDescent="0.45">
      <c r="A3707" s="1" t="s">
        <v>3670</v>
      </c>
      <c r="B3707" t="s">
        <v>6597</v>
      </c>
      <c r="D3707" t="s">
        <v>8075</v>
      </c>
      <c r="E3707" t="s">
        <v>9715</v>
      </c>
      <c r="F3707" t="s">
        <v>10299</v>
      </c>
      <c r="G3707">
        <v>0.01</v>
      </c>
      <c r="H3707" t="s">
        <v>10310</v>
      </c>
      <c r="I3707" t="s">
        <v>10326</v>
      </c>
      <c r="L3707">
        <v>2007</v>
      </c>
      <c r="R3707" t="s">
        <v>11038</v>
      </c>
      <c r="S3707" t="s">
        <v>10310</v>
      </c>
      <c r="U3707" t="s">
        <v>11047</v>
      </c>
      <c r="W3707" s="2" t="s">
        <v>11204</v>
      </c>
    </row>
    <row r="3708" spans="1:23" hidden="1" x14ac:dyDescent="0.45">
      <c r="A3708" s="1" t="s">
        <v>3671</v>
      </c>
      <c r="B3708" t="s">
        <v>6598</v>
      </c>
      <c r="D3708" t="s">
        <v>8034</v>
      </c>
      <c r="E3708" t="s">
        <v>9627</v>
      </c>
      <c r="F3708" t="s">
        <v>10299</v>
      </c>
      <c r="G3708">
        <v>1.7</v>
      </c>
      <c r="H3708" t="s">
        <v>10310</v>
      </c>
      <c r="I3708" t="s">
        <v>10326</v>
      </c>
      <c r="L3708">
        <v>2008</v>
      </c>
      <c r="R3708" t="s">
        <v>11038</v>
      </c>
      <c r="S3708" t="s">
        <v>10310</v>
      </c>
      <c r="U3708" t="s">
        <v>11046</v>
      </c>
      <c r="W3708" s="2" t="s">
        <v>11204</v>
      </c>
    </row>
    <row r="3709" spans="1:23" hidden="1" x14ac:dyDescent="0.45">
      <c r="A3709" s="1" t="s">
        <v>3672</v>
      </c>
      <c r="B3709" t="s">
        <v>6278</v>
      </c>
      <c r="D3709" t="s">
        <v>8070</v>
      </c>
      <c r="E3709" t="s">
        <v>4102</v>
      </c>
      <c r="F3709" t="s">
        <v>10299</v>
      </c>
      <c r="G3709">
        <v>6.5</v>
      </c>
      <c r="H3709" t="s">
        <v>10310</v>
      </c>
      <c r="I3709" t="s">
        <v>10326</v>
      </c>
      <c r="L3709">
        <v>1950</v>
      </c>
      <c r="R3709" t="s">
        <v>11038</v>
      </c>
      <c r="S3709" t="s">
        <v>10310</v>
      </c>
      <c r="U3709" t="s">
        <v>11048</v>
      </c>
      <c r="W3709" s="2" t="s">
        <v>11204</v>
      </c>
    </row>
    <row r="3710" spans="1:23" hidden="1" x14ac:dyDescent="0.45">
      <c r="A3710" s="1" t="s">
        <v>3673</v>
      </c>
      <c r="B3710" t="s">
        <v>6402</v>
      </c>
      <c r="D3710" t="s">
        <v>8043</v>
      </c>
      <c r="E3710" t="s">
        <v>9635</v>
      </c>
      <c r="F3710" t="s">
        <v>10299</v>
      </c>
      <c r="G3710">
        <v>5</v>
      </c>
      <c r="H3710" t="s">
        <v>10310</v>
      </c>
      <c r="I3710" t="s">
        <v>10326</v>
      </c>
      <c r="L3710">
        <v>2010</v>
      </c>
      <c r="R3710" t="s">
        <v>11038</v>
      </c>
      <c r="S3710" t="s">
        <v>10310</v>
      </c>
      <c r="U3710" t="s">
        <v>11046</v>
      </c>
      <c r="W3710" s="2" t="s">
        <v>11204</v>
      </c>
    </row>
    <row r="3711" spans="1:23" hidden="1" x14ac:dyDescent="0.45">
      <c r="A3711" s="1" t="s">
        <v>3674</v>
      </c>
      <c r="B3711" t="s">
        <v>6352</v>
      </c>
      <c r="D3711" t="s">
        <v>8039</v>
      </c>
      <c r="E3711" t="s">
        <v>9695</v>
      </c>
      <c r="F3711" t="s">
        <v>10299</v>
      </c>
      <c r="G3711">
        <v>3.5999999999999997E-2</v>
      </c>
      <c r="H3711" t="s">
        <v>10310</v>
      </c>
      <c r="I3711" t="s">
        <v>10326</v>
      </c>
      <c r="L3711">
        <v>1999</v>
      </c>
      <c r="R3711" t="s">
        <v>11038</v>
      </c>
      <c r="S3711" t="s">
        <v>10310</v>
      </c>
      <c r="U3711" t="s">
        <v>11046</v>
      </c>
      <c r="W3711" s="2" t="s">
        <v>11204</v>
      </c>
    </row>
    <row r="3712" spans="1:23" hidden="1" x14ac:dyDescent="0.45">
      <c r="A3712" s="1" t="s">
        <v>3675</v>
      </c>
      <c r="B3712" t="s">
        <v>6599</v>
      </c>
      <c r="D3712" t="s">
        <v>8060</v>
      </c>
      <c r="E3712" t="s">
        <v>9697</v>
      </c>
      <c r="F3712" t="s">
        <v>10299</v>
      </c>
      <c r="G3712">
        <v>8.900000000000001E-2</v>
      </c>
      <c r="H3712" t="s">
        <v>10310</v>
      </c>
      <c r="I3712" t="s">
        <v>10326</v>
      </c>
      <c r="L3712">
        <v>2008</v>
      </c>
      <c r="R3712" t="s">
        <v>11038</v>
      </c>
      <c r="S3712" t="s">
        <v>10310</v>
      </c>
      <c r="U3712" t="s">
        <v>11047</v>
      </c>
      <c r="W3712" s="2" t="s">
        <v>11204</v>
      </c>
    </row>
    <row r="3713" spans="1:23" hidden="1" x14ac:dyDescent="0.45">
      <c r="A3713" s="1" t="s">
        <v>3676</v>
      </c>
      <c r="B3713" t="s">
        <v>6546</v>
      </c>
      <c r="D3713" t="s">
        <v>8037</v>
      </c>
      <c r="E3713" t="s">
        <v>9629</v>
      </c>
      <c r="F3713" t="s">
        <v>10299</v>
      </c>
      <c r="G3713">
        <v>0.88400000000000001</v>
      </c>
      <c r="H3713" t="s">
        <v>10310</v>
      </c>
      <c r="I3713" t="s">
        <v>10326</v>
      </c>
      <c r="L3713">
        <v>2010</v>
      </c>
      <c r="R3713" t="s">
        <v>11038</v>
      </c>
      <c r="S3713" t="s">
        <v>10310</v>
      </c>
      <c r="U3713" t="s">
        <v>11047</v>
      </c>
      <c r="W3713" s="2" t="s">
        <v>11204</v>
      </c>
    </row>
    <row r="3714" spans="1:23" hidden="1" x14ac:dyDescent="0.45">
      <c r="A3714" s="1" t="s">
        <v>3677</v>
      </c>
      <c r="B3714" t="s">
        <v>6600</v>
      </c>
      <c r="D3714" t="s">
        <v>8081</v>
      </c>
      <c r="E3714" t="s">
        <v>9731</v>
      </c>
      <c r="F3714" t="s">
        <v>10299</v>
      </c>
      <c r="G3714">
        <v>0.42499999999999999</v>
      </c>
      <c r="H3714" t="s">
        <v>10310</v>
      </c>
      <c r="I3714" t="s">
        <v>10326</v>
      </c>
      <c r="L3714">
        <v>2008</v>
      </c>
      <c r="R3714" t="s">
        <v>11038</v>
      </c>
      <c r="S3714" t="s">
        <v>10310</v>
      </c>
      <c r="U3714" t="s">
        <v>11047</v>
      </c>
      <c r="W3714" s="2" t="s">
        <v>11204</v>
      </c>
    </row>
    <row r="3715" spans="1:23" hidden="1" x14ac:dyDescent="0.45">
      <c r="A3715" s="1" t="s">
        <v>3678</v>
      </c>
      <c r="B3715" t="s">
        <v>6601</v>
      </c>
      <c r="D3715" t="s">
        <v>8044</v>
      </c>
      <c r="E3715" t="s">
        <v>9638</v>
      </c>
      <c r="F3715" t="s">
        <v>10299</v>
      </c>
      <c r="G3715">
        <v>0.13200000000000001</v>
      </c>
      <c r="H3715" t="s">
        <v>10310</v>
      </c>
      <c r="I3715" t="s">
        <v>10326</v>
      </c>
      <c r="L3715">
        <v>2007</v>
      </c>
      <c r="R3715" t="s">
        <v>11038</v>
      </c>
      <c r="S3715" t="s">
        <v>10310</v>
      </c>
      <c r="U3715" t="s">
        <v>11047</v>
      </c>
      <c r="W3715" s="2" t="s">
        <v>11204</v>
      </c>
    </row>
    <row r="3716" spans="1:23" hidden="1" x14ac:dyDescent="0.45">
      <c r="A3716" s="1" t="s">
        <v>3679</v>
      </c>
      <c r="B3716" t="s">
        <v>6274</v>
      </c>
      <c r="D3716" t="s">
        <v>8025</v>
      </c>
      <c r="E3716" t="s">
        <v>9720</v>
      </c>
      <c r="F3716" t="s">
        <v>10299</v>
      </c>
      <c r="G3716">
        <v>90</v>
      </c>
      <c r="H3716" t="s">
        <v>10310</v>
      </c>
      <c r="I3716" t="s">
        <v>10326</v>
      </c>
      <c r="L3716">
        <v>1960</v>
      </c>
      <c r="R3716" t="s">
        <v>11038</v>
      </c>
      <c r="S3716" t="s">
        <v>10310</v>
      </c>
      <c r="U3716" t="s">
        <v>11048</v>
      </c>
      <c r="W3716" s="2" t="s">
        <v>11204</v>
      </c>
    </row>
    <row r="3717" spans="1:23" hidden="1" x14ac:dyDescent="0.45">
      <c r="A3717" s="1" t="s">
        <v>3680</v>
      </c>
      <c r="B3717" t="s">
        <v>6602</v>
      </c>
      <c r="D3717" t="s">
        <v>8026</v>
      </c>
      <c r="E3717" t="s">
        <v>9619</v>
      </c>
      <c r="F3717" t="s">
        <v>10299</v>
      </c>
      <c r="G3717">
        <v>15.5</v>
      </c>
      <c r="H3717" t="s">
        <v>10310</v>
      </c>
      <c r="I3717" t="s">
        <v>10326</v>
      </c>
      <c r="L3717">
        <v>2007</v>
      </c>
      <c r="R3717" t="s">
        <v>11038</v>
      </c>
      <c r="S3717" t="s">
        <v>10310</v>
      </c>
      <c r="U3717" t="s">
        <v>11047</v>
      </c>
      <c r="W3717" s="2" t="s">
        <v>11204</v>
      </c>
    </row>
    <row r="3718" spans="1:23" hidden="1" x14ac:dyDescent="0.45">
      <c r="A3718" s="1" t="s">
        <v>3681</v>
      </c>
      <c r="B3718" t="s">
        <v>6280</v>
      </c>
      <c r="D3718" t="s">
        <v>8041</v>
      </c>
      <c r="E3718" t="s">
        <v>9651</v>
      </c>
      <c r="F3718" t="s">
        <v>10299</v>
      </c>
      <c r="G3718">
        <v>4.8</v>
      </c>
      <c r="H3718" t="s">
        <v>10310</v>
      </c>
      <c r="I3718" t="s">
        <v>10326</v>
      </c>
      <c r="L3718">
        <v>1919</v>
      </c>
      <c r="R3718" t="s">
        <v>11038</v>
      </c>
      <c r="S3718" t="s">
        <v>10310</v>
      </c>
      <c r="U3718" t="s">
        <v>11047</v>
      </c>
      <c r="W3718" s="2" t="s">
        <v>11204</v>
      </c>
    </row>
    <row r="3719" spans="1:23" hidden="1" x14ac:dyDescent="0.45">
      <c r="A3719" s="1" t="s">
        <v>3682</v>
      </c>
      <c r="B3719" t="s">
        <v>6278</v>
      </c>
      <c r="D3719" t="s">
        <v>8070</v>
      </c>
      <c r="E3719" t="s">
        <v>4102</v>
      </c>
      <c r="F3719" t="s">
        <v>10299</v>
      </c>
      <c r="G3719">
        <v>0.1</v>
      </c>
      <c r="H3719" t="s">
        <v>10310</v>
      </c>
      <c r="I3719" t="s">
        <v>10324</v>
      </c>
      <c r="L3719">
        <v>2004</v>
      </c>
      <c r="R3719" t="s">
        <v>11038</v>
      </c>
      <c r="S3719" t="s">
        <v>10310</v>
      </c>
      <c r="U3719" t="s">
        <v>11048</v>
      </c>
      <c r="V3719" t="s">
        <v>11182</v>
      </c>
      <c r="W3719" s="2" t="s">
        <v>11204</v>
      </c>
    </row>
    <row r="3720" spans="1:23" hidden="1" x14ac:dyDescent="0.45">
      <c r="A3720" s="1" t="s">
        <v>3683</v>
      </c>
      <c r="B3720" t="s">
        <v>6603</v>
      </c>
      <c r="D3720" t="s">
        <v>8080</v>
      </c>
      <c r="E3720" t="s">
        <v>9801</v>
      </c>
      <c r="F3720" t="s">
        <v>10299</v>
      </c>
      <c r="G3720">
        <v>0.06</v>
      </c>
      <c r="H3720" t="s">
        <v>10310</v>
      </c>
      <c r="I3720" t="s">
        <v>10326</v>
      </c>
      <c r="L3720">
        <v>2017</v>
      </c>
      <c r="R3720" t="s">
        <v>11038</v>
      </c>
      <c r="S3720" t="s">
        <v>10310</v>
      </c>
      <c r="U3720" t="s">
        <v>11049</v>
      </c>
      <c r="W3720" s="2" t="s">
        <v>11204</v>
      </c>
    </row>
    <row r="3721" spans="1:23" hidden="1" x14ac:dyDescent="0.45">
      <c r="A3721" s="1" t="s">
        <v>3684</v>
      </c>
      <c r="B3721" t="s">
        <v>6311</v>
      </c>
      <c r="D3721" t="s">
        <v>8048</v>
      </c>
      <c r="E3721" t="s">
        <v>3684</v>
      </c>
      <c r="F3721" t="s">
        <v>10299</v>
      </c>
      <c r="G3721">
        <v>87</v>
      </c>
      <c r="H3721" t="s">
        <v>10310</v>
      </c>
      <c r="I3721" t="s">
        <v>10326</v>
      </c>
      <c r="L3721">
        <v>1949</v>
      </c>
      <c r="R3721" t="s">
        <v>11038</v>
      </c>
      <c r="S3721" t="s">
        <v>10310</v>
      </c>
      <c r="U3721" t="s">
        <v>11046</v>
      </c>
      <c r="W3721" s="2" t="s">
        <v>11204</v>
      </c>
    </row>
    <row r="3722" spans="1:23" hidden="1" x14ac:dyDescent="0.45">
      <c r="A3722" s="1" t="s">
        <v>3685</v>
      </c>
      <c r="B3722" t="s">
        <v>6604</v>
      </c>
      <c r="D3722" t="s">
        <v>8071</v>
      </c>
      <c r="E3722" t="s">
        <v>9689</v>
      </c>
      <c r="F3722" t="s">
        <v>10299</v>
      </c>
      <c r="G3722">
        <v>5</v>
      </c>
      <c r="H3722" t="s">
        <v>10310</v>
      </c>
      <c r="I3722" t="s">
        <v>10326</v>
      </c>
      <c r="L3722">
        <v>2008</v>
      </c>
      <c r="R3722" t="s">
        <v>11038</v>
      </c>
      <c r="S3722" t="s">
        <v>10310</v>
      </c>
      <c r="U3722" t="s">
        <v>11047</v>
      </c>
      <c r="W3722" s="2" t="s">
        <v>11204</v>
      </c>
    </row>
    <row r="3723" spans="1:23" hidden="1" x14ac:dyDescent="0.45">
      <c r="A3723" s="1" t="s">
        <v>3686</v>
      </c>
      <c r="B3723" t="s">
        <v>6605</v>
      </c>
      <c r="D3723" t="s">
        <v>8042</v>
      </c>
      <c r="E3723" t="s">
        <v>4614</v>
      </c>
      <c r="F3723" t="s">
        <v>10299</v>
      </c>
      <c r="G3723">
        <v>1.5</v>
      </c>
      <c r="H3723" t="s">
        <v>10310</v>
      </c>
      <c r="I3723" t="s">
        <v>10326</v>
      </c>
      <c r="L3723">
        <v>2005</v>
      </c>
      <c r="R3723" t="s">
        <v>11038</v>
      </c>
      <c r="S3723" t="s">
        <v>10310</v>
      </c>
      <c r="U3723" t="s">
        <v>11049</v>
      </c>
      <c r="W3723" s="2" t="s">
        <v>11204</v>
      </c>
    </row>
    <row r="3724" spans="1:23" hidden="1" x14ac:dyDescent="0.45">
      <c r="A3724" s="1" t="s">
        <v>3687</v>
      </c>
      <c r="B3724" t="s">
        <v>6606</v>
      </c>
      <c r="D3724" t="s">
        <v>8056</v>
      </c>
      <c r="E3724" t="s">
        <v>9688</v>
      </c>
      <c r="F3724" t="s">
        <v>10299</v>
      </c>
      <c r="G3724">
        <v>1.349</v>
      </c>
      <c r="H3724" t="s">
        <v>10310</v>
      </c>
      <c r="I3724" t="s">
        <v>10326</v>
      </c>
      <c r="L3724">
        <v>2008</v>
      </c>
      <c r="R3724" t="s">
        <v>11038</v>
      </c>
      <c r="S3724" t="s">
        <v>10310</v>
      </c>
      <c r="U3724" t="s">
        <v>11047</v>
      </c>
      <c r="W3724" s="2" t="s">
        <v>11204</v>
      </c>
    </row>
    <row r="3725" spans="1:23" hidden="1" x14ac:dyDescent="0.45">
      <c r="A3725" s="1" t="s">
        <v>3688</v>
      </c>
      <c r="B3725" t="s">
        <v>6607</v>
      </c>
      <c r="D3725" t="s">
        <v>8085</v>
      </c>
      <c r="E3725" t="s">
        <v>9808</v>
      </c>
      <c r="F3725" t="s">
        <v>10299</v>
      </c>
      <c r="G3725">
        <v>2.5499999999999998</v>
      </c>
      <c r="H3725" t="s">
        <v>10310</v>
      </c>
      <c r="I3725" t="s">
        <v>10326</v>
      </c>
      <c r="L3725">
        <v>2012</v>
      </c>
      <c r="R3725" t="s">
        <v>11038</v>
      </c>
      <c r="S3725" t="s">
        <v>10310</v>
      </c>
      <c r="U3725" t="s">
        <v>11050</v>
      </c>
      <c r="W3725" s="2" t="s">
        <v>11204</v>
      </c>
    </row>
    <row r="3726" spans="1:23" hidden="1" x14ac:dyDescent="0.45">
      <c r="A3726" s="1" t="s">
        <v>3689</v>
      </c>
      <c r="B3726" t="s">
        <v>6281</v>
      </c>
      <c r="D3726" t="s">
        <v>8046</v>
      </c>
      <c r="E3726" t="s">
        <v>9640</v>
      </c>
      <c r="F3726" t="s">
        <v>10299</v>
      </c>
      <c r="G3726">
        <v>4.95</v>
      </c>
      <c r="H3726" t="s">
        <v>10310</v>
      </c>
      <c r="I3726" t="s">
        <v>10326</v>
      </c>
      <c r="L3726">
        <v>2006</v>
      </c>
      <c r="R3726" t="s">
        <v>11038</v>
      </c>
      <c r="S3726" t="s">
        <v>10310</v>
      </c>
      <c r="U3726" t="s">
        <v>11047</v>
      </c>
      <c r="W3726" s="2" t="s">
        <v>11204</v>
      </c>
    </row>
    <row r="3727" spans="1:23" hidden="1" x14ac:dyDescent="0.45">
      <c r="A3727" s="1" t="s">
        <v>3689</v>
      </c>
      <c r="B3727" t="s">
        <v>6608</v>
      </c>
      <c r="D3727" t="s">
        <v>8046</v>
      </c>
      <c r="E3727" t="s">
        <v>9640</v>
      </c>
      <c r="F3727" t="s">
        <v>10299</v>
      </c>
      <c r="G3727">
        <v>0.99</v>
      </c>
      <c r="H3727" t="s">
        <v>10310</v>
      </c>
      <c r="I3727" t="s">
        <v>10326</v>
      </c>
      <c r="L3727">
        <v>2004</v>
      </c>
      <c r="R3727" t="s">
        <v>11038</v>
      </c>
      <c r="S3727" t="s">
        <v>10310</v>
      </c>
      <c r="U3727" t="s">
        <v>11047</v>
      </c>
      <c r="W3727" s="2" t="s">
        <v>11204</v>
      </c>
    </row>
    <row r="3728" spans="1:23" hidden="1" x14ac:dyDescent="0.45">
      <c r="A3728" s="1" t="s">
        <v>3689</v>
      </c>
      <c r="B3728" t="s">
        <v>6303</v>
      </c>
      <c r="D3728" t="s">
        <v>8053</v>
      </c>
      <c r="E3728" t="s">
        <v>9652</v>
      </c>
      <c r="F3728" t="s">
        <v>10299</v>
      </c>
      <c r="G3728">
        <v>6.06</v>
      </c>
      <c r="H3728" t="s">
        <v>10310</v>
      </c>
      <c r="I3728" t="s">
        <v>10326</v>
      </c>
      <c r="L3728">
        <v>2018</v>
      </c>
      <c r="R3728" t="s">
        <v>11038</v>
      </c>
      <c r="S3728" t="s">
        <v>10310</v>
      </c>
      <c r="U3728" t="s">
        <v>11049</v>
      </c>
      <c r="W3728" s="2" t="s">
        <v>11204</v>
      </c>
    </row>
    <row r="3729" spans="1:23" hidden="1" x14ac:dyDescent="0.45">
      <c r="A3729" s="1" t="s">
        <v>3690</v>
      </c>
      <c r="B3729" t="s">
        <v>6609</v>
      </c>
      <c r="D3729" t="s">
        <v>8030</v>
      </c>
      <c r="E3729" t="s">
        <v>9623</v>
      </c>
      <c r="F3729" t="s">
        <v>10299</v>
      </c>
      <c r="G3729">
        <v>0.45</v>
      </c>
      <c r="H3729" t="s">
        <v>10310</v>
      </c>
      <c r="I3729" t="s">
        <v>10326</v>
      </c>
      <c r="L3729">
        <v>2005</v>
      </c>
      <c r="R3729" t="s">
        <v>11038</v>
      </c>
      <c r="S3729" t="s">
        <v>10310</v>
      </c>
      <c r="U3729" t="s">
        <v>11049</v>
      </c>
      <c r="W3729" s="2" t="s">
        <v>11204</v>
      </c>
    </row>
    <row r="3730" spans="1:23" hidden="1" x14ac:dyDescent="0.45">
      <c r="A3730" s="1" t="s">
        <v>3691</v>
      </c>
      <c r="B3730" t="s">
        <v>6433</v>
      </c>
      <c r="D3730" t="s">
        <v>8030</v>
      </c>
      <c r="E3730" t="s">
        <v>9623</v>
      </c>
      <c r="F3730" t="s">
        <v>10299</v>
      </c>
      <c r="G3730">
        <v>7.5</v>
      </c>
      <c r="H3730" t="s">
        <v>10310</v>
      </c>
      <c r="I3730" t="s">
        <v>10326</v>
      </c>
      <c r="L3730">
        <v>2017</v>
      </c>
      <c r="R3730" t="s">
        <v>11038</v>
      </c>
      <c r="S3730" t="s">
        <v>10310</v>
      </c>
      <c r="U3730" t="s">
        <v>11049</v>
      </c>
      <c r="W3730" s="2" t="s">
        <v>11204</v>
      </c>
    </row>
    <row r="3731" spans="1:23" hidden="1" x14ac:dyDescent="0.45">
      <c r="A3731" s="1" t="s">
        <v>3692</v>
      </c>
      <c r="B3731" t="s">
        <v>6274</v>
      </c>
      <c r="D3731" t="s">
        <v>8080</v>
      </c>
      <c r="E3731" t="s">
        <v>9729</v>
      </c>
      <c r="F3731" t="s">
        <v>10299</v>
      </c>
      <c r="G3731">
        <v>288</v>
      </c>
      <c r="H3731" t="s">
        <v>10310</v>
      </c>
      <c r="I3731" t="s">
        <v>10326</v>
      </c>
      <c r="L3731">
        <v>1989</v>
      </c>
      <c r="R3731" t="s">
        <v>11038</v>
      </c>
      <c r="S3731" t="s">
        <v>10310</v>
      </c>
      <c r="U3731" t="s">
        <v>11049</v>
      </c>
      <c r="W3731" s="2" t="s">
        <v>11204</v>
      </c>
    </row>
    <row r="3732" spans="1:23" hidden="1" x14ac:dyDescent="0.45">
      <c r="A3732" s="1" t="s">
        <v>3693</v>
      </c>
      <c r="B3732" t="s">
        <v>6274</v>
      </c>
      <c r="D3732" t="s">
        <v>8034</v>
      </c>
      <c r="E3732" t="s">
        <v>9627</v>
      </c>
      <c r="F3732" t="s">
        <v>10299</v>
      </c>
      <c r="G3732">
        <v>35</v>
      </c>
      <c r="H3732" t="s">
        <v>10310</v>
      </c>
      <c r="I3732" t="s">
        <v>10324</v>
      </c>
      <c r="L3732">
        <v>1974</v>
      </c>
      <c r="R3732" t="s">
        <v>11038</v>
      </c>
      <c r="S3732" t="s">
        <v>10310</v>
      </c>
      <c r="U3732" t="s">
        <v>11049</v>
      </c>
      <c r="W3732" s="2" t="s">
        <v>11204</v>
      </c>
    </row>
    <row r="3733" spans="1:23" hidden="1" x14ac:dyDescent="0.45">
      <c r="A3733" s="1" t="s">
        <v>3694</v>
      </c>
      <c r="B3733" t="s">
        <v>6610</v>
      </c>
      <c r="D3733" t="s">
        <v>8044</v>
      </c>
      <c r="E3733" t="s">
        <v>9638</v>
      </c>
      <c r="F3733" t="s">
        <v>10299</v>
      </c>
      <c r="G3733">
        <v>2.4</v>
      </c>
      <c r="H3733" t="s">
        <v>10310</v>
      </c>
      <c r="I3733" t="s">
        <v>10326</v>
      </c>
      <c r="L3733">
        <v>2009</v>
      </c>
      <c r="R3733" t="s">
        <v>11038</v>
      </c>
      <c r="S3733" t="s">
        <v>10310</v>
      </c>
      <c r="U3733" t="s">
        <v>11047</v>
      </c>
      <c r="W3733" s="2" t="s">
        <v>11204</v>
      </c>
    </row>
    <row r="3734" spans="1:23" hidden="1" x14ac:dyDescent="0.45">
      <c r="A3734" s="1" t="s">
        <v>3695</v>
      </c>
      <c r="B3734" t="s">
        <v>6611</v>
      </c>
      <c r="D3734" t="s">
        <v>8033</v>
      </c>
      <c r="E3734" t="s">
        <v>9787</v>
      </c>
      <c r="F3734" t="s">
        <v>10299</v>
      </c>
      <c r="G3734">
        <v>7</v>
      </c>
      <c r="H3734" t="s">
        <v>10310</v>
      </c>
      <c r="I3734" t="s">
        <v>10326</v>
      </c>
      <c r="L3734">
        <v>1968</v>
      </c>
      <c r="R3734" t="s">
        <v>11038</v>
      </c>
      <c r="S3734" t="s">
        <v>10310</v>
      </c>
      <c r="U3734" t="s">
        <v>11047</v>
      </c>
      <c r="W3734" s="2" t="s">
        <v>11204</v>
      </c>
    </row>
    <row r="3735" spans="1:23" hidden="1" x14ac:dyDescent="0.45">
      <c r="A3735" s="1" t="s">
        <v>3696</v>
      </c>
      <c r="B3735" t="s">
        <v>6612</v>
      </c>
      <c r="D3735" t="s">
        <v>8063</v>
      </c>
      <c r="E3735" t="s">
        <v>9668</v>
      </c>
      <c r="F3735" t="s">
        <v>10299</v>
      </c>
      <c r="G3735">
        <v>0.45</v>
      </c>
      <c r="H3735" t="s">
        <v>10310</v>
      </c>
      <c r="I3735" t="s">
        <v>10326</v>
      </c>
      <c r="L3735">
        <v>2002</v>
      </c>
      <c r="R3735" t="s">
        <v>11038</v>
      </c>
      <c r="S3735" t="s">
        <v>10310</v>
      </c>
      <c r="U3735" t="s">
        <v>11046</v>
      </c>
      <c r="W3735" s="2" t="s">
        <v>11204</v>
      </c>
    </row>
    <row r="3736" spans="1:23" hidden="1" x14ac:dyDescent="0.45">
      <c r="A3736" s="1" t="s">
        <v>3697</v>
      </c>
      <c r="B3736" t="s">
        <v>6399</v>
      </c>
      <c r="D3736" t="s">
        <v>8051</v>
      </c>
      <c r="E3736" t="s">
        <v>9735</v>
      </c>
      <c r="F3736" t="s">
        <v>10299</v>
      </c>
      <c r="G3736">
        <v>7</v>
      </c>
      <c r="H3736" t="s">
        <v>10310</v>
      </c>
      <c r="I3736" t="s">
        <v>10326</v>
      </c>
      <c r="L3736">
        <v>2002</v>
      </c>
      <c r="R3736" t="s">
        <v>11038</v>
      </c>
      <c r="S3736" t="s">
        <v>10310</v>
      </c>
      <c r="U3736" t="s">
        <v>11047</v>
      </c>
      <c r="W3736" s="2" t="s">
        <v>11204</v>
      </c>
    </row>
    <row r="3737" spans="1:23" hidden="1" x14ac:dyDescent="0.45">
      <c r="A3737" s="1" t="s">
        <v>3698</v>
      </c>
      <c r="B3737" t="s">
        <v>6613</v>
      </c>
      <c r="D3737" t="s">
        <v>8076</v>
      </c>
      <c r="E3737" t="s">
        <v>9719</v>
      </c>
      <c r="F3737" t="s">
        <v>10299</v>
      </c>
      <c r="G3737">
        <v>0.01</v>
      </c>
      <c r="H3737" t="s">
        <v>10310</v>
      </c>
      <c r="I3737" t="s">
        <v>10326</v>
      </c>
      <c r="L3737">
        <v>1998</v>
      </c>
      <c r="R3737" t="s">
        <v>11038</v>
      </c>
      <c r="S3737" t="s">
        <v>10310</v>
      </c>
      <c r="U3737" t="s">
        <v>11049</v>
      </c>
      <c r="W3737" s="2" t="s">
        <v>11204</v>
      </c>
    </row>
    <row r="3738" spans="1:23" hidden="1" x14ac:dyDescent="0.45">
      <c r="A3738" s="1" t="s">
        <v>3699</v>
      </c>
      <c r="D3738" t="s">
        <v>8037</v>
      </c>
      <c r="E3738" t="s">
        <v>9629</v>
      </c>
      <c r="F3738" t="s">
        <v>10299</v>
      </c>
      <c r="G3738">
        <v>0.14399999999999999</v>
      </c>
      <c r="H3738" t="s">
        <v>10310</v>
      </c>
      <c r="I3738" t="s">
        <v>10326</v>
      </c>
      <c r="L3738">
        <v>2003</v>
      </c>
      <c r="R3738" t="s">
        <v>11038</v>
      </c>
      <c r="S3738" t="s">
        <v>10310</v>
      </c>
      <c r="U3738" t="s">
        <v>11047</v>
      </c>
      <c r="W3738" s="2" t="s">
        <v>11204</v>
      </c>
    </row>
    <row r="3739" spans="1:23" hidden="1" x14ac:dyDescent="0.45">
      <c r="A3739" s="1" t="s">
        <v>3700</v>
      </c>
      <c r="B3739" t="s">
        <v>6614</v>
      </c>
      <c r="D3739" t="s">
        <v>8050</v>
      </c>
      <c r="E3739" t="s">
        <v>9740</v>
      </c>
      <c r="F3739" t="s">
        <v>10299</v>
      </c>
      <c r="G3739">
        <v>1.68</v>
      </c>
      <c r="H3739" t="s">
        <v>10310</v>
      </c>
      <c r="I3739" t="s">
        <v>10326</v>
      </c>
      <c r="L3739">
        <v>2011</v>
      </c>
      <c r="R3739" t="s">
        <v>11038</v>
      </c>
      <c r="S3739" t="s">
        <v>10310</v>
      </c>
      <c r="U3739" t="s">
        <v>11047</v>
      </c>
      <c r="W3739" s="2" t="s">
        <v>11204</v>
      </c>
    </row>
    <row r="3740" spans="1:23" hidden="1" x14ac:dyDescent="0.45">
      <c r="A3740" s="1" t="s">
        <v>3701</v>
      </c>
      <c r="B3740" t="s">
        <v>6311</v>
      </c>
      <c r="D3740" t="s">
        <v>8034</v>
      </c>
      <c r="E3740" t="s">
        <v>9747</v>
      </c>
      <c r="F3740" t="s">
        <v>10299</v>
      </c>
      <c r="G3740">
        <v>55.2</v>
      </c>
      <c r="H3740" t="s">
        <v>10310</v>
      </c>
      <c r="I3740" t="s">
        <v>10326</v>
      </c>
      <c r="L3740">
        <v>1970</v>
      </c>
      <c r="R3740" t="s">
        <v>11038</v>
      </c>
      <c r="S3740" t="s">
        <v>10310</v>
      </c>
      <c r="U3740" t="s">
        <v>11046</v>
      </c>
      <c r="W3740" s="2" t="s">
        <v>11204</v>
      </c>
    </row>
    <row r="3741" spans="1:23" hidden="1" x14ac:dyDescent="0.45">
      <c r="A3741" s="1" t="s">
        <v>3702</v>
      </c>
      <c r="B3741" t="s">
        <v>6382</v>
      </c>
      <c r="D3741" t="s">
        <v>8057</v>
      </c>
      <c r="E3741" t="s">
        <v>9671</v>
      </c>
      <c r="F3741" t="s">
        <v>10299</v>
      </c>
      <c r="G3741">
        <v>34</v>
      </c>
      <c r="H3741" t="s">
        <v>10310</v>
      </c>
      <c r="I3741" t="s">
        <v>10326</v>
      </c>
      <c r="L3741">
        <v>2010</v>
      </c>
      <c r="R3741" t="s">
        <v>11038</v>
      </c>
      <c r="S3741" t="s">
        <v>10310</v>
      </c>
      <c r="U3741" t="s">
        <v>11046</v>
      </c>
      <c r="W3741" s="2" t="s">
        <v>11204</v>
      </c>
    </row>
    <row r="3742" spans="1:23" hidden="1" x14ac:dyDescent="0.45">
      <c r="A3742" s="1" t="s">
        <v>3703</v>
      </c>
      <c r="B3742" t="s">
        <v>6615</v>
      </c>
      <c r="D3742" t="s">
        <v>8032</v>
      </c>
      <c r="E3742" t="s">
        <v>9809</v>
      </c>
      <c r="F3742" t="s">
        <v>10299</v>
      </c>
      <c r="G3742">
        <v>4.5</v>
      </c>
      <c r="H3742" t="s">
        <v>10310</v>
      </c>
      <c r="I3742" t="s">
        <v>10326</v>
      </c>
      <c r="L3742">
        <v>2009</v>
      </c>
      <c r="R3742" t="s">
        <v>11038</v>
      </c>
      <c r="S3742" t="s">
        <v>10310</v>
      </c>
      <c r="U3742" t="s">
        <v>11046</v>
      </c>
      <c r="W3742" s="2" t="s">
        <v>11204</v>
      </c>
    </row>
    <row r="3743" spans="1:23" hidden="1" x14ac:dyDescent="0.45">
      <c r="A3743" s="1" t="s">
        <v>3704</v>
      </c>
      <c r="B3743" t="s">
        <v>6616</v>
      </c>
      <c r="D3743" t="s">
        <v>8048</v>
      </c>
      <c r="E3743" t="s">
        <v>9642</v>
      </c>
      <c r="F3743" t="s">
        <v>10299</v>
      </c>
      <c r="G3743">
        <v>0.99</v>
      </c>
      <c r="H3743" t="s">
        <v>10310</v>
      </c>
      <c r="I3743" t="s">
        <v>10326</v>
      </c>
      <c r="L3743">
        <v>2010</v>
      </c>
      <c r="R3743" t="s">
        <v>11038</v>
      </c>
      <c r="S3743" t="s">
        <v>10310</v>
      </c>
      <c r="U3743" t="s">
        <v>11049</v>
      </c>
      <c r="W3743" s="2" t="s">
        <v>11204</v>
      </c>
    </row>
    <row r="3744" spans="1:23" hidden="1" x14ac:dyDescent="0.45">
      <c r="A3744" s="1" t="s">
        <v>3705</v>
      </c>
      <c r="B3744" t="s">
        <v>6298</v>
      </c>
      <c r="D3744" t="s">
        <v>8037</v>
      </c>
      <c r="E3744" t="s">
        <v>9726</v>
      </c>
      <c r="F3744" t="s">
        <v>10299</v>
      </c>
      <c r="G3744">
        <v>85.5</v>
      </c>
      <c r="H3744" t="s">
        <v>10310</v>
      </c>
      <c r="I3744" t="s">
        <v>10326</v>
      </c>
      <c r="L3744">
        <v>1951</v>
      </c>
      <c r="R3744" t="s">
        <v>11038</v>
      </c>
      <c r="S3744" t="s">
        <v>10310</v>
      </c>
      <c r="U3744" t="s">
        <v>11050</v>
      </c>
      <c r="W3744" s="2" t="s">
        <v>11204</v>
      </c>
    </row>
    <row r="3745" spans="1:23" hidden="1" x14ac:dyDescent="0.45">
      <c r="A3745" s="1" t="s">
        <v>3706</v>
      </c>
      <c r="B3745" t="s">
        <v>6617</v>
      </c>
      <c r="D3745" t="s">
        <v>8056</v>
      </c>
      <c r="E3745" t="s">
        <v>9669</v>
      </c>
      <c r="F3745" t="s">
        <v>10299</v>
      </c>
      <c r="G3745">
        <v>6.3</v>
      </c>
      <c r="H3745" t="s">
        <v>10310</v>
      </c>
      <c r="I3745" t="s">
        <v>10326</v>
      </c>
      <c r="L3745">
        <v>1936</v>
      </c>
      <c r="R3745" t="s">
        <v>11038</v>
      </c>
      <c r="S3745" t="s">
        <v>10310</v>
      </c>
      <c r="U3745" t="s">
        <v>11049</v>
      </c>
      <c r="W3745" s="2" t="s">
        <v>11204</v>
      </c>
    </row>
    <row r="3746" spans="1:23" hidden="1" x14ac:dyDescent="0.45">
      <c r="A3746" s="1" t="s">
        <v>3706</v>
      </c>
      <c r="B3746" t="s">
        <v>6378</v>
      </c>
      <c r="D3746" t="s">
        <v>8039</v>
      </c>
      <c r="E3746" t="s">
        <v>9631</v>
      </c>
      <c r="F3746" t="s">
        <v>10299</v>
      </c>
      <c r="G3746">
        <v>24</v>
      </c>
      <c r="H3746" t="s">
        <v>10310</v>
      </c>
      <c r="I3746" t="s">
        <v>10326</v>
      </c>
      <c r="L3746">
        <v>1964</v>
      </c>
      <c r="R3746" t="s">
        <v>11038</v>
      </c>
      <c r="S3746" t="s">
        <v>10310</v>
      </c>
      <c r="U3746" t="s">
        <v>11049</v>
      </c>
      <c r="W3746" s="2" t="s">
        <v>11204</v>
      </c>
    </row>
    <row r="3747" spans="1:23" hidden="1" x14ac:dyDescent="0.45">
      <c r="A3747" s="1" t="s">
        <v>3707</v>
      </c>
      <c r="D3747" t="s">
        <v>8032</v>
      </c>
      <c r="E3747" t="s">
        <v>9625</v>
      </c>
      <c r="F3747" t="s">
        <v>10299</v>
      </c>
      <c r="G3747">
        <v>1.4999999999999999E-2</v>
      </c>
      <c r="H3747" t="s">
        <v>10310</v>
      </c>
      <c r="I3747" t="s">
        <v>10326</v>
      </c>
      <c r="L3747">
        <v>1995</v>
      </c>
      <c r="R3747" t="s">
        <v>11038</v>
      </c>
      <c r="S3747" t="s">
        <v>10310</v>
      </c>
      <c r="U3747" t="s">
        <v>11046</v>
      </c>
      <c r="W3747" s="2" t="s">
        <v>11204</v>
      </c>
    </row>
    <row r="3748" spans="1:23" hidden="1" x14ac:dyDescent="0.45">
      <c r="A3748" s="1" t="s">
        <v>3708</v>
      </c>
      <c r="B3748" t="s">
        <v>6281</v>
      </c>
      <c r="D3748" t="s">
        <v>8056</v>
      </c>
      <c r="E3748" t="s">
        <v>9691</v>
      </c>
      <c r="F3748" t="s">
        <v>10299</v>
      </c>
      <c r="G3748">
        <v>2.8</v>
      </c>
      <c r="H3748" t="s">
        <v>10310</v>
      </c>
      <c r="I3748" t="s">
        <v>10326</v>
      </c>
      <c r="L3748">
        <v>2015</v>
      </c>
      <c r="R3748" t="s">
        <v>11038</v>
      </c>
      <c r="S3748" t="s">
        <v>10310</v>
      </c>
      <c r="U3748" t="s">
        <v>11046</v>
      </c>
      <c r="W3748" s="2" t="s">
        <v>11204</v>
      </c>
    </row>
    <row r="3749" spans="1:23" hidden="1" x14ac:dyDescent="0.45">
      <c r="A3749" s="1" t="s">
        <v>3709</v>
      </c>
      <c r="B3749" t="s">
        <v>6278</v>
      </c>
      <c r="D3749" t="s">
        <v>8036</v>
      </c>
      <c r="E3749" t="s">
        <v>9628</v>
      </c>
      <c r="F3749" t="s">
        <v>10299</v>
      </c>
      <c r="G3749">
        <v>15</v>
      </c>
      <c r="H3749" t="s">
        <v>10310</v>
      </c>
      <c r="I3749" t="s">
        <v>10326</v>
      </c>
      <c r="L3749">
        <v>1958</v>
      </c>
      <c r="R3749" t="s">
        <v>11038</v>
      </c>
      <c r="S3749" t="s">
        <v>10310</v>
      </c>
      <c r="U3749" t="s">
        <v>11048</v>
      </c>
      <c r="W3749" s="2" t="s">
        <v>11204</v>
      </c>
    </row>
    <row r="3750" spans="1:23" hidden="1" x14ac:dyDescent="0.45">
      <c r="A3750" s="1" t="s">
        <v>3709</v>
      </c>
      <c r="B3750" t="s">
        <v>6618</v>
      </c>
      <c r="D3750" t="s">
        <v>8041</v>
      </c>
      <c r="E3750" t="s">
        <v>9633</v>
      </c>
      <c r="F3750" t="s">
        <v>10299</v>
      </c>
      <c r="G3750">
        <v>2.1</v>
      </c>
      <c r="H3750" t="s">
        <v>10310</v>
      </c>
      <c r="I3750" t="s">
        <v>10326</v>
      </c>
      <c r="L3750">
        <v>2019</v>
      </c>
      <c r="R3750" t="s">
        <v>11038</v>
      </c>
      <c r="S3750" t="s">
        <v>10310</v>
      </c>
      <c r="U3750" t="s">
        <v>11048</v>
      </c>
      <c r="W3750" s="2" t="s">
        <v>11204</v>
      </c>
    </row>
    <row r="3751" spans="1:23" hidden="1" x14ac:dyDescent="0.45">
      <c r="A3751" s="1" t="s">
        <v>3710</v>
      </c>
      <c r="B3751" t="s">
        <v>6619</v>
      </c>
      <c r="D3751" t="s">
        <v>8061</v>
      </c>
      <c r="E3751" t="s">
        <v>9665</v>
      </c>
      <c r="F3751" t="s">
        <v>10299</v>
      </c>
      <c r="G3751">
        <v>2.99</v>
      </c>
      <c r="H3751" t="s">
        <v>10310</v>
      </c>
      <c r="I3751" t="s">
        <v>10326</v>
      </c>
      <c r="L3751">
        <v>2014</v>
      </c>
      <c r="R3751" t="s">
        <v>11038</v>
      </c>
      <c r="S3751" t="s">
        <v>10310</v>
      </c>
      <c r="U3751" t="s">
        <v>11046</v>
      </c>
      <c r="W3751" s="2" t="s">
        <v>11204</v>
      </c>
    </row>
    <row r="3752" spans="1:23" hidden="1" x14ac:dyDescent="0.45">
      <c r="A3752" s="1" t="s">
        <v>3711</v>
      </c>
      <c r="B3752" t="s">
        <v>6620</v>
      </c>
      <c r="D3752" t="s">
        <v>8048</v>
      </c>
      <c r="E3752" t="s">
        <v>9642</v>
      </c>
      <c r="F3752" t="s">
        <v>10299</v>
      </c>
      <c r="G3752">
        <v>5.4000000000000013E-2</v>
      </c>
      <c r="H3752" t="s">
        <v>10310</v>
      </c>
      <c r="I3752" t="s">
        <v>10326</v>
      </c>
      <c r="L3752">
        <v>2003</v>
      </c>
      <c r="R3752" t="s">
        <v>11038</v>
      </c>
      <c r="S3752" t="s">
        <v>10310</v>
      </c>
      <c r="U3752" t="s">
        <v>11049</v>
      </c>
      <c r="W3752" s="2" t="s">
        <v>11204</v>
      </c>
    </row>
    <row r="3753" spans="1:23" hidden="1" x14ac:dyDescent="0.45">
      <c r="A3753" s="1" t="s">
        <v>3712</v>
      </c>
      <c r="B3753" t="s">
        <v>6621</v>
      </c>
      <c r="D3753" t="s">
        <v>8061</v>
      </c>
      <c r="E3753" t="s">
        <v>9665</v>
      </c>
      <c r="F3753" t="s">
        <v>10299</v>
      </c>
      <c r="G3753">
        <v>0.09</v>
      </c>
      <c r="H3753" t="s">
        <v>10310</v>
      </c>
      <c r="I3753" t="s">
        <v>10326</v>
      </c>
      <c r="L3753">
        <v>2000</v>
      </c>
      <c r="R3753" t="s">
        <v>11038</v>
      </c>
      <c r="S3753" t="s">
        <v>10310</v>
      </c>
      <c r="U3753" t="s">
        <v>11046</v>
      </c>
      <c r="W3753" s="2" t="s">
        <v>11204</v>
      </c>
    </row>
    <row r="3754" spans="1:23" hidden="1" x14ac:dyDescent="0.45">
      <c r="A3754" s="1" t="s">
        <v>3713</v>
      </c>
      <c r="B3754" t="s">
        <v>6290</v>
      </c>
      <c r="D3754" t="s">
        <v>8065</v>
      </c>
      <c r="E3754" t="s">
        <v>9704</v>
      </c>
      <c r="F3754" t="s">
        <v>10299</v>
      </c>
      <c r="G3754">
        <v>19</v>
      </c>
      <c r="H3754" t="s">
        <v>10310</v>
      </c>
      <c r="I3754" t="s">
        <v>10326</v>
      </c>
      <c r="L3754">
        <v>1967</v>
      </c>
      <c r="R3754" t="s">
        <v>11038</v>
      </c>
      <c r="S3754" t="s">
        <v>10310</v>
      </c>
      <c r="U3754" t="s">
        <v>11050</v>
      </c>
      <c r="W3754" s="2" t="s">
        <v>11204</v>
      </c>
    </row>
    <row r="3755" spans="1:23" hidden="1" x14ac:dyDescent="0.45">
      <c r="A3755" s="1" t="s">
        <v>3714</v>
      </c>
      <c r="D3755" t="s">
        <v>8033</v>
      </c>
      <c r="E3755" t="s">
        <v>9787</v>
      </c>
      <c r="F3755" t="s">
        <v>10299</v>
      </c>
      <c r="G3755">
        <v>0.28000000000000003</v>
      </c>
      <c r="H3755" t="s">
        <v>10310</v>
      </c>
      <c r="I3755" t="s">
        <v>10326</v>
      </c>
      <c r="L3755">
        <v>2000</v>
      </c>
      <c r="R3755" t="s">
        <v>11038</v>
      </c>
      <c r="S3755" t="s">
        <v>10310</v>
      </c>
      <c r="U3755" t="s">
        <v>11047</v>
      </c>
      <c r="W3755" s="2" t="s">
        <v>11204</v>
      </c>
    </row>
    <row r="3756" spans="1:23" hidden="1" x14ac:dyDescent="0.45">
      <c r="A3756" s="1" t="s">
        <v>3715</v>
      </c>
      <c r="B3756" t="s">
        <v>6622</v>
      </c>
      <c r="D3756" t="s">
        <v>8032</v>
      </c>
      <c r="E3756" t="s">
        <v>9625</v>
      </c>
      <c r="F3756" t="s">
        <v>10299</v>
      </c>
      <c r="G3756">
        <v>0.05</v>
      </c>
      <c r="H3756" t="s">
        <v>10310</v>
      </c>
      <c r="I3756" t="s">
        <v>10326</v>
      </c>
      <c r="L3756">
        <v>2002</v>
      </c>
      <c r="R3756" t="s">
        <v>11038</v>
      </c>
      <c r="S3756" t="s">
        <v>10310</v>
      </c>
      <c r="U3756" t="s">
        <v>11046</v>
      </c>
      <c r="W3756" s="2" t="s">
        <v>11204</v>
      </c>
    </row>
    <row r="3757" spans="1:23" hidden="1" x14ac:dyDescent="0.45">
      <c r="A3757" s="1" t="s">
        <v>3716</v>
      </c>
      <c r="B3757" t="s">
        <v>6294</v>
      </c>
      <c r="D3757" t="s">
        <v>8049</v>
      </c>
      <c r="E3757" t="s">
        <v>9716</v>
      </c>
      <c r="F3757" t="s">
        <v>10299</v>
      </c>
      <c r="G3757">
        <v>1.9</v>
      </c>
      <c r="H3757" t="s">
        <v>10310</v>
      </c>
      <c r="I3757" t="s">
        <v>10326</v>
      </c>
      <c r="L3757">
        <v>1958</v>
      </c>
      <c r="R3757" t="s">
        <v>11038</v>
      </c>
      <c r="S3757" t="s">
        <v>10310</v>
      </c>
      <c r="U3757" t="s">
        <v>11046</v>
      </c>
      <c r="W3757" s="2" t="s">
        <v>11204</v>
      </c>
    </row>
    <row r="3758" spans="1:23" hidden="1" x14ac:dyDescent="0.45">
      <c r="A3758" s="1" t="s">
        <v>3717</v>
      </c>
      <c r="D3758" t="s">
        <v>8037</v>
      </c>
      <c r="E3758" t="s">
        <v>9629</v>
      </c>
      <c r="F3758" t="s">
        <v>10299</v>
      </c>
      <c r="G3758">
        <v>0.01</v>
      </c>
      <c r="H3758" t="s">
        <v>10310</v>
      </c>
      <c r="I3758" t="s">
        <v>10326</v>
      </c>
      <c r="L3758">
        <v>2005</v>
      </c>
      <c r="R3758" t="s">
        <v>11038</v>
      </c>
      <c r="S3758" t="s">
        <v>10310</v>
      </c>
      <c r="U3758" t="s">
        <v>11047</v>
      </c>
      <c r="W3758" s="2" t="s">
        <v>11204</v>
      </c>
    </row>
    <row r="3759" spans="1:23" hidden="1" x14ac:dyDescent="0.45">
      <c r="A3759" s="1" t="s">
        <v>3718</v>
      </c>
      <c r="B3759" t="s">
        <v>6623</v>
      </c>
      <c r="D3759" t="s">
        <v>8071</v>
      </c>
      <c r="E3759" t="s">
        <v>9689</v>
      </c>
      <c r="F3759" t="s">
        <v>10299</v>
      </c>
      <c r="G3759">
        <v>4.8</v>
      </c>
      <c r="H3759" t="s">
        <v>10310</v>
      </c>
      <c r="I3759" t="s">
        <v>10326</v>
      </c>
      <c r="L3759">
        <v>2009</v>
      </c>
      <c r="R3759" t="s">
        <v>11038</v>
      </c>
      <c r="S3759" t="s">
        <v>10310</v>
      </c>
      <c r="U3759" t="s">
        <v>11047</v>
      </c>
      <c r="W3759" s="2" t="s">
        <v>11204</v>
      </c>
    </row>
    <row r="3760" spans="1:23" hidden="1" x14ac:dyDescent="0.45">
      <c r="A3760" s="1" t="s">
        <v>3719</v>
      </c>
      <c r="B3760" t="s">
        <v>6374</v>
      </c>
      <c r="D3760" t="s">
        <v>8033</v>
      </c>
      <c r="E3760" t="s">
        <v>9666</v>
      </c>
      <c r="F3760" t="s">
        <v>10299</v>
      </c>
      <c r="G3760">
        <v>3.097</v>
      </c>
      <c r="H3760" t="s">
        <v>10310</v>
      </c>
      <c r="I3760" t="s">
        <v>10326</v>
      </c>
      <c r="L3760">
        <v>2010</v>
      </c>
      <c r="R3760" t="s">
        <v>11038</v>
      </c>
      <c r="S3760" t="s">
        <v>10310</v>
      </c>
      <c r="U3760" t="s">
        <v>11048</v>
      </c>
      <c r="W3760" s="2" t="s">
        <v>11204</v>
      </c>
    </row>
    <row r="3761" spans="1:23" hidden="1" x14ac:dyDescent="0.45">
      <c r="A3761" s="1" t="s">
        <v>3720</v>
      </c>
      <c r="B3761" t="s">
        <v>6281</v>
      </c>
      <c r="D3761" t="s">
        <v>8041</v>
      </c>
      <c r="E3761" t="s">
        <v>9651</v>
      </c>
      <c r="F3761" t="s">
        <v>10299</v>
      </c>
      <c r="G3761">
        <v>5.49</v>
      </c>
      <c r="H3761" t="s">
        <v>10310</v>
      </c>
      <c r="I3761" t="s">
        <v>10326</v>
      </c>
      <c r="L3761">
        <v>2012</v>
      </c>
      <c r="R3761" t="s">
        <v>11038</v>
      </c>
      <c r="S3761" t="s">
        <v>10310</v>
      </c>
      <c r="U3761" t="s">
        <v>11047</v>
      </c>
      <c r="W3761" s="2" t="s">
        <v>11204</v>
      </c>
    </row>
    <row r="3762" spans="1:23" hidden="1" x14ac:dyDescent="0.45">
      <c r="A3762" s="1" t="s">
        <v>3721</v>
      </c>
      <c r="B3762" t="s">
        <v>6624</v>
      </c>
      <c r="D3762" t="s">
        <v>8037</v>
      </c>
      <c r="E3762" t="s">
        <v>9629</v>
      </c>
      <c r="F3762" t="s">
        <v>10299</v>
      </c>
      <c r="G3762">
        <v>0.39</v>
      </c>
      <c r="H3762" t="s">
        <v>10310</v>
      </c>
      <c r="I3762" t="s">
        <v>10326</v>
      </c>
      <c r="L3762">
        <v>2009</v>
      </c>
      <c r="R3762" t="s">
        <v>11038</v>
      </c>
      <c r="S3762" t="s">
        <v>10310</v>
      </c>
      <c r="U3762" t="s">
        <v>11047</v>
      </c>
      <c r="W3762" s="2" t="s">
        <v>11204</v>
      </c>
    </row>
    <row r="3763" spans="1:23" hidden="1" x14ac:dyDescent="0.45">
      <c r="A3763" s="1" t="s">
        <v>3722</v>
      </c>
      <c r="B3763" t="s">
        <v>6274</v>
      </c>
      <c r="D3763" t="s">
        <v>8056</v>
      </c>
      <c r="E3763" t="s">
        <v>9669</v>
      </c>
      <c r="F3763" t="s">
        <v>10299</v>
      </c>
      <c r="G3763">
        <v>1.6</v>
      </c>
      <c r="H3763" t="s">
        <v>10310</v>
      </c>
      <c r="I3763" t="s">
        <v>10324</v>
      </c>
      <c r="L3763">
        <v>1969</v>
      </c>
      <c r="R3763" t="s">
        <v>11038</v>
      </c>
      <c r="S3763" t="s">
        <v>10310</v>
      </c>
      <c r="U3763" t="s">
        <v>11049</v>
      </c>
      <c r="V3763" t="s">
        <v>11182</v>
      </c>
      <c r="W3763" s="2" t="s">
        <v>11204</v>
      </c>
    </row>
    <row r="3764" spans="1:23" hidden="1" x14ac:dyDescent="0.45">
      <c r="A3764" s="1" t="s">
        <v>3723</v>
      </c>
      <c r="B3764" t="s">
        <v>6625</v>
      </c>
      <c r="D3764" t="s">
        <v>8053</v>
      </c>
      <c r="E3764" t="s">
        <v>9652</v>
      </c>
      <c r="F3764" t="s">
        <v>10299</v>
      </c>
      <c r="G3764">
        <v>5.5E-2</v>
      </c>
      <c r="H3764" t="s">
        <v>10310</v>
      </c>
      <c r="I3764" t="s">
        <v>10326</v>
      </c>
      <c r="L3764">
        <v>1996</v>
      </c>
      <c r="R3764" t="s">
        <v>11038</v>
      </c>
      <c r="S3764" t="s">
        <v>10310</v>
      </c>
      <c r="U3764" t="s">
        <v>11049</v>
      </c>
      <c r="W3764" s="2" t="s">
        <v>11204</v>
      </c>
    </row>
    <row r="3765" spans="1:23" hidden="1" x14ac:dyDescent="0.45">
      <c r="A3765" s="1" t="s">
        <v>3724</v>
      </c>
      <c r="B3765" t="s">
        <v>6625</v>
      </c>
      <c r="D3765" t="s">
        <v>8053</v>
      </c>
      <c r="E3765" t="s">
        <v>9652</v>
      </c>
      <c r="F3765" t="s">
        <v>10299</v>
      </c>
      <c r="G3765">
        <v>5.0999999999999996</v>
      </c>
      <c r="H3765" t="s">
        <v>10310</v>
      </c>
      <c r="I3765" t="s">
        <v>10326</v>
      </c>
      <c r="L3765">
        <v>2010</v>
      </c>
      <c r="R3765" t="s">
        <v>11038</v>
      </c>
      <c r="S3765" t="s">
        <v>10310</v>
      </c>
      <c r="U3765" t="s">
        <v>11049</v>
      </c>
      <c r="W3765" s="2" t="s">
        <v>11204</v>
      </c>
    </row>
    <row r="3766" spans="1:23" hidden="1" x14ac:dyDescent="0.45">
      <c r="A3766" s="1" t="s">
        <v>3725</v>
      </c>
      <c r="B3766" t="s">
        <v>6309</v>
      </c>
      <c r="D3766" t="s">
        <v>8039</v>
      </c>
      <c r="E3766" t="s">
        <v>9810</v>
      </c>
      <c r="F3766" t="s">
        <v>10299</v>
      </c>
      <c r="G3766">
        <v>8.1999999999999993</v>
      </c>
      <c r="H3766" t="s">
        <v>10310</v>
      </c>
      <c r="I3766" t="s">
        <v>10326</v>
      </c>
      <c r="L3766">
        <v>1960</v>
      </c>
      <c r="R3766" t="s">
        <v>11038</v>
      </c>
      <c r="S3766" t="s">
        <v>10310</v>
      </c>
      <c r="U3766" t="s">
        <v>11048</v>
      </c>
      <c r="W3766" s="2" t="s">
        <v>11204</v>
      </c>
    </row>
    <row r="3767" spans="1:23" hidden="1" x14ac:dyDescent="0.45">
      <c r="A3767" s="1" t="s">
        <v>3726</v>
      </c>
      <c r="D3767" t="s">
        <v>8079</v>
      </c>
      <c r="E3767" t="s">
        <v>9728</v>
      </c>
      <c r="F3767" t="s">
        <v>10299</v>
      </c>
      <c r="G3767">
        <v>1.4999999999999999E-2</v>
      </c>
      <c r="H3767" t="s">
        <v>10310</v>
      </c>
      <c r="I3767" t="s">
        <v>10326</v>
      </c>
      <c r="L3767">
        <v>2004</v>
      </c>
      <c r="R3767" t="s">
        <v>11038</v>
      </c>
      <c r="S3767" t="s">
        <v>10310</v>
      </c>
      <c r="U3767" t="s">
        <v>11047</v>
      </c>
      <c r="W3767" s="2" t="s">
        <v>11204</v>
      </c>
    </row>
    <row r="3768" spans="1:23" hidden="1" x14ac:dyDescent="0.45">
      <c r="A3768" s="1" t="s">
        <v>3727</v>
      </c>
      <c r="B3768" t="s">
        <v>6626</v>
      </c>
      <c r="D3768" t="s">
        <v>8048</v>
      </c>
      <c r="E3768" t="s">
        <v>9642</v>
      </c>
      <c r="F3768" t="s">
        <v>10299</v>
      </c>
      <c r="G3768">
        <v>7.0000000000000007E-2</v>
      </c>
      <c r="H3768" t="s">
        <v>10310</v>
      </c>
      <c r="I3768" t="s">
        <v>10326</v>
      </c>
      <c r="L3768">
        <v>1995</v>
      </c>
      <c r="R3768" t="s">
        <v>11038</v>
      </c>
      <c r="S3768" t="s">
        <v>10310</v>
      </c>
      <c r="U3768" t="s">
        <v>11049</v>
      </c>
      <c r="W3768" s="2" t="s">
        <v>11204</v>
      </c>
    </row>
    <row r="3769" spans="1:23" hidden="1" x14ac:dyDescent="0.45">
      <c r="A3769" s="1" t="s">
        <v>3728</v>
      </c>
      <c r="B3769" t="s">
        <v>6626</v>
      </c>
      <c r="D3769" t="s">
        <v>8048</v>
      </c>
      <c r="E3769" t="s">
        <v>9642</v>
      </c>
      <c r="F3769" t="s">
        <v>10299</v>
      </c>
      <c r="G3769">
        <v>9.9000000000000005E-2</v>
      </c>
      <c r="H3769" t="s">
        <v>10310</v>
      </c>
      <c r="I3769" t="s">
        <v>10326</v>
      </c>
      <c r="L3769">
        <v>1996</v>
      </c>
      <c r="R3769" t="s">
        <v>11038</v>
      </c>
      <c r="S3769" t="s">
        <v>10310</v>
      </c>
      <c r="U3769" t="s">
        <v>11049</v>
      </c>
      <c r="W3769" s="2" t="s">
        <v>11204</v>
      </c>
    </row>
    <row r="3770" spans="1:23" hidden="1" x14ac:dyDescent="0.45">
      <c r="A3770" s="1" t="s">
        <v>3729</v>
      </c>
      <c r="B3770" t="s">
        <v>6281</v>
      </c>
      <c r="D3770" t="s">
        <v>8036</v>
      </c>
      <c r="E3770" t="s">
        <v>9628</v>
      </c>
      <c r="F3770" t="s">
        <v>10299</v>
      </c>
      <c r="G3770">
        <v>2.95</v>
      </c>
      <c r="H3770" t="s">
        <v>10310</v>
      </c>
      <c r="I3770" t="s">
        <v>10326</v>
      </c>
      <c r="L3770">
        <v>2014</v>
      </c>
      <c r="R3770" t="s">
        <v>11038</v>
      </c>
      <c r="S3770" t="s">
        <v>10310</v>
      </c>
      <c r="U3770" t="s">
        <v>11048</v>
      </c>
      <c r="W3770" s="2" t="s">
        <v>11204</v>
      </c>
    </row>
    <row r="3771" spans="1:23" hidden="1" x14ac:dyDescent="0.45">
      <c r="A3771" s="1" t="s">
        <v>3730</v>
      </c>
      <c r="B3771" t="s">
        <v>6408</v>
      </c>
      <c r="D3771" t="s">
        <v>8048</v>
      </c>
      <c r="E3771" t="s">
        <v>9642</v>
      </c>
      <c r="F3771" t="s">
        <v>10299</v>
      </c>
      <c r="G3771">
        <v>4.0999999999999996</v>
      </c>
      <c r="H3771" t="s">
        <v>10310</v>
      </c>
      <c r="I3771" t="s">
        <v>10326</v>
      </c>
      <c r="L3771">
        <v>1917</v>
      </c>
      <c r="R3771" t="s">
        <v>11038</v>
      </c>
      <c r="S3771" t="s">
        <v>10310</v>
      </c>
      <c r="U3771" t="s">
        <v>11049</v>
      </c>
      <c r="W3771" s="2" t="s">
        <v>11204</v>
      </c>
    </row>
    <row r="3772" spans="1:23" hidden="1" x14ac:dyDescent="0.45">
      <c r="A3772" s="1" t="s">
        <v>3731</v>
      </c>
      <c r="B3772" t="s">
        <v>6281</v>
      </c>
      <c r="D3772" t="s">
        <v>8085</v>
      </c>
      <c r="E3772" t="s">
        <v>9811</v>
      </c>
      <c r="F3772" t="s">
        <v>10299</v>
      </c>
      <c r="G3772">
        <v>1.6</v>
      </c>
      <c r="H3772" t="s">
        <v>10310</v>
      </c>
      <c r="I3772" t="s">
        <v>10326</v>
      </c>
      <c r="L3772">
        <v>2008</v>
      </c>
      <c r="R3772" t="s">
        <v>11038</v>
      </c>
      <c r="S3772" t="s">
        <v>10310</v>
      </c>
      <c r="U3772" t="s">
        <v>11048</v>
      </c>
      <c r="W3772" s="2" t="s">
        <v>11204</v>
      </c>
    </row>
    <row r="3773" spans="1:23" hidden="1" x14ac:dyDescent="0.45">
      <c r="A3773" s="1" t="s">
        <v>3732</v>
      </c>
      <c r="B3773" t="s">
        <v>6294</v>
      </c>
      <c r="D3773" t="s">
        <v>8058</v>
      </c>
      <c r="E3773" t="s">
        <v>9800</v>
      </c>
      <c r="F3773" t="s">
        <v>10299</v>
      </c>
      <c r="G3773">
        <v>5.87</v>
      </c>
      <c r="H3773" t="s">
        <v>10310</v>
      </c>
      <c r="I3773" t="s">
        <v>10326</v>
      </c>
      <c r="L3773">
        <v>1917</v>
      </c>
      <c r="R3773" t="s">
        <v>11038</v>
      </c>
      <c r="S3773" t="s">
        <v>10310</v>
      </c>
      <c r="U3773" t="s">
        <v>11046</v>
      </c>
      <c r="W3773" s="2" t="s">
        <v>11204</v>
      </c>
    </row>
    <row r="3774" spans="1:23" hidden="1" x14ac:dyDescent="0.45">
      <c r="A3774" s="1" t="s">
        <v>3733</v>
      </c>
      <c r="B3774" t="s">
        <v>6305</v>
      </c>
      <c r="D3774" t="s">
        <v>8054</v>
      </c>
      <c r="E3774" t="s">
        <v>9654</v>
      </c>
      <c r="F3774" t="s">
        <v>10299</v>
      </c>
      <c r="G3774">
        <v>1.3998999999999999</v>
      </c>
      <c r="H3774" t="s">
        <v>10310</v>
      </c>
      <c r="I3774" t="s">
        <v>10326</v>
      </c>
      <c r="L3774">
        <v>1942</v>
      </c>
      <c r="R3774" t="s">
        <v>11038</v>
      </c>
      <c r="S3774" t="s">
        <v>10310</v>
      </c>
      <c r="U3774" t="s">
        <v>11050</v>
      </c>
      <c r="W3774" s="2" t="s">
        <v>11204</v>
      </c>
    </row>
    <row r="3775" spans="1:23" hidden="1" x14ac:dyDescent="0.45">
      <c r="A3775" s="1" t="s">
        <v>3734</v>
      </c>
      <c r="B3775" t="s">
        <v>6305</v>
      </c>
      <c r="D3775" t="s">
        <v>8054</v>
      </c>
      <c r="E3775" t="s">
        <v>9654</v>
      </c>
      <c r="F3775" t="s">
        <v>10299</v>
      </c>
      <c r="G3775">
        <v>4.2</v>
      </c>
      <c r="H3775" t="s">
        <v>10310</v>
      </c>
      <c r="I3775" t="s">
        <v>10326</v>
      </c>
      <c r="L3775">
        <v>1955</v>
      </c>
      <c r="R3775" t="s">
        <v>11038</v>
      </c>
      <c r="S3775" t="s">
        <v>10310</v>
      </c>
      <c r="U3775" t="s">
        <v>11050</v>
      </c>
      <c r="W3775" s="2" t="s">
        <v>11204</v>
      </c>
    </row>
    <row r="3776" spans="1:23" hidden="1" x14ac:dyDescent="0.45">
      <c r="A3776" s="1" t="s">
        <v>3735</v>
      </c>
      <c r="B3776" t="s">
        <v>6627</v>
      </c>
      <c r="D3776" t="s">
        <v>8042</v>
      </c>
      <c r="E3776" t="s">
        <v>9780</v>
      </c>
      <c r="F3776" t="s">
        <v>10299</v>
      </c>
      <c r="G3776">
        <v>1.9</v>
      </c>
      <c r="H3776" t="s">
        <v>10310</v>
      </c>
      <c r="I3776" t="s">
        <v>10326</v>
      </c>
      <c r="L3776">
        <v>2007</v>
      </c>
      <c r="R3776" t="s">
        <v>11038</v>
      </c>
      <c r="S3776" t="s">
        <v>10310</v>
      </c>
      <c r="U3776" t="s">
        <v>11049</v>
      </c>
      <c r="W3776" s="2" t="s">
        <v>11204</v>
      </c>
    </row>
    <row r="3777" spans="1:23" hidden="1" x14ac:dyDescent="0.45">
      <c r="A3777" s="1" t="s">
        <v>3736</v>
      </c>
      <c r="B3777" t="s">
        <v>6274</v>
      </c>
      <c r="D3777" t="s">
        <v>8051</v>
      </c>
      <c r="E3777" t="s">
        <v>4623</v>
      </c>
      <c r="F3777" t="s">
        <v>10299</v>
      </c>
      <c r="G3777">
        <v>62</v>
      </c>
      <c r="H3777" t="s">
        <v>10310</v>
      </c>
      <c r="I3777" t="s">
        <v>10326</v>
      </c>
      <c r="L3777">
        <v>1979</v>
      </c>
      <c r="R3777" t="s">
        <v>11038</v>
      </c>
      <c r="S3777" t="s">
        <v>10310</v>
      </c>
      <c r="U3777" t="s">
        <v>11046</v>
      </c>
      <c r="W3777" s="2" t="s">
        <v>11204</v>
      </c>
    </row>
    <row r="3778" spans="1:23" hidden="1" x14ac:dyDescent="0.45">
      <c r="A3778" s="1" t="s">
        <v>3737</v>
      </c>
      <c r="B3778" t="s">
        <v>6628</v>
      </c>
      <c r="D3778" t="s">
        <v>8064</v>
      </c>
      <c r="E3778" t="s">
        <v>9675</v>
      </c>
      <c r="F3778" t="s">
        <v>10299</v>
      </c>
      <c r="G3778">
        <v>0.28499999999999998</v>
      </c>
      <c r="H3778" t="s">
        <v>10310</v>
      </c>
      <c r="I3778" t="s">
        <v>10326</v>
      </c>
      <c r="L3778">
        <v>1998</v>
      </c>
      <c r="R3778" t="s">
        <v>11038</v>
      </c>
      <c r="S3778" t="s">
        <v>10310</v>
      </c>
      <c r="U3778" t="s">
        <v>11049</v>
      </c>
      <c r="W3778" s="2" t="s">
        <v>11204</v>
      </c>
    </row>
    <row r="3779" spans="1:23" hidden="1" x14ac:dyDescent="0.45">
      <c r="A3779" s="1" t="s">
        <v>3738</v>
      </c>
      <c r="B3779" t="s">
        <v>6629</v>
      </c>
      <c r="D3779" t="s">
        <v>8042</v>
      </c>
      <c r="E3779" t="s">
        <v>9634</v>
      </c>
      <c r="F3779" t="s">
        <v>10299</v>
      </c>
      <c r="G3779">
        <v>0.47</v>
      </c>
      <c r="H3779" t="s">
        <v>10310</v>
      </c>
      <c r="I3779" t="s">
        <v>10326</v>
      </c>
      <c r="L3779">
        <v>2004</v>
      </c>
      <c r="R3779" t="s">
        <v>11038</v>
      </c>
      <c r="S3779" t="s">
        <v>10310</v>
      </c>
      <c r="U3779" t="s">
        <v>11048</v>
      </c>
      <c r="W3779" s="2" t="s">
        <v>11204</v>
      </c>
    </row>
    <row r="3780" spans="1:23" hidden="1" x14ac:dyDescent="0.45">
      <c r="A3780" s="1" t="s">
        <v>3739</v>
      </c>
      <c r="B3780" t="s">
        <v>6274</v>
      </c>
      <c r="D3780" t="s">
        <v>8033</v>
      </c>
      <c r="E3780" t="s">
        <v>9666</v>
      </c>
      <c r="F3780" t="s">
        <v>10299</v>
      </c>
      <c r="G3780">
        <v>14</v>
      </c>
      <c r="H3780" t="s">
        <v>10310</v>
      </c>
      <c r="I3780" t="s">
        <v>10326</v>
      </c>
      <c r="L3780">
        <v>2014</v>
      </c>
      <c r="R3780" t="s">
        <v>11038</v>
      </c>
      <c r="S3780" t="s">
        <v>10310</v>
      </c>
      <c r="U3780" t="s">
        <v>11048</v>
      </c>
      <c r="W3780" s="2" t="s">
        <v>11204</v>
      </c>
    </row>
    <row r="3781" spans="1:23" hidden="1" x14ac:dyDescent="0.45">
      <c r="A3781" s="1" t="s">
        <v>3740</v>
      </c>
      <c r="B3781" t="s">
        <v>6630</v>
      </c>
      <c r="D3781" t="s">
        <v>8061</v>
      </c>
      <c r="E3781" t="s">
        <v>9679</v>
      </c>
      <c r="F3781" t="s">
        <v>10299</v>
      </c>
      <c r="G3781">
        <v>1.5</v>
      </c>
      <c r="H3781" t="s">
        <v>10310</v>
      </c>
      <c r="I3781" t="s">
        <v>10326</v>
      </c>
      <c r="L3781">
        <v>2004</v>
      </c>
      <c r="R3781" t="s">
        <v>11038</v>
      </c>
      <c r="S3781" t="s">
        <v>10310</v>
      </c>
      <c r="U3781" t="s">
        <v>11049</v>
      </c>
      <c r="W3781" s="2" t="s">
        <v>11204</v>
      </c>
    </row>
    <row r="3782" spans="1:23" hidden="1" x14ac:dyDescent="0.45">
      <c r="A3782" s="1" t="s">
        <v>3741</v>
      </c>
      <c r="B3782" t="s">
        <v>6631</v>
      </c>
      <c r="D3782" t="s">
        <v>8047</v>
      </c>
      <c r="E3782" t="s">
        <v>9641</v>
      </c>
      <c r="F3782" t="s">
        <v>10299</v>
      </c>
      <c r="G3782">
        <v>4.2</v>
      </c>
      <c r="H3782" t="s">
        <v>10310</v>
      </c>
      <c r="I3782" t="s">
        <v>10326</v>
      </c>
      <c r="L3782">
        <v>1944</v>
      </c>
      <c r="R3782" t="s">
        <v>11038</v>
      </c>
      <c r="S3782" t="s">
        <v>10310</v>
      </c>
      <c r="U3782" t="s">
        <v>11049</v>
      </c>
      <c r="W3782" s="2" t="s">
        <v>11204</v>
      </c>
    </row>
    <row r="3783" spans="1:23" hidden="1" x14ac:dyDescent="0.45">
      <c r="A3783" s="1" t="s">
        <v>3742</v>
      </c>
      <c r="B3783" t="s">
        <v>6632</v>
      </c>
      <c r="D3783" t="s">
        <v>8082</v>
      </c>
      <c r="E3783" t="s">
        <v>9771</v>
      </c>
      <c r="F3783" t="s">
        <v>10299</v>
      </c>
      <c r="G3783">
        <v>0.99</v>
      </c>
      <c r="H3783" t="s">
        <v>10310</v>
      </c>
      <c r="I3783" t="s">
        <v>10326</v>
      </c>
      <c r="L3783">
        <v>2009</v>
      </c>
      <c r="R3783" t="s">
        <v>11038</v>
      </c>
      <c r="S3783" t="s">
        <v>10310</v>
      </c>
      <c r="U3783" t="s">
        <v>11048</v>
      </c>
      <c r="W3783" s="2" t="s">
        <v>11204</v>
      </c>
    </row>
    <row r="3784" spans="1:23" hidden="1" x14ac:dyDescent="0.45">
      <c r="A3784" s="1" t="s">
        <v>3743</v>
      </c>
      <c r="B3784" t="s">
        <v>6290</v>
      </c>
      <c r="D3784" t="s">
        <v>7917</v>
      </c>
      <c r="E3784" t="s">
        <v>9776</v>
      </c>
      <c r="F3784" t="s">
        <v>10299</v>
      </c>
      <c r="G3784">
        <v>0.8</v>
      </c>
      <c r="H3784" t="s">
        <v>10310</v>
      </c>
      <c r="I3784" t="s">
        <v>10326</v>
      </c>
      <c r="L3784">
        <v>1990</v>
      </c>
      <c r="R3784" t="s">
        <v>11038</v>
      </c>
      <c r="S3784" t="s">
        <v>10310</v>
      </c>
      <c r="U3784" t="s">
        <v>11050</v>
      </c>
      <c r="W3784" s="2" t="s">
        <v>11204</v>
      </c>
    </row>
    <row r="3785" spans="1:23" hidden="1" x14ac:dyDescent="0.45">
      <c r="A3785" s="1" t="s">
        <v>3744</v>
      </c>
      <c r="B3785" t="s">
        <v>6633</v>
      </c>
      <c r="D3785" t="s">
        <v>8061</v>
      </c>
      <c r="E3785" t="s">
        <v>9665</v>
      </c>
      <c r="F3785" t="s">
        <v>10299</v>
      </c>
      <c r="G3785">
        <v>0.34</v>
      </c>
      <c r="H3785" t="s">
        <v>10310</v>
      </c>
      <c r="I3785" t="s">
        <v>10326</v>
      </c>
      <c r="L3785">
        <v>2010</v>
      </c>
      <c r="R3785" t="s">
        <v>11038</v>
      </c>
      <c r="S3785" t="s">
        <v>10310</v>
      </c>
      <c r="U3785" t="s">
        <v>11046</v>
      </c>
      <c r="W3785" s="2" t="s">
        <v>11204</v>
      </c>
    </row>
    <row r="3786" spans="1:23" hidden="1" x14ac:dyDescent="0.45">
      <c r="A3786" s="1" t="s">
        <v>3745</v>
      </c>
      <c r="B3786" t="s">
        <v>6634</v>
      </c>
      <c r="D3786" t="s">
        <v>8050</v>
      </c>
      <c r="E3786" t="s">
        <v>9740</v>
      </c>
      <c r="F3786" t="s">
        <v>10299</v>
      </c>
      <c r="G3786">
        <v>2.5</v>
      </c>
      <c r="H3786" t="s">
        <v>10310</v>
      </c>
      <c r="I3786" t="s">
        <v>10326</v>
      </c>
      <c r="L3786">
        <v>2016</v>
      </c>
      <c r="R3786" t="s">
        <v>11038</v>
      </c>
      <c r="S3786" t="s">
        <v>10310</v>
      </c>
      <c r="U3786" t="s">
        <v>11047</v>
      </c>
      <c r="W3786" s="2" t="s">
        <v>11204</v>
      </c>
    </row>
    <row r="3787" spans="1:23" hidden="1" x14ac:dyDescent="0.45">
      <c r="A3787" s="1" t="s">
        <v>3746</v>
      </c>
      <c r="B3787" t="s">
        <v>6635</v>
      </c>
      <c r="D3787" t="s">
        <v>8037</v>
      </c>
      <c r="E3787" t="s">
        <v>9629</v>
      </c>
      <c r="F3787" t="s">
        <v>10299</v>
      </c>
      <c r="G3787">
        <v>84</v>
      </c>
      <c r="H3787" t="s">
        <v>10310</v>
      </c>
      <c r="I3787" t="s">
        <v>10326</v>
      </c>
      <c r="L3787">
        <v>2010</v>
      </c>
      <c r="R3787" t="s">
        <v>11038</v>
      </c>
      <c r="S3787" t="s">
        <v>10310</v>
      </c>
      <c r="U3787" t="s">
        <v>11047</v>
      </c>
      <c r="W3787" s="2" t="s">
        <v>11204</v>
      </c>
    </row>
    <row r="3788" spans="1:23" hidden="1" x14ac:dyDescent="0.45">
      <c r="A3788" s="1" t="s">
        <v>3747</v>
      </c>
      <c r="B3788" t="s">
        <v>6636</v>
      </c>
      <c r="D3788" t="s">
        <v>8070</v>
      </c>
      <c r="E3788" t="s">
        <v>3591</v>
      </c>
      <c r="F3788" t="s">
        <v>10299</v>
      </c>
      <c r="G3788">
        <v>8.8000000000000009E-2</v>
      </c>
      <c r="H3788" t="s">
        <v>10310</v>
      </c>
      <c r="I3788" t="s">
        <v>10326</v>
      </c>
      <c r="L3788">
        <v>1997</v>
      </c>
      <c r="R3788" t="s">
        <v>11038</v>
      </c>
      <c r="S3788" t="s">
        <v>10310</v>
      </c>
      <c r="U3788" t="s">
        <v>11046</v>
      </c>
      <c r="W3788" s="2" t="s">
        <v>11204</v>
      </c>
    </row>
    <row r="3789" spans="1:23" hidden="1" x14ac:dyDescent="0.45">
      <c r="A3789" s="1" t="s">
        <v>3748</v>
      </c>
      <c r="B3789" t="s">
        <v>6385</v>
      </c>
      <c r="D3789" t="s">
        <v>8044</v>
      </c>
      <c r="E3789" t="s">
        <v>9717</v>
      </c>
      <c r="F3789" t="s">
        <v>10299</v>
      </c>
      <c r="G3789">
        <v>3.9</v>
      </c>
      <c r="H3789" t="s">
        <v>10310</v>
      </c>
      <c r="I3789" t="s">
        <v>10326</v>
      </c>
      <c r="L3789">
        <v>2009</v>
      </c>
      <c r="R3789" t="s">
        <v>11038</v>
      </c>
      <c r="S3789" t="s">
        <v>10310</v>
      </c>
      <c r="U3789" t="s">
        <v>11046</v>
      </c>
      <c r="W3789" s="2" t="s">
        <v>11204</v>
      </c>
    </row>
    <row r="3790" spans="1:23" hidden="1" x14ac:dyDescent="0.45">
      <c r="A3790" s="1" t="s">
        <v>3749</v>
      </c>
      <c r="B3790" t="s">
        <v>6637</v>
      </c>
      <c r="D3790" t="s">
        <v>8030</v>
      </c>
      <c r="E3790" t="s">
        <v>9623</v>
      </c>
      <c r="F3790" t="s">
        <v>10299</v>
      </c>
      <c r="G3790">
        <v>0.2</v>
      </c>
      <c r="H3790" t="s">
        <v>10310</v>
      </c>
      <c r="I3790" t="s">
        <v>10326</v>
      </c>
      <c r="L3790">
        <v>1946</v>
      </c>
      <c r="R3790" t="s">
        <v>11038</v>
      </c>
      <c r="S3790" t="s">
        <v>10310</v>
      </c>
      <c r="U3790" t="s">
        <v>11049</v>
      </c>
      <c r="W3790" s="2" t="s">
        <v>11204</v>
      </c>
    </row>
    <row r="3791" spans="1:23" hidden="1" x14ac:dyDescent="0.45">
      <c r="A3791" s="1" t="s">
        <v>3750</v>
      </c>
      <c r="B3791" t="s">
        <v>6638</v>
      </c>
      <c r="D3791" t="s">
        <v>8061</v>
      </c>
      <c r="E3791" t="s">
        <v>9665</v>
      </c>
      <c r="F3791" t="s">
        <v>10299</v>
      </c>
      <c r="G3791">
        <v>0.98599999999999999</v>
      </c>
      <c r="H3791" t="s">
        <v>10310</v>
      </c>
      <c r="I3791" t="s">
        <v>10326</v>
      </c>
      <c r="L3791">
        <v>2004</v>
      </c>
      <c r="R3791" t="s">
        <v>11038</v>
      </c>
      <c r="S3791" t="s">
        <v>10310</v>
      </c>
      <c r="U3791" t="s">
        <v>11046</v>
      </c>
      <c r="W3791" s="2" t="s">
        <v>11204</v>
      </c>
    </row>
    <row r="3792" spans="1:23" hidden="1" x14ac:dyDescent="0.45">
      <c r="A3792" s="1" t="s">
        <v>3750</v>
      </c>
      <c r="B3792" t="s">
        <v>6639</v>
      </c>
      <c r="D3792" t="s">
        <v>8063</v>
      </c>
      <c r="E3792" t="s">
        <v>9727</v>
      </c>
      <c r="F3792" t="s">
        <v>10299</v>
      </c>
      <c r="G3792">
        <v>9.9000000000000005E-2</v>
      </c>
      <c r="H3792" t="s">
        <v>10310</v>
      </c>
      <c r="I3792" t="s">
        <v>10326</v>
      </c>
      <c r="L3792">
        <v>2008</v>
      </c>
      <c r="R3792" t="s">
        <v>11038</v>
      </c>
      <c r="S3792" t="s">
        <v>10310</v>
      </c>
      <c r="U3792" t="s">
        <v>11049</v>
      </c>
      <c r="W3792" s="2" t="s">
        <v>11204</v>
      </c>
    </row>
    <row r="3793" spans="1:23" hidden="1" x14ac:dyDescent="0.45">
      <c r="A3793" s="1" t="s">
        <v>3751</v>
      </c>
      <c r="B3793" t="s">
        <v>6640</v>
      </c>
      <c r="D3793" t="s">
        <v>8028</v>
      </c>
      <c r="E3793" t="s">
        <v>9621</v>
      </c>
      <c r="F3793" t="s">
        <v>10299</v>
      </c>
      <c r="G3793">
        <v>10.5</v>
      </c>
      <c r="H3793" t="s">
        <v>10310</v>
      </c>
      <c r="I3793" t="s">
        <v>10326</v>
      </c>
      <c r="L3793">
        <v>1969</v>
      </c>
      <c r="R3793" t="s">
        <v>11038</v>
      </c>
      <c r="S3793" t="s">
        <v>10310</v>
      </c>
      <c r="U3793" t="s">
        <v>11046</v>
      </c>
      <c r="W3793" s="2" t="s">
        <v>11204</v>
      </c>
    </row>
    <row r="3794" spans="1:23" hidden="1" x14ac:dyDescent="0.45">
      <c r="A3794" s="1" t="s">
        <v>3752</v>
      </c>
      <c r="B3794" t="s">
        <v>6346</v>
      </c>
      <c r="D3794" t="s">
        <v>8078</v>
      </c>
      <c r="E3794" t="s">
        <v>9725</v>
      </c>
      <c r="F3794" t="s">
        <v>10299</v>
      </c>
      <c r="G3794">
        <v>0.2</v>
      </c>
      <c r="H3794" t="s">
        <v>10310</v>
      </c>
      <c r="I3794" t="s">
        <v>10324</v>
      </c>
      <c r="L3794">
        <v>1999</v>
      </c>
      <c r="R3794" t="s">
        <v>11038</v>
      </c>
      <c r="S3794" t="s">
        <v>10310</v>
      </c>
      <c r="U3794" t="s">
        <v>11046</v>
      </c>
      <c r="V3794" t="s">
        <v>11182</v>
      </c>
      <c r="W3794" s="2" t="s">
        <v>11204</v>
      </c>
    </row>
    <row r="3795" spans="1:23" hidden="1" x14ac:dyDescent="0.45">
      <c r="A3795" s="1" t="s">
        <v>3753</v>
      </c>
      <c r="B3795" t="s">
        <v>6641</v>
      </c>
      <c r="D3795" t="s">
        <v>8034</v>
      </c>
      <c r="E3795" t="s">
        <v>9627</v>
      </c>
      <c r="F3795" t="s">
        <v>10299</v>
      </c>
      <c r="G3795">
        <v>1.389</v>
      </c>
      <c r="H3795" t="s">
        <v>10310</v>
      </c>
      <c r="I3795" t="s">
        <v>10326</v>
      </c>
      <c r="L3795">
        <v>2013</v>
      </c>
      <c r="R3795" t="s">
        <v>11038</v>
      </c>
      <c r="S3795" t="s">
        <v>10310</v>
      </c>
      <c r="U3795" t="s">
        <v>11046</v>
      </c>
      <c r="W3795" s="2" t="s">
        <v>11204</v>
      </c>
    </row>
    <row r="3796" spans="1:23" hidden="1" x14ac:dyDescent="0.45">
      <c r="A3796" s="1" t="s">
        <v>3754</v>
      </c>
      <c r="B3796" t="s">
        <v>6378</v>
      </c>
      <c r="D3796" t="s">
        <v>8044</v>
      </c>
      <c r="E3796" t="s">
        <v>9791</v>
      </c>
      <c r="F3796" t="s">
        <v>10299</v>
      </c>
      <c r="G3796">
        <v>8.9</v>
      </c>
      <c r="H3796" t="s">
        <v>10310</v>
      </c>
      <c r="I3796" t="s">
        <v>10326</v>
      </c>
      <c r="L3796">
        <v>2006</v>
      </c>
      <c r="R3796" t="s">
        <v>11038</v>
      </c>
      <c r="S3796" t="s">
        <v>10310</v>
      </c>
      <c r="U3796" t="s">
        <v>11049</v>
      </c>
      <c r="W3796" s="2" t="s">
        <v>11204</v>
      </c>
    </row>
    <row r="3797" spans="1:23" hidden="1" x14ac:dyDescent="0.45">
      <c r="A3797" s="1" t="s">
        <v>3755</v>
      </c>
      <c r="B3797" t="s">
        <v>6281</v>
      </c>
      <c r="D3797" t="s">
        <v>8045</v>
      </c>
      <c r="E3797" t="s">
        <v>9639</v>
      </c>
      <c r="F3797" t="s">
        <v>10299</v>
      </c>
      <c r="G3797">
        <v>4.8499999999999996</v>
      </c>
      <c r="H3797" t="s">
        <v>10310</v>
      </c>
      <c r="I3797" t="s">
        <v>10326</v>
      </c>
      <c r="L3797">
        <v>2010</v>
      </c>
      <c r="R3797" t="s">
        <v>11038</v>
      </c>
      <c r="S3797" t="s">
        <v>10310</v>
      </c>
      <c r="U3797" t="s">
        <v>11047</v>
      </c>
      <c r="W3797" s="2" t="s">
        <v>11204</v>
      </c>
    </row>
    <row r="3798" spans="1:23" hidden="1" x14ac:dyDescent="0.45">
      <c r="A3798" s="1" t="s">
        <v>3756</v>
      </c>
      <c r="D3798" t="s">
        <v>8054</v>
      </c>
      <c r="E3798" t="s">
        <v>9799</v>
      </c>
      <c r="F3798" t="s">
        <v>10299</v>
      </c>
      <c r="G3798">
        <v>1.6E-2</v>
      </c>
      <c r="H3798" t="s">
        <v>10310</v>
      </c>
      <c r="I3798" t="s">
        <v>10326</v>
      </c>
      <c r="L3798">
        <v>1999</v>
      </c>
      <c r="R3798" t="s">
        <v>11038</v>
      </c>
      <c r="S3798" t="s">
        <v>10310</v>
      </c>
      <c r="U3798" t="s">
        <v>11047</v>
      </c>
      <c r="W3798" s="2" t="s">
        <v>11204</v>
      </c>
    </row>
    <row r="3799" spans="1:23" hidden="1" x14ac:dyDescent="0.45">
      <c r="A3799" s="1" t="s">
        <v>3757</v>
      </c>
      <c r="B3799" t="s">
        <v>6274</v>
      </c>
      <c r="D3799" t="s">
        <v>8045</v>
      </c>
      <c r="E3799" t="s">
        <v>9644</v>
      </c>
      <c r="F3799" t="s">
        <v>10299</v>
      </c>
      <c r="G3799">
        <v>300</v>
      </c>
      <c r="H3799" t="s">
        <v>10310</v>
      </c>
      <c r="I3799" t="s">
        <v>10326</v>
      </c>
      <c r="L3799">
        <v>1987</v>
      </c>
      <c r="R3799" t="s">
        <v>11038</v>
      </c>
      <c r="S3799" t="s">
        <v>10310</v>
      </c>
      <c r="U3799" t="s">
        <v>11048</v>
      </c>
      <c r="W3799" s="2" t="s">
        <v>11204</v>
      </c>
    </row>
    <row r="3800" spans="1:23" hidden="1" x14ac:dyDescent="0.45">
      <c r="A3800" s="1" t="s">
        <v>3758</v>
      </c>
      <c r="B3800" t="s">
        <v>6642</v>
      </c>
      <c r="D3800" t="s">
        <v>8080</v>
      </c>
      <c r="E3800" t="s">
        <v>9812</v>
      </c>
      <c r="F3800" t="s">
        <v>10299</v>
      </c>
      <c r="G3800">
        <v>3.2</v>
      </c>
      <c r="H3800" t="s">
        <v>10310</v>
      </c>
      <c r="I3800" t="s">
        <v>10326</v>
      </c>
      <c r="L3800">
        <v>2010</v>
      </c>
      <c r="R3800" t="s">
        <v>11038</v>
      </c>
      <c r="S3800" t="s">
        <v>10310</v>
      </c>
      <c r="U3800" t="s">
        <v>11048</v>
      </c>
      <c r="W3800" s="2" t="s">
        <v>11204</v>
      </c>
    </row>
    <row r="3801" spans="1:23" hidden="1" x14ac:dyDescent="0.45">
      <c r="A3801" s="1" t="s">
        <v>3759</v>
      </c>
      <c r="B3801" t="s">
        <v>6319</v>
      </c>
      <c r="D3801" t="s">
        <v>8075</v>
      </c>
      <c r="E3801" t="s">
        <v>9715</v>
      </c>
      <c r="F3801" t="s">
        <v>10299</v>
      </c>
      <c r="G3801">
        <v>2.7</v>
      </c>
      <c r="H3801" t="s">
        <v>10310</v>
      </c>
      <c r="I3801" t="s">
        <v>10326</v>
      </c>
      <c r="L3801">
        <v>1955</v>
      </c>
      <c r="R3801" t="s">
        <v>11038</v>
      </c>
      <c r="S3801" t="s">
        <v>10310</v>
      </c>
      <c r="U3801" t="s">
        <v>11047</v>
      </c>
      <c r="W3801" s="2" t="s">
        <v>11204</v>
      </c>
    </row>
    <row r="3802" spans="1:23" hidden="1" x14ac:dyDescent="0.45">
      <c r="A3802" s="1" t="s">
        <v>3760</v>
      </c>
      <c r="B3802" t="s">
        <v>6278</v>
      </c>
      <c r="D3802" t="s">
        <v>8032</v>
      </c>
      <c r="E3802" t="s">
        <v>9775</v>
      </c>
      <c r="F3802" t="s">
        <v>10299</v>
      </c>
      <c r="G3802">
        <v>128</v>
      </c>
      <c r="H3802" t="s">
        <v>10310</v>
      </c>
      <c r="I3802" t="s">
        <v>10326</v>
      </c>
      <c r="L3802">
        <v>1979</v>
      </c>
      <c r="R3802" t="s">
        <v>11038</v>
      </c>
      <c r="S3802" t="s">
        <v>10310</v>
      </c>
      <c r="U3802" t="s">
        <v>11048</v>
      </c>
      <c r="W3802" s="2" t="s">
        <v>11204</v>
      </c>
    </row>
    <row r="3803" spans="1:23" hidden="1" x14ac:dyDescent="0.45">
      <c r="A3803" s="1" t="s">
        <v>3761</v>
      </c>
      <c r="B3803" t="s">
        <v>6466</v>
      </c>
      <c r="D3803" t="s">
        <v>8053</v>
      </c>
      <c r="E3803" t="s">
        <v>9813</v>
      </c>
      <c r="F3803" t="s">
        <v>10299</v>
      </c>
      <c r="G3803">
        <v>4.4000000000000004</v>
      </c>
      <c r="H3803" t="s">
        <v>10310</v>
      </c>
      <c r="I3803" t="s">
        <v>10326</v>
      </c>
      <c r="L3803">
        <v>1946</v>
      </c>
      <c r="R3803" t="s">
        <v>11038</v>
      </c>
      <c r="S3803" t="s">
        <v>10310</v>
      </c>
      <c r="U3803" t="s">
        <v>11048</v>
      </c>
      <c r="W3803" s="2" t="s">
        <v>11204</v>
      </c>
    </row>
    <row r="3804" spans="1:23" hidden="1" x14ac:dyDescent="0.45">
      <c r="A3804" s="1" t="s">
        <v>3762</v>
      </c>
      <c r="B3804" t="s">
        <v>6397</v>
      </c>
      <c r="D3804" t="s">
        <v>8037</v>
      </c>
      <c r="E3804" t="s">
        <v>9726</v>
      </c>
      <c r="F3804" t="s">
        <v>10299</v>
      </c>
      <c r="G3804">
        <v>2.9</v>
      </c>
      <c r="H3804" t="s">
        <v>10310</v>
      </c>
      <c r="I3804" t="s">
        <v>10326</v>
      </c>
      <c r="L3804">
        <v>2004</v>
      </c>
      <c r="R3804" t="s">
        <v>11038</v>
      </c>
      <c r="S3804" t="s">
        <v>10310</v>
      </c>
      <c r="U3804" t="s">
        <v>11050</v>
      </c>
      <c r="W3804" s="2" t="s">
        <v>11204</v>
      </c>
    </row>
    <row r="3805" spans="1:23" hidden="1" x14ac:dyDescent="0.45">
      <c r="A3805" s="1" t="s">
        <v>3763</v>
      </c>
      <c r="B3805" t="s">
        <v>6541</v>
      </c>
      <c r="D3805" t="s">
        <v>8086</v>
      </c>
      <c r="E3805" t="s">
        <v>9814</v>
      </c>
      <c r="F3805" t="s">
        <v>10299</v>
      </c>
      <c r="G3805">
        <v>2.5</v>
      </c>
      <c r="H3805" t="s">
        <v>10310</v>
      </c>
      <c r="I3805" t="s">
        <v>10326</v>
      </c>
      <c r="L3805">
        <v>1920</v>
      </c>
      <c r="R3805" t="s">
        <v>11038</v>
      </c>
      <c r="S3805" t="s">
        <v>10310</v>
      </c>
      <c r="U3805" t="s">
        <v>11048</v>
      </c>
      <c r="W3805" s="2" t="s">
        <v>11204</v>
      </c>
    </row>
    <row r="3806" spans="1:23" hidden="1" x14ac:dyDescent="0.45">
      <c r="A3806" s="1" t="s">
        <v>3764</v>
      </c>
      <c r="B3806" t="s">
        <v>6290</v>
      </c>
      <c r="D3806" t="s">
        <v>8040</v>
      </c>
      <c r="E3806" t="s">
        <v>3764</v>
      </c>
      <c r="F3806" t="s">
        <v>10299</v>
      </c>
      <c r="G3806">
        <v>42.7</v>
      </c>
      <c r="H3806" t="s">
        <v>10310</v>
      </c>
      <c r="I3806" t="s">
        <v>10326</v>
      </c>
      <c r="L3806">
        <v>1975</v>
      </c>
      <c r="R3806" t="s">
        <v>11038</v>
      </c>
      <c r="S3806" t="s">
        <v>10310</v>
      </c>
      <c r="U3806" t="s">
        <v>11050</v>
      </c>
      <c r="W3806" s="2" t="s">
        <v>11204</v>
      </c>
    </row>
    <row r="3807" spans="1:23" hidden="1" x14ac:dyDescent="0.45">
      <c r="A3807" s="1" t="s">
        <v>3765</v>
      </c>
      <c r="B3807" t="s">
        <v>6319</v>
      </c>
      <c r="D3807" t="s">
        <v>8075</v>
      </c>
      <c r="E3807" t="s">
        <v>9715</v>
      </c>
      <c r="F3807" t="s">
        <v>10299</v>
      </c>
      <c r="G3807">
        <v>2.6</v>
      </c>
      <c r="H3807" t="s">
        <v>10310</v>
      </c>
      <c r="I3807" t="s">
        <v>10326</v>
      </c>
      <c r="L3807">
        <v>1937</v>
      </c>
      <c r="R3807" t="s">
        <v>11038</v>
      </c>
      <c r="S3807" t="s">
        <v>10310</v>
      </c>
      <c r="U3807" t="s">
        <v>11047</v>
      </c>
      <c r="W3807" s="2" t="s">
        <v>11204</v>
      </c>
    </row>
    <row r="3808" spans="1:23" hidden="1" x14ac:dyDescent="0.45">
      <c r="A3808" s="1" t="s">
        <v>3766</v>
      </c>
      <c r="B3808" t="s">
        <v>6643</v>
      </c>
      <c r="D3808" t="s">
        <v>8050</v>
      </c>
      <c r="E3808" t="s">
        <v>9645</v>
      </c>
      <c r="F3808" t="s">
        <v>10299</v>
      </c>
      <c r="G3808">
        <v>0.5</v>
      </c>
      <c r="H3808" t="s">
        <v>10310</v>
      </c>
      <c r="I3808" t="s">
        <v>10326</v>
      </c>
      <c r="L3808">
        <v>2003</v>
      </c>
      <c r="R3808" t="s">
        <v>11038</v>
      </c>
      <c r="S3808" t="s">
        <v>10310</v>
      </c>
      <c r="U3808" t="s">
        <v>11050</v>
      </c>
      <c r="W3808" s="2" t="s">
        <v>11204</v>
      </c>
    </row>
    <row r="3809" spans="1:23" hidden="1" x14ac:dyDescent="0.45">
      <c r="A3809" s="1" t="s">
        <v>3767</v>
      </c>
      <c r="D3809" t="s">
        <v>8042</v>
      </c>
      <c r="E3809" t="s">
        <v>1588</v>
      </c>
      <c r="F3809" t="s">
        <v>10299</v>
      </c>
      <c r="G3809">
        <v>1.4999999999999999E-2</v>
      </c>
      <c r="H3809" t="s">
        <v>10310</v>
      </c>
      <c r="I3809" t="s">
        <v>10326</v>
      </c>
      <c r="L3809">
        <v>1997</v>
      </c>
      <c r="R3809" t="s">
        <v>11038</v>
      </c>
      <c r="S3809" t="s">
        <v>10310</v>
      </c>
      <c r="U3809" t="s">
        <v>11047</v>
      </c>
      <c r="W3809" s="2" t="s">
        <v>11204</v>
      </c>
    </row>
    <row r="3810" spans="1:23" hidden="1" x14ac:dyDescent="0.45">
      <c r="A3810" s="1" t="s">
        <v>3768</v>
      </c>
      <c r="B3810" t="s">
        <v>6308</v>
      </c>
      <c r="D3810" t="s">
        <v>8025</v>
      </c>
      <c r="E3810" t="s">
        <v>9720</v>
      </c>
      <c r="F3810" t="s">
        <v>10299</v>
      </c>
      <c r="G3810">
        <v>4.7</v>
      </c>
      <c r="H3810" t="s">
        <v>10310</v>
      </c>
      <c r="I3810" t="s">
        <v>10326</v>
      </c>
      <c r="L3810">
        <v>2012</v>
      </c>
      <c r="R3810" t="s">
        <v>11038</v>
      </c>
      <c r="S3810" t="s">
        <v>10310</v>
      </c>
      <c r="U3810" t="s">
        <v>11048</v>
      </c>
      <c r="W3810" s="2" t="s">
        <v>11204</v>
      </c>
    </row>
    <row r="3811" spans="1:23" hidden="1" x14ac:dyDescent="0.45">
      <c r="A3811" s="1" t="s">
        <v>3769</v>
      </c>
      <c r="B3811" t="s">
        <v>6644</v>
      </c>
      <c r="D3811" t="s">
        <v>8034</v>
      </c>
      <c r="E3811" t="s">
        <v>9627</v>
      </c>
      <c r="F3811" t="s">
        <v>10299</v>
      </c>
      <c r="G3811">
        <v>0.47</v>
      </c>
      <c r="H3811" t="s">
        <v>10310</v>
      </c>
      <c r="I3811" t="s">
        <v>10326</v>
      </c>
      <c r="L3811">
        <v>2008</v>
      </c>
      <c r="R3811" t="s">
        <v>11038</v>
      </c>
      <c r="S3811" t="s">
        <v>10310</v>
      </c>
      <c r="U3811" t="s">
        <v>11049</v>
      </c>
      <c r="W3811" s="2" t="s">
        <v>11204</v>
      </c>
    </row>
    <row r="3812" spans="1:23" hidden="1" x14ac:dyDescent="0.45">
      <c r="A3812" s="1" t="s">
        <v>3770</v>
      </c>
      <c r="B3812" t="s">
        <v>6378</v>
      </c>
      <c r="D3812" t="s">
        <v>8029</v>
      </c>
      <c r="E3812" t="s">
        <v>9661</v>
      </c>
      <c r="F3812" t="s">
        <v>10299</v>
      </c>
      <c r="G3812">
        <v>3.3</v>
      </c>
      <c r="H3812" t="s">
        <v>10310</v>
      </c>
      <c r="I3812" t="s">
        <v>10326</v>
      </c>
      <c r="L3812">
        <v>2009</v>
      </c>
      <c r="R3812" t="s">
        <v>11038</v>
      </c>
      <c r="S3812" t="s">
        <v>10310</v>
      </c>
      <c r="U3812" t="s">
        <v>11049</v>
      </c>
      <c r="W3812" s="2" t="s">
        <v>11204</v>
      </c>
    </row>
    <row r="3813" spans="1:23" hidden="1" x14ac:dyDescent="0.45">
      <c r="A3813" s="1" t="s">
        <v>3771</v>
      </c>
      <c r="B3813" t="s">
        <v>6541</v>
      </c>
      <c r="D3813" t="s">
        <v>8087</v>
      </c>
      <c r="E3813" t="s">
        <v>9815</v>
      </c>
      <c r="F3813" t="s">
        <v>10299</v>
      </c>
      <c r="G3813">
        <v>2</v>
      </c>
      <c r="H3813" t="s">
        <v>10310</v>
      </c>
      <c r="I3813" t="s">
        <v>10326</v>
      </c>
      <c r="L3813">
        <v>1951</v>
      </c>
      <c r="R3813" t="s">
        <v>11038</v>
      </c>
      <c r="S3813" t="s">
        <v>10310</v>
      </c>
      <c r="U3813" t="s">
        <v>11048</v>
      </c>
      <c r="W3813" s="2" t="s">
        <v>11204</v>
      </c>
    </row>
    <row r="3814" spans="1:23" hidden="1" x14ac:dyDescent="0.45">
      <c r="A3814" s="1" t="s">
        <v>3772</v>
      </c>
      <c r="D3814" t="s">
        <v>8078</v>
      </c>
      <c r="E3814" t="s">
        <v>9725</v>
      </c>
      <c r="F3814" t="s">
        <v>10299</v>
      </c>
      <c r="G3814">
        <v>4.4999999999999998E-2</v>
      </c>
      <c r="H3814" t="s">
        <v>10310</v>
      </c>
      <c r="I3814" t="s">
        <v>10326</v>
      </c>
      <c r="L3814">
        <v>1999</v>
      </c>
      <c r="R3814" t="s">
        <v>11038</v>
      </c>
      <c r="S3814" t="s">
        <v>10310</v>
      </c>
      <c r="U3814" t="s">
        <v>11046</v>
      </c>
      <c r="W3814" s="2" t="s">
        <v>11204</v>
      </c>
    </row>
    <row r="3815" spans="1:23" hidden="1" x14ac:dyDescent="0.45">
      <c r="A3815" s="1" t="s">
        <v>3773</v>
      </c>
      <c r="D3815" t="s">
        <v>8084</v>
      </c>
      <c r="E3815" t="s">
        <v>9816</v>
      </c>
      <c r="F3815" t="s">
        <v>10299</v>
      </c>
      <c r="G3815">
        <v>0.01</v>
      </c>
      <c r="H3815" t="s">
        <v>10310</v>
      </c>
      <c r="I3815" t="s">
        <v>10326</v>
      </c>
      <c r="L3815">
        <v>2002</v>
      </c>
      <c r="R3815" t="s">
        <v>11038</v>
      </c>
      <c r="S3815" t="s">
        <v>10310</v>
      </c>
      <c r="U3815" t="s">
        <v>11048</v>
      </c>
      <c r="W3815" s="2" t="s">
        <v>11204</v>
      </c>
    </row>
    <row r="3816" spans="1:23" hidden="1" x14ac:dyDescent="0.45">
      <c r="A3816" s="1" t="s">
        <v>3774</v>
      </c>
      <c r="B3816" t="s">
        <v>6645</v>
      </c>
      <c r="D3816" t="s">
        <v>8037</v>
      </c>
      <c r="E3816" t="s">
        <v>9629</v>
      </c>
      <c r="F3816" t="s">
        <v>10299</v>
      </c>
      <c r="G3816">
        <v>2.16</v>
      </c>
      <c r="H3816" t="s">
        <v>10310</v>
      </c>
      <c r="I3816" t="s">
        <v>10326</v>
      </c>
      <c r="L3816">
        <v>2007</v>
      </c>
      <c r="R3816" t="s">
        <v>11038</v>
      </c>
      <c r="S3816" t="s">
        <v>10310</v>
      </c>
      <c r="U3816" t="s">
        <v>11047</v>
      </c>
      <c r="W3816" s="2" t="s">
        <v>11204</v>
      </c>
    </row>
    <row r="3817" spans="1:23" hidden="1" x14ac:dyDescent="0.45">
      <c r="A3817" s="1" t="s">
        <v>3775</v>
      </c>
      <c r="B3817" t="s">
        <v>6311</v>
      </c>
      <c r="D3817" t="s">
        <v>8039</v>
      </c>
      <c r="E3817" t="s">
        <v>9695</v>
      </c>
      <c r="F3817" t="s">
        <v>10299</v>
      </c>
      <c r="G3817">
        <v>6</v>
      </c>
      <c r="H3817" t="s">
        <v>10310</v>
      </c>
      <c r="I3817" t="s">
        <v>10326</v>
      </c>
      <c r="L3817">
        <v>1966</v>
      </c>
      <c r="R3817" t="s">
        <v>11038</v>
      </c>
      <c r="S3817" t="s">
        <v>10310</v>
      </c>
      <c r="U3817" t="s">
        <v>11046</v>
      </c>
      <c r="W3817" s="2" t="s">
        <v>11204</v>
      </c>
    </row>
    <row r="3818" spans="1:23" hidden="1" x14ac:dyDescent="0.45">
      <c r="A3818" s="1" t="s">
        <v>3776</v>
      </c>
      <c r="B3818" t="s">
        <v>6646</v>
      </c>
      <c r="D3818" t="s">
        <v>8082</v>
      </c>
      <c r="E3818" t="s">
        <v>4687</v>
      </c>
      <c r="F3818" t="s">
        <v>10299</v>
      </c>
      <c r="G3818">
        <v>2.88</v>
      </c>
      <c r="H3818" t="s">
        <v>10310</v>
      </c>
      <c r="I3818" t="s">
        <v>10326</v>
      </c>
      <c r="L3818">
        <v>2014</v>
      </c>
      <c r="R3818" t="s">
        <v>11038</v>
      </c>
      <c r="S3818" t="s">
        <v>10310</v>
      </c>
      <c r="U3818" t="s">
        <v>11049</v>
      </c>
      <c r="W3818" s="2" t="s">
        <v>11204</v>
      </c>
    </row>
    <row r="3819" spans="1:23" hidden="1" x14ac:dyDescent="0.45">
      <c r="A3819" s="1" t="s">
        <v>3777</v>
      </c>
      <c r="B3819" t="s">
        <v>6647</v>
      </c>
      <c r="D3819" t="s">
        <v>8073</v>
      </c>
      <c r="E3819" t="s">
        <v>9701</v>
      </c>
      <c r="F3819" t="s">
        <v>10299</v>
      </c>
      <c r="G3819">
        <v>3.2</v>
      </c>
      <c r="H3819" t="s">
        <v>10310</v>
      </c>
      <c r="I3819" t="s">
        <v>10326</v>
      </c>
      <c r="L3819">
        <v>2017</v>
      </c>
      <c r="R3819" t="s">
        <v>11038</v>
      </c>
      <c r="S3819" t="s">
        <v>10310</v>
      </c>
      <c r="U3819" t="s">
        <v>11047</v>
      </c>
      <c r="W3819" s="2" t="s">
        <v>11204</v>
      </c>
    </row>
    <row r="3820" spans="1:23" hidden="1" x14ac:dyDescent="0.45">
      <c r="A3820" s="1" t="s">
        <v>3778</v>
      </c>
      <c r="B3820" t="s">
        <v>6648</v>
      </c>
      <c r="D3820" t="s">
        <v>8051</v>
      </c>
      <c r="E3820" t="s">
        <v>9817</v>
      </c>
      <c r="F3820" t="s">
        <v>10299</v>
      </c>
      <c r="G3820">
        <v>10.6</v>
      </c>
      <c r="H3820" t="s">
        <v>10310</v>
      </c>
      <c r="I3820" t="s">
        <v>10326</v>
      </c>
      <c r="L3820">
        <v>1952</v>
      </c>
      <c r="R3820" t="s">
        <v>11038</v>
      </c>
      <c r="S3820" t="s">
        <v>10310</v>
      </c>
      <c r="U3820" t="s">
        <v>11050</v>
      </c>
      <c r="W3820" s="2" t="s">
        <v>11204</v>
      </c>
    </row>
    <row r="3821" spans="1:23" hidden="1" x14ac:dyDescent="0.45">
      <c r="A3821" s="1" t="s">
        <v>3779</v>
      </c>
      <c r="B3821" t="s">
        <v>6649</v>
      </c>
      <c r="D3821" t="s">
        <v>8038</v>
      </c>
      <c r="E3821" t="s">
        <v>9630</v>
      </c>
      <c r="F3821" t="s">
        <v>10299</v>
      </c>
      <c r="G3821">
        <v>0.5</v>
      </c>
      <c r="H3821" t="s">
        <v>10310</v>
      </c>
      <c r="I3821" t="s">
        <v>10326</v>
      </c>
      <c r="L3821">
        <v>2010</v>
      </c>
      <c r="R3821" t="s">
        <v>11038</v>
      </c>
      <c r="S3821" t="s">
        <v>10310</v>
      </c>
      <c r="U3821" t="s">
        <v>11047</v>
      </c>
      <c r="W3821" s="2" t="s">
        <v>11204</v>
      </c>
    </row>
    <row r="3822" spans="1:23" hidden="1" x14ac:dyDescent="0.45">
      <c r="A3822" s="1" t="s">
        <v>3780</v>
      </c>
      <c r="B3822" t="s">
        <v>6650</v>
      </c>
      <c r="D3822" t="s">
        <v>8037</v>
      </c>
      <c r="E3822" t="s">
        <v>9629</v>
      </c>
      <c r="F3822" t="s">
        <v>10299</v>
      </c>
      <c r="G3822">
        <v>2.67</v>
      </c>
      <c r="H3822" t="s">
        <v>10310</v>
      </c>
      <c r="I3822" t="s">
        <v>10326</v>
      </c>
      <c r="L3822">
        <v>2016</v>
      </c>
      <c r="R3822" t="s">
        <v>11038</v>
      </c>
      <c r="S3822" t="s">
        <v>10310</v>
      </c>
      <c r="U3822" t="s">
        <v>11047</v>
      </c>
      <c r="W3822" s="2" t="s">
        <v>11204</v>
      </c>
    </row>
    <row r="3823" spans="1:23" hidden="1" x14ac:dyDescent="0.45">
      <c r="A3823" s="1" t="s">
        <v>3781</v>
      </c>
      <c r="B3823" t="s">
        <v>6651</v>
      </c>
      <c r="D3823" t="s">
        <v>8073</v>
      </c>
      <c r="E3823" t="s">
        <v>9701</v>
      </c>
      <c r="F3823" t="s">
        <v>10299</v>
      </c>
      <c r="G3823">
        <v>0.48</v>
      </c>
      <c r="H3823" t="s">
        <v>10310</v>
      </c>
      <c r="I3823" t="s">
        <v>10326</v>
      </c>
      <c r="L3823">
        <v>2012</v>
      </c>
      <c r="R3823" t="s">
        <v>11038</v>
      </c>
      <c r="S3823" t="s">
        <v>10310</v>
      </c>
      <c r="U3823" t="s">
        <v>11047</v>
      </c>
      <c r="W3823" s="2" t="s">
        <v>11204</v>
      </c>
    </row>
    <row r="3824" spans="1:23" hidden="1" x14ac:dyDescent="0.45">
      <c r="A3824" s="1" t="s">
        <v>3782</v>
      </c>
      <c r="B3824" t="s">
        <v>6434</v>
      </c>
      <c r="D3824" t="s">
        <v>8061</v>
      </c>
      <c r="E3824" t="s">
        <v>9665</v>
      </c>
      <c r="F3824" t="s">
        <v>10299</v>
      </c>
      <c r="G3824">
        <v>40</v>
      </c>
      <c r="H3824" t="s">
        <v>10310</v>
      </c>
      <c r="I3824" t="s">
        <v>10326</v>
      </c>
      <c r="L3824">
        <v>1967</v>
      </c>
      <c r="R3824" t="s">
        <v>11038</v>
      </c>
      <c r="S3824" t="s">
        <v>10310</v>
      </c>
      <c r="U3824" t="s">
        <v>11046</v>
      </c>
      <c r="W3824" s="2" t="s">
        <v>11204</v>
      </c>
    </row>
    <row r="3825" spans="1:23" hidden="1" x14ac:dyDescent="0.45">
      <c r="A3825" s="1" t="s">
        <v>3783</v>
      </c>
      <c r="B3825" t="s">
        <v>6652</v>
      </c>
      <c r="D3825" t="s">
        <v>8070</v>
      </c>
      <c r="E3825" t="s">
        <v>4102</v>
      </c>
      <c r="F3825" t="s">
        <v>10299</v>
      </c>
      <c r="G3825">
        <v>4.04</v>
      </c>
      <c r="H3825" t="s">
        <v>10310</v>
      </c>
      <c r="I3825" t="s">
        <v>10326</v>
      </c>
      <c r="L3825">
        <v>2008</v>
      </c>
      <c r="R3825" t="s">
        <v>11038</v>
      </c>
      <c r="S3825" t="s">
        <v>10310</v>
      </c>
      <c r="U3825" t="s">
        <v>11048</v>
      </c>
      <c r="W3825" s="2" t="s">
        <v>11204</v>
      </c>
    </row>
    <row r="3826" spans="1:23" hidden="1" x14ac:dyDescent="0.45">
      <c r="A3826" s="1" t="s">
        <v>3784</v>
      </c>
      <c r="B3826" t="s">
        <v>6653</v>
      </c>
      <c r="D3826" t="s">
        <v>8045</v>
      </c>
      <c r="E3826" t="s">
        <v>9644</v>
      </c>
      <c r="F3826" t="s">
        <v>10299</v>
      </c>
      <c r="G3826">
        <v>2.2000000000000002</v>
      </c>
      <c r="H3826" t="s">
        <v>10310</v>
      </c>
      <c r="I3826" t="s">
        <v>10326</v>
      </c>
      <c r="L3826">
        <v>1987</v>
      </c>
      <c r="R3826" t="s">
        <v>11038</v>
      </c>
      <c r="S3826" t="s">
        <v>10310</v>
      </c>
      <c r="U3826" t="s">
        <v>11048</v>
      </c>
      <c r="W3826" s="2" t="s">
        <v>11204</v>
      </c>
    </row>
    <row r="3827" spans="1:23" hidden="1" x14ac:dyDescent="0.45">
      <c r="A3827" s="1" t="s">
        <v>3785</v>
      </c>
      <c r="B3827" t="s">
        <v>6281</v>
      </c>
      <c r="D3827" t="s">
        <v>8036</v>
      </c>
      <c r="E3827" t="s">
        <v>9628</v>
      </c>
      <c r="F3827" t="s">
        <v>10299</v>
      </c>
      <c r="G3827">
        <v>4.33</v>
      </c>
      <c r="H3827" t="s">
        <v>10310</v>
      </c>
      <c r="I3827" t="s">
        <v>10326</v>
      </c>
      <c r="L3827">
        <v>2011</v>
      </c>
      <c r="R3827" t="s">
        <v>11038</v>
      </c>
      <c r="S3827" t="s">
        <v>10310</v>
      </c>
      <c r="U3827" t="s">
        <v>11048</v>
      </c>
      <c r="W3827" s="2" t="s">
        <v>11204</v>
      </c>
    </row>
    <row r="3828" spans="1:23" hidden="1" x14ac:dyDescent="0.45">
      <c r="A3828" s="1" t="s">
        <v>3786</v>
      </c>
      <c r="B3828" t="s">
        <v>6281</v>
      </c>
      <c r="D3828" t="s">
        <v>8030</v>
      </c>
      <c r="E3828" t="s">
        <v>9670</v>
      </c>
      <c r="F3828" t="s">
        <v>10299</v>
      </c>
      <c r="G3828">
        <v>5.4</v>
      </c>
      <c r="H3828" t="s">
        <v>10310</v>
      </c>
      <c r="I3828" t="s">
        <v>10326</v>
      </c>
      <c r="L3828">
        <v>2011</v>
      </c>
      <c r="R3828" t="s">
        <v>11038</v>
      </c>
      <c r="S3828" t="s">
        <v>10310</v>
      </c>
      <c r="U3828" t="s">
        <v>11046</v>
      </c>
      <c r="W3828" s="2" t="s">
        <v>11204</v>
      </c>
    </row>
    <row r="3829" spans="1:23" hidden="1" x14ac:dyDescent="0.45">
      <c r="A3829" s="1" t="s">
        <v>3787</v>
      </c>
      <c r="B3829" t="s">
        <v>6654</v>
      </c>
      <c r="D3829" t="s">
        <v>8068</v>
      </c>
      <c r="E3829" t="s">
        <v>9682</v>
      </c>
      <c r="F3829" t="s">
        <v>10299</v>
      </c>
      <c r="G3829">
        <v>5</v>
      </c>
      <c r="H3829" t="s">
        <v>10310</v>
      </c>
      <c r="I3829" t="s">
        <v>10326</v>
      </c>
      <c r="L3829">
        <v>2015</v>
      </c>
      <c r="R3829" t="s">
        <v>11038</v>
      </c>
      <c r="S3829" t="s">
        <v>10310</v>
      </c>
      <c r="U3829" t="s">
        <v>11049</v>
      </c>
      <c r="W3829" s="2" t="s">
        <v>11204</v>
      </c>
    </row>
    <row r="3830" spans="1:23" hidden="1" x14ac:dyDescent="0.45">
      <c r="A3830" s="1" t="s">
        <v>3788</v>
      </c>
      <c r="D3830" t="s">
        <v>8068</v>
      </c>
      <c r="E3830" t="s">
        <v>9682</v>
      </c>
      <c r="F3830" t="s">
        <v>10299</v>
      </c>
      <c r="G3830">
        <v>0.23200000000000001</v>
      </c>
      <c r="H3830" t="s">
        <v>10310</v>
      </c>
      <c r="I3830" t="s">
        <v>10326</v>
      </c>
      <c r="L3830">
        <v>2004</v>
      </c>
      <c r="R3830" t="s">
        <v>11038</v>
      </c>
      <c r="S3830" t="s">
        <v>10310</v>
      </c>
      <c r="U3830" t="s">
        <v>11049</v>
      </c>
      <c r="W3830" s="2" t="s">
        <v>11204</v>
      </c>
    </row>
    <row r="3831" spans="1:23" hidden="1" x14ac:dyDescent="0.45">
      <c r="A3831" s="1" t="s">
        <v>3789</v>
      </c>
      <c r="D3831" t="s">
        <v>8044</v>
      </c>
      <c r="E3831" t="s">
        <v>9638</v>
      </c>
      <c r="F3831" t="s">
        <v>10299</v>
      </c>
      <c r="G3831">
        <v>4.0000000000000001E-3</v>
      </c>
      <c r="H3831" t="s">
        <v>10310</v>
      </c>
      <c r="I3831" t="s">
        <v>10326</v>
      </c>
      <c r="L3831">
        <v>2004</v>
      </c>
      <c r="R3831" t="s">
        <v>11038</v>
      </c>
      <c r="S3831" t="s">
        <v>10310</v>
      </c>
      <c r="U3831" t="s">
        <v>11047</v>
      </c>
      <c r="W3831" s="2" t="s">
        <v>11204</v>
      </c>
    </row>
    <row r="3832" spans="1:23" hidden="1" x14ac:dyDescent="0.45">
      <c r="A3832" s="1" t="s">
        <v>3790</v>
      </c>
      <c r="B3832" t="s">
        <v>6655</v>
      </c>
      <c r="D3832" t="s">
        <v>8031</v>
      </c>
      <c r="E3832" t="s">
        <v>9773</v>
      </c>
      <c r="F3832" t="s">
        <v>10299</v>
      </c>
      <c r="G3832">
        <v>0.995</v>
      </c>
      <c r="H3832" t="s">
        <v>10310</v>
      </c>
      <c r="I3832" t="s">
        <v>10326</v>
      </c>
      <c r="L3832">
        <v>1999</v>
      </c>
      <c r="R3832" t="s">
        <v>11038</v>
      </c>
      <c r="S3832" t="s">
        <v>10310</v>
      </c>
      <c r="U3832" t="s">
        <v>11046</v>
      </c>
      <c r="W3832" s="2" t="s">
        <v>11204</v>
      </c>
    </row>
    <row r="3833" spans="1:23" hidden="1" x14ac:dyDescent="0.45">
      <c r="A3833" s="1" t="s">
        <v>3791</v>
      </c>
      <c r="D3833" t="s">
        <v>8026</v>
      </c>
      <c r="E3833" t="s">
        <v>9721</v>
      </c>
      <c r="F3833" t="s">
        <v>10299</v>
      </c>
      <c r="G3833">
        <v>1.4E-2</v>
      </c>
      <c r="H3833" t="s">
        <v>10310</v>
      </c>
      <c r="I3833" t="s">
        <v>10326</v>
      </c>
      <c r="L3833">
        <v>2003</v>
      </c>
      <c r="R3833" t="s">
        <v>11038</v>
      </c>
      <c r="S3833" t="s">
        <v>10310</v>
      </c>
      <c r="U3833" t="s">
        <v>11050</v>
      </c>
      <c r="W3833" s="2" t="s">
        <v>11204</v>
      </c>
    </row>
    <row r="3834" spans="1:23" hidden="1" x14ac:dyDescent="0.45">
      <c r="A3834" s="1" t="s">
        <v>3792</v>
      </c>
      <c r="B3834" t="s">
        <v>6656</v>
      </c>
      <c r="D3834" t="s">
        <v>8041</v>
      </c>
      <c r="E3834" t="s">
        <v>9764</v>
      </c>
      <c r="F3834" t="s">
        <v>10299</v>
      </c>
      <c r="G3834">
        <v>0.28000000000000003</v>
      </c>
      <c r="H3834" t="s">
        <v>10310</v>
      </c>
      <c r="I3834" t="s">
        <v>10326</v>
      </c>
      <c r="L3834">
        <v>1917</v>
      </c>
      <c r="R3834" t="s">
        <v>11038</v>
      </c>
      <c r="S3834" t="s">
        <v>10310</v>
      </c>
      <c r="U3834" t="s">
        <v>11050</v>
      </c>
      <c r="W3834" s="2" t="s">
        <v>11204</v>
      </c>
    </row>
    <row r="3835" spans="1:23" hidden="1" x14ac:dyDescent="0.45">
      <c r="A3835" s="1" t="s">
        <v>3793</v>
      </c>
      <c r="B3835" t="s">
        <v>6290</v>
      </c>
      <c r="D3835" t="s">
        <v>8056</v>
      </c>
      <c r="E3835" t="s">
        <v>4694</v>
      </c>
      <c r="F3835" t="s">
        <v>10299</v>
      </c>
      <c r="G3835">
        <v>1.1000000000000001</v>
      </c>
      <c r="H3835" t="s">
        <v>10310</v>
      </c>
      <c r="I3835" t="s">
        <v>10326</v>
      </c>
      <c r="L3835">
        <v>1936</v>
      </c>
      <c r="R3835" t="s">
        <v>11038</v>
      </c>
      <c r="S3835" t="s">
        <v>10310</v>
      </c>
      <c r="U3835" t="s">
        <v>11050</v>
      </c>
      <c r="W3835" s="2" t="s">
        <v>11204</v>
      </c>
    </row>
    <row r="3836" spans="1:23" hidden="1" x14ac:dyDescent="0.45">
      <c r="A3836" s="1" t="s">
        <v>3794</v>
      </c>
      <c r="B3836" t="s">
        <v>6657</v>
      </c>
      <c r="D3836" t="s">
        <v>8041</v>
      </c>
      <c r="E3836" t="s">
        <v>9687</v>
      </c>
      <c r="F3836" t="s">
        <v>10299</v>
      </c>
      <c r="G3836">
        <v>7.0000000000000007E-2</v>
      </c>
      <c r="H3836" t="s">
        <v>10310</v>
      </c>
      <c r="I3836" t="s">
        <v>10326</v>
      </c>
      <c r="L3836">
        <v>2007</v>
      </c>
      <c r="R3836" t="s">
        <v>11038</v>
      </c>
      <c r="S3836" t="s">
        <v>10310</v>
      </c>
      <c r="U3836" t="s">
        <v>11047</v>
      </c>
      <c r="W3836" s="2" t="s">
        <v>11204</v>
      </c>
    </row>
    <row r="3837" spans="1:23" hidden="1" x14ac:dyDescent="0.45">
      <c r="A3837" s="1" t="s">
        <v>3795</v>
      </c>
      <c r="B3837" t="s">
        <v>6658</v>
      </c>
      <c r="D3837" t="s">
        <v>8048</v>
      </c>
      <c r="E3837" t="s">
        <v>3684</v>
      </c>
      <c r="F3837" t="s">
        <v>10299</v>
      </c>
      <c r="G3837">
        <v>9.9000000000000005E-2</v>
      </c>
      <c r="H3837" t="s">
        <v>10310</v>
      </c>
      <c r="I3837" t="s">
        <v>10326</v>
      </c>
      <c r="L3837">
        <v>2005</v>
      </c>
      <c r="R3837" t="s">
        <v>11038</v>
      </c>
      <c r="S3837" t="s">
        <v>10310</v>
      </c>
      <c r="U3837" t="s">
        <v>11046</v>
      </c>
      <c r="W3837" s="2" t="s">
        <v>11204</v>
      </c>
    </row>
    <row r="3838" spans="1:23" hidden="1" x14ac:dyDescent="0.45">
      <c r="A3838" s="1" t="s">
        <v>3796</v>
      </c>
      <c r="D3838" t="s">
        <v>8045</v>
      </c>
      <c r="E3838" t="s">
        <v>9646</v>
      </c>
      <c r="F3838" t="s">
        <v>10299</v>
      </c>
      <c r="G3838">
        <v>0.32</v>
      </c>
      <c r="H3838" t="s">
        <v>10310</v>
      </c>
      <c r="I3838" t="s">
        <v>10326</v>
      </c>
      <c r="L3838">
        <v>2000</v>
      </c>
      <c r="R3838" t="s">
        <v>11038</v>
      </c>
      <c r="S3838" t="s">
        <v>10310</v>
      </c>
      <c r="U3838" t="s">
        <v>11047</v>
      </c>
      <c r="W3838" s="2" t="s">
        <v>11204</v>
      </c>
    </row>
    <row r="3839" spans="1:23" hidden="1" x14ac:dyDescent="0.45">
      <c r="A3839" s="1" t="s">
        <v>3797</v>
      </c>
      <c r="D3839" t="s">
        <v>8049</v>
      </c>
      <c r="E3839" t="s">
        <v>9716</v>
      </c>
      <c r="F3839" t="s">
        <v>10299</v>
      </c>
      <c r="G3839">
        <v>1.0999999999999999E-2</v>
      </c>
      <c r="H3839" t="s">
        <v>10310</v>
      </c>
      <c r="I3839" t="s">
        <v>10326</v>
      </c>
      <c r="L3839">
        <v>1993</v>
      </c>
      <c r="R3839" t="s">
        <v>11038</v>
      </c>
      <c r="S3839" t="s">
        <v>10310</v>
      </c>
      <c r="U3839" t="s">
        <v>11046</v>
      </c>
      <c r="W3839" s="2" t="s">
        <v>11204</v>
      </c>
    </row>
    <row r="3840" spans="1:23" hidden="1" x14ac:dyDescent="0.45">
      <c r="A3840" s="1" t="s">
        <v>3797</v>
      </c>
      <c r="B3840" t="s">
        <v>6659</v>
      </c>
      <c r="D3840" t="s">
        <v>8037</v>
      </c>
      <c r="E3840" t="s">
        <v>9629</v>
      </c>
      <c r="F3840" t="s">
        <v>10299</v>
      </c>
      <c r="G3840">
        <v>0.1424</v>
      </c>
      <c r="H3840" t="s">
        <v>10310</v>
      </c>
      <c r="I3840" t="s">
        <v>10326</v>
      </c>
      <c r="L3840">
        <v>1997</v>
      </c>
      <c r="R3840" t="s">
        <v>11038</v>
      </c>
      <c r="S3840" t="s">
        <v>10310</v>
      </c>
      <c r="U3840" t="s">
        <v>11047</v>
      </c>
      <c r="W3840" s="2" t="s">
        <v>11204</v>
      </c>
    </row>
    <row r="3841" spans="1:23" hidden="1" x14ac:dyDescent="0.45">
      <c r="A3841" s="1" t="s">
        <v>3798</v>
      </c>
      <c r="B3841" t="s">
        <v>6660</v>
      </c>
      <c r="D3841" t="s">
        <v>8036</v>
      </c>
      <c r="E3841" t="s">
        <v>4123</v>
      </c>
      <c r="F3841" t="s">
        <v>10299</v>
      </c>
      <c r="G3841">
        <v>2.8319999999999999</v>
      </c>
      <c r="H3841" t="s">
        <v>10310</v>
      </c>
      <c r="I3841" t="s">
        <v>10326</v>
      </c>
      <c r="L3841">
        <v>2013</v>
      </c>
      <c r="R3841" t="s">
        <v>11038</v>
      </c>
      <c r="S3841" t="s">
        <v>10310</v>
      </c>
      <c r="U3841" t="s">
        <v>11050</v>
      </c>
      <c r="W3841" s="2" t="s">
        <v>11204</v>
      </c>
    </row>
    <row r="3842" spans="1:23" hidden="1" x14ac:dyDescent="0.45">
      <c r="A3842" s="1" t="s">
        <v>3799</v>
      </c>
      <c r="B3842" t="s">
        <v>6661</v>
      </c>
      <c r="D3842" t="s">
        <v>8083</v>
      </c>
      <c r="E3842" t="s">
        <v>9760</v>
      </c>
      <c r="F3842" t="s">
        <v>10299</v>
      </c>
      <c r="G3842">
        <v>2.75</v>
      </c>
      <c r="H3842" t="s">
        <v>10310</v>
      </c>
      <c r="I3842" t="s">
        <v>10326</v>
      </c>
      <c r="L3842">
        <v>2008</v>
      </c>
      <c r="R3842" t="s">
        <v>11038</v>
      </c>
      <c r="S3842" t="s">
        <v>10310</v>
      </c>
      <c r="U3842" t="s">
        <v>11047</v>
      </c>
      <c r="W3842" s="2" t="s">
        <v>11204</v>
      </c>
    </row>
    <row r="3843" spans="1:23" hidden="1" x14ac:dyDescent="0.45">
      <c r="A3843" s="1" t="s">
        <v>3800</v>
      </c>
      <c r="B3843" t="s">
        <v>6579</v>
      </c>
      <c r="D3843" t="s">
        <v>8033</v>
      </c>
      <c r="E3843" t="s">
        <v>9802</v>
      </c>
      <c r="F3843" t="s">
        <v>10299</v>
      </c>
      <c r="G3843">
        <v>0.5</v>
      </c>
      <c r="H3843" t="s">
        <v>10310</v>
      </c>
      <c r="I3843" t="s">
        <v>10326</v>
      </c>
      <c r="L3843">
        <v>1997</v>
      </c>
      <c r="R3843" t="s">
        <v>11038</v>
      </c>
      <c r="S3843" t="s">
        <v>10310</v>
      </c>
      <c r="U3843" t="s">
        <v>11050</v>
      </c>
      <c r="W3843" s="2" t="s">
        <v>11204</v>
      </c>
    </row>
    <row r="3844" spans="1:23" hidden="1" x14ac:dyDescent="0.45">
      <c r="A3844" s="1" t="s">
        <v>3801</v>
      </c>
      <c r="B3844" t="s">
        <v>6281</v>
      </c>
      <c r="D3844" t="s">
        <v>8033</v>
      </c>
      <c r="E3844" t="s">
        <v>9818</v>
      </c>
      <c r="F3844" t="s">
        <v>10299</v>
      </c>
      <c r="G3844">
        <v>2.83</v>
      </c>
      <c r="H3844" t="s">
        <v>10310</v>
      </c>
      <c r="I3844" t="s">
        <v>10326</v>
      </c>
      <c r="L3844">
        <v>2017</v>
      </c>
      <c r="R3844" t="s">
        <v>11038</v>
      </c>
      <c r="S3844" t="s">
        <v>10310</v>
      </c>
      <c r="U3844" t="s">
        <v>11047</v>
      </c>
      <c r="W3844" s="2" t="s">
        <v>11204</v>
      </c>
    </row>
    <row r="3845" spans="1:23" hidden="1" x14ac:dyDescent="0.45">
      <c r="A3845" s="1" t="s">
        <v>3802</v>
      </c>
      <c r="B3845" t="s">
        <v>6274</v>
      </c>
      <c r="D3845" t="s">
        <v>8061</v>
      </c>
      <c r="E3845" t="s">
        <v>9665</v>
      </c>
      <c r="F3845" t="s">
        <v>10299</v>
      </c>
      <c r="G3845">
        <v>1240</v>
      </c>
      <c r="H3845" t="s">
        <v>10310</v>
      </c>
      <c r="I3845" t="s">
        <v>10326</v>
      </c>
      <c r="L3845">
        <v>1981</v>
      </c>
      <c r="R3845" t="s">
        <v>11038</v>
      </c>
      <c r="S3845" t="s">
        <v>10310</v>
      </c>
      <c r="U3845" t="s">
        <v>11046</v>
      </c>
      <c r="W3845" s="2" t="s">
        <v>11204</v>
      </c>
    </row>
    <row r="3846" spans="1:23" hidden="1" x14ac:dyDescent="0.45">
      <c r="A3846" s="1" t="s">
        <v>3803</v>
      </c>
      <c r="B3846" t="s">
        <v>6662</v>
      </c>
      <c r="D3846" t="s">
        <v>8061</v>
      </c>
      <c r="E3846" t="s">
        <v>9819</v>
      </c>
      <c r="F3846" t="s">
        <v>10299</v>
      </c>
      <c r="G3846">
        <v>0.32</v>
      </c>
      <c r="H3846" t="s">
        <v>10310</v>
      </c>
      <c r="I3846" t="s">
        <v>10326</v>
      </c>
      <c r="L3846">
        <v>2006</v>
      </c>
      <c r="R3846" t="s">
        <v>11038</v>
      </c>
      <c r="S3846" t="s">
        <v>10310</v>
      </c>
      <c r="U3846" t="s">
        <v>11048</v>
      </c>
      <c r="W3846" s="2" t="s">
        <v>11204</v>
      </c>
    </row>
    <row r="3847" spans="1:23" hidden="1" x14ac:dyDescent="0.45">
      <c r="A3847" s="1" t="s">
        <v>3804</v>
      </c>
      <c r="B3847" t="s">
        <v>6395</v>
      </c>
      <c r="D3847" t="s">
        <v>8039</v>
      </c>
      <c r="E3847" t="s">
        <v>9695</v>
      </c>
      <c r="F3847" t="s">
        <v>10299</v>
      </c>
      <c r="G3847">
        <v>80</v>
      </c>
      <c r="H3847" t="s">
        <v>10310</v>
      </c>
      <c r="I3847" t="s">
        <v>10326</v>
      </c>
      <c r="L3847">
        <v>1981</v>
      </c>
      <c r="R3847" t="s">
        <v>11038</v>
      </c>
      <c r="S3847" t="s">
        <v>10310</v>
      </c>
      <c r="U3847" t="s">
        <v>11046</v>
      </c>
      <c r="W3847" s="2" t="s">
        <v>11204</v>
      </c>
    </row>
    <row r="3848" spans="1:23" hidden="1" x14ac:dyDescent="0.45">
      <c r="A3848" s="1" t="s">
        <v>3805</v>
      </c>
      <c r="B3848" t="s">
        <v>6311</v>
      </c>
      <c r="D3848" t="s">
        <v>8055</v>
      </c>
      <c r="E3848" t="s">
        <v>3805</v>
      </c>
      <c r="F3848" t="s">
        <v>10299</v>
      </c>
      <c r="G3848">
        <v>1.3</v>
      </c>
      <c r="H3848" t="s">
        <v>10310</v>
      </c>
      <c r="I3848" t="s">
        <v>10326</v>
      </c>
      <c r="L3848">
        <v>2006</v>
      </c>
      <c r="R3848" t="s">
        <v>11038</v>
      </c>
      <c r="S3848" t="s">
        <v>10310</v>
      </c>
      <c r="U3848" t="s">
        <v>11046</v>
      </c>
      <c r="W3848" s="2" t="s">
        <v>11204</v>
      </c>
    </row>
    <row r="3849" spans="1:23" hidden="1" x14ac:dyDescent="0.45">
      <c r="A3849" s="1" t="s">
        <v>3806</v>
      </c>
      <c r="B3849" t="s">
        <v>6663</v>
      </c>
      <c r="D3849" t="s">
        <v>8071</v>
      </c>
      <c r="E3849" t="s">
        <v>9689</v>
      </c>
      <c r="F3849" t="s">
        <v>10299</v>
      </c>
      <c r="G3849">
        <v>1.3</v>
      </c>
      <c r="H3849" t="s">
        <v>10310</v>
      </c>
      <c r="I3849" t="s">
        <v>10326</v>
      </c>
      <c r="L3849">
        <v>2005</v>
      </c>
      <c r="R3849" t="s">
        <v>11038</v>
      </c>
      <c r="S3849" t="s">
        <v>10310</v>
      </c>
      <c r="U3849" t="s">
        <v>11047</v>
      </c>
      <c r="W3849" s="2" t="s">
        <v>11204</v>
      </c>
    </row>
    <row r="3850" spans="1:23" hidden="1" x14ac:dyDescent="0.45">
      <c r="A3850" s="1" t="s">
        <v>3807</v>
      </c>
      <c r="B3850" t="s">
        <v>6664</v>
      </c>
      <c r="D3850" t="s">
        <v>8056</v>
      </c>
      <c r="E3850" t="s">
        <v>9669</v>
      </c>
      <c r="F3850" t="s">
        <v>10299</v>
      </c>
      <c r="G3850">
        <v>0.45</v>
      </c>
      <c r="H3850" t="s">
        <v>10310</v>
      </c>
      <c r="I3850" t="s">
        <v>10326</v>
      </c>
      <c r="L3850">
        <v>2011</v>
      </c>
      <c r="R3850" t="s">
        <v>11038</v>
      </c>
      <c r="S3850" t="s">
        <v>10310</v>
      </c>
      <c r="U3850" t="s">
        <v>11046</v>
      </c>
      <c r="W3850" s="2" t="s">
        <v>11204</v>
      </c>
    </row>
    <row r="3851" spans="1:23" hidden="1" x14ac:dyDescent="0.45">
      <c r="A3851" s="1" t="s">
        <v>3808</v>
      </c>
      <c r="B3851" t="s">
        <v>6541</v>
      </c>
      <c r="D3851" t="s">
        <v>8086</v>
      </c>
      <c r="E3851" t="s">
        <v>9814</v>
      </c>
      <c r="F3851" t="s">
        <v>10299</v>
      </c>
      <c r="G3851">
        <v>1.8</v>
      </c>
      <c r="H3851" t="s">
        <v>10310</v>
      </c>
      <c r="I3851" t="s">
        <v>10326</v>
      </c>
      <c r="L3851">
        <v>1956</v>
      </c>
      <c r="R3851" t="s">
        <v>11038</v>
      </c>
      <c r="S3851" t="s">
        <v>10310</v>
      </c>
      <c r="U3851" t="s">
        <v>11048</v>
      </c>
      <c r="W3851" s="2" t="s">
        <v>11204</v>
      </c>
    </row>
    <row r="3852" spans="1:23" hidden="1" x14ac:dyDescent="0.45">
      <c r="A3852" s="1" t="s">
        <v>3809</v>
      </c>
      <c r="B3852" t="s">
        <v>6665</v>
      </c>
      <c r="D3852" t="s">
        <v>8034</v>
      </c>
      <c r="E3852" t="s">
        <v>9820</v>
      </c>
      <c r="F3852" t="s">
        <v>10299</v>
      </c>
      <c r="G3852">
        <v>0.3</v>
      </c>
      <c r="H3852" t="s">
        <v>10310</v>
      </c>
      <c r="I3852" t="s">
        <v>10326</v>
      </c>
      <c r="L3852">
        <v>1926</v>
      </c>
      <c r="R3852" t="s">
        <v>11038</v>
      </c>
      <c r="S3852" t="s">
        <v>10310</v>
      </c>
      <c r="U3852" t="s">
        <v>11046</v>
      </c>
      <c r="W3852" s="2" t="s">
        <v>11204</v>
      </c>
    </row>
    <row r="3853" spans="1:23" hidden="1" x14ac:dyDescent="0.45">
      <c r="A3853" s="1" t="s">
        <v>3810</v>
      </c>
      <c r="B3853" t="s">
        <v>6666</v>
      </c>
      <c r="D3853" t="s">
        <v>8048</v>
      </c>
      <c r="E3853" t="s">
        <v>9642</v>
      </c>
      <c r="F3853" t="s">
        <v>10299</v>
      </c>
      <c r="G3853">
        <v>9</v>
      </c>
      <c r="H3853" t="s">
        <v>10310</v>
      </c>
      <c r="I3853" t="s">
        <v>10326</v>
      </c>
      <c r="L3853">
        <v>2015</v>
      </c>
      <c r="R3853" t="s">
        <v>11038</v>
      </c>
      <c r="S3853" t="s">
        <v>10310</v>
      </c>
      <c r="U3853" t="s">
        <v>11046</v>
      </c>
      <c r="W3853" s="2" t="s">
        <v>11204</v>
      </c>
    </row>
    <row r="3854" spans="1:23" hidden="1" x14ac:dyDescent="0.45">
      <c r="A3854" s="1" t="s">
        <v>3811</v>
      </c>
      <c r="B3854" t="s">
        <v>6378</v>
      </c>
      <c r="D3854" t="s">
        <v>8063</v>
      </c>
      <c r="E3854" t="s">
        <v>9727</v>
      </c>
      <c r="F3854" t="s">
        <v>10299</v>
      </c>
      <c r="G3854">
        <v>48</v>
      </c>
      <c r="H3854" t="s">
        <v>10310</v>
      </c>
      <c r="I3854" t="s">
        <v>10326</v>
      </c>
      <c r="L3854">
        <v>1984</v>
      </c>
      <c r="R3854" t="s">
        <v>11038</v>
      </c>
      <c r="S3854" t="s">
        <v>10310</v>
      </c>
      <c r="U3854" t="s">
        <v>11049</v>
      </c>
      <c r="W3854" s="2" t="s">
        <v>11204</v>
      </c>
    </row>
    <row r="3855" spans="1:23" hidden="1" x14ac:dyDescent="0.45">
      <c r="A3855" s="1" t="s">
        <v>3812</v>
      </c>
      <c r="B3855" t="s">
        <v>6667</v>
      </c>
      <c r="D3855" t="s">
        <v>8026</v>
      </c>
      <c r="E3855" t="s">
        <v>9741</v>
      </c>
      <c r="F3855" t="s">
        <v>10299</v>
      </c>
      <c r="G3855">
        <v>1.55</v>
      </c>
      <c r="H3855" t="s">
        <v>10310</v>
      </c>
      <c r="I3855" t="s">
        <v>10326</v>
      </c>
      <c r="L3855">
        <v>2014</v>
      </c>
      <c r="R3855" t="s">
        <v>11038</v>
      </c>
      <c r="S3855" t="s">
        <v>10310</v>
      </c>
      <c r="U3855" t="s">
        <v>11050</v>
      </c>
      <c r="W3855" s="2" t="s">
        <v>11204</v>
      </c>
    </row>
    <row r="3856" spans="1:23" hidden="1" x14ac:dyDescent="0.45">
      <c r="A3856" s="1" t="s">
        <v>3813</v>
      </c>
      <c r="B3856" t="s">
        <v>6281</v>
      </c>
      <c r="D3856" t="s">
        <v>8048</v>
      </c>
      <c r="E3856" t="s">
        <v>9762</v>
      </c>
      <c r="F3856" t="s">
        <v>10299</v>
      </c>
      <c r="G3856">
        <v>2.58</v>
      </c>
      <c r="H3856" t="s">
        <v>10310</v>
      </c>
      <c r="I3856" t="s">
        <v>10326</v>
      </c>
      <c r="L3856">
        <v>2019</v>
      </c>
      <c r="R3856" t="s">
        <v>11038</v>
      </c>
      <c r="S3856" t="s">
        <v>10310</v>
      </c>
      <c r="U3856" t="s">
        <v>11046</v>
      </c>
      <c r="W3856" s="2" t="s">
        <v>11204</v>
      </c>
    </row>
    <row r="3857" spans="1:23" hidden="1" x14ac:dyDescent="0.45">
      <c r="A3857" s="1" t="s">
        <v>3814</v>
      </c>
      <c r="B3857" t="s">
        <v>6668</v>
      </c>
      <c r="D3857" t="s">
        <v>8075</v>
      </c>
      <c r="E3857" t="s">
        <v>9715</v>
      </c>
      <c r="F3857" t="s">
        <v>10299</v>
      </c>
      <c r="G3857">
        <v>1.55</v>
      </c>
      <c r="H3857" t="s">
        <v>10310</v>
      </c>
      <c r="I3857" t="s">
        <v>10326</v>
      </c>
      <c r="L3857">
        <v>2006</v>
      </c>
      <c r="R3857" t="s">
        <v>11038</v>
      </c>
      <c r="S3857" t="s">
        <v>10310</v>
      </c>
      <c r="U3857" t="s">
        <v>11047</v>
      </c>
      <c r="W3857" s="2" t="s">
        <v>11204</v>
      </c>
    </row>
    <row r="3858" spans="1:23" hidden="1" x14ac:dyDescent="0.45">
      <c r="A3858" s="1" t="s">
        <v>3815</v>
      </c>
      <c r="B3858" t="s">
        <v>6373</v>
      </c>
      <c r="D3858" t="s">
        <v>8072</v>
      </c>
      <c r="E3858" t="s">
        <v>9711</v>
      </c>
      <c r="F3858" t="s">
        <v>10299</v>
      </c>
      <c r="G3858">
        <v>55</v>
      </c>
      <c r="H3858" t="s">
        <v>10310</v>
      </c>
      <c r="I3858" t="s">
        <v>10326</v>
      </c>
      <c r="L3858">
        <v>1965</v>
      </c>
      <c r="R3858" t="s">
        <v>11038</v>
      </c>
      <c r="S3858" t="s">
        <v>10310</v>
      </c>
      <c r="U3858" t="s">
        <v>11048</v>
      </c>
      <c r="W3858" s="2" t="s">
        <v>11204</v>
      </c>
    </row>
    <row r="3859" spans="1:23" hidden="1" x14ac:dyDescent="0.45">
      <c r="A3859" s="1" t="s">
        <v>3816</v>
      </c>
      <c r="B3859" t="s">
        <v>6568</v>
      </c>
      <c r="D3859" t="s">
        <v>8080</v>
      </c>
      <c r="E3859" t="s">
        <v>9729</v>
      </c>
      <c r="F3859" t="s">
        <v>10299</v>
      </c>
      <c r="G3859">
        <v>4.5999999999999996</v>
      </c>
      <c r="H3859" t="s">
        <v>10310</v>
      </c>
      <c r="I3859" t="s">
        <v>10326</v>
      </c>
      <c r="L3859">
        <v>2009</v>
      </c>
      <c r="R3859" t="s">
        <v>11038</v>
      </c>
      <c r="S3859" t="s">
        <v>10310</v>
      </c>
      <c r="U3859" t="s">
        <v>11049</v>
      </c>
      <c r="W3859" s="2" t="s">
        <v>11204</v>
      </c>
    </row>
    <row r="3860" spans="1:23" hidden="1" x14ac:dyDescent="0.45">
      <c r="A3860" s="1" t="s">
        <v>3817</v>
      </c>
      <c r="D3860" t="s">
        <v>8051</v>
      </c>
      <c r="E3860" t="s">
        <v>4623</v>
      </c>
      <c r="F3860" t="s">
        <v>10299</v>
      </c>
      <c r="G3860">
        <v>1.7000000000000001E-2</v>
      </c>
      <c r="H3860" t="s">
        <v>10310</v>
      </c>
      <c r="I3860" t="s">
        <v>10326</v>
      </c>
      <c r="L3860">
        <v>2003</v>
      </c>
      <c r="R3860" t="s">
        <v>11038</v>
      </c>
      <c r="S3860" t="s">
        <v>10310</v>
      </c>
      <c r="U3860" t="s">
        <v>11046</v>
      </c>
      <c r="W3860" s="2" t="s">
        <v>11204</v>
      </c>
    </row>
    <row r="3861" spans="1:23" hidden="1" x14ac:dyDescent="0.45">
      <c r="A3861" s="1" t="s">
        <v>3818</v>
      </c>
      <c r="B3861" t="s">
        <v>6669</v>
      </c>
      <c r="D3861" t="s">
        <v>8036</v>
      </c>
      <c r="E3861" t="s">
        <v>9807</v>
      </c>
      <c r="F3861" t="s">
        <v>10299</v>
      </c>
      <c r="G3861">
        <v>1.3</v>
      </c>
      <c r="H3861" t="s">
        <v>10310</v>
      </c>
      <c r="I3861" t="s">
        <v>10326</v>
      </c>
      <c r="L3861">
        <v>2010</v>
      </c>
      <c r="R3861" t="s">
        <v>11038</v>
      </c>
      <c r="S3861" t="s">
        <v>10310</v>
      </c>
      <c r="U3861" t="s">
        <v>11046</v>
      </c>
      <c r="W3861" s="2" t="s">
        <v>11204</v>
      </c>
    </row>
    <row r="3862" spans="1:23" hidden="1" x14ac:dyDescent="0.45">
      <c r="A3862" s="1" t="s">
        <v>3819</v>
      </c>
      <c r="B3862" t="s">
        <v>6670</v>
      </c>
      <c r="D3862" t="s">
        <v>8031</v>
      </c>
      <c r="E3862" t="s">
        <v>9624</v>
      </c>
      <c r="F3862" t="s">
        <v>10299</v>
      </c>
      <c r="G3862">
        <v>0.3</v>
      </c>
      <c r="H3862" t="s">
        <v>10310</v>
      </c>
      <c r="I3862" t="s">
        <v>10326</v>
      </c>
      <c r="L3862">
        <v>2010</v>
      </c>
      <c r="R3862" t="s">
        <v>11038</v>
      </c>
      <c r="S3862" t="s">
        <v>10310</v>
      </c>
      <c r="U3862" t="s">
        <v>11047</v>
      </c>
      <c r="W3862" s="2" t="s">
        <v>11204</v>
      </c>
    </row>
    <row r="3863" spans="1:23" hidden="1" x14ac:dyDescent="0.45">
      <c r="A3863" s="1" t="s">
        <v>3820</v>
      </c>
      <c r="B3863" t="s">
        <v>6671</v>
      </c>
      <c r="D3863" t="s">
        <v>8069</v>
      </c>
      <c r="E3863" t="s">
        <v>9684</v>
      </c>
      <c r="F3863" t="s">
        <v>10299</v>
      </c>
      <c r="G3863">
        <v>1.25</v>
      </c>
      <c r="H3863" t="s">
        <v>10310</v>
      </c>
      <c r="I3863" t="s">
        <v>10326</v>
      </c>
      <c r="L3863">
        <v>2010</v>
      </c>
      <c r="R3863" t="s">
        <v>11038</v>
      </c>
      <c r="S3863" t="s">
        <v>10310</v>
      </c>
      <c r="U3863" t="s">
        <v>11047</v>
      </c>
      <c r="W3863" s="2" t="s">
        <v>11204</v>
      </c>
    </row>
    <row r="3864" spans="1:23" hidden="1" x14ac:dyDescent="0.45">
      <c r="A3864" s="1" t="s">
        <v>3821</v>
      </c>
      <c r="B3864" t="s">
        <v>6519</v>
      </c>
      <c r="D3864" t="s">
        <v>8035</v>
      </c>
      <c r="E3864" t="s">
        <v>3097</v>
      </c>
      <c r="F3864" t="s">
        <v>10299</v>
      </c>
      <c r="G3864">
        <v>4.5</v>
      </c>
      <c r="H3864" t="s">
        <v>10310</v>
      </c>
      <c r="I3864" t="s">
        <v>10326</v>
      </c>
      <c r="L3864">
        <v>1952</v>
      </c>
      <c r="R3864" t="s">
        <v>11038</v>
      </c>
      <c r="S3864" t="s">
        <v>10310</v>
      </c>
      <c r="U3864" t="s">
        <v>11048</v>
      </c>
      <c r="W3864" s="2" t="s">
        <v>11204</v>
      </c>
    </row>
    <row r="3865" spans="1:23" hidden="1" x14ac:dyDescent="0.45">
      <c r="A3865" s="1" t="s">
        <v>3822</v>
      </c>
      <c r="B3865" t="s">
        <v>6278</v>
      </c>
      <c r="D3865" t="s">
        <v>8036</v>
      </c>
      <c r="E3865" t="s">
        <v>9628</v>
      </c>
      <c r="F3865" t="s">
        <v>10299</v>
      </c>
      <c r="G3865">
        <v>4.9489999999999998</v>
      </c>
      <c r="H3865" t="s">
        <v>10310</v>
      </c>
      <c r="I3865" t="s">
        <v>10326</v>
      </c>
      <c r="L3865">
        <v>2012</v>
      </c>
      <c r="R3865" t="s">
        <v>11038</v>
      </c>
      <c r="S3865" t="s">
        <v>10310</v>
      </c>
      <c r="U3865" t="s">
        <v>11048</v>
      </c>
      <c r="W3865" s="2" t="s">
        <v>11204</v>
      </c>
    </row>
    <row r="3866" spans="1:23" hidden="1" x14ac:dyDescent="0.45">
      <c r="A3866" s="1" t="s">
        <v>3823</v>
      </c>
      <c r="B3866" t="s">
        <v>6672</v>
      </c>
      <c r="D3866" t="s">
        <v>8045</v>
      </c>
      <c r="E3866" t="s">
        <v>9644</v>
      </c>
      <c r="F3866" t="s">
        <v>10299</v>
      </c>
      <c r="G3866">
        <v>30</v>
      </c>
      <c r="H3866" t="s">
        <v>10310</v>
      </c>
      <c r="I3866" t="s">
        <v>10326</v>
      </c>
      <c r="L3866">
        <v>1999</v>
      </c>
      <c r="R3866" t="s">
        <v>11038</v>
      </c>
      <c r="S3866" t="s">
        <v>10310</v>
      </c>
      <c r="U3866" t="s">
        <v>11048</v>
      </c>
      <c r="W3866" s="2" t="s">
        <v>11204</v>
      </c>
    </row>
    <row r="3867" spans="1:23" hidden="1" x14ac:dyDescent="0.45">
      <c r="A3867" s="1" t="s">
        <v>3824</v>
      </c>
      <c r="B3867" t="s">
        <v>6673</v>
      </c>
      <c r="D3867" t="s">
        <v>8034</v>
      </c>
      <c r="E3867" t="s">
        <v>9627</v>
      </c>
      <c r="F3867" t="s">
        <v>10299</v>
      </c>
      <c r="G3867">
        <v>2</v>
      </c>
      <c r="H3867" t="s">
        <v>10310</v>
      </c>
      <c r="I3867" t="s">
        <v>10326</v>
      </c>
      <c r="L3867">
        <v>2010</v>
      </c>
      <c r="R3867" t="s">
        <v>11038</v>
      </c>
      <c r="S3867" t="s">
        <v>10310</v>
      </c>
      <c r="U3867" t="s">
        <v>11046</v>
      </c>
      <c r="W3867" s="2" t="s">
        <v>11204</v>
      </c>
    </row>
    <row r="3868" spans="1:23" hidden="1" x14ac:dyDescent="0.45">
      <c r="A3868" s="1" t="s">
        <v>3825</v>
      </c>
      <c r="B3868" t="s">
        <v>6281</v>
      </c>
      <c r="D3868" t="s">
        <v>8072</v>
      </c>
      <c r="E3868" t="s">
        <v>9711</v>
      </c>
      <c r="F3868" t="s">
        <v>10299</v>
      </c>
      <c r="G3868">
        <v>4.3</v>
      </c>
      <c r="H3868" t="s">
        <v>10310</v>
      </c>
      <c r="I3868" t="s">
        <v>10326</v>
      </c>
      <c r="L3868">
        <v>2013</v>
      </c>
      <c r="R3868" t="s">
        <v>11038</v>
      </c>
      <c r="S3868" t="s">
        <v>10310</v>
      </c>
      <c r="U3868" t="s">
        <v>11048</v>
      </c>
      <c r="W3868" s="2" t="s">
        <v>11204</v>
      </c>
    </row>
    <row r="3869" spans="1:23" hidden="1" x14ac:dyDescent="0.45">
      <c r="A3869" s="1" t="s">
        <v>3826</v>
      </c>
      <c r="B3869" t="s">
        <v>6674</v>
      </c>
      <c r="D3869" t="s">
        <v>8073</v>
      </c>
      <c r="E3869" t="s">
        <v>9701</v>
      </c>
      <c r="F3869" t="s">
        <v>10299</v>
      </c>
      <c r="G3869">
        <v>3</v>
      </c>
      <c r="H3869" t="s">
        <v>10310</v>
      </c>
      <c r="I3869" t="s">
        <v>10326</v>
      </c>
      <c r="L3869">
        <v>2018</v>
      </c>
      <c r="R3869" t="s">
        <v>11038</v>
      </c>
      <c r="S3869" t="s">
        <v>10310</v>
      </c>
      <c r="U3869" t="s">
        <v>11047</v>
      </c>
      <c r="W3869" s="2" t="s">
        <v>11204</v>
      </c>
    </row>
    <row r="3870" spans="1:23" hidden="1" x14ac:dyDescent="0.45">
      <c r="A3870" s="1" t="s">
        <v>3827</v>
      </c>
      <c r="B3870" t="s">
        <v>6675</v>
      </c>
      <c r="D3870" t="s">
        <v>8051</v>
      </c>
      <c r="E3870" t="s">
        <v>9735</v>
      </c>
      <c r="F3870" t="s">
        <v>10299</v>
      </c>
      <c r="G3870">
        <v>5</v>
      </c>
      <c r="H3870" t="s">
        <v>10310</v>
      </c>
      <c r="I3870" t="s">
        <v>10326</v>
      </c>
      <c r="L3870">
        <v>2011</v>
      </c>
      <c r="R3870" t="s">
        <v>11038</v>
      </c>
      <c r="S3870" t="s">
        <v>10310</v>
      </c>
      <c r="U3870" t="s">
        <v>11047</v>
      </c>
      <c r="W3870" s="2" t="s">
        <v>11204</v>
      </c>
    </row>
    <row r="3871" spans="1:23" hidden="1" x14ac:dyDescent="0.45">
      <c r="A3871" s="1" t="s">
        <v>3828</v>
      </c>
      <c r="B3871" t="s">
        <v>6676</v>
      </c>
      <c r="D3871" t="s">
        <v>8071</v>
      </c>
      <c r="E3871" t="s">
        <v>9689</v>
      </c>
      <c r="F3871" t="s">
        <v>10299</v>
      </c>
      <c r="G3871">
        <v>0.99</v>
      </c>
      <c r="H3871" t="s">
        <v>10310</v>
      </c>
      <c r="I3871" t="s">
        <v>10326</v>
      </c>
      <c r="L3871">
        <v>2018</v>
      </c>
      <c r="R3871" t="s">
        <v>11038</v>
      </c>
      <c r="S3871" t="s">
        <v>10310</v>
      </c>
      <c r="U3871" t="s">
        <v>11047</v>
      </c>
      <c r="W3871" s="2" t="s">
        <v>11204</v>
      </c>
    </row>
    <row r="3872" spans="1:23" hidden="1" x14ac:dyDescent="0.45">
      <c r="A3872" s="1" t="s">
        <v>3829</v>
      </c>
      <c r="B3872" t="s">
        <v>6677</v>
      </c>
      <c r="D3872" t="s">
        <v>8064</v>
      </c>
      <c r="E3872" t="s">
        <v>9821</v>
      </c>
      <c r="F3872" t="s">
        <v>10299</v>
      </c>
      <c r="G3872">
        <v>0.125</v>
      </c>
      <c r="H3872" t="s">
        <v>10310</v>
      </c>
      <c r="I3872" t="s">
        <v>10326</v>
      </c>
      <c r="L3872">
        <v>1939</v>
      </c>
      <c r="R3872" t="s">
        <v>11038</v>
      </c>
      <c r="S3872" t="s">
        <v>10310</v>
      </c>
      <c r="U3872" t="s">
        <v>11047</v>
      </c>
      <c r="W3872" s="2" t="s">
        <v>11204</v>
      </c>
    </row>
    <row r="3873" spans="1:23" hidden="1" x14ac:dyDescent="0.45">
      <c r="A3873" s="1" t="s">
        <v>3830</v>
      </c>
      <c r="B3873" t="s">
        <v>6278</v>
      </c>
      <c r="D3873" t="s">
        <v>7777</v>
      </c>
      <c r="E3873" t="s">
        <v>9674</v>
      </c>
      <c r="F3873" t="s">
        <v>10299</v>
      </c>
      <c r="G3873">
        <v>9</v>
      </c>
      <c r="H3873" t="s">
        <v>10310</v>
      </c>
      <c r="I3873" t="s">
        <v>10326</v>
      </c>
      <c r="L3873">
        <v>1949</v>
      </c>
      <c r="R3873" t="s">
        <v>11038</v>
      </c>
      <c r="S3873" t="s">
        <v>10310</v>
      </c>
      <c r="U3873" t="s">
        <v>11048</v>
      </c>
      <c r="W3873" s="2" t="s">
        <v>11204</v>
      </c>
    </row>
    <row r="3874" spans="1:23" hidden="1" x14ac:dyDescent="0.45">
      <c r="A3874" s="1" t="s">
        <v>3831</v>
      </c>
      <c r="B3874" t="s">
        <v>6294</v>
      </c>
      <c r="D3874" t="s">
        <v>8049</v>
      </c>
      <c r="E3874" t="s">
        <v>9716</v>
      </c>
      <c r="F3874" t="s">
        <v>10299</v>
      </c>
      <c r="G3874">
        <v>2.4</v>
      </c>
      <c r="H3874" t="s">
        <v>10310</v>
      </c>
      <c r="I3874" t="s">
        <v>10326</v>
      </c>
      <c r="L3874">
        <v>1955</v>
      </c>
      <c r="R3874" t="s">
        <v>11038</v>
      </c>
      <c r="S3874" t="s">
        <v>10310</v>
      </c>
      <c r="U3874" t="s">
        <v>11046</v>
      </c>
      <c r="W3874" s="2" t="s">
        <v>11204</v>
      </c>
    </row>
    <row r="3875" spans="1:23" hidden="1" x14ac:dyDescent="0.45">
      <c r="A3875" s="1" t="s">
        <v>3832</v>
      </c>
      <c r="B3875" t="s">
        <v>6280</v>
      </c>
      <c r="D3875" t="s">
        <v>8041</v>
      </c>
      <c r="E3875" t="s">
        <v>9651</v>
      </c>
      <c r="F3875" t="s">
        <v>10299</v>
      </c>
      <c r="G3875">
        <v>1.2</v>
      </c>
      <c r="H3875" t="s">
        <v>10310</v>
      </c>
      <c r="I3875" t="s">
        <v>10326</v>
      </c>
      <c r="L3875">
        <v>1944</v>
      </c>
      <c r="R3875" t="s">
        <v>11038</v>
      </c>
      <c r="S3875" t="s">
        <v>10310</v>
      </c>
      <c r="U3875" t="s">
        <v>11047</v>
      </c>
      <c r="W3875" s="2" t="s">
        <v>11204</v>
      </c>
    </row>
    <row r="3876" spans="1:23" hidden="1" x14ac:dyDescent="0.45">
      <c r="A3876" s="1" t="s">
        <v>3833</v>
      </c>
      <c r="B3876" t="s">
        <v>6274</v>
      </c>
      <c r="D3876" t="s">
        <v>8062</v>
      </c>
      <c r="E3876" t="s">
        <v>9737</v>
      </c>
      <c r="F3876" t="s">
        <v>10299</v>
      </c>
      <c r="G3876">
        <v>500</v>
      </c>
      <c r="H3876" t="s">
        <v>10310</v>
      </c>
      <c r="I3876" t="s">
        <v>10326</v>
      </c>
      <c r="L3876">
        <v>1980</v>
      </c>
      <c r="R3876" t="s">
        <v>11038</v>
      </c>
      <c r="S3876" t="s">
        <v>10310</v>
      </c>
      <c r="U3876" t="s">
        <v>11049</v>
      </c>
      <c r="W3876" s="2" t="s">
        <v>11204</v>
      </c>
    </row>
    <row r="3877" spans="1:23" hidden="1" x14ac:dyDescent="0.45">
      <c r="A3877" s="1" t="s">
        <v>3834</v>
      </c>
      <c r="D3877" t="s">
        <v>8044</v>
      </c>
      <c r="E3877" t="s">
        <v>9638</v>
      </c>
      <c r="F3877" t="s">
        <v>10299</v>
      </c>
      <c r="G3877">
        <v>0.09</v>
      </c>
      <c r="H3877" t="s">
        <v>10310</v>
      </c>
      <c r="I3877" t="s">
        <v>10326</v>
      </c>
      <c r="L3877">
        <v>1997</v>
      </c>
      <c r="R3877" t="s">
        <v>11038</v>
      </c>
      <c r="S3877" t="s">
        <v>10310</v>
      </c>
      <c r="U3877" t="s">
        <v>11047</v>
      </c>
      <c r="W3877" s="2" t="s">
        <v>11204</v>
      </c>
    </row>
    <row r="3878" spans="1:23" hidden="1" x14ac:dyDescent="0.45">
      <c r="A3878" s="1" t="s">
        <v>3835</v>
      </c>
      <c r="B3878" t="s">
        <v>6374</v>
      </c>
      <c r="D3878" t="s">
        <v>8029</v>
      </c>
      <c r="E3878" t="s">
        <v>9753</v>
      </c>
      <c r="F3878" t="s">
        <v>10299</v>
      </c>
      <c r="G3878">
        <v>5.4</v>
      </c>
      <c r="H3878" t="s">
        <v>10310</v>
      </c>
      <c r="I3878" t="s">
        <v>10326</v>
      </c>
      <c r="L3878">
        <v>1978</v>
      </c>
      <c r="R3878" t="s">
        <v>11038</v>
      </c>
      <c r="S3878" t="s">
        <v>10310</v>
      </c>
      <c r="U3878" t="s">
        <v>11048</v>
      </c>
      <c r="W3878" s="2" t="s">
        <v>11204</v>
      </c>
    </row>
    <row r="3879" spans="1:23" hidden="1" x14ac:dyDescent="0.45">
      <c r="A3879" s="1" t="s">
        <v>3835</v>
      </c>
      <c r="B3879" t="s">
        <v>6274</v>
      </c>
      <c r="D3879" t="s">
        <v>8070</v>
      </c>
      <c r="E3879" t="s">
        <v>4102</v>
      </c>
      <c r="F3879" t="s">
        <v>10299</v>
      </c>
      <c r="G3879">
        <v>90</v>
      </c>
      <c r="H3879" t="s">
        <v>10310</v>
      </c>
      <c r="I3879" t="s">
        <v>10326</v>
      </c>
      <c r="L3879">
        <v>1964</v>
      </c>
      <c r="R3879" t="s">
        <v>11038</v>
      </c>
      <c r="S3879" t="s">
        <v>10310</v>
      </c>
      <c r="U3879" t="s">
        <v>11048</v>
      </c>
      <c r="W3879" s="2" t="s">
        <v>11204</v>
      </c>
    </row>
    <row r="3880" spans="1:23" hidden="1" x14ac:dyDescent="0.45">
      <c r="A3880" s="1" t="s">
        <v>3836</v>
      </c>
      <c r="B3880" t="s">
        <v>6402</v>
      </c>
      <c r="D3880" t="s">
        <v>8074</v>
      </c>
      <c r="E3880" t="s">
        <v>9703</v>
      </c>
      <c r="F3880" t="s">
        <v>10299</v>
      </c>
      <c r="G3880">
        <v>1.1299999999999999</v>
      </c>
      <c r="H3880" t="s">
        <v>10310</v>
      </c>
      <c r="I3880" t="s">
        <v>10326</v>
      </c>
      <c r="L3880">
        <v>1987</v>
      </c>
      <c r="R3880" t="s">
        <v>11038</v>
      </c>
      <c r="S3880" t="s">
        <v>10310</v>
      </c>
      <c r="U3880" t="s">
        <v>11047</v>
      </c>
      <c r="W3880" s="2" t="s">
        <v>11204</v>
      </c>
    </row>
    <row r="3881" spans="1:23" hidden="1" x14ac:dyDescent="0.45">
      <c r="A3881" s="1" t="s">
        <v>3837</v>
      </c>
      <c r="B3881" t="s">
        <v>6308</v>
      </c>
      <c r="D3881" t="s">
        <v>8041</v>
      </c>
      <c r="E3881" t="s">
        <v>9633</v>
      </c>
      <c r="F3881" t="s">
        <v>10299</v>
      </c>
      <c r="G3881">
        <v>2.7</v>
      </c>
      <c r="H3881" t="s">
        <v>10310</v>
      </c>
      <c r="I3881" t="s">
        <v>10326</v>
      </c>
      <c r="L3881">
        <v>2010</v>
      </c>
      <c r="R3881" t="s">
        <v>11038</v>
      </c>
      <c r="S3881" t="s">
        <v>10310</v>
      </c>
      <c r="U3881" t="s">
        <v>11048</v>
      </c>
      <c r="W3881" s="2" t="s">
        <v>11204</v>
      </c>
    </row>
    <row r="3882" spans="1:23" hidden="1" x14ac:dyDescent="0.45">
      <c r="A3882" s="1" t="s">
        <v>3838</v>
      </c>
      <c r="B3882" t="s">
        <v>6678</v>
      </c>
      <c r="D3882" t="s">
        <v>8070</v>
      </c>
      <c r="E3882" t="s">
        <v>4102</v>
      </c>
      <c r="F3882" t="s">
        <v>10299</v>
      </c>
      <c r="G3882">
        <v>0.99</v>
      </c>
      <c r="H3882" t="s">
        <v>10310</v>
      </c>
      <c r="I3882" t="s">
        <v>10326</v>
      </c>
      <c r="L3882">
        <v>2018</v>
      </c>
      <c r="R3882" t="s">
        <v>11038</v>
      </c>
      <c r="S3882" t="s">
        <v>10310</v>
      </c>
      <c r="U3882" t="s">
        <v>11048</v>
      </c>
      <c r="W3882" s="2" t="s">
        <v>11204</v>
      </c>
    </row>
    <row r="3883" spans="1:23" hidden="1" x14ac:dyDescent="0.45">
      <c r="A3883" s="1" t="s">
        <v>3839</v>
      </c>
      <c r="B3883" t="s">
        <v>6373</v>
      </c>
      <c r="D3883" t="s">
        <v>8072</v>
      </c>
      <c r="E3883" t="s">
        <v>9711</v>
      </c>
      <c r="F3883" t="s">
        <v>10299</v>
      </c>
      <c r="G3883">
        <v>7.2</v>
      </c>
      <c r="H3883" t="s">
        <v>10310</v>
      </c>
      <c r="I3883" t="s">
        <v>10326</v>
      </c>
      <c r="L3883">
        <v>1977</v>
      </c>
      <c r="R3883" t="s">
        <v>11038</v>
      </c>
      <c r="S3883" t="s">
        <v>10310</v>
      </c>
      <c r="U3883" t="s">
        <v>11048</v>
      </c>
      <c r="W3883" s="2" t="s">
        <v>11204</v>
      </c>
    </row>
    <row r="3884" spans="1:23" hidden="1" x14ac:dyDescent="0.45">
      <c r="A3884" s="1" t="s">
        <v>3840</v>
      </c>
      <c r="B3884" t="s">
        <v>6311</v>
      </c>
      <c r="D3884" t="s">
        <v>8059</v>
      </c>
      <c r="E3884" t="s">
        <v>9663</v>
      </c>
      <c r="F3884" t="s">
        <v>10299</v>
      </c>
      <c r="G3884">
        <v>32</v>
      </c>
      <c r="H3884" t="s">
        <v>10310</v>
      </c>
      <c r="I3884" t="s">
        <v>10326</v>
      </c>
      <c r="L3884">
        <v>1981</v>
      </c>
      <c r="R3884" t="s">
        <v>11038</v>
      </c>
      <c r="S3884" t="s">
        <v>10310</v>
      </c>
      <c r="U3884" t="s">
        <v>11046</v>
      </c>
      <c r="W3884" s="2" t="s">
        <v>11204</v>
      </c>
    </row>
    <row r="3885" spans="1:23" hidden="1" x14ac:dyDescent="0.45">
      <c r="A3885" s="1" t="s">
        <v>3841</v>
      </c>
      <c r="B3885" t="s">
        <v>6679</v>
      </c>
      <c r="D3885" t="s">
        <v>8070</v>
      </c>
      <c r="E3885" t="s">
        <v>3591</v>
      </c>
      <c r="F3885" t="s">
        <v>10299</v>
      </c>
      <c r="G3885">
        <v>7.4999999999999997E-2</v>
      </c>
      <c r="H3885" t="s">
        <v>10310</v>
      </c>
      <c r="I3885" t="s">
        <v>10326</v>
      </c>
      <c r="L3885">
        <v>2006</v>
      </c>
      <c r="R3885" t="s">
        <v>11038</v>
      </c>
      <c r="S3885" t="s">
        <v>10310</v>
      </c>
      <c r="U3885" t="s">
        <v>11046</v>
      </c>
      <c r="W3885" s="2" t="s">
        <v>11204</v>
      </c>
    </row>
    <row r="3886" spans="1:23" hidden="1" x14ac:dyDescent="0.45">
      <c r="A3886" s="1" t="s">
        <v>3842</v>
      </c>
      <c r="B3886" t="s">
        <v>6680</v>
      </c>
      <c r="D3886" t="s">
        <v>8026</v>
      </c>
      <c r="E3886" t="s">
        <v>9619</v>
      </c>
      <c r="F3886" t="s">
        <v>10299</v>
      </c>
      <c r="G3886">
        <v>0.1</v>
      </c>
      <c r="H3886" t="s">
        <v>10310</v>
      </c>
      <c r="I3886" t="s">
        <v>10326</v>
      </c>
      <c r="L3886">
        <v>1917</v>
      </c>
      <c r="R3886" t="s">
        <v>11038</v>
      </c>
      <c r="S3886" t="s">
        <v>10310</v>
      </c>
      <c r="U3886" t="s">
        <v>11047</v>
      </c>
      <c r="W3886" s="2" t="s">
        <v>11204</v>
      </c>
    </row>
    <row r="3887" spans="1:23" hidden="1" x14ac:dyDescent="0.45">
      <c r="A3887" s="1" t="s">
        <v>3843</v>
      </c>
      <c r="B3887" t="s">
        <v>6681</v>
      </c>
      <c r="D3887" t="s">
        <v>7917</v>
      </c>
      <c r="E3887" t="s">
        <v>9776</v>
      </c>
      <c r="F3887" t="s">
        <v>10299</v>
      </c>
      <c r="G3887">
        <v>1.25</v>
      </c>
      <c r="H3887" t="s">
        <v>10310</v>
      </c>
      <c r="I3887" t="s">
        <v>10326</v>
      </c>
      <c r="L3887">
        <v>2012</v>
      </c>
      <c r="R3887" t="s">
        <v>11038</v>
      </c>
      <c r="S3887" t="s">
        <v>10310</v>
      </c>
      <c r="U3887" t="s">
        <v>11050</v>
      </c>
      <c r="W3887" s="2" t="s">
        <v>11204</v>
      </c>
    </row>
    <row r="3888" spans="1:23" hidden="1" x14ac:dyDescent="0.45">
      <c r="A3888" s="1" t="s">
        <v>3844</v>
      </c>
      <c r="B3888" t="s">
        <v>6281</v>
      </c>
      <c r="D3888" t="s">
        <v>8050</v>
      </c>
      <c r="E3888" t="s">
        <v>9712</v>
      </c>
      <c r="F3888" t="s">
        <v>10299</v>
      </c>
      <c r="G3888">
        <v>1.4</v>
      </c>
      <c r="H3888" t="s">
        <v>10310</v>
      </c>
      <c r="I3888" t="s">
        <v>10326</v>
      </c>
      <c r="L3888">
        <v>2008</v>
      </c>
      <c r="R3888" t="s">
        <v>11038</v>
      </c>
      <c r="S3888" t="s">
        <v>10310</v>
      </c>
      <c r="U3888" t="s">
        <v>11047</v>
      </c>
      <c r="W3888" s="2" t="s">
        <v>11204</v>
      </c>
    </row>
    <row r="3889" spans="1:23" hidden="1" x14ac:dyDescent="0.45">
      <c r="A3889" s="1" t="s">
        <v>3845</v>
      </c>
      <c r="B3889" t="s">
        <v>6307</v>
      </c>
      <c r="D3889" t="s">
        <v>8051</v>
      </c>
      <c r="E3889" t="s">
        <v>9649</v>
      </c>
      <c r="F3889" t="s">
        <v>10299</v>
      </c>
      <c r="G3889">
        <v>8.6999999999999993</v>
      </c>
      <c r="H3889" t="s">
        <v>10310</v>
      </c>
      <c r="I3889" t="s">
        <v>10326</v>
      </c>
      <c r="L3889">
        <v>1982</v>
      </c>
      <c r="R3889" t="s">
        <v>11038</v>
      </c>
      <c r="S3889" t="s">
        <v>10310</v>
      </c>
      <c r="U3889" t="s">
        <v>11048</v>
      </c>
      <c r="W3889" s="2" t="s">
        <v>11204</v>
      </c>
    </row>
    <row r="3890" spans="1:23" hidden="1" x14ac:dyDescent="0.45">
      <c r="A3890" s="1" t="s">
        <v>3846</v>
      </c>
      <c r="B3890" t="s">
        <v>6404</v>
      </c>
      <c r="D3890" t="s">
        <v>8055</v>
      </c>
      <c r="E3890" t="s">
        <v>3805</v>
      </c>
      <c r="F3890" t="s">
        <v>10299</v>
      </c>
      <c r="G3890">
        <v>0.3</v>
      </c>
      <c r="H3890" t="s">
        <v>10310</v>
      </c>
      <c r="I3890" t="s">
        <v>10326</v>
      </c>
      <c r="L3890">
        <v>2000</v>
      </c>
      <c r="R3890" t="s">
        <v>11038</v>
      </c>
      <c r="S3890" t="s">
        <v>10310</v>
      </c>
      <c r="U3890" t="s">
        <v>11046</v>
      </c>
      <c r="W3890" s="2" t="s">
        <v>11204</v>
      </c>
    </row>
    <row r="3891" spans="1:23" hidden="1" x14ac:dyDescent="0.45">
      <c r="A3891" s="1" t="s">
        <v>3847</v>
      </c>
      <c r="B3891" t="s">
        <v>6290</v>
      </c>
      <c r="D3891" t="s">
        <v>8047</v>
      </c>
      <c r="E3891" t="s">
        <v>9641</v>
      </c>
      <c r="F3891" t="s">
        <v>10299</v>
      </c>
      <c r="G3891">
        <v>4.8</v>
      </c>
      <c r="H3891" t="s">
        <v>10310</v>
      </c>
      <c r="I3891" t="s">
        <v>10326</v>
      </c>
      <c r="L3891">
        <v>1932</v>
      </c>
      <c r="R3891" t="s">
        <v>11038</v>
      </c>
      <c r="S3891" t="s">
        <v>10310</v>
      </c>
      <c r="U3891" t="s">
        <v>11049</v>
      </c>
      <c r="W3891" s="2" t="s">
        <v>11204</v>
      </c>
    </row>
    <row r="3892" spans="1:23" hidden="1" x14ac:dyDescent="0.45">
      <c r="A3892" s="1" t="s">
        <v>3848</v>
      </c>
      <c r="B3892" t="s">
        <v>6682</v>
      </c>
      <c r="D3892" t="s">
        <v>8083</v>
      </c>
      <c r="E3892" t="s">
        <v>9760</v>
      </c>
      <c r="F3892" t="s">
        <v>10299</v>
      </c>
      <c r="G3892">
        <v>0.94499999999999995</v>
      </c>
      <c r="H3892" t="s">
        <v>10310</v>
      </c>
      <c r="I3892" t="s">
        <v>10326</v>
      </c>
      <c r="L3892">
        <v>1915</v>
      </c>
      <c r="R3892" t="s">
        <v>11038</v>
      </c>
      <c r="S3892" t="s">
        <v>10310</v>
      </c>
      <c r="U3892" t="s">
        <v>11047</v>
      </c>
      <c r="W3892" s="2" t="s">
        <v>11204</v>
      </c>
    </row>
    <row r="3893" spans="1:23" hidden="1" x14ac:dyDescent="0.45">
      <c r="A3893" s="1" t="s">
        <v>3849</v>
      </c>
      <c r="B3893" t="s">
        <v>6274</v>
      </c>
      <c r="D3893" t="s">
        <v>8080</v>
      </c>
      <c r="E3893" t="s">
        <v>9729</v>
      </c>
      <c r="F3893" t="s">
        <v>10299</v>
      </c>
      <c r="G3893">
        <v>125</v>
      </c>
      <c r="H3893" t="s">
        <v>10310</v>
      </c>
      <c r="I3893" t="s">
        <v>10326</v>
      </c>
      <c r="L3893">
        <v>1978</v>
      </c>
      <c r="R3893" t="s">
        <v>11038</v>
      </c>
      <c r="S3893" t="s">
        <v>10310</v>
      </c>
      <c r="U3893" t="s">
        <v>11049</v>
      </c>
      <c r="W3893" s="2" t="s">
        <v>11204</v>
      </c>
    </row>
    <row r="3894" spans="1:23" hidden="1" x14ac:dyDescent="0.45">
      <c r="A3894" s="1" t="s">
        <v>3850</v>
      </c>
      <c r="B3894" t="s">
        <v>6281</v>
      </c>
      <c r="D3894" t="s">
        <v>8033</v>
      </c>
      <c r="E3894" t="s">
        <v>9666</v>
      </c>
      <c r="F3894" t="s">
        <v>10299</v>
      </c>
      <c r="G3894">
        <v>4.59</v>
      </c>
      <c r="H3894" t="s">
        <v>10310</v>
      </c>
      <c r="I3894" t="s">
        <v>10326</v>
      </c>
      <c r="L3894">
        <v>2013</v>
      </c>
      <c r="R3894" t="s">
        <v>11038</v>
      </c>
      <c r="S3894" t="s">
        <v>10310</v>
      </c>
      <c r="U3894" t="s">
        <v>11048</v>
      </c>
      <c r="W3894" s="2" t="s">
        <v>11204</v>
      </c>
    </row>
    <row r="3895" spans="1:23" hidden="1" x14ac:dyDescent="0.45">
      <c r="A3895" s="1" t="s">
        <v>3851</v>
      </c>
      <c r="B3895" t="s">
        <v>6274</v>
      </c>
      <c r="D3895" t="s">
        <v>8040</v>
      </c>
      <c r="E3895" t="s">
        <v>9686</v>
      </c>
      <c r="F3895" t="s">
        <v>10299</v>
      </c>
      <c r="G3895">
        <v>45</v>
      </c>
      <c r="H3895" t="s">
        <v>10310</v>
      </c>
      <c r="I3895" t="s">
        <v>10326</v>
      </c>
      <c r="L3895">
        <v>2008</v>
      </c>
      <c r="R3895" t="s">
        <v>11038</v>
      </c>
      <c r="S3895" t="s">
        <v>10310</v>
      </c>
      <c r="U3895" t="s">
        <v>11047</v>
      </c>
      <c r="W3895" s="2" t="s">
        <v>11204</v>
      </c>
    </row>
    <row r="3896" spans="1:23" hidden="1" x14ac:dyDescent="0.45">
      <c r="A3896" s="1" t="s">
        <v>3852</v>
      </c>
      <c r="B3896" t="s">
        <v>6274</v>
      </c>
      <c r="D3896" t="s">
        <v>8062</v>
      </c>
      <c r="E3896" t="s">
        <v>9737</v>
      </c>
      <c r="F3896" t="s">
        <v>10299</v>
      </c>
      <c r="G3896">
        <v>5</v>
      </c>
      <c r="H3896" t="s">
        <v>10310</v>
      </c>
      <c r="I3896" t="s">
        <v>10326</v>
      </c>
      <c r="L3896">
        <v>2011</v>
      </c>
      <c r="R3896" t="s">
        <v>11038</v>
      </c>
      <c r="S3896" t="s">
        <v>10310</v>
      </c>
      <c r="U3896" t="s">
        <v>11049</v>
      </c>
      <c r="W3896" s="2" t="s">
        <v>11204</v>
      </c>
    </row>
    <row r="3897" spans="1:23" hidden="1" x14ac:dyDescent="0.45">
      <c r="A3897" s="1" t="s">
        <v>3853</v>
      </c>
      <c r="B3897" t="s">
        <v>6541</v>
      </c>
      <c r="D3897" t="s">
        <v>8086</v>
      </c>
      <c r="E3897" t="s">
        <v>9814</v>
      </c>
      <c r="F3897" t="s">
        <v>10299</v>
      </c>
      <c r="G3897">
        <v>0.45</v>
      </c>
      <c r="H3897" t="s">
        <v>10310</v>
      </c>
      <c r="I3897" t="s">
        <v>10326</v>
      </c>
      <c r="L3897">
        <v>1975</v>
      </c>
      <c r="R3897" t="s">
        <v>11038</v>
      </c>
      <c r="S3897" t="s">
        <v>10310</v>
      </c>
      <c r="U3897" t="s">
        <v>11048</v>
      </c>
      <c r="W3897" s="2" t="s">
        <v>11204</v>
      </c>
    </row>
    <row r="3898" spans="1:23" hidden="1" x14ac:dyDescent="0.45">
      <c r="A3898" s="1" t="s">
        <v>3854</v>
      </c>
      <c r="B3898" t="s">
        <v>6278</v>
      </c>
      <c r="D3898" t="s">
        <v>7777</v>
      </c>
      <c r="E3898" t="s">
        <v>9674</v>
      </c>
      <c r="F3898" t="s">
        <v>10299</v>
      </c>
      <c r="G3898">
        <v>5.5</v>
      </c>
      <c r="H3898" t="s">
        <v>10310</v>
      </c>
      <c r="I3898" t="s">
        <v>10326</v>
      </c>
      <c r="L3898">
        <v>2017</v>
      </c>
      <c r="R3898" t="s">
        <v>11038</v>
      </c>
      <c r="S3898" t="s">
        <v>10310</v>
      </c>
      <c r="U3898" t="s">
        <v>11048</v>
      </c>
      <c r="W3898" s="2" t="s">
        <v>11204</v>
      </c>
    </row>
    <row r="3899" spans="1:23" hidden="1" x14ac:dyDescent="0.45">
      <c r="A3899" s="1" t="s">
        <v>3855</v>
      </c>
      <c r="B3899" t="s">
        <v>6323</v>
      </c>
      <c r="D3899" t="s">
        <v>8045</v>
      </c>
      <c r="E3899" t="s">
        <v>9646</v>
      </c>
      <c r="F3899" t="s">
        <v>10299</v>
      </c>
      <c r="G3899">
        <v>3.8</v>
      </c>
      <c r="H3899" t="s">
        <v>10310</v>
      </c>
      <c r="I3899" t="s">
        <v>10326</v>
      </c>
      <c r="L3899">
        <v>2016</v>
      </c>
      <c r="R3899" t="s">
        <v>11038</v>
      </c>
      <c r="S3899" t="s">
        <v>10310</v>
      </c>
      <c r="U3899" t="s">
        <v>11047</v>
      </c>
      <c r="W3899" s="2" t="s">
        <v>11204</v>
      </c>
    </row>
    <row r="3900" spans="1:23" hidden="1" x14ac:dyDescent="0.45">
      <c r="A3900" s="1" t="s">
        <v>3856</v>
      </c>
      <c r="B3900" t="s">
        <v>6281</v>
      </c>
      <c r="D3900" t="s">
        <v>8049</v>
      </c>
      <c r="E3900" t="s">
        <v>9742</v>
      </c>
      <c r="F3900" t="s">
        <v>10299</v>
      </c>
      <c r="G3900">
        <v>1.5</v>
      </c>
      <c r="H3900" t="s">
        <v>10310</v>
      </c>
      <c r="I3900" t="s">
        <v>10326</v>
      </c>
      <c r="L3900">
        <v>1992</v>
      </c>
      <c r="R3900" t="s">
        <v>11038</v>
      </c>
      <c r="S3900" t="s">
        <v>10310</v>
      </c>
      <c r="U3900" t="s">
        <v>11050</v>
      </c>
      <c r="W3900" s="2" t="s">
        <v>11204</v>
      </c>
    </row>
    <row r="3901" spans="1:23" hidden="1" x14ac:dyDescent="0.45">
      <c r="A3901" s="1" t="s">
        <v>3857</v>
      </c>
      <c r="D3901" t="s">
        <v>8033</v>
      </c>
      <c r="E3901" t="s">
        <v>9818</v>
      </c>
      <c r="F3901" t="s">
        <v>10299</v>
      </c>
      <c r="G3901">
        <v>0</v>
      </c>
      <c r="H3901" t="s">
        <v>10310</v>
      </c>
      <c r="I3901" t="s">
        <v>10326</v>
      </c>
      <c r="L3901">
        <v>1942</v>
      </c>
      <c r="R3901" t="s">
        <v>11038</v>
      </c>
      <c r="S3901" t="s">
        <v>10310</v>
      </c>
      <c r="U3901" t="s">
        <v>11047</v>
      </c>
      <c r="W3901" s="2" t="s">
        <v>11204</v>
      </c>
    </row>
    <row r="3902" spans="1:23" hidden="1" x14ac:dyDescent="0.45">
      <c r="A3902" s="1" t="s">
        <v>3858</v>
      </c>
      <c r="B3902" t="s">
        <v>6281</v>
      </c>
      <c r="D3902" t="s">
        <v>8050</v>
      </c>
      <c r="E3902" t="s">
        <v>9645</v>
      </c>
      <c r="F3902" t="s">
        <v>10299</v>
      </c>
      <c r="G3902">
        <v>1.5</v>
      </c>
      <c r="H3902" t="s">
        <v>10310</v>
      </c>
      <c r="I3902" t="s">
        <v>10326</v>
      </c>
      <c r="L3902">
        <v>2016</v>
      </c>
      <c r="R3902" t="s">
        <v>11038</v>
      </c>
      <c r="S3902" t="s">
        <v>10310</v>
      </c>
      <c r="U3902" t="s">
        <v>11050</v>
      </c>
      <c r="W3902" s="2" t="s">
        <v>11204</v>
      </c>
    </row>
    <row r="3903" spans="1:23" hidden="1" x14ac:dyDescent="0.45">
      <c r="A3903" s="1" t="s">
        <v>3859</v>
      </c>
      <c r="B3903" t="s">
        <v>6683</v>
      </c>
      <c r="D3903" t="s">
        <v>8043</v>
      </c>
      <c r="E3903" t="s">
        <v>9822</v>
      </c>
      <c r="F3903" t="s">
        <v>10299</v>
      </c>
      <c r="G3903">
        <v>2.9</v>
      </c>
      <c r="H3903" t="s">
        <v>10310</v>
      </c>
      <c r="I3903" t="s">
        <v>10326</v>
      </c>
      <c r="L3903">
        <v>1949</v>
      </c>
      <c r="R3903" t="s">
        <v>11038</v>
      </c>
      <c r="S3903" t="s">
        <v>10310</v>
      </c>
      <c r="U3903" t="s">
        <v>11047</v>
      </c>
      <c r="W3903" s="2" t="s">
        <v>11204</v>
      </c>
    </row>
    <row r="3904" spans="1:23" hidden="1" x14ac:dyDescent="0.45">
      <c r="A3904" s="1" t="s">
        <v>3860</v>
      </c>
      <c r="B3904" t="s">
        <v>6331</v>
      </c>
      <c r="D3904" t="s">
        <v>8034</v>
      </c>
      <c r="E3904" t="s">
        <v>9627</v>
      </c>
      <c r="F3904" t="s">
        <v>10299</v>
      </c>
      <c r="G3904">
        <v>1.9</v>
      </c>
      <c r="H3904" t="s">
        <v>10310</v>
      </c>
      <c r="I3904" t="s">
        <v>10326</v>
      </c>
      <c r="L3904">
        <v>2013</v>
      </c>
      <c r="R3904" t="s">
        <v>11038</v>
      </c>
      <c r="S3904" t="s">
        <v>10310</v>
      </c>
      <c r="U3904" t="s">
        <v>11046</v>
      </c>
      <c r="W3904" s="2" t="s">
        <v>11204</v>
      </c>
    </row>
    <row r="3905" spans="1:23" hidden="1" x14ac:dyDescent="0.45">
      <c r="A3905" s="1" t="s">
        <v>3861</v>
      </c>
      <c r="B3905" t="s">
        <v>6683</v>
      </c>
      <c r="D3905" t="s">
        <v>8043</v>
      </c>
      <c r="E3905" t="s">
        <v>9822</v>
      </c>
      <c r="F3905" t="s">
        <v>10299</v>
      </c>
      <c r="G3905">
        <v>1.8</v>
      </c>
      <c r="H3905" t="s">
        <v>10310</v>
      </c>
      <c r="I3905" t="s">
        <v>10326</v>
      </c>
      <c r="L3905">
        <v>1962</v>
      </c>
      <c r="R3905" t="s">
        <v>11038</v>
      </c>
      <c r="S3905" t="s">
        <v>10310</v>
      </c>
      <c r="U3905" t="s">
        <v>11047</v>
      </c>
      <c r="W3905" s="2" t="s">
        <v>11204</v>
      </c>
    </row>
    <row r="3906" spans="1:23" hidden="1" x14ac:dyDescent="0.45">
      <c r="A3906" s="1" t="s">
        <v>3862</v>
      </c>
      <c r="B3906" t="s">
        <v>6303</v>
      </c>
      <c r="D3906" t="s">
        <v>8053</v>
      </c>
      <c r="E3906" t="s">
        <v>9652</v>
      </c>
      <c r="F3906" t="s">
        <v>10299</v>
      </c>
      <c r="G3906">
        <v>7.82</v>
      </c>
      <c r="H3906" t="s">
        <v>10310</v>
      </c>
      <c r="I3906" t="s">
        <v>10326</v>
      </c>
      <c r="L3906">
        <v>2017</v>
      </c>
      <c r="R3906" t="s">
        <v>11038</v>
      </c>
      <c r="S3906" t="s">
        <v>10310</v>
      </c>
      <c r="U3906" t="s">
        <v>11049</v>
      </c>
      <c r="W3906" s="2" t="s">
        <v>11204</v>
      </c>
    </row>
    <row r="3907" spans="1:23" hidden="1" x14ac:dyDescent="0.45">
      <c r="A3907" s="1" t="s">
        <v>3863</v>
      </c>
      <c r="B3907" t="s">
        <v>6684</v>
      </c>
      <c r="D3907" t="s">
        <v>8042</v>
      </c>
      <c r="E3907" t="s">
        <v>9780</v>
      </c>
      <c r="F3907" t="s">
        <v>10299</v>
      </c>
      <c r="G3907">
        <v>1.1499999999999999</v>
      </c>
      <c r="H3907" t="s">
        <v>10310</v>
      </c>
      <c r="I3907" t="s">
        <v>10326</v>
      </c>
      <c r="L3907">
        <v>2012</v>
      </c>
      <c r="R3907" t="s">
        <v>11038</v>
      </c>
      <c r="S3907" t="s">
        <v>10310</v>
      </c>
      <c r="U3907" t="s">
        <v>11049</v>
      </c>
      <c r="W3907" s="2" t="s">
        <v>11204</v>
      </c>
    </row>
    <row r="3908" spans="1:23" hidden="1" x14ac:dyDescent="0.45">
      <c r="A3908" s="1" t="s">
        <v>3864</v>
      </c>
      <c r="D3908" t="s">
        <v>8049</v>
      </c>
      <c r="E3908" t="s">
        <v>9716</v>
      </c>
      <c r="F3908" t="s">
        <v>10299</v>
      </c>
      <c r="G3908">
        <v>2.5000000000000001E-3</v>
      </c>
      <c r="H3908" t="s">
        <v>10310</v>
      </c>
      <c r="I3908" t="s">
        <v>10326</v>
      </c>
      <c r="L3908">
        <v>2004</v>
      </c>
      <c r="R3908" t="s">
        <v>11038</v>
      </c>
      <c r="S3908" t="s">
        <v>10310</v>
      </c>
      <c r="U3908" t="s">
        <v>11046</v>
      </c>
      <c r="W3908" s="2" t="s">
        <v>11204</v>
      </c>
    </row>
    <row r="3909" spans="1:23" hidden="1" x14ac:dyDescent="0.45">
      <c r="A3909" s="1" t="s">
        <v>3865</v>
      </c>
      <c r="B3909" t="s">
        <v>6274</v>
      </c>
      <c r="D3909" t="s">
        <v>8029</v>
      </c>
      <c r="E3909" t="s">
        <v>9622</v>
      </c>
      <c r="F3909" t="s">
        <v>10299</v>
      </c>
      <c r="G3909">
        <v>0.68</v>
      </c>
      <c r="H3909" t="s">
        <v>10310</v>
      </c>
      <c r="I3909" t="s">
        <v>10324</v>
      </c>
      <c r="L3909">
        <v>2016</v>
      </c>
      <c r="R3909" t="s">
        <v>11038</v>
      </c>
      <c r="S3909" t="s">
        <v>10310</v>
      </c>
      <c r="U3909" t="s">
        <v>11048</v>
      </c>
      <c r="V3909" t="s">
        <v>11182</v>
      </c>
      <c r="W3909" s="2" t="s">
        <v>11204</v>
      </c>
    </row>
    <row r="3910" spans="1:23" hidden="1" x14ac:dyDescent="0.45">
      <c r="A3910" s="1" t="s">
        <v>3866</v>
      </c>
      <c r="B3910" t="s">
        <v>6393</v>
      </c>
      <c r="D3910" t="s">
        <v>8032</v>
      </c>
      <c r="E3910" t="s">
        <v>9809</v>
      </c>
      <c r="F3910" t="s">
        <v>10299</v>
      </c>
      <c r="G3910">
        <v>8.1</v>
      </c>
      <c r="H3910" t="s">
        <v>10310</v>
      </c>
      <c r="I3910" t="s">
        <v>10326</v>
      </c>
      <c r="L3910">
        <v>2002</v>
      </c>
      <c r="R3910" t="s">
        <v>11038</v>
      </c>
      <c r="S3910" t="s">
        <v>10310</v>
      </c>
      <c r="U3910" t="s">
        <v>11046</v>
      </c>
      <c r="W3910" s="2" t="s">
        <v>11204</v>
      </c>
    </row>
    <row r="3911" spans="1:23" hidden="1" x14ac:dyDescent="0.45">
      <c r="A3911" s="1" t="s">
        <v>3867</v>
      </c>
      <c r="B3911" t="s">
        <v>6685</v>
      </c>
      <c r="D3911" t="s">
        <v>8062</v>
      </c>
      <c r="E3911" t="s">
        <v>9823</v>
      </c>
      <c r="F3911" t="s">
        <v>10299</v>
      </c>
      <c r="G3911">
        <v>1.45</v>
      </c>
      <c r="H3911" t="s">
        <v>10310</v>
      </c>
      <c r="I3911" t="s">
        <v>10326</v>
      </c>
      <c r="L3911">
        <v>2011</v>
      </c>
      <c r="R3911" t="s">
        <v>11038</v>
      </c>
      <c r="S3911" t="s">
        <v>10310</v>
      </c>
      <c r="U3911" t="s">
        <v>11046</v>
      </c>
      <c r="W3911" s="2" t="s">
        <v>11204</v>
      </c>
    </row>
    <row r="3912" spans="1:23" hidden="1" x14ac:dyDescent="0.45">
      <c r="A3912" s="1" t="s">
        <v>3868</v>
      </c>
      <c r="B3912" t="s">
        <v>6289</v>
      </c>
      <c r="D3912" t="s">
        <v>8068</v>
      </c>
      <c r="E3912" t="s">
        <v>9745</v>
      </c>
      <c r="F3912" t="s">
        <v>10299</v>
      </c>
      <c r="G3912">
        <v>25</v>
      </c>
      <c r="H3912" t="s">
        <v>10310</v>
      </c>
      <c r="I3912" t="s">
        <v>10326</v>
      </c>
      <c r="L3912">
        <v>1962</v>
      </c>
      <c r="R3912" t="s">
        <v>11038</v>
      </c>
      <c r="S3912" t="s">
        <v>10310</v>
      </c>
      <c r="U3912" t="s">
        <v>11048</v>
      </c>
      <c r="W3912" s="2" t="s">
        <v>11204</v>
      </c>
    </row>
    <row r="3913" spans="1:23" hidden="1" x14ac:dyDescent="0.45">
      <c r="A3913" s="1" t="s">
        <v>3869</v>
      </c>
      <c r="B3913" t="s">
        <v>6274</v>
      </c>
      <c r="D3913" t="s">
        <v>8036</v>
      </c>
      <c r="E3913" t="s">
        <v>4471</v>
      </c>
      <c r="F3913" t="s">
        <v>10299</v>
      </c>
      <c r="G3913">
        <v>43</v>
      </c>
      <c r="H3913" t="s">
        <v>10310</v>
      </c>
      <c r="I3913" t="s">
        <v>10326</v>
      </c>
      <c r="L3913">
        <v>1969</v>
      </c>
      <c r="R3913" t="s">
        <v>11038</v>
      </c>
      <c r="S3913" t="s">
        <v>10310</v>
      </c>
      <c r="U3913" t="s">
        <v>11046</v>
      </c>
      <c r="W3913" s="2" t="s">
        <v>11204</v>
      </c>
    </row>
    <row r="3914" spans="1:23" hidden="1" x14ac:dyDescent="0.45">
      <c r="A3914" s="1" t="s">
        <v>3870</v>
      </c>
      <c r="B3914" t="s">
        <v>6311</v>
      </c>
      <c r="D3914" t="s">
        <v>8062</v>
      </c>
      <c r="E3914" t="s">
        <v>9823</v>
      </c>
      <c r="F3914" t="s">
        <v>10299</v>
      </c>
      <c r="G3914">
        <v>4.2</v>
      </c>
      <c r="H3914" t="s">
        <v>10310</v>
      </c>
      <c r="I3914" t="s">
        <v>10326</v>
      </c>
      <c r="L3914">
        <v>2015</v>
      </c>
      <c r="R3914" t="s">
        <v>11038</v>
      </c>
      <c r="S3914" t="s">
        <v>10310</v>
      </c>
      <c r="U3914" t="s">
        <v>11046</v>
      </c>
      <c r="W3914" s="2" t="s">
        <v>11204</v>
      </c>
    </row>
    <row r="3915" spans="1:23" hidden="1" x14ac:dyDescent="0.45">
      <c r="A3915" s="1" t="s">
        <v>3871</v>
      </c>
      <c r="B3915" t="s">
        <v>6344</v>
      </c>
      <c r="D3915" t="s">
        <v>8055</v>
      </c>
      <c r="E3915" t="s">
        <v>9824</v>
      </c>
      <c r="F3915" t="s">
        <v>10299</v>
      </c>
      <c r="G3915">
        <v>75</v>
      </c>
      <c r="H3915" t="s">
        <v>10310</v>
      </c>
      <c r="I3915" t="s">
        <v>10326</v>
      </c>
      <c r="L3915">
        <v>1982</v>
      </c>
      <c r="R3915" t="s">
        <v>11038</v>
      </c>
      <c r="S3915" t="s">
        <v>10310</v>
      </c>
      <c r="U3915" t="s">
        <v>11047</v>
      </c>
      <c r="W3915" s="2" t="s">
        <v>11204</v>
      </c>
    </row>
    <row r="3916" spans="1:23" hidden="1" x14ac:dyDescent="0.45">
      <c r="A3916" s="1" t="s">
        <v>3872</v>
      </c>
      <c r="B3916" t="s">
        <v>6686</v>
      </c>
      <c r="D3916" t="s">
        <v>8070</v>
      </c>
      <c r="E3916" t="s">
        <v>9754</v>
      </c>
      <c r="F3916" t="s">
        <v>10299</v>
      </c>
      <c r="G3916">
        <v>4.8580000000000014</v>
      </c>
      <c r="H3916" t="s">
        <v>10310</v>
      </c>
      <c r="I3916" t="s">
        <v>10326</v>
      </c>
      <c r="L3916">
        <v>2014</v>
      </c>
      <c r="R3916" t="s">
        <v>11038</v>
      </c>
      <c r="S3916" t="s">
        <v>10310</v>
      </c>
      <c r="U3916" t="s">
        <v>11047</v>
      </c>
      <c r="W3916" s="2" t="s">
        <v>11204</v>
      </c>
    </row>
    <row r="3917" spans="1:23" hidden="1" x14ac:dyDescent="0.45">
      <c r="A3917" s="1" t="s">
        <v>3873</v>
      </c>
      <c r="B3917" t="s">
        <v>6331</v>
      </c>
      <c r="D3917" t="s">
        <v>8032</v>
      </c>
      <c r="E3917" t="s">
        <v>9625</v>
      </c>
      <c r="F3917" t="s">
        <v>10299</v>
      </c>
      <c r="G3917">
        <v>17</v>
      </c>
      <c r="H3917" t="s">
        <v>10310</v>
      </c>
      <c r="I3917" t="s">
        <v>10326</v>
      </c>
      <c r="L3917">
        <v>1920</v>
      </c>
      <c r="R3917" t="s">
        <v>11038</v>
      </c>
      <c r="S3917" t="s">
        <v>10310</v>
      </c>
      <c r="U3917" t="s">
        <v>11046</v>
      </c>
      <c r="W3917" s="2" t="s">
        <v>11204</v>
      </c>
    </row>
    <row r="3918" spans="1:23" hidden="1" x14ac:dyDescent="0.45">
      <c r="A3918" s="1" t="s">
        <v>3874</v>
      </c>
      <c r="B3918" t="s">
        <v>6687</v>
      </c>
      <c r="D3918" t="s">
        <v>8080</v>
      </c>
      <c r="E3918" t="s">
        <v>9825</v>
      </c>
      <c r="F3918" t="s">
        <v>10299</v>
      </c>
      <c r="G3918">
        <v>1.36</v>
      </c>
      <c r="H3918" t="s">
        <v>10310</v>
      </c>
      <c r="I3918" t="s">
        <v>10326</v>
      </c>
      <c r="L3918">
        <v>2009</v>
      </c>
      <c r="R3918" t="s">
        <v>11038</v>
      </c>
      <c r="S3918" t="s">
        <v>10310</v>
      </c>
      <c r="U3918" t="s">
        <v>11048</v>
      </c>
      <c r="W3918" s="2" t="s">
        <v>11204</v>
      </c>
    </row>
    <row r="3919" spans="1:23" hidden="1" x14ac:dyDescent="0.45">
      <c r="A3919" s="1" t="s">
        <v>3875</v>
      </c>
      <c r="B3919" t="s">
        <v>6688</v>
      </c>
      <c r="D3919" t="s">
        <v>8055</v>
      </c>
      <c r="E3919" t="s">
        <v>3805</v>
      </c>
      <c r="F3919" t="s">
        <v>10299</v>
      </c>
      <c r="G3919">
        <v>3.2</v>
      </c>
      <c r="H3919" t="s">
        <v>10310</v>
      </c>
      <c r="I3919" t="s">
        <v>10326</v>
      </c>
      <c r="L3919">
        <v>2013</v>
      </c>
      <c r="R3919" t="s">
        <v>11038</v>
      </c>
      <c r="S3919" t="s">
        <v>10310</v>
      </c>
      <c r="U3919" t="s">
        <v>11046</v>
      </c>
      <c r="W3919" s="2" t="s">
        <v>11204</v>
      </c>
    </row>
    <row r="3920" spans="1:23" hidden="1" x14ac:dyDescent="0.45">
      <c r="A3920" s="1" t="s">
        <v>3876</v>
      </c>
      <c r="B3920" t="s">
        <v>6689</v>
      </c>
      <c r="D3920" t="s">
        <v>8036</v>
      </c>
      <c r="E3920" t="s">
        <v>9637</v>
      </c>
      <c r="F3920" t="s">
        <v>10299</v>
      </c>
      <c r="G3920">
        <v>1.65</v>
      </c>
      <c r="H3920" t="s">
        <v>10310</v>
      </c>
      <c r="I3920" t="s">
        <v>10326</v>
      </c>
      <c r="L3920">
        <v>2019</v>
      </c>
      <c r="R3920" t="s">
        <v>11038</v>
      </c>
      <c r="S3920" t="s">
        <v>10310</v>
      </c>
      <c r="U3920" t="s">
        <v>11046</v>
      </c>
      <c r="W3920" s="2" t="s">
        <v>11204</v>
      </c>
    </row>
    <row r="3921" spans="1:23" hidden="1" x14ac:dyDescent="0.45">
      <c r="A3921" s="1" t="s">
        <v>3877</v>
      </c>
      <c r="B3921" t="s">
        <v>6281</v>
      </c>
      <c r="D3921" t="s">
        <v>8046</v>
      </c>
      <c r="E3921" t="s">
        <v>9640</v>
      </c>
      <c r="F3921" t="s">
        <v>10299</v>
      </c>
      <c r="G3921">
        <v>2.6</v>
      </c>
      <c r="H3921" t="s">
        <v>10310</v>
      </c>
      <c r="I3921" t="s">
        <v>10326</v>
      </c>
      <c r="L3921">
        <v>2008</v>
      </c>
      <c r="R3921" t="s">
        <v>11038</v>
      </c>
      <c r="S3921" t="s">
        <v>10310</v>
      </c>
      <c r="U3921" t="s">
        <v>11047</v>
      </c>
      <c r="W3921" s="2" t="s">
        <v>11204</v>
      </c>
    </row>
    <row r="3922" spans="1:23" hidden="1" x14ac:dyDescent="0.45">
      <c r="A3922" s="1" t="s">
        <v>3878</v>
      </c>
      <c r="B3922" t="s">
        <v>6311</v>
      </c>
      <c r="D3922" t="s">
        <v>8036</v>
      </c>
      <c r="E3922" t="s">
        <v>9807</v>
      </c>
      <c r="F3922" t="s">
        <v>10299</v>
      </c>
      <c r="G3922">
        <v>20.2</v>
      </c>
      <c r="H3922" t="s">
        <v>10310</v>
      </c>
      <c r="I3922" t="s">
        <v>10326</v>
      </c>
      <c r="L3922">
        <v>1961</v>
      </c>
      <c r="R3922" t="s">
        <v>11038</v>
      </c>
      <c r="S3922" t="s">
        <v>10310</v>
      </c>
      <c r="U3922" t="s">
        <v>11046</v>
      </c>
      <c r="W3922" s="2" t="s">
        <v>11204</v>
      </c>
    </row>
    <row r="3923" spans="1:23" hidden="1" x14ac:dyDescent="0.45">
      <c r="A3923" s="1" t="s">
        <v>3879</v>
      </c>
      <c r="B3923" t="s">
        <v>6311</v>
      </c>
      <c r="D3923" t="s">
        <v>8036</v>
      </c>
      <c r="E3923" t="s">
        <v>9807</v>
      </c>
      <c r="F3923" t="s">
        <v>10299</v>
      </c>
      <c r="G3923">
        <v>5.5E-2</v>
      </c>
      <c r="H3923" t="s">
        <v>10310</v>
      </c>
      <c r="I3923" t="s">
        <v>10326</v>
      </c>
      <c r="L3923">
        <v>1998</v>
      </c>
      <c r="R3923" t="s">
        <v>11038</v>
      </c>
      <c r="S3923" t="s">
        <v>10310</v>
      </c>
      <c r="U3923" t="s">
        <v>11046</v>
      </c>
      <c r="W3923" s="2" t="s">
        <v>11204</v>
      </c>
    </row>
    <row r="3924" spans="1:23" hidden="1" x14ac:dyDescent="0.45">
      <c r="A3924" s="1" t="s">
        <v>3880</v>
      </c>
      <c r="B3924" t="s">
        <v>6290</v>
      </c>
      <c r="D3924" t="s">
        <v>8076</v>
      </c>
      <c r="E3924" t="s">
        <v>9757</v>
      </c>
      <c r="F3924" t="s">
        <v>10299</v>
      </c>
      <c r="G3924">
        <v>54.5</v>
      </c>
      <c r="H3924" t="s">
        <v>10310</v>
      </c>
      <c r="I3924" t="s">
        <v>10326</v>
      </c>
      <c r="L3924">
        <v>1983</v>
      </c>
      <c r="R3924" t="s">
        <v>11038</v>
      </c>
      <c r="S3924" t="s">
        <v>10310</v>
      </c>
      <c r="U3924" t="s">
        <v>11050</v>
      </c>
      <c r="W3924" s="2" t="s">
        <v>11204</v>
      </c>
    </row>
    <row r="3925" spans="1:23" hidden="1" x14ac:dyDescent="0.45">
      <c r="A3925" s="1" t="s">
        <v>3881</v>
      </c>
      <c r="B3925" t="s">
        <v>6374</v>
      </c>
      <c r="D3925" t="s">
        <v>8047</v>
      </c>
      <c r="E3925" t="s">
        <v>9713</v>
      </c>
      <c r="F3925" t="s">
        <v>10299</v>
      </c>
      <c r="G3925">
        <v>118</v>
      </c>
      <c r="H3925" t="s">
        <v>10310</v>
      </c>
      <c r="I3925" t="s">
        <v>10326</v>
      </c>
      <c r="L3925">
        <v>1979</v>
      </c>
      <c r="R3925" t="s">
        <v>11038</v>
      </c>
      <c r="S3925" t="s">
        <v>10310</v>
      </c>
      <c r="U3925" t="s">
        <v>11048</v>
      </c>
      <c r="W3925" s="2" t="s">
        <v>11204</v>
      </c>
    </row>
    <row r="3926" spans="1:23" hidden="1" x14ac:dyDescent="0.45">
      <c r="A3926" s="1" t="s">
        <v>3882</v>
      </c>
      <c r="B3926" t="s">
        <v>6690</v>
      </c>
      <c r="D3926" t="s">
        <v>8037</v>
      </c>
      <c r="E3926" t="s">
        <v>9723</v>
      </c>
      <c r="F3926" t="s">
        <v>10299</v>
      </c>
      <c r="G3926">
        <v>2.5000000000000001E-2</v>
      </c>
      <c r="H3926" t="s">
        <v>10310</v>
      </c>
      <c r="I3926" t="s">
        <v>10326</v>
      </c>
      <c r="L3926">
        <v>1998</v>
      </c>
      <c r="R3926" t="s">
        <v>11038</v>
      </c>
      <c r="S3926" t="s">
        <v>10310</v>
      </c>
      <c r="U3926" t="s">
        <v>11050</v>
      </c>
      <c r="W3926" s="2" t="s">
        <v>11204</v>
      </c>
    </row>
    <row r="3927" spans="1:23" hidden="1" x14ac:dyDescent="0.45">
      <c r="A3927" s="1" t="s">
        <v>3883</v>
      </c>
      <c r="B3927" t="s">
        <v>6311</v>
      </c>
      <c r="D3927" t="s">
        <v>8031</v>
      </c>
      <c r="E3927" t="s">
        <v>9793</v>
      </c>
      <c r="F3927" t="s">
        <v>10299</v>
      </c>
      <c r="G3927">
        <v>1.2999000000000001</v>
      </c>
      <c r="H3927" t="s">
        <v>10310</v>
      </c>
      <c r="I3927" t="s">
        <v>10326</v>
      </c>
      <c r="L3927">
        <v>1915</v>
      </c>
      <c r="R3927" t="s">
        <v>11038</v>
      </c>
      <c r="S3927" t="s">
        <v>10310</v>
      </c>
      <c r="U3927" t="s">
        <v>11046</v>
      </c>
      <c r="W3927" s="2" t="s">
        <v>11204</v>
      </c>
    </row>
    <row r="3928" spans="1:23" hidden="1" x14ac:dyDescent="0.45">
      <c r="A3928" s="1" t="s">
        <v>3884</v>
      </c>
      <c r="B3928" t="s">
        <v>6691</v>
      </c>
      <c r="D3928" t="s">
        <v>8048</v>
      </c>
      <c r="E3928" t="s">
        <v>9642</v>
      </c>
      <c r="F3928" t="s">
        <v>10299</v>
      </c>
      <c r="G3928">
        <v>0.09</v>
      </c>
      <c r="H3928" t="s">
        <v>10310</v>
      </c>
      <c r="I3928" t="s">
        <v>10326</v>
      </c>
      <c r="L3928">
        <v>2007</v>
      </c>
      <c r="R3928" t="s">
        <v>11038</v>
      </c>
      <c r="S3928" t="s">
        <v>10310</v>
      </c>
      <c r="U3928" t="s">
        <v>11049</v>
      </c>
      <c r="W3928" s="2" t="s">
        <v>11204</v>
      </c>
    </row>
    <row r="3929" spans="1:23" hidden="1" x14ac:dyDescent="0.45">
      <c r="A3929" s="1" t="s">
        <v>3885</v>
      </c>
      <c r="B3929" t="s">
        <v>6692</v>
      </c>
      <c r="D3929" t="s">
        <v>8050</v>
      </c>
      <c r="E3929" t="s">
        <v>9740</v>
      </c>
      <c r="F3929" t="s">
        <v>10299</v>
      </c>
      <c r="G3929">
        <v>1.45</v>
      </c>
      <c r="H3929" t="s">
        <v>10310</v>
      </c>
      <c r="I3929" t="s">
        <v>10326</v>
      </c>
      <c r="L3929">
        <v>2010</v>
      </c>
      <c r="R3929" t="s">
        <v>11038</v>
      </c>
      <c r="S3929" t="s">
        <v>10310</v>
      </c>
      <c r="U3929" t="s">
        <v>11047</v>
      </c>
      <c r="W3929" s="2" t="s">
        <v>11204</v>
      </c>
    </row>
    <row r="3930" spans="1:23" hidden="1" x14ac:dyDescent="0.45">
      <c r="A3930" s="1" t="s">
        <v>3886</v>
      </c>
      <c r="B3930" t="s">
        <v>6693</v>
      </c>
      <c r="D3930" t="s">
        <v>8088</v>
      </c>
      <c r="E3930" t="s">
        <v>9826</v>
      </c>
      <c r="F3930" t="s">
        <v>10299</v>
      </c>
      <c r="G3930">
        <v>1.2</v>
      </c>
      <c r="H3930" t="s">
        <v>10310</v>
      </c>
      <c r="I3930" t="s">
        <v>10326</v>
      </c>
      <c r="L3930">
        <v>1952</v>
      </c>
      <c r="R3930" t="s">
        <v>11038</v>
      </c>
      <c r="S3930" t="s">
        <v>10310</v>
      </c>
      <c r="U3930" t="s">
        <v>11048</v>
      </c>
      <c r="W3930" s="2" t="s">
        <v>11204</v>
      </c>
    </row>
    <row r="3931" spans="1:23" hidden="1" x14ac:dyDescent="0.45">
      <c r="A3931" s="1" t="s">
        <v>3887</v>
      </c>
      <c r="B3931" t="s">
        <v>6694</v>
      </c>
      <c r="D3931" t="s">
        <v>8084</v>
      </c>
      <c r="E3931" t="s">
        <v>9827</v>
      </c>
      <c r="F3931" t="s">
        <v>10299</v>
      </c>
      <c r="G3931">
        <v>0.7</v>
      </c>
      <c r="H3931" t="s">
        <v>10310</v>
      </c>
      <c r="I3931" t="s">
        <v>10326</v>
      </c>
      <c r="L3931">
        <v>1915</v>
      </c>
      <c r="R3931" t="s">
        <v>11038</v>
      </c>
      <c r="S3931" t="s">
        <v>10310</v>
      </c>
      <c r="U3931" t="s">
        <v>11050</v>
      </c>
      <c r="W3931" s="2" t="s">
        <v>11204</v>
      </c>
    </row>
    <row r="3932" spans="1:23" hidden="1" x14ac:dyDescent="0.45">
      <c r="A3932" s="1" t="s">
        <v>3888</v>
      </c>
      <c r="B3932" t="s">
        <v>6331</v>
      </c>
      <c r="D3932" t="s">
        <v>8049</v>
      </c>
      <c r="E3932" t="s">
        <v>9707</v>
      </c>
      <c r="F3932" t="s">
        <v>10299</v>
      </c>
      <c r="G3932">
        <v>0.75</v>
      </c>
      <c r="H3932" t="s">
        <v>10310</v>
      </c>
      <c r="I3932" t="s">
        <v>10326</v>
      </c>
      <c r="L3932">
        <v>1934</v>
      </c>
      <c r="R3932" t="s">
        <v>11038</v>
      </c>
      <c r="S3932" t="s">
        <v>10310</v>
      </c>
      <c r="U3932" t="s">
        <v>11046</v>
      </c>
      <c r="W3932" s="2" t="s">
        <v>11204</v>
      </c>
    </row>
    <row r="3933" spans="1:23" hidden="1" x14ac:dyDescent="0.45">
      <c r="A3933" s="1" t="s">
        <v>3889</v>
      </c>
      <c r="B3933" t="s">
        <v>6695</v>
      </c>
      <c r="D3933" t="s">
        <v>8085</v>
      </c>
      <c r="E3933" t="s">
        <v>9828</v>
      </c>
      <c r="F3933" t="s">
        <v>10299</v>
      </c>
      <c r="G3933">
        <v>2.58</v>
      </c>
      <c r="H3933" t="s">
        <v>10310</v>
      </c>
      <c r="I3933" t="s">
        <v>10326</v>
      </c>
      <c r="L3933">
        <v>2020</v>
      </c>
      <c r="R3933" t="s">
        <v>11038</v>
      </c>
      <c r="S3933" t="s">
        <v>10310</v>
      </c>
      <c r="U3933" t="s">
        <v>11048</v>
      </c>
      <c r="W3933" s="2" t="s">
        <v>11204</v>
      </c>
    </row>
    <row r="3934" spans="1:23" hidden="1" x14ac:dyDescent="0.45">
      <c r="A3934" s="1" t="s">
        <v>3890</v>
      </c>
      <c r="D3934" t="s">
        <v>8043</v>
      </c>
      <c r="E3934" t="s">
        <v>9635</v>
      </c>
      <c r="F3934" t="s">
        <v>10299</v>
      </c>
      <c r="G3934">
        <v>2.5999999999999999E-3</v>
      </c>
      <c r="H3934" t="s">
        <v>10310</v>
      </c>
      <c r="I3934" t="s">
        <v>10326</v>
      </c>
      <c r="L3934">
        <v>1998</v>
      </c>
      <c r="R3934" t="s">
        <v>11038</v>
      </c>
      <c r="S3934" t="s">
        <v>10310</v>
      </c>
      <c r="U3934" t="s">
        <v>11046</v>
      </c>
      <c r="W3934" s="2" t="s">
        <v>11204</v>
      </c>
    </row>
    <row r="3935" spans="1:23" hidden="1" x14ac:dyDescent="0.45">
      <c r="A3935" s="1" t="s">
        <v>3891</v>
      </c>
      <c r="B3935" t="s">
        <v>6290</v>
      </c>
      <c r="D3935" t="s">
        <v>8030</v>
      </c>
      <c r="E3935" t="s">
        <v>9829</v>
      </c>
      <c r="F3935" t="s">
        <v>10299</v>
      </c>
      <c r="G3935">
        <v>14.1</v>
      </c>
      <c r="H3935" t="s">
        <v>10310</v>
      </c>
      <c r="I3935" t="s">
        <v>10326</v>
      </c>
      <c r="L3935">
        <v>1964</v>
      </c>
      <c r="R3935" t="s">
        <v>11038</v>
      </c>
      <c r="S3935" t="s">
        <v>10310</v>
      </c>
      <c r="U3935" t="s">
        <v>11050</v>
      </c>
      <c r="W3935" s="2" t="s">
        <v>11204</v>
      </c>
    </row>
    <row r="3936" spans="1:23" hidden="1" x14ac:dyDescent="0.45">
      <c r="A3936" s="1" t="s">
        <v>3892</v>
      </c>
      <c r="B3936" t="s">
        <v>6290</v>
      </c>
      <c r="D3936" t="s">
        <v>8082</v>
      </c>
      <c r="E3936" t="s">
        <v>4687</v>
      </c>
      <c r="F3936" t="s">
        <v>10299</v>
      </c>
      <c r="G3936">
        <v>5.49</v>
      </c>
      <c r="H3936" t="s">
        <v>10310</v>
      </c>
      <c r="I3936" t="s">
        <v>10326</v>
      </c>
      <c r="L3936">
        <v>2008</v>
      </c>
      <c r="R3936" t="s">
        <v>11038</v>
      </c>
      <c r="S3936" t="s">
        <v>10310</v>
      </c>
      <c r="U3936" t="s">
        <v>11049</v>
      </c>
      <c r="W3936" s="2" t="s">
        <v>11204</v>
      </c>
    </row>
    <row r="3937" spans="1:23" hidden="1" x14ac:dyDescent="0.45">
      <c r="A3937" s="1" t="s">
        <v>3893</v>
      </c>
      <c r="B3937" t="s">
        <v>6307</v>
      </c>
      <c r="D3937" t="s">
        <v>8030</v>
      </c>
      <c r="E3937" t="s">
        <v>9655</v>
      </c>
      <c r="F3937" t="s">
        <v>10299</v>
      </c>
      <c r="G3937">
        <v>5.35</v>
      </c>
      <c r="H3937" t="s">
        <v>10310</v>
      </c>
      <c r="I3937" t="s">
        <v>10326</v>
      </c>
      <c r="L3937">
        <v>1941</v>
      </c>
      <c r="R3937" t="s">
        <v>11038</v>
      </c>
      <c r="S3937" t="s">
        <v>10310</v>
      </c>
      <c r="U3937" t="s">
        <v>11048</v>
      </c>
      <c r="W3937" s="2" t="s">
        <v>11204</v>
      </c>
    </row>
    <row r="3938" spans="1:23" hidden="1" x14ac:dyDescent="0.45">
      <c r="A3938" s="1" t="s">
        <v>3894</v>
      </c>
      <c r="B3938" t="s">
        <v>6346</v>
      </c>
      <c r="D3938" t="s">
        <v>8078</v>
      </c>
      <c r="E3938" t="s">
        <v>9725</v>
      </c>
      <c r="F3938" t="s">
        <v>10299</v>
      </c>
      <c r="G3938">
        <v>370</v>
      </c>
      <c r="H3938" t="s">
        <v>10310</v>
      </c>
      <c r="I3938" t="s">
        <v>10326</v>
      </c>
      <c r="L3938">
        <v>1953</v>
      </c>
      <c r="R3938" t="s">
        <v>11038</v>
      </c>
      <c r="S3938" t="s">
        <v>10310</v>
      </c>
      <c r="U3938" t="s">
        <v>11046</v>
      </c>
      <c r="W3938" s="2" t="s">
        <v>11204</v>
      </c>
    </row>
    <row r="3939" spans="1:23" hidden="1" x14ac:dyDescent="0.45">
      <c r="A3939" s="1" t="s">
        <v>3895</v>
      </c>
      <c r="B3939" t="s">
        <v>6696</v>
      </c>
      <c r="D3939" t="s">
        <v>8074</v>
      </c>
      <c r="E3939" t="s">
        <v>9763</v>
      </c>
      <c r="F3939" t="s">
        <v>10299</v>
      </c>
      <c r="G3939">
        <v>4.0999999999999996</v>
      </c>
      <c r="H3939" t="s">
        <v>10310</v>
      </c>
      <c r="I3939" t="s">
        <v>10326</v>
      </c>
      <c r="L3939">
        <v>1963</v>
      </c>
      <c r="R3939" t="s">
        <v>11038</v>
      </c>
      <c r="S3939" t="s">
        <v>10310</v>
      </c>
      <c r="U3939" t="s">
        <v>11048</v>
      </c>
      <c r="W3939" s="2" t="s">
        <v>11204</v>
      </c>
    </row>
    <row r="3940" spans="1:23" hidden="1" x14ac:dyDescent="0.45">
      <c r="A3940" s="1" t="s">
        <v>3896</v>
      </c>
      <c r="B3940" t="s">
        <v>6697</v>
      </c>
      <c r="D3940" t="s">
        <v>8056</v>
      </c>
      <c r="E3940" t="s">
        <v>4694</v>
      </c>
      <c r="F3940" t="s">
        <v>10299</v>
      </c>
      <c r="G3940">
        <v>0.35</v>
      </c>
      <c r="H3940" t="s">
        <v>10310</v>
      </c>
      <c r="I3940" t="s">
        <v>10326</v>
      </c>
      <c r="L3940">
        <v>1999</v>
      </c>
      <c r="R3940" t="s">
        <v>11038</v>
      </c>
      <c r="S3940" t="s">
        <v>10310</v>
      </c>
      <c r="U3940" t="s">
        <v>11050</v>
      </c>
      <c r="W3940" s="2" t="s">
        <v>11204</v>
      </c>
    </row>
    <row r="3941" spans="1:23" hidden="1" x14ac:dyDescent="0.45">
      <c r="A3941" s="1" t="s">
        <v>3897</v>
      </c>
      <c r="B3941" t="s">
        <v>6393</v>
      </c>
      <c r="D3941" t="s">
        <v>8058</v>
      </c>
      <c r="E3941" t="s">
        <v>9662</v>
      </c>
      <c r="F3941" t="s">
        <v>10299</v>
      </c>
      <c r="G3941">
        <v>0.56999999999999995</v>
      </c>
      <c r="H3941" t="s">
        <v>10310</v>
      </c>
      <c r="I3941" t="s">
        <v>10326</v>
      </c>
      <c r="L3941">
        <v>2007</v>
      </c>
      <c r="R3941" t="s">
        <v>11038</v>
      </c>
      <c r="S3941" t="s">
        <v>10310</v>
      </c>
      <c r="U3941" t="s">
        <v>11046</v>
      </c>
      <c r="W3941" s="2" t="s">
        <v>11204</v>
      </c>
    </row>
    <row r="3942" spans="1:23" hidden="1" x14ac:dyDescent="0.45">
      <c r="A3942" s="1" t="s">
        <v>3898</v>
      </c>
      <c r="B3942" t="s">
        <v>6274</v>
      </c>
      <c r="D3942" t="s">
        <v>8040</v>
      </c>
      <c r="E3942" t="s">
        <v>9686</v>
      </c>
      <c r="F3942" t="s">
        <v>10299</v>
      </c>
      <c r="G3942">
        <v>9.3000000000000007</v>
      </c>
      <c r="H3942" t="s">
        <v>10310</v>
      </c>
      <c r="I3942" t="s">
        <v>10326</v>
      </c>
      <c r="L3942">
        <v>1926</v>
      </c>
      <c r="R3942" t="s">
        <v>11038</v>
      </c>
      <c r="S3942" t="s">
        <v>10310</v>
      </c>
      <c r="U3942" t="s">
        <v>11047</v>
      </c>
      <c r="W3942" s="2" t="s">
        <v>11204</v>
      </c>
    </row>
    <row r="3943" spans="1:23" hidden="1" x14ac:dyDescent="0.45">
      <c r="A3943" s="1" t="s">
        <v>3899</v>
      </c>
      <c r="B3943" t="s">
        <v>6290</v>
      </c>
      <c r="D3943" t="s">
        <v>8056</v>
      </c>
      <c r="E3943" t="s">
        <v>4694</v>
      </c>
      <c r="F3943" t="s">
        <v>10299</v>
      </c>
      <c r="G3943">
        <v>29</v>
      </c>
      <c r="H3943" t="s">
        <v>10310</v>
      </c>
      <c r="I3943" t="s">
        <v>10326</v>
      </c>
      <c r="L3943">
        <v>1971</v>
      </c>
      <c r="R3943" t="s">
        <v>11038</v>
      </c>
      <c r="S3943" t="s">
        <v>10310</v>
      </c>
      <c r="U3943" t="s">
        <v>11050</v>
      </c>
      <c r="W3943" s="2" t="s">
        <v>11204</v>
      </c>
    </row>
    <row r="3944" spans="1:23" hidden="1" x14ac:dyDescent="0.45">
      <c r="A3944" s="1" t="s">
        <v>3900</v>
      </c>
      <c r="B3944" t="s">
        <v>6698</v>
      </c>
      <c r="D3944" t="s">
        <v>8034</v>
      </c>
      <c r="E3944" t="s">
        <v>9627</v>
      </c>
      <c r="F3944" t="s">
        <v>10299</v>
      </c>
      <c r="G3944">
        <v>0.12</v>
      </c>
      <c r="H3944" t="s">
        <v>10310</v>
      </c>
      <c r="I3944" t="s">
        <v>10326</v>
      </c>
      <c r="L3944">
        <v>2003</v>
      </c>
      <c r="R3944" t="s">
        <v>11038</v>
      </c>
      <c r="S3944" t="s">
        <v>10310</v>
      </c>
      <c r="U3944" t="s">
        <v>11046</v>
      </c>
      <c r="W3944" s="2" t="s">
        <v>11204</v>
      </c>
    </row>
    <row r="3945" spans="1:23" hidden="1" x14ac:dyDescent="0.45">
      <c r="A3945" s="1" t="s">
        <v>3901</v>
      </c>
      <c r="B3945" t="s">
        <v>6699</v>
      </c>
      <c r="D3945" t="s">
        <v>8056</v>
      </c>
      <c r="E3945" t="s">
        <v>3440</v>
      </c>
      <c r="F3945" t="s">
        <v>10299</v>
      </c>
      <c r="G3945">
        <v>1.875</v>
      </c>
      <c r="H3945" t="s">
        <v>10310</v>
      </c>
      <c r="I3945" t="s">
        <v>10326</v>
      </c>
      <c r="L3945">
        <v>2010</v>
      </c>
      <c r="R3945" t="s">
        <v>11038</v>
      </c>
      <c r="S3945" t="s">
        <v>10310</v>
      </c>
      <c r="U3945" t="s">
        <v>11046</v>
      </c>
      <c r="W3945" s="2" t="s">
        <v>11204</v>
      </c>
    </row>
    <row r="3946" spans="1:23" hidden="1" x14ac:dyDescent="0.45">
      <c r="A3946" s="1" t="s">
        <v>3902</v>
      </c>
      <c r="B3946" t="s">
        <v>6290</v>
      </c>
      <c r="D3946" t="s">
        <v>8044</v>
      </c>
      <c r="E3946" t="s">
        <v>9705</v>
      </c>
      <c r="F3946" t="s">
        <v>10299</v>
      </c>
      <c r="G3946">
        <v>0.77</v>
      </c>
      <c r="H3946" t="s">
        <v>10310</v>
      </c>
      <c r="I3946" t="s">
        <v>10326</v>
      </c>
      <c r="L3946">
        <v>1984</v>
      </c>
      <c r="R3946" t="s">
        <v>11038</v>
      </c>
      <c r="S3946" t="s">
        <v>10310</v>
      </c>
      <c r="U3946" t="s">
        <v>11050</v>
      </c>
      <c r="W3946" s="2" t="s">
        <v>11204</v>
      </c>
    </row>
    <row r="3947" spans="1:23" hidden="1" x14ac:dyDescent="0.45">
      <c r="A3947" s="1" t="s">
        <v>3903</v>
      </c>
      <c r="B3947" t="s">
        <v>6290</v>
      </c>
      <c r="D3947" t="s">
        <v>8044</v>
      </c>
      <c r="E3947" t="s">
        <v>9705</v>
      </c>
      <c r="F3947" t="s">
        <v>10299</v>
      </c>
      <c r="G3947">
        <v>0.86</v>
      </c>
      <c r="H3947" t="s">
        <v>10310</v>
      </c>
      <c r="I3947" t="s">
        <v>10326</v>
      </c>
      <c r="L3947">
        <v>1960</v>
      </c>
      <c r="R3947" t="s">
        <v>11038</v>
      </c>
      <c r="S3947" t="s">
        <v>10310</v>
      </c>
      <c r="U3947" t="s">
        <v>11050</v>
      </c>
      <c r="W3947" s="2" t="s">
        <v>11204</v>
      </c>
    </row>
    <row r="3948" spans="1:23" hidden="1" x14ac:dyDescent="0.45">
      <c r="A3948" s="1" t="s">
        <v>3904</v>
      </c>
      <c r="B3948" t="s">
        <v>6290</v>
      </c>
      <c r="D3948" t="s">
        <v>8044</v>
      </c>
      <c r="E3948" t="s">
        <v>9705</v>
      </c>
      <c r="F3948" t="s">
        <v>10299</v>
      </c>
      <c r="G3948">
        <v>0.78</v>
      </c>
      <c r="H3948" t="s">
        <v>10310</v>
      </c>
      <c r="I3948" t="s">
        <v>10326</v>
      </c>
      <c r="L3948">
        <v>1978</v>
      </c>
      <c r="R3948" t="s">
        <v>11038</v>
      </c>
      <c r="S3948" t="s">
        <v>10310</v>
      </c>
      <c r="U3948" t="s">
        <v>11050</v>
      </c>
      <c r="W3948" s="2" t="s">
        <v>11204</v>
      </c>
    </row>
    <row r="3949" spans="1:23" hidden="1" x14ac:dyDescent="0.45">
      <c r="A3949" s="1" t="s">
        <v>3905</v>
      </c>
      <c r="B3949" t="s">
        <v>6290</v>
      </c>
      <c r="D3949" t="s">
        <v>8044</v>
      </c>
      <c r="E3949" t="s">
        <v>9705</v>
      </c>
      <c r="F3949" t="s">
        <v>10299</v>
      </c>
      <c r="G3949">
        <v>1.6</v>
      </c>
      <c r="H3949" t="s">
        <v>10310</v>
      </c>
      <c r="I3949" t="s">
        <v>10326</v>
      </c>
      <c r="L3949">
        <v>1980</v>
      </c>
      <c r="R3949" t="s">
        <v>11038</v>
      </c>
      <c r="S3949" t="s">
        <v>10310</v>
      </c>
      <c r="U3949" t="s">
        <v>11050</v>
      </c>
      <c r="W3949" s="2" t="s">
        <v>11204</v>
      </c>
    </row>
    <row r="3950" spans="1:23" hidden="1" x14ac:dyDescent="0.45">
      <c r="A3950" s="1" t="s">
        <v>3906</v>
      </c>
      <c r="B3950" t="s">
        <v>6274</v>
      </c>
      <c r="D3950" t="s">
        <v>8029</v>
      </c>
      <c r="E3950" t="s">
        <v>9661</v>
      </c>
      <c r="F3950" t="s">
        <v>10299</v>
      </c>
      <c r="G3950">
        <v>4</v>
      </c>
      <c r="H3950" t="s">
        <v>10310</v>
      </c>
      <c r="I3950" t="s">
        <v>10326</v>
      </c>
      <c r="L3950">
        <v>2012</v>
      </c>
      <c r="R3950" t="s">
        <v>11038</v>
      </c>
      <c r="S3950" t="s">
        <v>10310</v>
      </c>
      <c r="U3950" t="s">
        <v>11047</v>
      </c>
      <c r="W3950" s="2" t="s">
        <v>11204</v>
      </c>
    </row>
    <row r="3951" spans="1:23" hidden="1" x14ac:dyDescent="0.45">
      <c r="A3951" s="1" t="s">
        <v>3907</v>
      </c>
      <c r="B3951" t="s">
        <v>6700</v>
      </c>
      <c r="D3951" t="s">
        <v>8041</v>
      </c>
      <c r="E3951" t="s">
        <v>9687</v>
      </c>
      <c r="F3951" t="s">
        <v>10299</v>
      </c>
      <c r="G3951">
        <v>0.7</v>
      </c>
      <c r="H3951" t="s">
        <v>10310</v>
      </c>
      <c r="I3951" t="s">
        <v>10326</v>
      </c>
      <c r="L3951">
        <v>1997</v>
      </c>
      <c r="R3951" t="s">
        <v>11038</v>
      </c>
      <c r="S3951" t="s">
        <v>10310</v>
      </c>
      <c r="U3951" t="s">
        <v>11047</v>
      </c>
      <c r="W3951" s="2" t="s">
        <v>11204</v>
      </c>
    </row>
    <row r="3952" spans="1:23" hidden="1" x14ac:dyDescent="0.45">
      <c r="A3952" s="1" t="s">
        <v>3908</v>
      </c>
      <c r="B3952" t="s">
        <v>6701</v>
      </c>
      <c r="D3952" t="s">
        <v>8045</v>
      </c>
      <c r="E3952" t="s">
        <v>9646</v>
      </c>
      <c r="F3952" t="s">
        <v>10299</v>
      </c>
      <c r="G3952">
        <v>0.125</v>
      </c>
      <c r="H3952" t="s">
        <v>10310</v>
      </c>
      <c r="I3952" t="s">
        <v>10326</v>
      </c>
      <c r="L3952">
        <v>2000</v>
      </c>
      <c r="R3952" t="s">
        <v>11038</v>
      </c>
      <c r="S3952" t="s">
        <v>10310</v>
      </c>
      <c r="U3952" t="s">
        <v>11047</v>
      </c>
      <c r="W3952" s="2" t="s">
        <v>11204</v>
      </c>
    </row>
    <row r="3953" spans="1:23" hidden="1" x14ac:dyDescent="0.45">
      <c r="A3953" s="1" t="s">
        <v>3909</v>
      </c>
      <c r="B3953" t="s">
        <v>6434</v>
      </c>
      <c r="D3953" t="s">
        <v>8082</v>
      </c>
      <c r="E3953" t="s">
        <v>9756</v>
      </c>
      <c r="F3953" t="s">
        <v>10299</v>
      </c>
      <c r="G3953">
        <v>3.52</v>
      </c>
      <c r="H3953" t="s">
        <v>10310</v>
      </c>
      <c r="I3953" t="s">
        <v>10326</v>
      </c>
      <c r="L3953">
        <v>2016</v>
      </c>
      <c r="R3953" t="s">
        <v>11038</v>
      </c>
      <c r="S3953" t="s">
        <v>10310</v>
      </c>
      <c r="U3953" t="s">
        <v>11049</v>
      </c>
      <c r="W3953" s="2" t="s">
        <v>11204</v>
      </c>
    </row>
    <row r="3954" spans="1:23" hidden="1" x14ac:dyDescent="0.45">
      <c r="A3954" s="1" t="s">
        <v>3910</v>
      </c>
      <c r="B3954" t="s">
        <v>6274</v>
      </c>
      <c r="D3954" t="s">
        <v>8041</v>
      </c>
      <c r="E3954" t="s">
        <v>9651</v>
      </c>
      <c r="F3954" t="s">
        <v>10299</v>
      </c>
      <c r="G3954">
        <v>6</v>
      </c>
      <c r="H3954" t="s">
        <v>10310</v>
      </c>
      <c r="I3954" t="s">
        <v>10324</v>
      </c>
      <c r="L3954">
        <v>1975</v>
      </c>
      <c r="R3954" t="s">
        <v>11038</v>
      </c>
      <c r="S3954" t="s">
        <v>10310</v>
      </c>
      <c r="U3954" t="s">
        <v>11047</v>
      </c>
      <c r="V3954" t="s">
        <v>11182</v>
      </c>
      <c r="W3954" s="2" t="s">
        <v>11204</v>
      </c>
    </row>
    <row r="3955" spans="1:23" hidden="1" x14ac:dyDescent="0.45">
      <c r="A3955" s="1" t="s">
        <v>3911</v>
      </c>
      <c r="B3955" t="s">
        <v>6702</v>
      </c>
      <c r="D3955" t="s">
        <v>8061</v>
      </c>
      <c r="E3955" t="s">
        <v>9665</v>
      </c>
      <c r="F3955" t="s">
        <v>10299</v>
      </c>
      <c r="G3955">
        <v>0.09</v>
      </c>
      <c r="H3955" t="s">
        <v>10310</v>
      </c>
      <c r="I3955" t="s">
        <v>10326</v>
      </c>
      <c r="L3955">
        <v>2008</v>
      </c>
      <c r="R3955" t="s">
        <v>11038</v>
      </c>
      <c r="S3955" t="s">
        <v>10310</v>
      </c>
      <c r="U3955" t="s">
        <v>11046</v>
      </c>
      <c r="W3955" s="2" t="s">
        <v>11204</v>
      </c>
    </row>
    <row r="3956" spans="1:23" hidden="1" x14ac:dyDescent="0.45">
      <c r="A3956" s="1" t="s">
        <v>3912</v>
      </c>
      <c r="D3956" t="s">
        <v>8080</v>
      </c>
      <c r="E3956" t="s">
        <v>9729</v>
      </c>
      <c r="F3956" t="s">
        <v>10299</v>
      </c>
      <c r="G3956">
        <v>0.09</v>
      </c>
      <c r="H3956" t="s">
        <v>10310</v>
      </c>
      <c r="I3956" t="s">
        <v>10326</v>
      </c>
      <c r="L3956">
        <v>2001</v>
      </c>
      <c r="R3956" t="s">
        <v>11038</v>
      </c>
      <c r="S3956" t="s">
        <v>10310</v>
      </c>
      <c r="U3956" t="s">
        <v>11049</v>
      </c>
      <c r="W3956" s="2" t="s">
        <v>11204</v>
      </c>
    </row>
    <row r="3957" spans="1:23" hidden="1" x14ac:dyDescent="0.45">
      <c r="A3957" s="1" t="s">
        <v>3913</v>
      </c>
      <c r="B3957" t="s">
        <v>6274</v>
      </c>
      <c r="D3957" t="s">
        <v>8034</v>
      </c>
      <c r="E3957" t="s">
        <v>9627</v>
      </c>
      <c r="F3957" t="s">
        <v>10299</v>
      </c>
      <c r="G3957">
        <v>1.2</v>
      </c>
      <c r="H3957" t="s">
        <v>10310</v>
      </c>
      <c r="I3957" t="s">
        <v>10324</v>
      </c>
      <c r="L3957">
        <v>2007</v>
      </c>
      <c r="R3957" t="s">
        <v>11038</v>
      </c>
      <c r="S3957" t="s">
        <v>10310</v>
      </c>
      <c r="U3957" t="s">
        <v>11049</v>
      </c>
      <c r="V3957" t="s">
        <v>11182</v>
      </c>
      <c r="W3957" s="2" t="s">
        <v>11204</v>
      </c>
    </row>
    <row r="3958" spans="1:23" hidden="1" x14ac:dyDescent="0.45">
      <c r="A3958" s="1" t="s">
        <v>3914</v>
      </c>
      <c r="B3958" t="s">
        <v>6703</v>
      </c>
      <c r="D3958" t="s">
        <v>8061</v>
      </c>
      <c r="E3958" t="s">
        <v>9665</v>
      </c>
      <c r="F3958" t="s">
        <v>10299</v>
      </c>
      <c r="G3958">
        <v>0.78599999999999992</v>
      </c>
      <c r="H3958" t="s">
        <v>10310</v>
      </c>
      <c r="I3958" t="s">
        <v>10326</v>
      </c>
      <c r="L3958">
        <v>2008</v>
      </c>
      <c r="R3958" t="s">
        <v>11038</v>
      </c>
      <c r="S3958" t="s">
        <v>10310</v>
      </c>
      <c r="U3958" t="s">
        <v>11046</v>
      </c>
      <c r="W3958" s="2" t="s">
        <v>11204</v>
      </c>
    </row>
    <row r="3959" spans="1:23" hidden="1" x14ac:dyDescent="0.45">
      <c r="A3959" s="1" t="s">
        <v>3915</v>
      </c>
      <c r="B3959" t="s">
        <v>6378</v>
      </c>
      <c r="D3959" t="s">
        <v>8061</v>
      </c>
      <c r="E3959" t="s">
        <v>9679</v>
      </c>
      <c r="F3959" t="s">
        <v>10299</v>
      </c>
      <c r="G3959">
        <v>180</v>
      </c>
      <c r="H3959" t="s">
        <v>10310</v>
      </c>
      <c r="I3959" t="s">
        <v>10326</v>
      </c>
      <c r="L3959">
        <v>1957</v>
      </c>
      <c r="R3959" t="s">
        <v>11038</v>
      </c>
      <c r="S3959" t="s">
        <v>10310</v>
      </c>
      <c r="U3959" t="s">
        <v>11049</v>
      </c>
      <c r="W3959" s="2" t="s">
        <v>11204</v>
      </c>
    </row>
    <row r="3960" spans="1:23" hidden="1" x14ac:dyDescent="0.45">
      <c r="A3960" s="1" t="s">
        <v>3916</v>
      </c>
      <c r="B3960" t="s">
        <v>6378</v>
      </c>
      <c r="D3960" t="s">
        <v>8061</v>
      </c>
      <c r="E3960" t="s">
        <v>9679</v>
      </c>
      <c r="F3960" t="s">
        <v>10299</v>
      </c>
      <c r="G3960">
        <v>150</v>
      </c>
      <c r="H3960" t="s">
        <v>10310</v>
      </c>
      <c r="I3960" t="s">
        <v>10326</v>
      </c>
      <c r="L3960">
        <v>1962</v>
      </c>
      <c r="R3960" t="s">
        <v>11038</v>
      </c>
      <c r="S3960" t="s">
        <v>10310</v>
      </c>
      <c r="U3960" t="s">
        <v>11049</v>
      </c>
      <c r="W3960" s="2" t="s">
        <v>11204</v>
      </c>
    </row>
    <row r="3961" spans="1:23" hidden="1" x14ac:dyDescent="0.45">
      <c r="A3961" s="1" t="s">
        <v>3917</v>
      </c>
      <c r="B3961" t="s">
        <v>6519</v>
      </c>
      <c r="D3961" t="s">
        <v>8035</v>
      </c>
      <c r="E3961" t="s">
        <v>3097</v>
      </c>
      <c r="F3961" t="s">
        <v>10299</v>
      </c>
      <c r="G3961">
        <v>2.2999999999999998</v>
      </c>
      <c r="H3961" t="s">
        <v>10310</v>
      </c>
      <c r="I3961" t="s">
        <v>10326</v>
      </c>
      <c r="L3961">
        <v>1993</v>
      </c>
      <c r="R3961" t="s">
        <v>11038</v>
      </c>
      <c r="S3961" t="s">
        <v>10310</v>
      </c>
      <c r="U3961" t="s">
        <v>11048</v>
      </c>
      <c r="W3961" s="2" t="s">
        <v>11204</v>
      </c>
    </row>
    <row r="3962" spans="1:23" hidden="1" x14ac:dyDescent="0.45">
      <c r="A3962" s="1" t="s">
        <v>3918</v>
      </c>
      <c r="B3962" t="s">
        <v>6346</v>
      </c>
      <c r="D3962" t="s">
        <v>8056</v>
      </c>
      <c r="E3962" t="s">
        <v>3440</v>
      </c>
      <c r="F3962" t="s">
        <v>10299</v>
      </c>
      <c r="G3962">
        <v>25.5</v>
      </c>
      <c r="H3962" t="s">
        <v>10310</v>
      </c>
      <c r="I3962" t="s">
        <v>10326</v>
      </c>
      <c r="L3962">
        <v>1930</v>
      </c>
      <c r="R3962" t="s">
        <v>11038</v>
      </c>
      <c r="S3962" t="s">
        <v>10310</v>
      </c>
      <c r="U3962" t="s">
        <v>11046</v>
      </c>
      <c r="W3962" s="2" t="s">
        <v>11204</v>
      </c>
    </row>
    <row r="3963" spans="1:23" hidden="1" x14ac:dyDescent="0.45">
      <c r="A3963" s="1" t="s">
        <v>3919</v>
      </c>
      <c r="B3963" t="s">
        <v>6274</v>
      </c>
      <c r="D3963" t="s">
        <v>8034</v>
      </c>
      <c r="E3963" t="s">
        <v>9627</v>
      </c>
      <c r="F3963" t="s">
        <v>10299</v>
      </c>
      <c r="G3963">
        <v>250</v>
      </c>
      <c r="H3963" t="s">
        <v>10310</v>
      </c>
      <c r="I3963" t="s">
        <v>10326</v>
      </c>
      <c r="L3963">
        <v>1974</v>
      </c>
      <c r="R3963" t="s">
        <v>11038</v>
      </c>
      <c r="S3963" t="s">
        <v>10310</v>
      </c>
      <c r="U3963" t="s">
        <v>11049</v>
      </c>
      <c r="W3963" s="2" t="s">
        <v>11204</v>
      </c>
    </row>
    <row r="3964" spans="1:23" hidden="1" x14ac:dyDescent="0.45">
      <c r="A3964" s="1" t="s">
        <v>3920</v>
      </c>
      <c r="B3964" t="s">
        <v>6704</v>
      </c>
      <c r="D3964" t="s">
        <v>8026</v>
      </c>
      <c r="E3964" t="s">
        <v>9721</v>
      </c>
      <c r="F3964" t="s">
        <v>10299</v>
      </c>
      <c r="G3964">
        <v>0.78400000000000003</v>
      </c>
      <c r="H3964" t="s">
        <v>10310</v>
      </c>
      <c r="I3964" t="s">
        <v>10326</v>
      </c>
      <c r="L3964">
        <v>2007</v>
      </c>
      <c r="R3964" t="s">
        <v>11038</v>
      </c>
      <c r="S3964" t="s">
        <v>10310</v>
      </c>
      <c r="U3964" t="s">
        <v>11050</v>
      </c>
      <c r="W3964" s="2" t="s">
        <v>11204</v>
      </c>
    </row>
    <row r="3965" spans="1:23" hidden="1" x14ac:dyDescent="0.45">
      <c r="A3965" s="1" t="s">
        <v>3921</v>
      </c>
      <c r="D3965" t="s">
        <v>8030</v>
      </c>
      <c r="E3965" t="s">
        <v>9623</v>
      </c>
      <c r="F3965" t="s">
        <v>10299</v>
      </c>
      <c r="G3965">
        <v>0.02</v>
      </c>
      <c r="H3965" t="s">
        <v>10310</v>
      </c>
      <c r="I3965" t="s">
        <v>10326</v>
      </c>
      <c r="L3965">
        <v>2000</v>
      </c>
      <c r="R3965" t="s">
        <v>11038</v>
      </c>
      <c r="S3965" t="s">
        <v>10310</v>
      </c>
      <c r="U3965" t="s">
        <v>11049</v>
      </c>
      <c r="W3965" s="2" t="s">
        <v>11204</v>
      </c>
    </row>
    <row r="3966" spans="1:23" hidden="1" x14ac:dyDescent="0.45">
      <c r="A3966" s="1" t="s">
        <v>3922</v>
      </c>
      <c r="D3966" t="s">
        <v>8049</v>
      </c>
      <c r="E3966" t="s">
        <v>9707</v>
      </c>
      <c r="F3966" t="s">
        <v>10299</v>
      </c>
      <c r="G3966">
        <v>1.2E-2</v>
      </c>
      <c r="H3966" t="s">
        <v>10310</v>
      </c>
      <c r="I3966" t="s">
        <v>10326</v>
      </c>
      <c r="L3966">
        <v>2000</v>
      </c>
      <c r="R3966" t="s">
        <v>11038</v>
      </c>
      <c r="S3966" t="s">
        <v>10310</v>
      </c>
      <c r="U3966" t="s">
        <v>11046</v>
      </c>
      <c r="W3966" s="2" t="s">
        <v>11204</v>
      </c>
    </row>
    <row r="3967" spans="1:23" hidden="1" x14ac:dyDescent="0.45">
      <c r="A3967" s="1" t="s">
        <v>3923</v>
      </c>
      <c r="D3967" t="s">
        <v>8049</v>
      </c>
      <c r="E3967" t="s">
        <v>9707</v>
      </c>
      <c r="F3967" t="s">
        <v>10299</v>
      </c>
      <c r="G3967">
        <v>1.7999999999999999E-2</v>
      </c>
      <c r="H3967" t="s">
        <v>10310</v>
      </c>
      <c r="I3967" t="s">
        <v>10326</v>
      </c>
      <c r="L3967">
        <v>2005</v>
      </c>
      <c r="R3967" t="s">
        <v>11038</v>
      </c>
      <c r="S3967" t="s">
        <v>10310</v>
      </c>
      <c r="U3967" t="s">
        <v>11046</v>
      </c>
      <c r="W3967" s="2" t="s">
        <v>11204</v>
      </c>
    </row>
    <row r="3968" spans="1:23" hidden="1" x14ac:dyDescent="0.45">
      <c r="A3968" s="1" t="s">
        <v>3924</v>
      </c>
      <c r="B3968" t="s">
        <v>6705</v>
      </c>
      <c r="D3968" t="s">
        <v>8037</v>
      </c>
      <c r="E3968" t="s">
        <v>9629</v>
      </c>
      <c r="F3968" t="s">
        <v>10299</v>
      </c>
      <c r="G3968">
        <v>1.36</v>
      </c>
      <c r="H3968" t="s">
        <v>10310</v>
      </c>
      <c r="I3968" t="s">
        <v>10326</v>
      </c>
      <c r="L3968">
        <v>2008</v>
      </c>
      <c r="R3968" t="s">
        <v>11038</v>
      </c>
      <c r="S3968" t="s">
        <v>10310</v>
      </c>
      <c r="U3968" t="s">
        <v>11047</v>
      </c>
      <c r="W3968" s="2" t="s">
        <v>11204</v>
      </c>
    </row>
    <row r="3969" spans="1:23" hidden="1" x14ac:dyDescent="0.45">
      <c r="A3969" s="1" t="s">
        <v>3925</v>
      </c>
      <c r="B3969" t="s">
        <v>6706</v>
      </c>
      <c r="D3969" t="s">
        <v>8041</v>
      </c>
      <c r="E3969" t="s">
        <v>9651</v>
      </c>
      <c r="F3969" t="s">
        <v>10299</v>
      </c>
      <c r="G3969">
        <v>0.9</v>
      </c>
      <c r="H3969" t="s">
        <v>10310</v>
      </c>
      <c r="I3969" t="s">
        <v>10326</v>
      </c>
      <c r="L3969">
        <v>1936</v>
      </c>
      <c r="R3969" t="s">
        <v>11038</v>
      </c>
      <c r="S3969" t="s">
        <v>10310</v>
      </c>
      <c r="U3969" t="s">
        <v>11047</v>
      </c>
      <c r="W3969" s="2" t="s">
        <v>11204</v>
      </c>
    </row>
    <row r="3970" spans="1:23" hidden="1" x14ac:dyDescent="0.45">
      <c r="A3970" s="1" t="s">
        <v>3926</v>
      </c>
      <c r="B3970" t="s">
        <v>6706</v>
      </c>
      <c r="D3970" t="s">
        <v>8041</v>
      </c>
      <c r="E3970" t="s">
        <v>9651</v>
      </c>
      <c r="F3970" t="s">
        <v>10299</v>
      </c>
      <c r="G3970">
        <v>4.0999999999999996</v>
      </c>
      <c r="H3970" t="s">
        <v>10310</v>
      </c>
      <c r="I3970" t="s">
        <v>10326</v>
      </c>
      <c r="L3970">
        <v>1999</v>
      </c>
      <c r="R3970" t="s">
        <v>11038</v>
      </c>
      <c r="S3970" t="s">
        <v>10310</v>
      </c>
      <c r="U3970" t="s">
        <v>11047</v>
      </c>
      <c r="W3970" s="2" t="s">
        <v>11204</v>
      </c>
    </row>
    <row r="3971" spans="1:23" hidden="1" x14ac:dyDescent="0.45">
      <c r="A3971" s="1" t="s">
        <v>3927</v>
      </c>
      <c r="B3971" t="s">
        <v>6323</v>
      </c>
      <c r="D3971" t="s">
        <v>8053</v>
      </c>
      <c r="E3971" t="s">
        <v>9652</v>
      </c>
      <c r="F3971" t="s">
        <v>10299</v>
      </c>
      <c r="G3971">
        <v>52</v>
      </c>
      <c r="H3971" t="s">
        <v>10310</v>
      </c>
      <c r="I3971" t="s">
        <v>10326</v>
      </c>
      <c r="L3971">
        <v>1989</v>
      </c>
      <c r="R3971" t="s">
        <v>11038</v>
      </c>
      <c r="S3971" t="s">
        <v>10310</v>
      </c>
      <c r="U3971" t="s">
        <v>11047</v>
      </c>
      <c r="W3971" s="2" t="s">
        <v>11204</v>
      </c>
    </row>
    <row r="3972" spans="1:23" hidden="1" x14ac:dyDescent="0.45">
      <c r="A3972" s="1" t="s">
        <v>3928</v>
      </c>
      <c r="B3972" t="s">
        <v>6433</v>
      </c>
      <c r="D3972" t="s">
        <v>8047</v>
      </c>
      <c r="E3972" t="s">
        <v>9680</v>
      </c>
      <c r="F3972" t="s">
        <v>10299</v>
      </c>
      <c r="G3972">
        <v>3.74</v>
      </c>
      <c r="H3972" t="s">
        <v>10310</v>
      </c>
      <c r="I3972" t="s">
        <v>10326</v>
      </c>
      <c r="L3972">
        <v>2017</v>
      </c>
      <c r="R3972" t="s">
        <v>11038</v>
      </c>
      <c r="S3972" t="s">
        <v>10310</v>
      </c>
      <c r="U3972" t="s">
        <v>11047</v>
      </c>
      <c r="W3972" s="2" t="s">
        <v>11204</v>
      </c>
    </row>
    <row r="3973" spans="1:23" hidden="1" x14ac:dyDescent="0.45">
      <c r="A3973" s="1" t="s">
        <v>3929</v>
      </c>
      <c r="B3973" t="s">
        <v>6707</v>
      </c>
      <c r="D3973" t="s">
        <v>8050</v>
      </c>
      <c r="E3973" t="s">
        <v>9740</v>
      </c>
      <c r="F3973" t="s">
        <v>10299</v>
      </c>
      <c r="G3973">
        <v>0.05</v>
      </c>
      <c r="H3973" t="s">
        <v>10310</v>
      </c>
      <c r="I3973" t="s">
        <v>10326</v>
      </c>
      <c r="L3973">
        <v>2013</v>
      </c>
      <c r="R3973" t="s">
        <v>11038</v>
      </c>
      <c r="S3973" t="s">
        <v>10310</v>
      </c>
      <c r="U3973" t="s">
        <v>11047</v>
      </c>
      <c r="W3973" s="2" t="s">
        <v>11204</v>
      </c>
    </row>
    <row r="3974" spans="1:23" hidden="1" x14ac:dyDescent="0.45">
      <c r="A3974" s="1" t="s">
        <v>3930</v>
      </c>
      <c r="B3974" t="s">
        <v>6466</v>
      </c>
      <c r="D3974" t="s">
        <v>8080</v>
      </c>
      <c r="E3974" t="s">
        <v>9812</v>
      </c>
      <c r="F3974" t="s">
        <v>10299</v>
      </c>
      <c r="G3974">
        <v>22</v>
      </c>
      <c r="H3974" t="s">
        <v>10310</v>
      </c>
      <c r="I3974" t="s">
        <v>10326</v>
      </c>
      <c r="L3974">
        <v>1978</v>
      </c>
      <c r="R3974" t="s">
        <v>11038</v>
      </c>
      <c r="S3974" t="s">
        <v>10310</v>
      </c>
      <c r="U3974" t="s">
        <v>11048</v>
      </c>
      <c r="W3974" s="2" t="s">
        <v>11204</v>
      </c>
    </row>
    <row r="3975" spans="1:23" hidden="1" x14ac:dyDescent="0.45">
      <c r="A3975" s="1" t="s">
        <v>3931</v>
      </c>
      <c r="B3975" t="s">
        <v>6708</v>
      </c>
      <c r="D3975" t="s">
        <v>8040</v>
      </c>
      <c r="E3975" t="s">
        <v>9733</v>
      </c>
      <c r="F3975" t="s">
        <v>10299</v>
      </c>
      <c r="G3975">
        <v>1.7999999999999999E-2</v>
      </c>
      <c r="H3975" t="s">
        <v>10310</v>
      </c>
      <c r="I3975" t="s">
        <v>10326</v>
      </c>
      <c r="L3975">
        <v>2008</v>
      </c>
      <c r="R3975" t="s">
        <v>11038</v>
      </c>
      <c r="S3975" t="s">
        <v>10310</v>
      </c>
      <c r="U3975" t="s">
        <v>11048</v>
      </c>
      <c r="W3975" s="2" t="s">
        <v>11204</v>
      </c>
    </row>
    <row r="3976" spans="1:23" hidden="1" x14ac:dyDescent="0.45">
      <c r="A3976" s="1" t="s">
        <v>3932</v>
      </c>
      <c r="B3976" t="s">
        <v>6709</v>
      </c>
      <c r="D3976" t="s">
        <v>8061</v>
      </c>
      <c r="E3976" t="s">
        <v>9830</v>
      </c>
      <c r="F3976" t="s">
        <v>10299</v>
      </c>
      <c r="G3976">
        <v>0.06</v>
      </c>
      <c r="H3976" t="s">
        <v>10310</v>
      </c>
      <c r="I3976" t="s">
        <v>10326</v>
      </c>
      <c r="L3976">
        <v>1972</v>
      </c>
      <c r="R3976" t="s">
        <v>11038</v>
      </c>
      <c r="S3976" t="s">
        <v>10310</v>
      </c>
      <c r="U3976" t="s">
        <v>11047</v>
      </c>
      <c r="W3976" s="2" t="s">
        <v>11204</v>
      </c>
    </row>
    <row r="3977" spans="1:23" hidden="1" x14ac:dyDescent="0.45">
      <c r="A3977" s="1" t="s">
        <v>3933</v>
      </c>
      <c r="B3977" t="s">
        <v>6289</v>
      </c>
      <c r="D3977" t="s">
        <v>8061</v>
      </c>
      <c r="E3977" t="s">
        <v>3933</v>
      </c>
      <c r="F3977" t="s">
        <v>10299</v>
      </c>
      <c r="G3977">
        <v>86.8</v>
      </c>
      <c r="H3977" t="s">
        <v>10310</v>
      </c>
      <c r="I3977" t="s">
        <v>10326</v>
      </c>
      <c r="L3977">
        <v>1994</v>
      </c>
      <c r="R3977" t="s">
        <v>11038</v>
      </c>
      <c r="S3977" t="s">
        <v>10310</v>
      </c>
      <c r="U3977" t="s">
        <v>11047</v>
      </c>
      <c r="W3977" s="2" t="s">
        <v>11204</v>
      </c>
    </row>
    <row r="3978" spans="1:23" hidden="1" x14ac:dyDescent="0.45">
      <c r="A3978" s="1" t="s">
        <v>3934</v>
      </c>
      <c r="B3978" t="s">
        <v>6290</v>
      </c>
      <c r="D3978" t="s">
        <v>8059</v>
      </c>
      <c r="E3978" t="s">
        <v>9803</v>
      </c>
      <c r="F3978" t="s">
        <v>10299</v>
      </c>
      <c r="G3978">
        <v>37.5</v>
      </c>
      <c r="H3978" t="s">
        <v>10310</v>
      </c>
      <c r="I3978" t="s">
        <v>10326</v>
      </c>
      <c r="L3978">
        <v>1985</v>
      </c>
      <c r="R3978" t="s">
        <v>11038</v>
      </c>
      <c r="S3978" t="s">
        <v>10310</v>
      </c>
      <c r="U3978" t="s">
        <v>11050</v>
      </c>
      <c r="W3978" s="2" t="s">
        <v>11204</v>
      </c>
    </row>
    <row r="3979" spans="1:23" hidden="1" x14ac:dyDescent="0.45">
      <c r="A3979" s="1" t="s">
        <v>3935</v>
      </c>
      <c r="D3979" t="s">
        <v>8056</v>
      </c>
      <c r="E3979" t="s">
        <v>9831</v>
      </c>
      <c r="F3979" t="s">
        <v>10299</v>
      </c>
      <c r="G3979">
        <v>6.0000000000000001E-3</v>
      </c>
      <c r="H3979" t="s">
        <v>10310</v>
      </c>
      <c r="I3979" t="s">
        <v>10326</v>
      </c>
      <c r="L3979">
        <v>2007</v>
      </c>
      <c r="R3979" t="s">
        <v>11038</v>
      </c>
      <c r="S3979" t="s">
        <v>10310</v>
      </c>
      <c r="U3979" t="s">
        <v>11048</v>
      </c>
      <c r="W3979" s="2" t="s">
        <v>11204</v>
      </c>
    </row>
    <row r="3980" spans="1:23" hidden="1" x14ac:dyDescent="0.45">
      <c r="A3980" s="1" t="s">
        <v>3936</v>
      </c>
      <c r="B3980" t="s">
        <v>6434</v>
      </c>
      <c r="D3980" t="s">
        <v>8048</v>
      </c>
      <c r="E3980" t="s">
        <v>9642</v>
      </c>
      <c r="F3980" t="s">
        <v>10299</v>
      </c>
      <c r="G3980">
        <v>1.2999000000000001</v>
      </c>
      <c r="H3980" t="s">
        <v>10310</v>
      </c>
      <c r="I3980" t="s">
        <v>10326</v>
      </c>
      <c r="L3980">
        <v>1981</v>
      </c>
      <c r="R3980" t="s">
        <v>11038</v>
      </c>
      <c r="S3980" t="s">
        <v>10310</v>
      </c>
      <c r="U3980" t="s">
        <v>11046</v>
      </c>
      <c r="W3980" s="2" t="s">
        <v>11204</v>
      </c>
    </row>
    <row r="3981" spans="1:23" hidden="1" x14ac:dyDescent="0.45">
      <c r="A3981" s="1" t="s">
        <v>3937</v>
      </c>
      <c r="B3981" t="s">
        <v>6281</v>
      </c>
      <c r="D3981" t="s">
        <v>8048</v>
      </c>
      <c r="E3981" t="s">
        <v>9762</v>
      </c>
      <c r="F3981" t="s">
        <v>10299</v>
      </c>
      <c r="G3981">
        <v>4.3600000000000003</v>
      </c>
      <c r="H3981" t="s">
        <v>10310</v>
      </c>
      <c r="I3981" t="s">
        <v>10326</v>
      </c>
      <c r="L3981">
        <v>2015</v>
      </c>
      <c r="R3981" t="s">
        <v>11038</v>
      </c>
      <c r="S3981" t="s">
        <v>10310</v>
      </c>
      <c r="U3981" t="s">
        <v>11046</v>
      </c>
      <c r="W3981" s="2" t="s">
        <v>11204</v>
      </c>
    </row>
    <row r="3982" spans="1:23" hidden="1" x14ac:dyDescent="0.45">
      <c r="A3982" s="1" t="s">
        <v>3938</v>
      </c>
      <c r="B3982" t="s">
        <v>6434</v>
      </c>
      <c r="D3982" t="s">
        <v>8048</v>
      </c>
      <c r="E3982" t="s">
        <v>9642</v>
      </c>
      <c r="F3982" t="s">
        <v>10299</v>
      </c>
      <c r="G3982">
        <v>3.47</v>
      </c>
      <c r="H3982" t="s">
        <v>10310</v>
      </c>
      <c r="I3982" t="s">
        <v>10326</v>
      </c>
      <c r="L3982">
        <v>2016</v>
      </c>
      <c r="R3982" t="s">
        <v>11038</v>
      </c>
      <c r="S3982" t="s">
        <v>10310</v>
      </c>
      <c r="U3982" t="s">
        <v>11046</v>
      </c>
      <c r="W3982" s="2" t="s">
        <v>11204</v>
      </c>
    </row>
    <row r="3983" spans="1:23" hidden="1" x14ac:dyDescent="0.45">
      <c r="A3983" s="1" t="s">
        <v>3939</v>
      </c>
      <c r="B3983" t="s">
        <v>6407</v>
      </c>
      <c r="D3983" t="s">
        <v>8044</v>
      </c>
      <c r="E3983" t="s">
        <v>9658</v>
      </c>
      <c r="F3983" t="s">
        <v>10299</v>
      </c>
      <c r="G3983">
        <v>7</v>
      </c>
      <c r="H3983" t="s">
        <v>10310</v>
      </c>
      <c r="I3983" t="s">
        <v>10326</v>
      </c>
      <c r="L3983">
        <v>1954</v>
      </c>
      <c r="R3983" t="s">
        <v>11038</v>
      </c>
      <c r="S3983" t="s">
        <v>10310</v>
      </c>
      <c r="U3983" t="s">
        <v>11047</v>
      </c>
      <c r="W3983" s="2" t="s">
        <v>11204</v>
      </c>
    </row>
    <row r="3984" spans="1:23" hidden="1" x14ac:dyDescent="0.45">
      <c r="A3984" s="1" t="s">
        <v>3940</v>
      </c>
      <c r="B3984" t="s">
        <v>6710</v>
      </c>
      <c r="D3984" t="s">
        <v>8044</v>
      </c>
      <c r="E3984" t="s">
        <v>9791</v>
      </c>
      <c r="F3984" t="s">
        <v>10299</v>
      </c>
      <c r="G3984">
        <v>0.65</v>
      </c>
      <c r="H3984" t="s">
        <v>10310</v>
      </c>
      <c r="I3984" t="s">
        <v>10326</v>
      </c>
      <c r="L3984">
        <v>2014</v>
      </c>
      <c r="R3984" t="s">
        <v>11038</v>
      </c>
      <c r="S3984" t="s">
        <v>10310</v>
      </c>
      <c r="U3984" t="s">
        <v>11049</v>
      </c>
      <c r="W3984" s="2" t="s">
        <v>11204</v>
      </c>
    </row>
    <row r="3985" spans="1:23" hidden="1" x14ac:dyDescent="0.45">
      <c r="A3985" s="1" t="s">
        <v>3941</v>
      </c>
      <c r="B3985" t="s">
        <v>6711</v>
      </c>
      <c r="D3985" t="s">
        <v>8032</v>
      </c>
      <c r="E3985" t="s">
        <v>9625</v>
      </c>
      <c r="F3985" t="s">
        <v>10299</v>
      </c>
      <c r="G3985">
        <v>0.12</v>
      </c>
      <c r="H3985" t="s">
        <v>10310</v>
      </c>
      <c r="I3985" t="s">
        <v>10326</v>
      </c>
      <c r="L3985">
        <v>2019</v>
      </c>
      <c r="R3985" t="s">
        <v>11038</v>
      </c>
      <c r="S3985" t="s">
        <v>10310</v>
      </c>
      <c r="U3985" t="s">
        <v>11046</v>
      </c>
      <c r="W3985" s="2" t="s">
        <v>11204</v>
      </c>
    </row>
    <row r="3986" spans="1:23" hidden="1" x14ac:dyDescent="0.45">
      <c r="A3986" s="1" t="s">
        <v>3942</v>
      </c>
      <c r="B3986" t="s">
        <v>6712</v>
      </c>
      <c r="D3986" t="s">
        <v>8044</v>
      </c>
      <c r="E3986" t="s">
        <v>9832</v>
      </c>
      <c r="F3986" t="s">
        <v>10299</v>
      </c>
      <c r="G3986">
        <v>1.4</v>
      </c>
      <c r="H3986" t="s">
        <v>10310</v>
      </c>
      <c r="I3986" t="s">
        <v>10326</v>
      </c>
      <c r="L3986">
        <v>2012</v>
      </c>
      <c r="R3986" t="s">
        <v>11038</v>
      </c>
      <c r="S3986" t="s">
        <v>10310</v>
      </c>
      <c r="U3986" t="s">
        <v>11047</v>
      </c>
      <c r="W3986" s="2" t="s">
        <v>11204</v>
      </c>
    </row>
    <row r="3987" spans="1:23" hidden="1" x14ac:dyDescent="0.45">
      <c r="A3987" s="1" t="s">
        <v>3943</v>
      </c>
      <c r="B3987" t="s">
        <v>6281</v>
      </c>
      <c r="D3987" t="s">
        <v>8040</v>
      </c>
      <c r="E3987" t="s">
        <v>9733</v>
      </c>
      <c r="F3987" t="s">
        <v>10299</v>
      </c>
      <c r="G3987">
        <v>1.64</v>
      </c>
      <c r="H3987" t="s">
        <v>10310</v>
      </c>
      <c r="I3987" t="s">
        <v>10326</v>
      </c>
      <c r="L3987">
        <v>2016</v>
      </c>
      <c r="R3987" t="s">
        <v>11038</v>
      </c>
      <c r="S3987" t="s">
        <v>10310</v>
      </c>
      <c r="U3987" t="s">
        <v>11048</v>
      </c>
      <c r="W3987" s="2" t="s">
        <v>11204</v>
      </c>
    </row>
    <row r="3988" spans="1:23" hidden="1" x14ac:dyDescent="0.45">
      <c r="A3988" s="1" t="s">
        <v>3944</v>
      </c>
      <c r="B3988" t="s">
        <v>6713</v>
      </c>
      <c r="D3988" t="s">
        <v>8078</v>
      </c>
      <c r="E3988" t="s">
        <v>9751</v>
      </c>
      <c r="F3988" t="s">
        <v>10299</v>
      </c>
      <c r="G3988">
        <v>0.2</v>
      </c>
      <c r="H3988" t="s">
        <v>10310</v>
      </c>
      <c r="I3988" t="s">
        <v>10326</v>
      </c>
      <c r="L3988">
        <v>2007</v>
      </c>
      <c r="R3988" t="s">
        <v>11038</v>
      </c>
      <c r="S3988" t="s">
        <v>10310</v>
      </c>
      <c r="U3988" t="s">
        <v>11046</v>
      </c>
      <c r="W3988" s="2" t="s">
        <v>11204</v>
      </c>
    </row>
    <row r="3989" spans="1:23" hidden="1" x14ac:dyDescent="0.45">
      <c r="A3989" s="1" t="s">
        <v>3945</v>
      </c>
      <c r="B3989" t="s">
        <v>6273</v>
      </c>
      <c r="D3989" t="s">
        <v>8028</v>
      </c>
      <c r="E3989" t="s">
        <v>9621</v>
      </c>
      <c r="F3989" t="s">
        <v>10299</v>
      </c>
      <c r="G3989">
        <v>2.2999999999999998</v>
      </c>
      <c r="H3989" t="s">
        <v>10310</v>
      </c>
      <c r="I3989" t="s">
        <v>10326</v>
      </c>
      <c r="L3989">
        <v>1908</v>
      </c>
      <c r="R3989" t="s">
        <v>11038</v>
      </c>
      <c r="S3989" t="s">
        <v>10310</v>
      </c>
      <c r="U3989" t="s">
        <v>11046</v>
      </c>
      <c r="W3989" s="2" t="s">
        <v>11204</v>
      </c>
    </row>
    <row r="3990" spans="1:23" hidden="1" x14ac:dyDescent="0.45">
      <c r="A3990" s="1" t="s">
        <v>3945</v>
      </c>
      <c r="B3990" t="s">
        <v>6359</v>
      </c>
      <c r="D3990" t="s">
        <v>8037</v>
      </c>
      <c r="E3990" t="s">
        <v>9629</v>
      </c>
      <c r="F3990" t="s">
        <v>10299</v>
      </c>
      <c r="G3990">
        <v>10</v>
      </c>
      <c r="H3990" t="s">
        <v>10310</v>
      </c>
      <c r="I3990" t="s">
        <v>10326</v>
      </c>
      <c r="L3990">
        <v>2000</v>
      </c>
      <c r="R3990" t="s">
        <v>11038</v>
      </c>
      <c r="S3990" t="s">
        <v>10310</v>
      </c>
      <c r="U3990" t="s">
        <v>11047</v>
      </c>
      <c r="W3990" s="2" t="s">
        <v>11204</v>
      </c>
    </row>
    <row r="3991" spans="1:23" hidden="1" x14ac:dyDescent="0.45">
      <c r="A3991" s="1" t="s">
        <v>3946</v>
      </c>
      <c r="B3991" t="s">
        <v>6714</v>
      </c>
      <c r="D3991" t="s">
        <v>8061</v>
      </c>
      <c r="E3991" t="s">
        <v>4017</v>
      </c>
      <c r="F3991" t="s">
        <v>10299</v>
      </c>
      <c r="G3991">
        <v>2.5000000000000001E-2</v>
      </c>
      <c r="H3991" t="s">
        <v>10310</v>
      </c>
      <c r="I3991" t="s">
        <v>10326</v>
      </c>
      <c r="L3991">
        <v>1942</v>
      </c>
      <c r="R3991" t="s">
        <v>11038</v>
      </c>
      <c r="S3991" t="s">
        <v>10310</v>
      </c>
      <c r="U3991" t="s">
        <v>11050</v>
      </c>
      <c r="W3991" s="2" t="s">
        <v>11204</v>
      </c>
    </row>
    <row r="3992" spans="1:23" hidden="1" x14ac:dyDescent="0.45">
      <c r="A3992" s="1" t="s">
        <v>3947</v>
      </c>
      <c r="D3992" t="s">
        <v>7777</v>
      </c>
      <c r="E3992" t="s">
        <v>9833</v>
      </c>
      <c r="F3992" t="s">
        <v>10299</v>
      </c>
      <c r="G3992">
        <v>5.0000000000000001E-3</v>
      </c>
      <c r="H3992" t="s">
        <v>10310</v>
      </c>
      <c r="I3992" t="s">
        <v>10326</v>
      </c>
      <c r="L3992">
        <v>1995</v>
      </c>
      <c r="R3992" t="s">
        <v>11038</v>
      </c>
      <c r="S3992" t="s">
        <v>10310</v>
      </c>
      <c r="U3992" t="s">
        <v>11046</v>
      </c>
      <c r="W3992" s="2" t="s">
        <v>11204</v>
      </c>
    </row>
    <row r="3993" spans="1:23" hidden="1" x14ac:dyDescent="0.45">
      <c r="A3993" s="1" t="s">
        <v>3948</v>
      </c>
      <c r="B3993" t="s">
        <v>6290</v>
      </c>
      <c r="D3993" t="s">
        <v>8032</v>
      </c>
      <c r="E3993" t="s">
        <v>9834</v>
      </c>
      <c r="F3993" t="s">
        <v>10299</v>
      </c>
      <c r="G3993">
        <v>1.2</v>
      </c>
      <c r="H3993" t="s">
        <v>10310</v>
      </c>
      <c r="I3993" t="s">
        <v>10326</v>
      </c>
      <c r="L3993">
        <v>2001</v>
      </c>
      <c r="R3993" t="s">
        <v>11038</v>
      </c>
      <c r="S3993" t="s">
        <v>10310</v>
      </c>
      <c r="U3993" t="s">
        <v>11050</v>
      </c>
      <c r="W3993" s="2" t="s">
        <v>11204</v>
      </c>
    </row>
    <row r="3994" spans="1:23" hidden="1" x14ac:dyDescent="0.45">
      <c r="A3994" s="1" t="s">
        <v>3949</v>
      </c>
      <c r="B3994" t="s">
        <v>6274</v>
      </c>
      <c r="D3994" t="s">
        <v>8070</v>
      </c>
      <c r="E3994" t="s">
        <v>4102</v>
      </c>
      <c r="F3994" t="s">
        <v>10299</v>
      </c>
      <c r="G3994">
        <v>0.59699999999999998</v>
      </c>
      <c r="H3994" t="s">
        <v>10310</v>
      </c>
      <c r="I3994" t="s">
        <v>10326</v>
      </c>
      <c r="L3994">
        <v>2011</v>
      </c>
      <c r="R3994" t="s">
        <v>11038</v>
      </c>
      <c r="S3994" t="s">
        <v>10310</v>
      </c>
      <c r="U3994" t="s">
        <v>11048</v>
      </c>
      <c r="W3994" s="2" t="s">
        <v>11204</v>
      </c>
    </row>
    <row r="3995" spans="1:23" hidden="1" x14ac:dyDescent="0.45">
      <c r="A3995" s="1" t="s">
        <v>3950</v>
      </c>
      <c r="B3995" t="s">
        <v>6434</v>
      </c>
      <c r="D3995" t="s">
        <v>8048</v>
      </c>
      <c r="E3995" t="s">
        <v>9762</v>
      </c>
      <c r="F3995" t="s">
        <v>10299</v>
      </c>
      <c r="G3995">
        <v>30</v>
      </c>
      <c r="H3995" t="s">
        <v>10310</v>
      </c>
      <c r="I3995" t="s">
        <v>10326</v>
      </c>
      <c r="L3995">
        <v>1954</v>
      </c>
      <c r="R3995" t="s">
        <v>11038</v>
      </c>
      <c r="S3995" t="s">
        <v>10310</v>
      </c>
      <c r="U3995" t="s">
        <v>11046</v>
      </c>
      <c r="W3995" s="2" t="s">
        <v>11204</v>
      </c>
    </row>
    <row r="3996" spans="1:23" hidden="1" x14ac:dyDescent="0.45">
      <c r="A3996" s="1" t="s">
        <v>3951</v>
      </c>
      <c r="B3996" t="s">
        <v>6715</v>
      </c>
      <c r="D3996" t="s">
        <v>8058</v>
      </c>
      <c r="E3996" t="s">
        <v>9662</v>
      </c>
      <c r="F3996" t="s">
        <v>10299</v>
      </c>
      <c r="G3996">
        <v>0.5</v>
      </c>
      <c r="H3996" t="s">
        <v>10310</v>
      </c>
      <c r="I3996" t="s">
        <v>10326</v>
      </c>
      <c r="L3996">
        <v>1997</v>
      </c>
      <c r="R3996" t="s">
        <v>11038</v>
      </c>
      <c r="S3996" t="s">
        <v>10310</v>
      </c>
      <c r="U3996" t="s">
        <v>11046</v>
      </c>
      <c r="W3996" s="2" t="s">
        <v>11204</v>
      </c>
    </row>
    <row r="3997" spans="1:23" hidden="1" x14ac:dyDescent="0.45">
      <c r="A3997" s="1" t="s">
        <v>3952</v>
      </c>
      <c r="B3997" t="s">
        <v>6716</v>
      </c>
      <c r="D3997" t="s">
        <v>8053</v>
      </c>
      <c r="E3997" t="s">
        <v>9835</v>
      </c>
      <c r="F3997" t="s">
        <v>10299</v>
      </c>
      <c r="G3997">
        <v>15</v>
      </c>
      <c r="H3997" t="s">
        <v>10310</v>
      </c>
      <c r="I3997" t="s">
        <v>10326</v>
      </c>
      <c r="L3997">
        <v>1990</v>
      </c>
      <c r="R3997" t="s">
        <v>11038</v>
      </c>
      <c r="S3997" t="s">
        <v>10310</v>
      </c>
      <c r="U3997" t="s">
        <v>11050</v>
      </c>
      <c r="W3997" s="2" t="s">
        <v>11204</v>
      </c>
    </row>
    <row r="3998" spans="1:23" hidden="1" x14ac:dyDescent="0.45">
      <c r="A3998" s="1" t="s">
        <v>3953</v>
      </c>
      <c r="D3998" t="s">
        <v>8044</v>
      </c>
      <c r="E3998" t="s">
        <v>9717</v>
      </c>
      <c r="F3998" t="s">
        <v>10299</v>
      </c>
      <c r="G3998">
        <v>0.44</v>
      </c>
      <c r="H3998" t="s">
        <v>10310</v>
      </c>
      <c r="I3998" t="s">
        <v>10326</v>
      </c>
      <c r="L3998">
        <v>2003</v>
      </c>
      <c r="R3998" t="s">
        <v>11038</v>
      </c>
      <c r="S3998" t="s">
        <v>10310</v>
      </c>
      <c r="U3998" t="s">
        <v>11046</v>
      </c>
      <c r="W3998" s="2" t="s">
        <v>11204</v>
      </c>
    </row>
    <row r="3999" spans="1:23" hidden="1" x14ac:dyDescent="0.45">
      <c r="A3999" s="1" t="s">
        <v>3954</v>
      </c>
      <c r="B3999" t="s">
        <v>6717</v>
      </c>
      <c r="D3999" t="s">
        <v>8063</v>
      </c>
      <c r="E3999" t="s">
        <v>9668</v>
      </c>
      <c r="F3999" t="s">
        <v>10299</v>
      </c>
      <c r="G3999">
        <v>1</v>
      </c>
      <c r="H3999" t="s">
        <v>10310</v>
      </c>
      <c r="I3999" t="s">
        <v>10326</v>
      </c>
      <c r="L3999">
        <v>2011</v>
      </c>
      <c r="R3999" t="s">
        <v>11038</v>
      </c>
      <c r="S3999" t="s">
        <v>10310</v>
      </c>
      <c r="U3999" t="s">
        <v>11046</v>
      </c>
      <c r="W3999" s="2" t="s">
        <v>11204</v>
      </c>
    </row>
    <row r="4000" spans="1:23" hidden="1" x14ac:dyDescent="0.45">
      <c r="A4000" s="1" t="s">
        <v>3955</v>
      </c>
      <c r="B4000" t="s">
        <v>6718</v>
      </c>
      <c r="D4000" t="s">
        <v>8056</v>
      </c>
      <c r="E4000" t="s">
        <v>3440</v>
      </c>
      <c r="F4000" t="s">
        <v>10299</v>
      </c>
      <c r="G4000">
        <v>4.8000000000000001E-2</v>
      </c>
      <c r="H4000" t="s">
        <v>10310</v>
      </c>
      <c r="I4000" t="s">
        <v>10326</v>
      </c>
      <c r="L4000">
        <v>1987</v>
      </c>
      <c r="R4000" t="s">
        <v>11038</v>
      </c>
      <c r="S4000" t="s">
        <v>10310</v>
      </c>
      <c r="U4000" t="s">
        <v>11046</v>
      </c>
      <c r="W4000" s="2" t="s">
        <v>11204</v>
      </c>
    </row>
    <row r="4001" spans="1:23" hidden="1" x14ac:dyDescent="0.45">
      <c r="A4001" s="1" t="s">
        <v>3956</v>
      </c>
      <c r="D4001" t="s">
        <v>8025</v>
      </c>
      <c r="E4001" t="s">
        <v>9785</v>
      </c>
      <c r="F4001" t="s">
        <v>10299</v>
      </c>
      <c r="G4001">
        <v>0.05</v>
      </c>
      <c r="H4001" t="s">
        <v>10310</v>
      </c>
      <c r="I4001" t="s">
        <v>10326</v>
      </c>
      <c r="L4001">
        <v>2006</v>
      </c>
      <c r="R4001" t="s">
        <v>11038</v>
      </c>
      <c r="S4001" t="s">
        <v>10310</v>
      </c>
      <c r="U4001" t="s">
        <v>11046</v>
      </c>
      <c r="W4001" s="2" t="s">
        <v>11204</v>
      </c>
    </row>
    <row r="4002" spans="1:23" hidden="1" x14ac:dyDescent="0.45">
      <c r="A4002" s="1" t="s">
        <v>3957</v>
      </c>
      <c r="B4002" t="s">
        <v>6274</v>
      </c>
      <c r="D4002" t="s">
        <v>8042</v>
      </c>
      <c r="E4002" t="s">
        <v>1588</v>
      </c>
      <c r="F4002" t="s">
        <v>10299</v>
      </c>
      <c r="G4002">
        <v>0.8</v>
      </c>
      <c r="H4002" t="s">
        <v>10310</v>
      </c>
      <c r="I4002" t="s">
        <v>10324</v>
      </c>
      <c r="L4002">
        <v>1975</v>
      </c>
      <c r="R4002" t="s">
        <v>11038</v>
      </c>
      <c r="S4002" t="s">
        <v>10310</v>
      </c>
      <c r="U4002" t="s">
        <v>11047</v>
      </c>
      <c r="V4002" t="s">
        <v>11182</v>
      </c>
      <c r="W4002" s="2" t="s">
        <v>11204</v>
      </c>
    </row>
    <row r="4003" spans="1:23" hidden="1" x14ac:dyDescent="0.45">
      <c r="A4003" s="1" t="s">
        <v>3958</v>
      </c>
      <c r="B4003" t="s">
        <v>6281</v>
      </c>
      <c r="D4003" t="s">
        <v>8050</v>
      </c>
      <c r="E4003" t="s">
        <v>9712</v>
      </c>
      <c r="F4003" t="s">
        <v>10299</v>
      </c>
      <c r="G4003">
        <v>2.1</v>
      </c>
      <c r="H4003" t="s">
        <v>10310</v>
      </c>
      <c r="I4003" t="s">
        <v>10326</v>
      </c>
      <c r="L4003">
        <v>1986</v>
      </c>
      <c r="R4003" t="s">
        <v>11038</v>
      </c>
      <c r="S4003" t="s">
        <v>10310</v>
      </c>
      <c r="U4003" t="s">
        <v>11047</v>
      </c>
      <c r="W4003" s="2" t="s">
        <v>11204</v>
      </c>
    </row>
    <row r="4004" spans="1:23" hidden="1" x14ac:dyDescent="0.45">
      <c r="A4004" s="1" t="s">
        <v>3959</v>
      </c>
      <c r="B4004" t="s">
        <v>6308</v>
      </c>
      <c r="D4004" t="s">
        <v>8051</v>
      </c>
      <c r="E4004" t="s">
        <v>9649</v>
      </c>
      <c r="F4004" t="s">
        <v>10299</v>
      </c>
      <c r="G4004">
        <v>2.1</v>
      </c>
      <c r="H4004" t="s">
        <v>10310</v>
      </c>
      <c r="I4004" t="s">
        <v>10326</v>
      </c>
      <c r="L4004">
        <v>2012</v>
      </c>
      <c r="R4004" t="s">
        <v>11038</v>
      </c>
      <c r="S4004" t="s">
        <v>10310</v>
      </c>
      <c r="U4004" t="s">
        <v>11048</v>
      </c>
      <c r="W4004" s="2" t="s">
        <v>11204</v>
      </c>
    </row>
    <row r="4005" spans="1:23" hidden="1" x14ac:dyDescent="0.45">
      <c r="A4005" s="1" t="s">
        <v>3960</v>
      </c>
      <c r="B4005" t="s">
        <v>6719</v>
      </c>
      <c r="D4005" t="s">
        <v>8044</v>
      </c>
      <c r="E4005" t="s">
        <v>9717</v>
      </c>
      <c r="F4005" t="s">
        <v>10299</v>
      </c>
      <c r="G4005">
        <v>4.05</v>
      </c>
      <c r="H4005" t="s">
        <v>10310</v>
      </c>
      <c r="I4005" t="s">
        <v>10326</v>
      </c>
      <c r="L4005">
        <v>2010</v>
      </c>
      <c r="R4005" t="s">
        <v>11038</v>
      </c>
      <c r="S4005" t="s">
        <v>10310</v>
      </c>
      <c r="U4005" t="s">
        <v>11046</v>
      </c>
      <c r="W4005" s="2" t="s">
        <v>11204</v>
      </c>
    </row>
    <row r="4006" spans="1:23" hidden="1" x14ac:dyDescent="0.45">
      <c r="A4006" s="1" t="s">
        <v>3961</v>
      </c>
      <c r="D4006" t="s">
        <v>8072</v>
      </c>
      <c r="E4006" t="s">
        <v>9788</v>
      </c>
      <c r="F4006" t="s">
        <v>10299</v>
      </c>
      <c r="G4006">
        <v>6.0000000000000001E-3</v>
      </c>
      <c r="H4006" t="s">
        <v>10310</v>
      </c>
      <c r="I4006" t="s">
        <v>10326</v>
      </c>
      <c r="L4006">
        <v>2005</v>
      </c>
      <c r="R4006" t="s">
        <v>11038</v>
      </c>
      <c r="S4006" t="s">
        <v>10310</v>
      </c>
      <c r="U4006" t="s">
        <v>11047</v>
      </c>
      <c r="W4006" s="2" t="s">
        <v>11204</v>
      </c>
    </row>
    <row r="4007" spans="1:23" hidden="1" x14ac:dyDescent="0.45">
      <c r="A4007" s="1" t="s">
        <v>3962</v>
      </c>
      <c r="D4007" t="s">
        <v>8087</v>
      </c>
      <c r="E4007" t="s">
        <v>9815</v>
      </c>
      <c r="F4007" t="s">
        <v>10299</v>
      </c>
      <c r="G4007">
        <v>7.4999999999999997E-2</v>
      </c>
      <c r="H4007" t="s">
        <v>10310</v>
      </c>
      <c r="I4007" t="s">
        <v>10326</v>
      </c>
      <c r="L4007">
        <v>1995</v>
      </c>
      <c r="R4007" t="s">
        <v>11038</v>
      </c>
      <c r="S4007" t="s">
        <v>10310</v>
      </c>
      <c r="U4007" t="s">
        <v>11048</v>
      </c>
      <c r="W4007" s="2" t="s">
        <v>11204</v>
      </c>
    </row>
    <row r="4008" spans="1:23" hidden="1" x14ac:dyDescent="0.45">
      <c r="A4008" s="1" t="s">
        <v>3963</v>
      </c>
      <c r="B4008" t="s">
        <v>6720</v>
      </c>
      <c r="D4008" t="s">
        <v>8073</v>
      </c>
      <c r="E4008" t="s">
        <v>9836</v>
      </c>
      <c r="F4008" t="s">
        <v>10299</v>
      </c>
      <c r="G4008">
        <v>3.1</v>
      </c>
      <c r="H4008" t="s">
        <v>10310</v>
      </c>
      <c r="I4008" t="s">
        <v>10326</v>
      </c>
      <c r="L4008">
        <v>1986</v>
      </c>
      <c r="R4008" t="s">
        <v>11038</v>
      </c>
      <c r="S4008" t="s">
        <v>10310</v>
      </c>
      <c r="U4008" t="s">
        <v>11050</v>
      </c>
      <c r="W4008" s="2" t="s">
        <v>11204</v>
      </c>
    </row>
    <row r="4009" spans="1:23" hidden="1" x14ac:dyDescent="0.45">
      <c r="A4009" s="1" t="s">
        <v>3964</v>
      </c>
      <c r="B4009" t="s">
        <v>6289</v>
      </c>
      <c r="D4009" t="s">
        <v>8054</v>
      </c>
      <c r="E4009" t="s">
        <v>9799</v>
      </c>
      <c r="F4009" t="s">
        <v>10299</v>
      </c>
      <c r="G4009">
        <v>37</v>
      </c>
      <c r="H4009" t="s">
        <v>10310</v>
      </c>
      <c r="I4009" t="s">
        <v>10326</v>
      </c>
      <c r="L4009">
        <v>1984</v>
      </c>
      <c r="R4009" t="s">
        <v>11038</v>
      </c>
      <c r="S4009" t="s">
        <v>10310</v>
      </c>
      <c r="U4009" t="s">
        <v>11047</v>
      </c>
      <c r="W4009" s="2" t="s">
        <v>11204</v>
      </c>
    </row>
    <row r="4010" spans="1:23" hidden="1" x14ac:dyDescent="0.45">
      <c r="A4010" s="1" t="s">
        <v>3965</v>
      </c>
      <c r="B4010" t="s">
        <v>6721</v>
      </c>
      <c r="D4010" t="s">
        <v>8046</v>
      </c>
      <c r="E4010" t="s">
        <v>9640</v>
      </c>
      <c r="F4010" t="s">
        <v>10299</v>
      </c>
      <c r="G4010">
        <v>0.36499999999999999</v>
      </c>
      <c r="H4010" t="s">
        <v>10310</v>
      </c>
      <c r="I4010" t="s">
        <v>10326</v>
      </c>
      <c r="L4010">
        <v>2010</v>
      </c>
      <c r="R4010" t="s">
        <v>11038</v>
      </c>
      <c r="S4010" t="s">
        <v>10310</v>
      </c>
      <c r="U4010" t="s">
        <v>11047</v>
      </c>
      <c r="W4010" s="2" t="s">
        <v>11204</v>
      </c>
    </row>
    <row r="4011" spans="1:23" hidden="1" x14ac:dyDescent="0.45">
      <c r="A4011" s="1" t="s">
        <v>3966</v>
      </c>
      <c r="B4011" t="s">
        <v>6722</v>
      </c>
      <c r="D4011" t="s">
        <v>8042</v>
      </c>
      <c r="E4011" t="s">
        <v>9634</v>
      </c>
      <c r="F4011" t="s">
        <v>10299</v>
      </c>
      <c r="G4011">
        <v>5.49</v>
      </c>
      <c r="H4011" t="s">
        <v>10310</v>
      </c>
      <c r="I4011" t="s">
        <v>10326</v>
      </c>
      <c r="L4011">
        <v>2014</v>
      </c>
      <c r="R4011" t="s">
        <v>11038</v>
      </c>
      <c r="S4011" t="s">
        <v>10310</v>
      </c>
      <c r="U4011" t="s">
        <v>11048</v>
      </c>
      <c r="W4011" s="2" t="s">
        <v>11204</v>
      </c>
    </row>
    <row r="4012" spans="1:23" hidden="1" x14ac:dyDescent="0.45">
      <c r="A4012" s="1" t="s">
        <v>3967</v>
      </c>
      <c r="B4012" t="s">
        <v>6294</v>
      </c>
      <c r="D4012" t="s">
        <v>8062</v>
      </c>
      <c r="E4012" t="s">
        <v>9667</v>
      </c>
      <c r="F4012" t="s">
        <v>10299</v>
      </c>
      <c r="G4012">
        <v>7</v>
      </c>
      <c r="H4012" t="s">
        <v>10310</v>
      </c>
      <c r="I4012" t="s">
        <v>10326</v>
      </c>
      <c r="L4012">
        <v>1959</v>
      </c>
      <c r="R4012" t="s">
        <v>11038</v>
      </c>
      <c r="S4012" t="s">
        <v>10310</v>
      </c>
      <c r="U4012" t="s">
        <v>11046</v>
      </c>
      <c r="W4012" s="2" t="s">
        <v>11204</v>
      </c>
    </row>
    <row r="4013" spans="1:23" hidden="1" x14ac:dyDescent="0.45">
      <c r="A4013" s="1" t="s">
        <v>3968</v>
      </c>
      <c r="B4013" t="s">
        <v>6723</v>
      </c>
      <c r="D4013" t="s">
        <v>8039</v>
      </c>
      <c r="E4013" t="s">
        <v>9695</v>
      </c>
      <c r="F4013" t="s">
        <v>10299</v>
      </c>
      <c r="G4013">
        <v>0.3</v>
      </c>
      <c r="H4013" t="s">
        <v>10310</v>
      </c>
      <c r="I4013" t="s">
        <v>10326</v>
      </c>
      <c r="L4013">
        <v>1998</v>
      </c>
      <c r="R4013" t="s">
        <v>11038</v>
      </c>
      <c r="S4013" t="s">
        <v>10310</v>
      </c>
      <c r="U4013" t="s">
        <v>11046</v>
      </c>
      <c r="W4013" s="2" t="s">
        <v>11204</v>
      </c>
    </row>
    <row r="4014" spans="1:23" hidden="1" x14ac:dyDescent="0.45">
      <c r="A4014" s="1" t="s">
        <v>3969</v>
      </c>
      <c r="B4014" t="s">
        <v>6724</v>
      </c>
      <c r="D4014" t="s">
        <v>8037</v>
      </c>
      <c r="E4014" t="s">
        <v>9629</v>
      </c>
      <c r="F4014" t="s">
        <v>10299</v>
      </c>
      <c r="G4014">
        <v>5.32</v>
      </c>
      <c r="H4014" t="s">
        <v>10310</v>
      </c>
      <c r="I4014" t="s">
        <v>10326</v>
      </c>
      <c r="L4014">
        <v>2018</v>
      </c>
      <c r="R4014" t="s">
        <v>11038</v>
      </c>
      <c r="S4014" t="s">
        <v>10310</v>
      </c>
      <c r="U4014" t="s">
        <v>11047</v>
      </c>
      <c r="W4014" s="2" t="s">
        <v>11204</v>
      </c>
    </row>
    <row r="4015" spans="1:23" hidden="1" x14ac:dyDescent="0.45">
      <c r="A4015" s="1" t="s">
        <v>3970</v>
      </c>
      <c r="B4015" t="s">
        <v>6725</v>
      </c>
      <c r="D4015" t="s">
        <v>8031</v>
      </c>
      <c r="E4015" t="s">
        <v>9624</v>
      </c>
      <c r="F4015" t="s">
        <v>10299</v>
      </c>
      <c r="G4015">
        <v>2</v>
      </c>
      <c r="H4015" t="s">
        <v>10310</v>
      </c>
      <c r="I4015" t="s">
        <v>10326</v>
      </c>
      <c r="L4015">
        <v>2009</v>
      </c>
      <c r="R4015" t="s">
        <v>11038</v>
      </c>
      <c r="S4015" t="s">
        <v>10310</v>
      </c>
      <c r="U4015" t="s">
        <v>11047</v>
      </c>
      <c r="W4015" s="2" t="s">
        <v>11204</v>
      </c>
    </row>
    <row r="4016" spans="1:23" hidden="1" x14ac:dyDescent="0.45">
      <c r="A4016" s="1" t="s">
        <v>3971</v>
      </c>
      <c r="B4016" t="s">
        <v>6383</v>
      </c>
      <c r="D4016" t="s">
        <v>8034</v>
      </c>
      <c r="E4016" t="s">
        <v>9627</v>
      </c>
      <c r="F4016" t="s">
        <v>10299</v>
      </c>
      <c r="G4016">
        <v>0.22500000000000001</v>
      </c>
      <c r="H4016" t="s">
        <v>10310</v>
      </c>
      <c r="I4016" t="s">
        <v>10326</v>
      </c>
      <c r="L4016">
        <v>2007</v>
      </c>
      <c r="R4016" t="s">
        <v>11038</v>
      </c>
      <c r="S4016" t="s">
        <v>10310</v>
      </c>
      <c r="U4016" t="s">
        <v>11046</v>
      </c>
      <c r="W4016" s="2" t="s">
        <v>11204</v>
      </c>
    </row>
    <row r="4017" spans="1:23" hidden="1" x14ac:dyDescent="0.45">
      <c r="A4017" s="1" t="s">
        <v>3972</v>
      </c>
      <c r="B4017" t="s">
        <v>6298</v>
      </c>
      <c r="D4017" t="s">
        <v>8026</v>
      </c>
      <c r="E4017" t="s">
        <v>9721</v>
      </c>
      <c r="F4017" t="s">
        <v>10299</v>
      </c>
      <c r="G4017">
        <v>48</v>
      </c>
      <c r="H4017" t="s">
        <v>10310</v>
      </c>
      <c r="I4017" t="s">
        <v>10326</v>
      </c>
      <c r="L4017">
        <v>1964</v>
      </c>
      <c r="R4017" t="s">
        <v>11038</v>
      </c>
      <c r="S4017" t="s">
        <v>10310</v>
      </c>
      <c r="U4017" t="s">
        <v>11050</v>
      </c>
      <c r="W4017" s="2" t="s">
        <v>11204</v>
      </c>
    </row>
    <row r="4018" spans="1:23" hidden="1" x14ac:dyDescent="0.45">
      <c r="A4018" s="1" t="s">
        <v>3973</v>
      </c>
      <c r="B4018" t="s">
        <v>6378</v>
      </c>
      <c r="D4018" t="s">
        <v>8063</v>
      </c>
      <c r="E4018" t="s">
        <v>9727</v>
      </c>
      <c r="F4018" t="s">
        <v>10299</v>
      </c>
      <c r="G4018">
        <v>3.7</v>
      </c>
      <c r="H4018" t="s">
        <v>10310</v>
      </c>
      <c r="I4018" t="s">
        <v>10326</v>
      </c>
      <c r="L4018">
        <v>1988</v>
      </c>
      <c r="R4018" t="s">
        <v>11038</v>
      </c>
      <c r="S4018" t="s">
        <v>10310</v>
      </c>
      <c r="U4018" t="s">
        <v>11049</v>
      </c>
      <c r="W4018" s="2" t="s">
        <v>11204</v>
      </c>
    </row>
    <row r="4019" spans="1:23" hidden="1" x14ac:dyDescent="0.45">
      <c r="A4019" s="1" t="s">
        <v>3974</v>
      </c>
      <c r="D4019" t="s">
        <v>8037</v>
      </c>
      <c r="E4019" t="s">
        <v>9629</v>
      </c>
      <c r="F4019" t="s">
        <v>10299</v>
      </c>
      <c r="G4019">
        <v>7.4999999999999997E-2</v>
      </c>
      <c r="H4019" t="s">
        <v>10310</v>
      </c>
      <c r="I4019" t="s">
        <v>10326</v>
      </c>
      <c r="L4019">
        <v>2007</v>
      </c>
      <c r="R4019" t="s">
        <v>11038</v>
      </c>
      <c r="S4019" t="s">
        <v>10310</v>
      </c>
      <c r="U4019" t="s">
        <v>11047</v>
      </c>
      <c r="W4019" s="2" t="s">
        <v>11204</v>
      </c>
    </row>
    <row r="4020" spans="1:23" hidden="1" x14ac:dyDescent="0.45">
      <c r="A4020" s="1" t="s">
        <v>3975</v>
      </c>
      <c r="B4020" t="s">
        <v>6726</v>
      </c>
      <c r="D4020" t="s">
        <v>8061</v>
      </c>
      <c r="E4020" t="s">
        <v>9665</v>
      </c>
      <c r="F4020" t="s">
        <v>10299</v>
      </c>
      <c r="G4020">
        <v>0.2</v>
      </c>
      <c r="H4020" t="s">
        <v>10310</v>
      </c>
      <c r="I4020" t="s">
        <v>10326</v>
      </c>
      <c r="L4020">
        <v>2005</v>
      </c>
      <c r="R4020" t="s">
        <v>11038</v>
      </c>
      <c r="S4020" t="s">
        <v>10310</v>
      </c>
      <c r="U4020" t="s">
        <v>11046</v>
      </c>
      <c r="W4020" s="2" t="s">
        <v>11204</v>
      </c>
    </row>
    <row r="4021" spans="1:23" hidden="1" x14ac:dyDescent="0.45">
      <c r="A4021" s="1" t="s">
        <v>3976</v>
      </c>
      <c r="B4021" t="s">
        <v>6378</v>
      </c>
      <c r="D4021" t="s">
        <v>8039</v>
      </c>
      <c r="E4021" t="s">
        <v>9631</v>
      </c>
      <c r="F4021" t="s">
        <v>10299</v>
      </c>
      <c r="G4021">
        <v>107</v>
      </c>
      <c r="H4021" t="s">
        <v>10310</v>
      </c>
      <c r="I4021" t="s">
        <v>10326</v>
      </c>
      <c r="L4021">
        <v>1987</v>
      </c>
      <c r="R4021" t="s">
        <v>11038</v>
      </c>
      <c r="S4021" t="s">
        <v>10310</v>
      </c>
      <c r="U4021" t="s">
        <v>11049</v>
      </c>
      <c r="W4021" s="2" t="s">
        <v>11204</v>
      </c>
    </row>
    <row r="4022" spans="1:23" hidden="1" x14ac:dyDescent="0.45">
      <c r="A4022" s="1" t="s">
        <v>3977</v>
      </c>
      <c r="B4022" t="s">
        <v>6434</v>
      </c>
      <c r="D4022" t="s">
        <v>8048</v>
      </c>
      <c r="E4022" t="s">
        <v>9762</v>
      </c>
      <c r="F4022" t="s">
        <v>10299</v>
      </c>
      <c r="G4022">
        <v>37.5</v>
      </c>
      <c r="H4022" t="s">
        <v>10310</v>
      </c>
      <c r="I4022" t="s">
        <v>10326</v>
      </c>
      <c r="L4022">
        <v>1957</v>
      </c>
      <c r="R4022" t="s">
        <v>11038</v>
      </c>
      <c r="S4022" t="s">
        <v>10310</v>
      </c>
      <c r="U4022" t="s">
        <v>11046</v>
      </c>
      <c r="W4022" s="2" t="s">
        <v>11204</v>
      </c>
    </row>
    <row r="4023" spans="1:23" hidden="1" x14ac:dyDescent="0.45">
      <c r="A4023" s="1" t="s">
        <v>3978</v>
      </c>
      <c r="B4023" t="s">
        <v>6402</v>
      </c>
      <c r="D4023" t="s">
        <v>8044</v>
      </c>
      <c r="E4023" t="s">
        <v>9638</v>
      </c>
      <c r="F4023" t="s">
        <v>10299</v>
      </c>
      <c r="G4023">
        <v>0.94</v>
      </c>
      <c r="H4023" t="s">
        <v>10310</v>
      </c>
      <c r="I4023" t="s">
        <v>10326</v>
      </c>
      <c r="L4023">
        <v>1918</v>
      </c>
      <c r="R4023" t="s">
        <v>11038</v>
      </c>
      <c r="S4023" t="s">
        <v>10310</v>
      </c>
      <c r="U4023" t="s">
        <v>11047</v>
      </c>
      <c r="W4023" s="2" t="s">
        <v>11204</v>
      </c>
    </row>
    <row r="4024" spans="1:23" hidden="1" x14ac:dyDescent="0.45">
      <c r="A4024" s="1" t="s">
        <v>3979</v>
      </c>
      <c r="B4024" t="s">
        <v>6437</v>
      </c>
      <c r="D4024" t="s">
        <v>8030</v>
      </c>
      <c r="E4024" t="s">
        <v>9748</v>
      </c>
      <c r="F4024" t="s">
        <v>10299</v>
      </c>
      <c r="G4024">
        <v>0.4</v>
      </c>
      <c r="H4024" t="s">
        <v>10310</v>
      </c>
      <c r="I4024" t="s">
        <v>10326</v>
      </c>
      <c r="L4024">
        <v>2008</v>
      </c>
      <c r="R4024" t="s">
        <v>11038</v>
      </c>
      <c r="S4024" t="s">
        <v>10310</v>
      </c>
      <c r="U4024" t="s">
        <v>11046</v>
      </c>
      <c r="W4024" s="2" t="s">
        <v>11204</v>
      </c>
    </row>
    <row r="4025" spans="1:23" hidden="1" x14ac:dyDescent="0.45">
      <c r="A4025" s="1" t="s">
        <v>3980</v>
      </c>
      <c r="B4025" t="s">
        <v>6519</v>
      </c>
      <c r="D4025" t="s">
        <v>8035</v>
      </c>
      <c r="E4025" t="s">
        <v>3097</v>
      </c>
      <c r="F4025" t="s">
        <v>10299</v>
      </c>
      <c r="G4025">
        <v>4.5</v>
      </c>
      <c r="H4025" t="s">
        <v>10310</v>
      </c>
      <c r="I4025" t="s">
        <v>10326</v>
      </c>
      <c r="L4025">
        <v>2018</v>
      </c>
      <c r="R4025" t="s">
        <v>11038</v>
      </c>
      <c r="S4025" t="s">
        <v>10310</v>
      </c>
      <c r="U4025" t="s">
        <v>11048</v>
      </c>
      <c r="W4025" s="2" t="s">
        <v>11204</v>
      </c>
    </row>
    <row r="4026" spans="1:23" hidden="1" x14ac:dyDescent="0.45">
      <c r="A4026" s="1" t="s">
        <v>3981</v>
      </c>
      <c r="B4026" t="s">
        <v>6281</v>
      </c>
      <c r="D4026" t="s">
        <v>8057</v>
      </c>
      <c r="E4026" t="s">
        <v>9797</v>
      </c>
      <c r="F4026" t="s">
        <v>10299</v>
      </c>
      <c r="G4026">
        <v>0.95</v>
      </c>
      <c r="H4026" t="s">
        <v>10310</v>
      </c>
      <c r="I4026" t="s">
        <v>10326</v>
      </c>
      <c r="L4026">
        <v>1991</v>
      </c>
      <c r="R4026" t="s">
        <v>11038</v>
      </c>
      <c r="S4026" t="s">
        <v>10310</v>
      </c>
      <c r="U4026" t="s">
        <v>11049</v>
      </c>
      <c r="W4026" s="2" t="s">
        <v>11204</v>
      </c>
    </row>
    <row r="4027" spans="1:23" hidden="1" x14ac:dyDescent="0.45">
      <c r="A4027" s="1" t="s">
        <v>3982</v>
      </c>
      <c r="B4027" t="s">
        <v>6281</v>
      </c>
      <c r="D4027" t="s">
        <v>8039</v>
      </c>
      <c r="E4027" t="s">
        <v>9631</v>
      </c>
      <c r="F4027" t="s">
        <v>10299</v>
      </c>
      <c r="G4027">
        <v>2</v>
      </c>
      <c r="H4027" t="s">
        <v>10310</v>
      </c>
      <c r="I4027" t="s">
        <v>10326</v>
      </c>
      <c r="L4027">
        <v>1977</v>
      </c>
      <c r="R4027" t="s">
        <v>11038</v>
      </c>
      <c r="S4027" t="s">
        <v>10310</v>
      </c>
      <c r="U4027" t="s">
        <v>11049</v>
      </c>
      <c r="W4027" s="2" t="s">
        <v>11204</v>
      </c>
    </row>
    <row r="4028" spans="1:23" hidden="1" x14ac:dyDescent="0.45">
      <c r="A4028" s="1" t="s">
        <v>3983</v>
      </c>
      <c r="B4028" t="s">
        <v>6727</v>
      </c>
      <c r="D4028" t="s">
        <v>8033</v>
      </c>
      <c r="E4028" t="s">
        <v>9666</v>
      </c>
      <c r="F4028" t="s">
        <v>10299</v>
      </c>
      <c r="G4028">
        <v>1.55</v>
      </c>
      <c r="H4028" t="s">
        <v>10310</v>
      </c>
      <c r="I4028" t="s">
        <v>10326</v>
      </c>
      <c r="L4028">
        <v>2015</v>
      </c>
      <c r="R4028" t="s">
        <v>11038</v>
      </c>
      <c r="S4028" t="s">
        <v>10310</v>
      </c>
      <c r="U4028" t="s">
        <v>11048</v>
      </c>
      <c r="W4028" s="2" t="s">
        <v>11204</v>
      </c>
    </row>
    <row r="4029" spans="1:23" hidden="1" x14ac:dyDescent="0.45">
      <c r="A4029" s="1" t="s">
        <v>3984</v>
      </c>
      <c r="B4029" t="s">
        <v>6728</v>
      </c>
      <c r="D4029" t="s">
        <v>8031</v>
      </c>
      <c r="E4029" t="s">
        <v>9837</v>
      </c>
      <c r="F4029" t="s">
        <v>10299</v>
      </c>
      <c r="G4029">
        <v>1.2</v>
      </c>
      <c r="H4029" t="s">
        <v>10310</v>
      </c>
      <c r="I4029" t="s">
        <v>10326</v>
      </c>
      <c r="L4029">
        <v>2008</v>
      </c>
      <c r="R4029" t="s">
        <v>11038</v>
      </c>
      <c r="S4029" t="s">
        <v>10310</v>
      </c>
      <c r="U4029" t="s">
        <v>11048</v>
      </c>
      <c r="W4029" s="2" t="s">
        <v>11204</v>
      </c>
    </row>
    <row r="4030" spans="1:23" hidden="1" x14ac:dyDescent="0.45">
      <c r="A4030" s="1" t="s">
        <v>3985</v>
      </c>
      <c r="D4030" t="s">
        <v>8051</v>
      </c>
      <c r="E4030" t="s">
        <v>9838</v>
      </c>
      <c r="F4030" t="s">
        <v>10299</v>
      </c>
      <c r="G4030">
        <v>3.5999999999999997E-2</v>
      </c>
      <c r="H4030" t="s">
        <v>10310</v>
      </c>
      <c r="I4030" t="s">
        <v>10326</v>
      </c>
      <c r="L4030">
        <v>1998</v>
      </c>
      <c r="R4030" t="s">
        <v>11038</v>
      </c>
      <c r="S4030" t="s">
        <v>10310</v>
      </c>
      <c r="U4030" t="s">
        <v>11048</v>
      </c>
      <c r="W4030" s="2" t="s">
        <v>11204</v>
      </c>
    </row>
    <row r="4031" spans="1:23" hidden="1" x14ac:dyDescent="0.45">
      <c r="A4031" s="1" t="s">
        <v>3986</v>
      </c>
      <c r="B4031" t="s">
        <v>6392</v>
      </c>
      <c r="D4031" t="s">
        <v>8052</v>
      </c>
      <c r="E4031" t="s">
        <v>9650</v>
      </c>
      <c r="F4031" t="s">
        <v>10299</v>
      </c>
      <c r="G4031">
        <v>13.6</v>
      </c>
      <c r="H4031" t="s">
        <v>10310</v>
      </c>
      <c r="I4031" t="s">
        <v>10326</v>
      </c>
      <c r="L4031">
        <v>1977</v>
      </c>
      <c r="R4031" t="s">
        <v>11038</v>
      </c>
      <c r="S4031" t="s">
        <v>10310</v>
      </c>
      <c r="U4031" t="s">
        <v>11047</v>
      </c>
      <c r="W4031" s="2" t="s">
        <v>11204</v>
      </c>
    </row>
    <row r="4032" spans="1:23" hidden="1" x14ac:dyDescent="0.45">
      <c r="A4032" s="1" t="s">
        <v>3987</v>
      </c>
      <c r="B4032" t="s">
        <v>6636</v>
      </c>
      <c r="D4032" t="s">
        <v>8070</v>
      </c>
      <c r="E4032" t="s">
        <v>3591</v>
      </c>
      <c r="F4032" t="s">
        <v>10299</v>
      </c>
      <c r="G4032">
        <v>0.17</v>
      </c>
      <c r="H4032" t="s">
        <v>10310</v>
      </c>
      <c r="I4032" t="s">
        <v>10326</v>
      </c>
      <c r="L4032">
        <v>1998</v>
      </c>
      <c r="R4032" t="s">
        <v>11038</v>
      </c>
      <c r="S4032" t="s">
        <v>10310</v>
      </c>
      <c r="U4032" t="s">
        <v>11046</v>
      </c>
      <c r="W4032" s="2" t="s">
        <v>11204</v>
      </c>
    </row>
    <row r="4033" spans="1:23" hidden="1" x14ac:dyDescent="0.45">
      <c r="A4033" s="1" t="s">
        <v>3988</v>
      </c>
      <c r="B4033" t="s">
        <v>6729</v>
      </c>
      <c r="D4033" t="s">
        <v>8048</v>
      </c>
      <c r="E4033" t="s">
        <v>9642</v>
      </c>
      <c r="F4033" t="s">
        <v>10299</v>
      </c>
      <c r="G4033">
        <v>0.55000000000000004</v>
      </c>
      <c r="H4033" t="s">
        <v>10310</v>
      </c>
      <c r="I4033" t="s">
        <v>10326</v>
      </c>
      <c r="L4033">
        <v>2009</v>
      </c>
      <c r="R4033" t="s">
        <v>11038</v>
      </c>
      <c r="S4033" t="s">
        <v>10310</v>
      </c>
      <c r="U4033" t="s">
        <v>11049</v>
      </c>
      <c r="W4033" s="2" t="s">
        <v>11204</v>
      </c>
    </row>
    <row r="4034" spans="1:23" hidden="1" x14ac:dyDescent="0.45">
      <c r="A4034" s="1" t="s">
        <v>3989</v>
      </c>
      <c r="B4034" t="s">
        <v>6274</v>
      </c>
      <c r="D4034" t="s">
        <v>8048</v>
      </c>
      <c r="E4034" t="s">
        <v>9642</v>
      </c>
      <c r="F4034" t="s">
        <v>10299</v>
      </c>
      <c r="G4034">
        <v>29</v>
      </c>
      <c r="H4034" t="s">
        <v>10310</v>
      </c>
      <c r="I4034" t="s">
        <v>10326</v>
      </c>
      <c r="L4034">
        <v>1956</v>
      </c>
      <c r="R4034" t="s">
        <v>11038</v>
      </c>
      <c r="S4034" t="s">
        <v>10310</v>
      </c>
      <c r="U4034" t="s">
        <v>11046</v>
      </c>
      <c r="W4034" s="2" t="s">
        <v>11204</v>
      </c>
    </row>
    <row r="4035" spans="1:23" hidden="1" x14ac:dyDescent="0.45">
      <c r="A4035" s="1" t="s">
        <v>3990</v>
      </c>
      <c r="B4035" t="s">
        <v>6274</v>
      </c>
      <c r="D4035" t="s">
        <v>8042</v>
      </c>
      <c r="E4035" t="s">
        <v>4614</v>
      </c>
      <c r="F4035" t="s">
        <v>10299</v>
      </c>
      <c r="G4035">
        <v>20</v>
      </c>
      <c r="H4035" t="s">
        <v>10310</v>
      </c>
      <c r="I4035" t="s">
        <v>10326</v>
      </c>
      <c r="L4035">
        <v>1967</v>
      </c>
      <c r="R4035" t="s">
        <v>11038</v>
      </c>
      <c r="S4035" t="s">
        <v>10310</v>
      </c>
      <c r="U4035" t="s">
        <v>11049</v>
      </c>
      <c r="W4035" s="2" t="s">
        <v>11204</v>
      </c>
    </row>
    <row r="4036" spans="1:23" hidden="1" x14ac:dyDescent="0.45">
      <c r="A4036" s="1" t="s">
        <v>3991</v>
      </c>
      <c r="B4036" t="s">
        <v>6274</v>
      </c>
      <c r="D4036" t="s">
        <v>8048</v>
      </c>
      <c r="E4036" t="s">
        <v>9762</v>
      </c>
      <c r="F4036" t="s">
        <v>10299</v>
      </c>
      <c r="G4036">
        <v>180</v>
      </c>
      <c r="H4036" t="s">
        <v>10310</v>
      </c>
      <c r="I4036" t="s">
        <v>10326</v>
      </c>
      <c r="L4036">
        <v>1948</v>
      </c>
      <c r="R4036" t="s">
        <v>11038</v>
      </c>
      <c r="S4036" t="s">
        <v>10310</v>
      </c>
      <c r="U4036" t="s">
        <v>11046</v>
      </c>
      <c r="W4036" s="2" t="s">
        <v>11204</v>
      </c>
    </row>
    <row r="4037" spans="1:23" hidden="1" x14ac:dyDescent="0.45">
      <c r="A4037" s="1" t="s">
        <v>3992</v>
      </c>
      <c r="B4037" t="s">
        <v>6281</v>
      </c>
      <c r="D4037" t="s">
        <v>8029</v>
      </c>
      <c r="E4037" t="s">
        <v>9661</v>
      </c>
      <c r="F4037" t="s">
        <v>10299</v>
      </c>
      <c r="G4037">
        <v>5</v>
      </c>
      <c r="H4037" t="s">
        <v>10310</v>
      </c>
      <c r="I4037" t="s">
        <v>10326</v>
      </c>
      <c r="L4037">
        <v>2010</v>
      </c>
      <c r="R4037" t="s">
        <v>11038</v>
      </c>
      <c r="S4037" t="s">
        <v>10310</v>
      </c>
      <c r="U4037" t="s">
        <v>11047</v>
      </c>
      <c r="W4037" s="2" t="s">
        <v>11204</v>
      </c>
    </row>
    <row r="4038" spans="1:23" hidden="1" x14ac:dyDescent="0.45">
      <c r="A4038" s="1" t="s">
        <v>3993</v>
      </c>
      <c r="B4038" t="s">
        <v>6730</v>
      </c>
      <c r="D4038" t="s">
        <v>8029</v>
      </c>
      <c r="E4038" t="s">
        <v>9622</v>
      </c>
      <c r="F4038" t="s">
        <v>10299</v>
      </c>
      <c r="G4038">
        <v>4.4000000000000004</v>
      </c>
      <c r="H4038" t="s">
        <v>10310</v>
      </c>
      <c r="I4038" t="s">
        <v>10326</v>
      </c>
      <c r="L4038">
        <v>1956</v>
      </c>
      <c r="R4038" t="s">
        <v>11038</v>
      </c>
      <c r="S4038" t="s">
        <v>10310</v>
      </c>
      <c r="U4038" t="s">
        <v>11048</v>
      </c>
      <c r="W4038" s="2" t="s">
        <v>11204</v>
      </c>
    </row>
    <row r="4039" spans="1:23" hidden="1" x14ac:dyDescent="0.45">
      <c r="A4039" s="1" t="s">
        <v>3994</v>
      </c>
      <c r="B4039" t="s">
        <v>6336</v>
      </c>
      <c r="D4039" t="s">
        <v>8082</v>
      </c>
      <c r="E4039" t="s">
        <v>9756</v>
      </c>
      <c r="F4039" t="s">
        <v>10299</v>
      </c>
      <c r="G4039">
        <v>112</v>
      </c>
      <c r="H4039" t="s">
        <v>10310</v>
      </c>
      <c r="I4039" t="s">
        <v>10326</v>
      </c>
      <c r="L4039">
        <v>1987</v>
      </c>
      <c r="R4039" t="s">
        <v>11038</v>
      </c>
      <c r="S4039" t="s">
        <v>10310</v>
      </c>
      <c r="U4039" t="s">
        <v>11049</v>
      </c>
      <c r="W4039" s="2" t="s">
        <v>11204</v>
      </c>
    </row>
    <row r="4040" spans="1:23" hidden="1" x14ac:dyDescent="0.45">
      <c r="A4040" s="1" t="s">
        <v>3995</v>
      </c>
      <c r="B4040" t="s">
        <v>6731</v>
      </c>
      <c r="D4040" t="s">
        <v>8063</v>
      </c>
      <c r="E4040" t="s">
        <v>9668</v>
      </c>
      <c r="F4040" t="s">
        <v>10299</v>
      </c>
      <c r="G4040">
        <v>1.925</v>
      </c>
      <c r="H4040" t="s">
        <v>10310</v>
      </c>
      <c r="I4040" t="s">
        <v>10326</v>
      </c>
      <c r="L4040">
        <v>2013</v>
      </c>
      <c r="R4040" t="s">
        <v>11038</v>
      </c>
      <c r="S4040" t="s">
        <v>10310</v>
      </c>
      <c r="U4040" t="s">
        <v>11046</v>
      </c>
      <c r="W4040" s="2" t="s">
        <v>11204</v>
      </c>
    </row>
    <row r="4041" spans="1:23" hidden="1" x14ac:dyDescent="0.45">
      <c r="A4041" s="1" t="s">
        <v>3996</v>
      </c>
      <c r="B4041" t="s">
        <v>6732</v>
      </c>
      <c r="D4041" t="s">
        <v>8034</v>
      </c>
      <c r="E4041" t="s">
        <v>9747</v>
      </c>
      <c r="F4041" t="s">
        <v>10299</v>
      </c>
      <c r="G4041">
        <v>0.99</v>
      </c>
      <c r="H4041" t="s">
        <v>10310</v>
      </c>
      <c r="I4041" t="s">
        <v>10326</v>
      </c>
      <c r="L4041">
        <v>2008</v>
      </c>
      <c r="R4041" t="s">
        <v>11038</v>
      </c>
      <c r="S4041" t="s">
        <v>10310</v>
      </c>
      <c r="U4041" t="s">
        <v>11046</v>
      </c>
      <c r="W4041" s="2" t="s">
        <v>11204</v>
      </c>
    </row>
    <row r="4042" spans="1:23" hidden="1" x14ac:dyDescent="0.45">
      <c r="A4042" s="1" t="s">
        <v>3997</v>
      </c>
      <c r="B4042" t="s">
        <v>6733</v>
      </c>
      <c r="D4042" t="s">
        <v>8056</v>
      </c>
      <c r="E4042" t="s">
        <v>9657</v>
      </c>
      <c r="F4042" t="s">
        <v>10299</v>
      </c>
      <c r="G4042">
        <v>0.44500000000000001</v>
      </c>
      <c r="H4042" t="s">
        <v>10310</v>
      </c>
      <c r="I4042" t="s">
        <v>10326</v>
      </c>
      <c r="L4042">
        <v>2000</v>
      </c>
      <c r="R4042" t="s">
        <v>11038</v>
      </c>
      <c r="S4042" t="s">
        <v>10310</v>
      </c>
      <c r="U4042" t="s">
        <v>11046</v>
      </c>
      <c r="W4042" s="2" t="s">
        <v>11204</v>
      </c>
    </row>
    <row r="4043" spans="1:23" hidden="1" x14ac:dyDescent="0.45">
      <c r="A4043" s="1" t="s">
        <v>3998</v>
      </c>
      <c r="B4043" t="s">
        <v>6274</v>
      </c>
      <c r="D4043" t="s">
        <v>8070</v>
      </c>
      <c r="E4043" t="s">
        <v>9754</v>
      </c>
      <c r="F4043" t="s">
        <v>10299</v>
      </c>
      <c r="G4043">
        <v>175</v>
      </c>
      <c r="H4043" t="s">
        <v>10310</v>
      </c>
      <c r="I4043" t="s">
        <v>10326</v>
      </c>
      <c r="L4043">
        <v>1960</v>
      </c>
      <c r="R4043" t="s">
        <v>11038</v>
      </c>
      <c r="S4043" t="s">
        <v>10310</v>
      </c>
      <c r="U4043" t="s">
        <v>11047</v>
      </c>
      <c r="W4043" s="2" t="s">
        <v>11204</v>
      </c>
    </row>
    <row r="4044" spans="1:23" hidden="1" x14ac:dyDescent="0.45">
      <c r="A4044" s="1" t="s">
        <v>3999</v>
      </c>
      <c r="B4044" t="s">
        <v>6274</v>
      </c>
      <c r="D4044" t="s">
        <v>8070</v>
      </c>
      <c r="E4044" t="s">
        <v>9754</v>
      </c>
      <c r="F4044" t="s">
        <v>10299</v>
      </c>
      <c r="G4044">
        <v>25</v>
      </c>
      <c r="H4044" t="s">
        <v>10310</v>
      </c>
      <c r="I4044" t="s">
        <v>10326</v>
      </c>
      <c r="L4044">
        <v>1974</v>
      </c>
      <c r="R4044" t="s">
        <v>11038</v>
      </c>
      <c r="S4044" t="s">
        <v>10310</v>
      </c>
      <c r="U4044" t="s">
        <v>11047</v>
      </c>
      <c r="W4044" s="2" t="s">
        <v>11204</v>
      </c>
    </row>
    <row r="4045" spans="1:23" hidden="1" x14ac:dyDescent="0.45">
      <c r="A4045" s="1" t="s">
        <v>4000</v>
      </c>
      <c r="B4045" t="s">
        <v>6274</v>
      </c>
      <c r="D4045" t="s">
        <v>8048</v>
      </c>
      <c r="E4045" t="s">
        <v>9642</v>
      </c>
      <c r="F4045" t="s">
        <v>10299</v>
      </c>
      <c r="G4045">
        <v>4.0999999999999996</v>
      </c>
      <c r="H4045" t="s">
        <v>10310</v>
      </c>
      <c r="I4045" t="s">
        <v>10326</v>
      </c>
      <c r="L4045">
        <v>2004</v>
      </c>
      <c r="R4045" t="s">
        <v>11038</v>
      </c>
      <c r="S4045" t="s">
        <v>10310</v>
      </c>
      <c r="U4045" t="s">
        <v>11046</v>
      </c>
      <c r="W4045" s="2" t="s">
        <v>11204</v>
      </c>
    </row>
    <row r="4046" spans="1:23" hidden="1" x14ac:dyDescent="0.45">
      <c r="A4046" s="1" t="s">
        <v>4001</v>
      </c>
      <c r="D4046" t="s">
        <v>8078</v>
      </c>
      <c r="E4046" t="s">
        <v>9725</v>
      </c>
      <c r="F4046" t="s">
        <v>10299</v>
      </c>
      <c r="G4046">
        <v>0.04</v>
      </c>
      <c r="H4046" t="s">
        <v>10310</v>
      </c>
      <c r="I4046" t="s">
        <v>10326</v>
      </c>
      <c r="L4046">
        <v>2002</v>
      </c>
      <c r="R4046" t="s">
        <v>11038</v>
      </c>
      <c r="S4046" t="s">
        <v>10310</v>
      </c>
      <c r="U4046" t="s">
        <v>11046</v>
      </c>
      <c r="W4046" s="2" t="s">
        <v>11204</v>
      </c>
    </row>
    <row r="4047" spans="1:23" hidden="1" x14ac:dyDescent="0.45">
      <c r="A4047" s="1" t="s">
        <v>4002</v>
      </c>
      <c r="B4047" t="s">
        <v>6289</v>
      </c>
      <c r="D4047" t="s">
        <v>8045</v>
      </c>
      <c r="E4047" t="s">
        <v>9639</v>
      </c>
      <c r="F4047" t="s">
        <v>10299</v>
      </c>
      <c r="G4047">
        <v>41.5</v>
      </c>
      <c r="H4047" t="s">
        <v>10310</v>
      </c>
      <c r="I4047" t="s">
        <v>10326</v>
      </c>
      <c r="L4047">
        <v>1946</v>
      </c>
      <c r="R4047" t="s">
        <v>11038</v>
      </c>
      <c r="S4047" t="s">
        <v>10310</v>
      </c>
      <c r="U4047" t="s">
        <v>11047</v>
      </c>
      <c r="W4047" s="2" t="s">
        <v>11204</v>
      </c>
    </row>
    <row r="4048" spans="1:23" hidden="1" x14ac:dyDescent="0.45">
      <c r="A4048" s="1" t="s">
        <v>4003</v>
      </c>
      <c r="B4048" t="s">
        <v>6524</v>
      </c>
      <c r="D4048" t="s">
        <v>8036</v>
      </c>
      <c r="E4048" t="s">
        <v>4123</v>
      </c>
      <c r="F4048" t="s">
        <v>10299</v>
      </c>
      <c r="G4048">
        <v>0.93</v>
      </c>
      <c r="H4048" t="s">
        <v>10310</v>
      </c>
      <c r="I4048" t="s">
        <v>10326</v>
      </c>
      <c r="L4048">
        <v>2003</v>
      </c>
      <c r="R4048" t="s">
        <v>11038</v>
      </c>
      <c r="S4048" t="s">
        <v>10310</v>
      </c>
      <c r="U4048" t="s">
        <v>11050</v>
      </c>
      <c r="W4048" s="2" t="s">
        <v>11204</v>
      </c>
    </row>
    <row r="4049" spans="1:23" hidden="1" x14ac:dyDescent="0.45">
      <c r="A4049" s="1" t="s">
        <v>4004</v>
      </c>
      <c r="B4049" t="s">
        <v>6274</v>
      </c>
      <c r="D4049" t="s">
        <v>8040</v>
      </c>
      <c r="E4049" t="s">
        <v>9686</v>
      </c>
      <c r="F4049" t="s">
        <v>10299</v>
      </c>
      <c r="G4049">
        <v>2.4</v>
      </c>
      <c r="H4049" t="s">
        <v>10310</v>
      </c>
      <c r="I4049" t="s">
        <v>10326</v>
      </c>
      <c r="L4049">
        <v>1910</v>
      </c>
      <c r="R4049" t="s">
        <v>11038</v>
      </c>
      <c r="S4049" t="s">
        <v>10310</v>
      </c>
      <c r="U4049" t="s">
        <v>11047</v>
      </c>
      <c r="W4049" s="2" t="s">
        <v>11204</v>
      </c>
    </row>
    <row r="4050" spans="1:23" hidden="1" x14ac:dyDescent="0.45">
      <c r="A4050" s="1" t="s">
        <v>4005</v>
      </c>
      <c r="B4050" t="s">
        <v>6323</v>
      </c>
      <c r="D4050" t="s">
        <v>8045</v>
      </c>
      <c r="E4050" t="s">
        <v>9646</v>
      </c>
      <c r="F4050" t="s">
        <v>10299</v>
      </c>
      <c r="G4050">
        <v>2.8</v>
      </c>
      <c r="H4050" t="s">
        <v>10310</v>
      </c>
      <c r="I4050" t="s">
        <v>10326</v>
      </c>
      <c r="L4050">
        <v>1954</v>
      </c>
      <c r="R4050" t="s">
        <v>11038</v>
      </c>
      <c r="S4050" t="s">
        <v>10310</v>
      </c>
      <c r="U4050" t="s">
        <v>11047</v>
      </c>
      <c r="W4050" s="2" t="s">
        <v>11204</v>
      </c>
    </row>
    <row r="4051" spans="1:23" hidden="1" x14ac:dyDescent="0.45">
      <c r="A4051" s="1" t="s">
        <v>4006</v>
      </c>
      <c r="D4051" t="s">
        <v>8074</v>
      </c>
      <c r="E4051" t="s">
        <v>9839</v>
      </c>
      <c r="F4051" t="s">
        <v>10299</v>
      </c>
      <c r="G4051">
        <v>0.02</v>
      </c>
      <c r="H4051" t="s">
        <v>10310</v>
      </c>
      <c r="I4051" t="s">
        <v>10326</v>
      </c>
      <c r="L4051">
        <v>1988</v>
      </c>
      <c r="R4051" t="s">
        <v>11038</v>
      </c>
      <c r="S4051" t="s">
        <v>10310</v>
      </c>
      <c r="U4051" t="s">
        <v>11048</v>
      </c>
      <c r="W4051" s="2" t="s">
        <v>11204</v>
      </c>
    </row>
    <row r="4052" spans="1:23" hidden="1" x14ac:dyDescent="0.45">
      <c r="A4052" s="1" t="s">
        <v>4007</v>
      </c>
      <c r="B4052" t="s">
        <v>6274</v>
      </c>
      <c r="D4052" t="s">
        <v>8033</v>
      </c>
      <c r="E4052" t="s">
        <v>9787</v>
      </c>
      <c r="F4052" t="s">
        <v>10299</v>
      </c>
      <c r="G4052">
        <v>66.7</v>
      </c>
      <c r="H4052" t="s">
        <v>10310</v>
      </c>
      <c r="I4052" t="s">
        <v>10326</v>
      </c>
      <c r="L4052">
        <v>1989</v>
      </c>
      <c r="R4052" t="s">
        <v>11038</v>
      </c>
      <c r="S4052" t="s">
        <v>10310</v>
      </c>
      <c r="U4052" t="s">
        <v>11047</v>
      </c>
      <c r="W4052" s="2" t="s">
        <v>11204</v>
      </c>
    </row>
    <row r="4053" spans="1:23" hidden="1" x14ac:dyDescent="0.45">
      <c r="A4053" s="1" t="s">
        <v>4008</v>
      </c>
      <c r="B4053" t="s">
        <v>6734</v>
      </c>
      <c r="D4053" t="s">
        <v>8058</v>
      </c>
      <c r="E4053" t="s">
        <v>9662</v>
      </c>
      <c r="F4053" t="s">
        <v>10299</v>
      </c>
      <c r="G4053">
        <v>2.56</v>
      </c>
      <c r="H4053" t="s">
        <v>10310</v>
      </c>
      <c r="I4053" t="s">
        <v>10326</v>
      </c>
      <c r="L4053">
        <v>2012</v>
      </c>
      <c r="R4053" t="s">
        <v>11038</v>
      </c>
      <c r="S4053" t="s">
        <v>10310</v>
      </c>
      <c r="U4053" t="s">
        <v>11046</v>
      </c>
      <c r="W4053" s="2" t="s">
        <v>11204</v>
      </c>
    </row>
    <row r="4054" spans="1:23" hidden="1" x14ac:dyDescent="0.45">
      <c r="A4054" s="1" t="s">
        <v>4009</v>
      </c>
      <c r="B4054" t="s">
        <v>6735</v>
      </c>
      <c r="D4054" t="s">
        <v>8041</v>
      </c>
      <c r="E4054" t="s">
        <v>3517</v>
      </c>
      <c r="F4054" t="s">
        <v>10299</v>
      </c>
      <c r="G4054">
        <v>12.8</v>
      </c>
      <c r="H4054" t="s">
        <v>10310</v>
      </c>
      <c r="I4054" t="s">
        <v>10326</v>
      </c>
      <c r="L4054">
        <v>1959</v>
      </c>
      <c r="R4054" t="s">
        <v>11038</v>
      </c>
      <c r="S4054" t="s">
        <v>10310</v>
      </c>
      <c r="U4054" t="s">
        <v>11048</v>
      </c>
      <c r="W4054" s="2" t="s">
        <v>11204</v>
      </c>
    </row>
    <row r="4055" spans="1:23" hidden="1" x14ac:dyDescent="0.45">
      <c r="A4055" s="1" t="s">
        <v>4010</v>
      </c>
      <c r="B4055" t="s">
        <v>6274</v>
      </c>
      <c r="D4055" t="s">
        <v>8033</v>
      </c>
      <c r="E4055" t="s">
        <v>9666</v>
      </c>
      <c r="F4055" t="s">
        <v>10299</v>
      </c>
      <c r="G4055">
        <v>350</v>
      </c>
      <c r="H4055" t="s">
        <v>10310</v>
      </c>
      <c r="I4055" t="s">
        <v>10326</v>
      </c>
      <c r="L4055">
        <v>1955</v>
      </c>
      <c r="R4055" t="s">
        <v>11038</v>
      </c>
      <c r="S4055" t="s">
        <v>10310</v>
      </c>
      <c r="U4055" t="s">
        <v>11048</v>
      </c>
      <c r="W4055" s="2" t="s">
        <v>11204</v>
      </c>
    </row>
    <row r="4056" spans="1:23" hidden="1" x14ac:dyDescent="0.45">
      <c r="A4056" s="1" t="s">
        <v>4011</v>
      </c>
      <c r="B4056" t="s">
        <v>6359</v>
      </c>
      <c r="D4056" t="s">
        <v>8074</v>
      </c>
      <c r="E4056" t="s">
        <v>9738</v>
      </c>
      <c r="F4056" t="s">
        <v>10299</v>
      </c>
      <c r="G4056">
        <v>8.8000000000000007</v>
      </c>
      <c r="H4056" t="s">
        <v>10310</v>
      </c>
      <c r="I4056" t="s">
        <v>10326</v>
      </c>
      <c r="L4056">
        <v>1965</v>
      </c>
      <c r="R4056" t="s">
        <v>11038</v>
      </c>
      <c r="S4056" t="s">
        <v>10310</v>
      </c>
      <c r="U4056" t="s">
        <v>11047</v>
      </c>
      <c r="W4056" s="2" t="s">
        <v>11204</v>
      </c>
    </row>
    <row r="4057" spans="1:23" hidden="1" x14ac:dyDescent="0.45">
      <c r="A4057" s="1" t="s">
        <v>4012</v>
      </c>
      <c r="B4057" t="s">
        <v>6407</v>
      </c>
      <c r="D4057" t="s">
        <v>8044</v>
      </c>
      <c r="E4057" t="s">
        <v>9658</v>
      </c>
      <c r="F4057" t="s">
        <v>10299</v>
      </c>
      <c r="G4057">
        <v>7</v>
      </c>
      <c r="H4057" t="s">
        <v>10310</v>
      </c>
      <c r="I4057" t="s">
        <v>10326</v>
      </c>
      <c r="L4057">
        <v>1942</v>
      </c>
      <c r="R4057" t="s">
        <v>11038</v>
      </c>
      <c r="S4057" t="s">
        <v>10310</v>
      </c>
      <c r="U4057" t="s">
        <v>11047</v>
      </c>
      <c r="W4057" s="2" t="s">
        <v>11204</v>
      </c>
    </row>
    <row r="4058" spans="1:23" hidden="1" x14ac:dyDescent="0.45">
      <c r="A4058" s="1" t="s">
        <v>4013</v>
      </c>
      <c r="B4058" t="s">
        <v>6407</v>
      </c>
      <c r="D4058" t="s">
        <v>8044</v>
      </c>
      <c r="E4058" t="s">
        <v>9658</v>
      </c>
      <c r="F4058" t="s">
        <v>10299</v>
      </c>
      <c r="G4058">
        <v>16</v>
      </c>
      <c r="H4058" t="s">
        <v>10310</v>
      </c>
      <c r="I4058" t="s">
        <v>10326</v>
      </c>
      <c r="L4058">
        <v>1963</v>
      </c>
      <c r="R4058" t="s">
        <v>11038</v>
      </c>
      <c r="S4058" t="s">
        <v>10310</v>
      </c>
      <c r="U4058" t="s">
        <v>11047</v>
      </c>
      <c r="W4058" s="2" t="s">
        <v>11204</v>
      </c>
    </row>
    <row r="4059" spans="1:23" hidden="1" x14ac:dyDescent="0.45">
      <c r="A4059" s="1" t="s">
        <v>4014</v>
      </c>
      <c r="B4059" t="s">
        <v>6736</v>
      </c>
      <c r="D4059" t="s">
        <v>8048</v>
      </c>
      <c r="E4059" t="s">
        <v>9762</v>
      </c>
      <c r="F4059" t="s">
        <v>10299</v>
      </c>
      <c r="G4059">
        <v>0.74</v>
      </c>
      <c r="H4059" t="s">
        <v>10310</v>
      </c>
      <c r="I4059" t="s">
        <v>10326</v>
      </c>
      <c r="L4059">
        <v>2017</v>
      </c>
      <c r="R4059" t="s">
        <v>11038</v>
      </c>
      <c r="S4059" t="s">
        <v>10310</v>
      </c>
      <c r="U4059" t="s">
        <v>11046</v>
      </c>
      <c r="W4059" s="2" t="s">
        <v>11204</v>
      </c>
    </row>
    <row r="4060" spans="1:23" hidden="1" x14ac:dyDescent="0.45">
      <c r="A4060" s="1" t="s">
        <v>4015</v>
      </c>
      <c r="B4060" t="s">
        <v>6290</v>
      </c>
      <c r="D4060" t="s">
        <v>8085</v>
      </c>
      <c r="E4060" t="s">
        <v>9808</v>
      </c>
      <c r="F4060" t="s">
        <v>10299</v>
      </c>
      <c r="G4060">
        <v>308</v>
      </c>
      <c r="H4060" t="s">
        <v>10310</v>
      </c>
      <c r="I4060" t="s">
        <v>10326</v>
      </c>
      <c r="L4060">
        <v>1953</v>
      </c>
      <c r="R4060" t="s">
        <v>11038</v>
      </c>
      <c r="S4060" t="s">
        <v>10310</v>
      </c>
      <c r="U4060" t="s">
        <v>11050</v>
      </c>
      <c r="W4060" s="2" t="s">
        <v>11204</v>
      </c>
    </row>
    <row r="4061" spans="1:23" hidden="1" x14ac:dyDescent="0.45">
      <c r="A4061" s="1" t="s">
        <v>4016</v>
      </c>
      <c r="D4061" t="s">
        <v>8049</v>
      </c>
      <c r="E4061" t="s">
        <v>9769</v>
      </c>
      <c r="F4061" t="s">
        <v>10299</v>
      </c>
      <c r="G4061">
        <v>0.1</v>
      </c>
      <c r="H4061" t="s">
        <v>10310</v>
      </c>
      <c r="I4061" t="s">
        <v>10326</v>
      </c>
      <c r="L4061">
        <v>2000</v>
      </c>
      <c r="R4061" t="s">
        <v>11038</v>
      </c>
      <c r="S4061" t="s">
        <v>10310</v>
      </c>
      <c r="U4061" t="s">
        <v>11046</v>
      </c>
      <c r="W4061" s="2" t="s">
        <v>11204</v>
      </c>
    </row>
    <row r="4062" spans="1:23" hidden="1" x14ac:dyDescent="0.45">
      <c r="A4062" s="1" t="s">
        <v>4016</v>
      </c>
      <c r="B4062" t="s">
        <v>6737</v>
      </c>
      <c r="D4062" t="s">
        <v>8037</v>
      </c>
      <c r="E4062" t="s">
        <v>9629</v>
      </c>
      <c r="F4062" t="s">
        <v>10299</v>
      </c>
      <c r="G4062">
        <v>1.42</v>
      </c>
      <c r="H4062" t="s">
        <v>10310</v>
      </c>
      <c r="I4062" t="s">
        <v>10326</v>
      </c>
      <c r="L4062">
        <v>2012</v>
      </c>
      <c r="R4062" t="s">
        <v>11038</v>
      </c>
      <c r="S4062" t="s">
        <v>10310</v>
      </c>
      <c r="U4062" t="s">
        <v>11047</v>
      </c>
      <c r="W4062" s="2" t="s">
        <v>11204</v>
      </c>
    </row>
    <row r="4063" spans="1:23" hidden="1" x14ac:dyDescent="0.45">
      <c r="A4063" s="1" t="s">
        <v>4017</v>
      </c>
      <c r="B4063" t="s">
        <v>6290</v>
      </c>
      <c r="D4063" t="s">
        <v>8053</v>
      </c>
      <c r="E4063" t="s">
        <v>9743</v>
      </c>
      <c r="F4063" t="s">
        <v>10299</v>
      </c>
      <c r="G4063">
        <v>250</v>
      </c>
      <c r="H4063" t="s">
        <v>10310</v>
      </c>
      <c r="I4063" t="s">
        <v>10326</v>
      </c>
      <c r="L4063">
        <v>1967</v>
      </c>
      <c r="R4063" t="s">
        <v>11038</v>
      </c>
      <c r="S4063" t="s">
        <v>10310</v>
      </c>
      <c r="U4063" t="s">
        <v>11049</v>
      </c>
      <c r="W4063" s="2" t="s">
        <v>11204</v>
      </c>
    </row>
    <row r="4064" spans="1:23" hidden="1" x14ac:dyDescent="0.45">
      <c r="A4064" s="1" t="s">
        <v>4018</v>
      </c>
      <c r="B4064" t="s">
        <v>6738</v>
      </c>
      <c r="D4064" t="s">
        <v>8071</v>
      </c>
      <c r="E4064" t="s">
        <v>9689</v>
      </c>
      <c r="F4064" t="s">
        <v>10299</v>
      </c>
      <c r="G4064">
        <v>4.9000000000000004</v>
      </c>
      <c r="H4064" t="s">
        <v>10310</v>
      </c>
      <c r="I4064" t="s">
        <v>10326</v>
      </c>
      <c r="L4064">
        <v>2004</v>
      </c>
      <c r="R4064" t="s">
        <v>11038</v>
      </c>
      <c r="S4064" t="s">
        <v>10310</v>
      </c>
      <c r="U4064" t="s">
        <v>11047</v>
      </c>
      <c r="W4064" s="2" t="s">
        <v>11204</v>
      </c>
    </row>
    <row r="4065" spans="1:23" hidden="1" x14ac:dyDescent="0.45">
      <c r="A4065" s="1" t="s">
        <v>4018</v>
      </c>
      <c r="B4065" t="s">
        <v>6739</v>
      </c>
      <c r="D4065" t="s">
        <v>8037</v>
      </c>
      <c r="E4065" t="s">
        <v>9629</v>
      </c>
      <c r="F4065" t="s">
        <v>10299</v>
      </c>
      <c r="G4065">
        <v>0.27</v>
      </c>
      <c r="H4065" t="s">
        <v>10310</v>
      </c>
      <c r="I4065" t="s">
        <v>10326</v>
      </c>
      <c r="L4065">
        <v>2004</v>
      </c>
      <c r="R4065" t="s">
        <v>11038</v>
      </c>
      <c r="S4065" t="s">
        <v>10310</v>
      </c>
      <c r="U4065" t="s">
        <v>11047</v>
      </c>
      <c r="W4065" s="2" t="s">
        <v>11204</v>
      </c>
    </row>
    <row r="4066" spans="1:23" hidden="1" x14ac:dyDescent="0.45">
      <c r="A4066" s="1" t="s">
        <v>4019</v>
      </c>
      <c r="D4066" t="s">
        <v>8070</v>
      </c>
      <c r="E4066" t="s">
        <v>3591</v>
      </c>
      <c r="F4066" t="s">
        <v>10299</v>
      </c>
      <c r="G4066">
        <v>0.06</v>
      </c>
      <c r="H4066" t="s">
        <v>10310</v>
      </c>
      <c r="I4066" t="s">
        <v>10326</v>
      </c>
      <c r="L4066">
        <v>2008</v>
      </c>
      <c r="R4066" t="s">
        <v>11038</v>
      </c>
      <c r="S4066" t="s">
        <v>10310</v>
      </c>
      <c r="U4066" t="s">
        <v>11046</v>
      </c>
      <c r="W4066" s="2" t="s">
        <v>11204</v>
      </c>
    </row>
    <row r="4067" spans="1:23" hidden="1" x14ac:dyDescent="0.45">
      <c r="A4067" s="1" t="s">
        <v>4020</v>
      </c>
      <c r="B4067" t="s">
        <v>6319</v>
      </c>
      <c r="D4067" t="s">
        <v>8034</v>
      </c>
      <c r="E4067" t="s">
        <v>9840</v>
      </c>
      <c r="F4067" t="s">
        <v>10299</v>
      </c>
      <c r="G4067">
        <v>0.5</v>
      </c>
      <c r="H4067" t="s">
        <v>10310</v>
      </c>
      <c r="I4067" t="s">
        <v>10326</v>
      </c>
      <c r="L4067">
        <v>1947</v>
      </c>
      <c r="R4067" t="s">
        <v>11038</v>
      </c>
      <c r="S4067" t="s">
        <v>10310</v>
      </c>
      <c r="U4067" t="s">
        <v>11047</v>
      </c>
      <c r="W4067" s="2" t="s">
        <v>11204</v>
      </c>
    </row>
    <row r="4068" spans="1:23" hidden="1" x14ac:dyDescent="0.45">
      <c r="A4068" s="1" t="s">
        <v>4021</v>
      </c>
      <c r="B4068" t="s">
        <v>6274</v>
      </c>
      <c r="D4068" t="s">
        <v>8074</v>
      </c>
      <c r="E4068" t="s">
        <v>9763</v>
      </c>
      <c r="F4068" t="s">
        <v>10299</v>
      </c>
      <c r="G4068">
        <v>2.1</v>
      </c>
      <c r="H4068" t="s">
        <v>10310</v>
      </c>
      <c r="I4068" t="s">
        <v>10326</v>
      </c>
      <c r="L4068">
        <v>1955</v>
      </c>
      <c r="R4068" t="s">
        <v>11038</v>
      </c>
      <c r="S4068" t="s">
        <v>10310</v>
      </c>
      <c r="U4068" t="s">
        <v>11048</v>
      </c>
      <c r="W4068" s="2" t="s">
        <v>11204</v>
      </c>
    </row>
    <row r="4069" spans="1:23" hidden="1" x14ac:dyDescent="0.45">
      <c r="A4069" s="1" t="s">
        <v>4022</v>
      </c>
      <c r="B4069" t="s">
        <v>6675</v>
      </c>
      <c r="D4069" t="s">
        <v>8051</v>
      </c>
      <c r="E4069" t="s">
        <v>9735</v>
      </c>
      <c r="F4069" t="s">
        <v>10299</v>
      </c>
      <c r="G4069">
        <v>1.7</v>
      </c>
      <c r="H4069" t="s">
        <v>10310</v>
      </c>
      <c r="I4069" t="s">
        <v>10326</v>
      </c>
      <c r="L4069">
        <v>2011</v>
      </c>
      <c r="R4069" t="s">
        <v>11038</v>
      </c>
      <c r="S4069" t="s">
        <v>10310</v>
      </c>
      <c r="U4069" t="s">
        <v>11047</v>
      </c>
      <c r="W4069" s="2" t="s">
        <v>11204</v>
      </c>
    </row>
    <row r="4070" spans="1:23" hidden="1" x14ac:dyDescent="0.45">
      <c r="A4070" s="1" t="s">
        <v>4023</v>
      </c>
      <c r="B4070" t="s">
        <v>6445</v>
      </c>
      <c r="D4070" t="s">
        <v>8054</v>
      </c>
      <c r="E4070" t="s">
        <v>9841</v>
      </c>
      <c r="F4070" t="s">
        <v>10299</v>
      </c>
      <c r="G4070">
        <v>17</v>
      </c>
      <c r="H4070" t="s">
        <v>10310</v>
      </c>
      <c r="I4070" t="s">
        <v>10326</v>
      </c>
      <c r="L4070">
        <v>1954</v>
      </c>
      <c r="R4070" t="s">
        <v>11038</v>
      </c>
      <c r="S4070" t="s">
        <v>10310</v>
      </c>
      <c r="U4070" t="s">
        <v>11048</v>
      </c>
      <c r="W4070" s="2" t="s">
        <v>11204</v>
      </c>
    </row>
    <row r="4071" spans="1:23" hidden="1" x14ac:dyDescent="0.45">
      <c r="A4071" s="1" t="s">
        <v>4024</v>
      </c>
      <c r="B4071" t="s">
        <v>6628</v>
      </c>
      <c r="D4071" t="s">
        <v>8064</v>
      </c>
      <c r="E4071" t="s">
        <v>9675</v>
      </c>
      <c r="F4071" t="s">
        <v>10299</v>
      </c>
      <c r="G4071">
        <v>0.95</v>
      </c>
      <c r="H4071" t="s">
        <v>10310</v>
      </c>
      <c r="I4071" t="s">
        <v>10326</v>
      </c>
      <c r="L4071">
        <v>2000</v>
      </c>
      <c r="R4071" t="s">
        <v>11038</v>
      </c>
      <c r="S4071" t="s">
        <v>10310</v>
      </c>
      <c r="U4071" t="s">
        <v>11049</v>
      </c>
      <c r="W4071" s="2" t="s">
        <v>11204</v>
      </c>
    </row>
    <row r="4072" spans="1:23" hidden="1" x14ac:dyDescent="0.45">
      <c r="A4072" s="1" t="s">
        <v>4025</v>
      </c>
      <c r="B4072" t="s">
        <v>6311</v>
      </c>
      <c r="D4072" t="s">
        <v>8056</v>
      </c>
      <c r="E4072" t="s">
        <v>9657</v>
      </c>
      <c r="F4072" t="s">
        <v>10299</v>
      </c>
      <c r="G4072">
        <v>1.8</v>
      </c>
      <c r="H4072" t="s">
        <v>10310</v>
      </c>
      <c r="I4072" t="s">
        <v>10326</v>
      </c>
      <c r="L4072">
        <v>1985</v>
      </c>
      <c r="R4072" t="s">
        <v>11038</v>
      </c>
      <c r="S4072" t="s">
        <v>10310</v>
      </c>
      <c r="U4072" t="s">
        <v>11046</v>
      </c>
      <c r="W4072" s="2" t="s">
        <v>11204</v>
      </c>
    </row>
    <row r="4073" spans="1:23" hidden="1" x14ac:dyDescent="0.45">
      <c r="A4073" s="1" t="s">
        <v>4026</v>
      </c>
      <c r="B4073" t="s">
        <v>6740</v>
      </c>
      <c r="D4073" t="s">
        <v>8068</v>
      </c>
      <c r="E4073" t="s">
        <v>9682</v>
      </c>
      <c r="F4073" t="s">
        <v>10299</v>
      </c>
      <c r="G4073">
        <v>4.72</v>
      </c>
      <c r="H4073" t="s">
        <v>10310</v>
      </c>
      <c r="I4073" t="s">
        <v>10326</v>
      </c>
      <c r="L4073">
        <v>2016</v>
      </c>
      <c r="R4073" t="s">
        <v>11038</v>
      </c>
      <c r="S4073" t="s">
        <v>10310</v>
      </c>
      <c r="U4073" t="s">
        <v>11049</v>
      </c>
      <c r="W4073" s="2" t="s">
        <v>11204</v>
      </c>
    </row>
    <row r="4074" spans="1:23" hidden="1" x14ac:dyDescent="0.45">
      <c r="A4074" s="1" t="s">
        <v>4027</v>
      </c>
      <c r="B4074" t="s">
        <v>6311</v>
      </c>
      <c r="D4074" t="s">
        <v>8048</v>
      </c>
      <c r="E4074" t="s">
        <v>3684</v>
      </c>
      <c r="F4074" t="s">
        <v>10299</v>
      </c>
      <c r="G4074">
        <v>28.7</v>
      </c>
      <c r="H4074" t="s">
        <v>10310</v>
      </c>
      <c r="I4074" t="s">
        <v>10326</v>
      </c>
      <c r="L4074">
        <v>1920</v>
      </c>
      <c r="R4074" t="s">
        <v>11038</v>
      </c>
      <c r="S4074" t="s">
        <v>10310</v>
      </c>
      <c r="U4074" t="s">
        <v>11046</v>
      </c>
      <c r="W4074" s="2" t="s">
        <v>11204</v>
      </c>
    </row>
    <row r="4075" spans="1:23" hidden="1" x14ac:dyDescent="0.45">
      <c r="A4075" s="1" t="s">
        <v>4028</v>
      </c>
      <c r="D4075" t="s">
        <v>8043</v>
      </c>
      <c r="E4075" t="s">
        <v>9635</v>
      </c>
      <c r="F4075" t="s">
        <v>10299</v>
      </c>
      <c r="G4075">
        <v>2.5000000000000001E-2</v>
      </c>
      <c r="H4075" t="s">
        <v>10310</v>
      </c>
      <c r="I4075" t="s">
        <v>10326</v>
      </c>
      <c r="L4075">
        <v>2000</v>
      </c>
      <c r="R4075" t="s">
        <v>11038</v>
      </c>
      <c r="S4075" t="s">
        <v>10310</v>
      </c>
      <c r="U4075" t="s">
        <v>11046</v>
      </c>
      <c r="W4075" s="2" t="s">
        <v>11204</v>
      </c>
    </row>
    <row r="4076" spans="1:23" hidden="1" x14ac:dyDescent="0.45">
      <c r="A4076" s="1" t="s">
        <v>4029</v>
      </c>
      <c r="B4076" t="s">
        <v>6741</v>
      </c>
      <c r="D4076" t="s">
        <v>8056</v>
      </c>
      <c r="E4076" t="s">
        <v>9657</v>
      </c>
      <c r="F4076" t="s">
        <v>10299</v>
      </c>
      <c r="G4076">
        <v>1.6</v>
      </c>
      <c r="H4076" t="s">
        <v>10310</v>
      </c>
      <c r="I4076" t="s">
        <v>10326</v>
      </c>
      <c r="L4076">
        <v>2012</v>
      </c>
      <c r="R4076" t="s">
        <v>11038</v>
      </c>
      <c r="S4076" t="s">
        <v>10310</v>
      </c>
      <c r="U4076" t="s">
        <v>11046</v>
      </c>
      <c r="W4076" s="2" t="s">
        <v>11204</v>
      </c>
    </row>
    <row r="4077" spans="1:23" hidden="1" x14ac:dyDescent="0.45">
      <c r="A4077" s="1" t="s">
        <v>4030</v>
      </c>
      <c r="B4077" t="s">
        <v>6274</v>
      </c>
      <c r="D4077" t="s">
        <v>8041</v>
      </c>
      <c r="E4077" t="s">
        <v>9633</v>
      </c>
      <c r="F4077" t="s">
        <v>10299</v>
      </c>
      <c r="G4077">
        <v>7.5</v>
      </c>
      <c r="H4077" t="s">
        <v>10310</v>
      </c>
      <c r="I4077" t="s">
        <v>10326</v>
      </c>
      <c r="L4077">
        <v>1983</v>
      </c>
      <c r="R4077" t="s">
        <v>11038</v>
      </c>
      <c r="S4077" t="s">
        <v>10310</v>
      </c>
      <c r="U4077" t="s">
        <v>11048</v>
      </c>
      <c r="W4077" s="2" t="s">
        <v>11204</v>
      </c>
    </row>
    <row r="4078" spans="1:23" hidden="1" x14ac:dyDescent="0.45">
      <c r="A4078" s="1" t="s">
        <v>4031</v>
      </c>
      <c r="B4078" t="s">
        <v>6742</v>
      </c>
      <c r="D4078" t="s">
        <v>8040</v>
      </c>
      <c r="E4078" t="s">
        <v>9733</v>
      </c>
      <c r="F4078" t="s">
        <v>10299</v>
      </c>
      <c r="G4078">
        <v>0.11</v>
      </c>
      <c r="H4078" t="s">
        <v>10310</v>
      </c>
      <c r="I4078" t="s">
        <v>10326</v>
      </c>
      <c r="L4078">
        <v>2008</v>
      </c>
      <c r="R4078" t="s">
        <v>11038</v>
      </c>
      <c r="S4078" t="s">
        <v>10310</v>
      </c>
      <c r="U4078" t="s">
        <v>11048</v>
      </c>
      <c r="W4078" s="2" t="s">
        <v>11204</v>
      </c>
    </row>
    <row r="4079" spans="1:23" hidden="1" x14ac:dyDescent="0.45">
      <c r="A4079" s="1" t="s">
        <v>4032</v>
      </c>
      <c r="B4079" t="s">
        <v>6743</v>
      </c>
      <c r="D4079" t="s">
        <v>8070</v>
      </c>
      <c r="E4079" t="s">
        <v>4102</v>
      </c>
      <c r="F4079" t="s">
        <v>10299</v>
      </c>
      <c r="G4079">
        <v>0.21</v>
      </c>
      <c r="H4079" t="s">
        <v>10310</v>
      </c>
      <c r="I4079" t="s">
        <v>10326</v>
      </c>
      <c r="L4079">
        <v>2007</v>
      </c>
      <c r="R4079" t="s">
        <v>11038</v>
      </c>
      <c r="S4079" t="s">
        <v>10310</v>
      </c>
      <c r="U4079" t="s">
        <v>11048</v>
      </c>
      <c r="W4079" s="2" t="s">
        <v>11204</v>
      </c>
    </row>
    <row r="4080" spans="1:23" hidden="1" x14ac:dyDescent="0.45">
      <c r="A4080" s="1" t="s">
        <v>4033</v>
      </c>
      <c r="B4080" t="s">
        <v>6445</v>
      </c>
      <c r="D4080" t="s">
        <v>7777</v>
      </c>
      <c r="E4080" t="s">
        <v>9842</v>
      </c>
      <c r="F4080" t="s">
        <v>10299</v>
      </c>
      <c r="G4080">
        <v>1.1000000000000001</v>
      </c>
      <c r="H4080" t="s">
        <v>10310</v>
      </c>
      <c r="I4080" t="s">
        <v>10326</v>
      </c>
      <c r="L4080">
        <v>1957</v>
      </c>
      <c r="R4080" t="s">
        <v>11038</v>
      </c>
      <c r="S4080" t="s">
        <v>10310</v>
      </c>
      <c r="U4080" t="s">
        <v>11048</v>
      </c>
      <c r="W4080" s="2" t="s">
        <v>11204</v>
      </c>
    </row>
    <row r="4081" spans="1:23" hidden="1" x14ac:dyDescent="0.45">
      <c r="A4081" s="1" t="s">
        <v>4034</v>
      </c>
      <c r="B4081" t="s">
        <v>6374</v>
      </c>
      <c r="D4081" t="s">
        <v>8042</v>
      </c>
      <c r="E4081" t="s">
        <v>9634</v>
      </c>
      <c r="F4081" t="s">
        <v>10299</v>
      </c>
      <c r="G4081">
        <v>2</v>
      </c>
      <c r="H4081" t="s">
        <v>10310</v>
      </c>
      <c r="I4081" t="s">
        <v>10326</v>
      </c>
      <c r="L4081">
        <v>2006</v>
      </c>
      <c r="R4081" t="s">
        <v>11038</v>
      </c>
      <c r="S4081" t="s">
        <v>10310</v>
      </c>
      <c r="U4081" t="s">
        <v>11048</v>
      </c>
      <c r="W4081" s="2" t="s">
        <v>11204</v>
      </c>
    </row>
    <row r="4082" spans="1:23" hidden="1" x14ac:dyDescent="0.45">
      <c r="A4082" s="1" t="s">
        <v>4035</v>
      </c>
      <c r="B4082" t="s">
        <v>6744</v>
      </c>
      <c r="D4082" t="s">
        <v>8084</v>
      </c>
      <c r="E4082" t="s">
        <v>9827</v>
      </c>
      <c r="F4082" t="s">
        <v>10299</v>
      </c>
      <c r="G4082">
        <v>0.14399999999999999</v>
      </c>
      <c r="H4082" t="s">
        <v>10310</v>
      </c>
      <c r="I4082" t="s">
        <v>10326</v>
      </c>
      <c r="L4082">
        <v>2008</v>
      </c>
      <c r="R4082" t="s">
        <v>11038</v>
      </c>
      <c r="S4082" t="s">
        <v>10310</v>
      </c>
      <c r="U4082" t="s">
        <v>11050</v>
      </c>
      <c r="W4082" s="2" t="s">
        <v>11204</v>
      </c>
    </row>
    <row r="4083" spans="1:23" hidden="1" x14ac:dyDescent="0.45">
      <c r="A4083" s="1" t="s">
        <v>4036</v>
      </c>
      <c r="B4083" t="s">
        <v>6274</v>
      </c>
      <c r="D4083" t="s">
        <v>7986</v>
      </c>
      <c r="E4083" t="s">
        <v>9648</v>
      </c>
      <c r="F4083" t="s">
        <v>10299</v>
      </c>
      <c r="G4083">
        <v>2.34</v>
      </c>
      <c r="H4083" t="s">
        <v>10310</v>
      </c>
      <c r="I4083" t="s">
        <v>10326</v>
      </c>
      <c r="L4083">
        <v>2007</v>
      </c>
      <c r="R4083" t="s">
        <v>11038</v>
      </c>
      <c r="S4083" t="s">
        <v>10310</v>
      </c>
      <c r="U4083" t="s">
        <v>11047</v>
      </c>
      <c r="W4083" s="2" t="s">
        <v>11204</v>
      </c>
    </row>
    <row r="4084" spans="1:23" hidden="1" x14ac:dyDescent="0.45">
      <c r="A4084" s="1" t="s">
        <v>4037</v>
      </c>
      <c r="B4084" t="s">
        <v>6745</v>
      </c>
      <c r="D4084" t="s">
        <v>7986</v>
      </c>
      <c r="E4084" t="s">
        <v>9648</v>
      </c>
      <c r="F4084" t="s">
        <v>10299</v>
      </c>
      <c r="G4084">
        <v>4.63</v>
      </c>
      <c r="H4084" t="s">
        <v>10310</v>
      </c>
      <c r="I4084" t="s">
        <v>10326</v>
      </c>
      <c r="L4084">
        <v>2006</v>
      </c>
      <c r="R4084" t="s">
        <v>11038</v>
      </c>
      <c r="S4084" t="s">
        <v>10310</v>
      </c>
      <c r="U4084" t="s">
        <v>11047</v>
      </c>
      <c r="W4084" s="2" t="s">
        <v>11204</v>
      </c>
    </row>
    <row r="4085" spans="1:23" hidden="1" x14ac:dyDescent="0.45">
      <c r="A4085" s="1" t="s">
        <v>4038</v>
      </c>
      <c r="B4085" t="s">
        <v>6746</v>
      </c>
      <c r="D4085" t="s">
        <v>8031</v>
      </c>
      <c r="E4085" t="s">
        <v>9793</v>
      </c>
      <c r="F4085" t="s">
        <v>10299</v>
      </c>
      <c r="G4085">
        <v>1.2</v>
      </c>
      <c r="H4085" t="s">
        <v>10310</v>
      </c>
      <c r="I4085" t="s">
        <v>10326</v>
      </c>
      <c r="L4085">
        <v>2006</v>
      </c>
      <c r="R4085" t="s">
        <v>11038</v>
      </c>
      <c r="S4085" t="s">
        <v>10310</v>
      </c>
      <c r="U4085" t="s">
        <v>11046</v>
      </c>
      <c r="W4085" s="2" t="s">
        <v>11204</v>
      </c>
    </row>
    <row r="4086" spans="1:23" hidden="1" x14ac:dyDescent="0.45">
      <c r="A4086" s="1" t="s">
        <v>4039</v>
      </c>
      <c r="B4086" t="s">
        <v>6274</v>
      </c>
      <c r="D4086" t="s">
        <v>8076</v>
      </c>
      <c r="E4086" t="s">
        <v>9719</v>
      </c>
      <c r="F4086" t="s">
        <v>10299</v>
      </c>
      <c r="G4086">
        <v>206</v>
      </c>
      <c r="H4086" t="s">
        <v>10310</v>
      </c>
      <c r="I4086" t="s">
        <v>10326</v>
      </c>
      <c r="L4086">
        <v>1928</v>
      </c>
      <c r="R4086" t="s">
        <v>11038</v>
      </c>
      <c r="S4086" t="s">
        <v>10310</v>
      </c>
      <c r="U4086" t="s">
        <v>11049</v>
      </c>
      <c r="W4086" s="2" t="s">
        <v>11204</v>
      </c>
    </row>
    <row r="4087" spans="1:23" hidden="1" x14ac:dyDescent="0.45">
      <c r="A4087" s="1" t="s">
        <v>4040</v>
      </c>
      <c r="B4087" t="s">
        <v>6274</v>
      </c>
      <c r="D4087" t="s">
        <v>8076</v>
      </c>
      <c r="E4087" t="s">
        <v>9719</v>
      </c>
      <c r="F4087" t="s">
        <v>10299</v>
      </c>
      <c r="G4087">
        <v>52</v>
      </c>
      <c r="H4087" t="s">
        <v>10310</v>
      </c>
      <c r="I4087" t="s">
        <v>10326</v>
      </c>
      <c r="L4087">
        <v>1946</v>
      </c>
      <c r="R4087" t="s">
        <v>11038</v>
      </c>
      <c r="S4087" t="s">
        <v>10310</v>
      </c>
      <c r="U4087" t="s">
        <v>11050</v>
      </c>
      <c r="W4087" s="2" t="s">
        <v>11204</v>
      </c>
    </row>
    <row r="4088" spans="1:23" hidden="1" x14ac:dyDescent="0.45">
      <c r="A4088" s="1" t="s">
        <v>4041</v>
      </c>
      <c r="D4088" t="s">
        <v>8037</v>
      </c>
      <c r="E4088" t="s">
        <v>9629</v>
      </c>
      <c r="F4088" t="s">
        <v>10299</v>
      </c>
      <c r="G4088">
        <v>2.4E-2</v>
      </c>
      <c r="H4088" t="s">
        <v>10310</v>
      </c>
      <c r="I4088" t="s">
        <v>10326</v>
      </c>
      <c r="L4088">
        <v>1997</v>
      </c>
      <c r="R4088" t="s">
        <v>11038</v>
      </c>
      <c r="S4088" t="s">
        <v>10310</v>
      </c>
      <c r="U4088" t="s">
        <v>11047</v>
      </c>
      <c r="W4088" s="2" t="s">
        <v>11204</v>
      </c>
    </row>
    <row r="4089" spans="1:23" hidden="1" x14ac:dyDescent="0.45">
      <c r="A4089" s="1" t="s">
        <v>4042</v>
      </c>
      <c r="B4089" t="s">
        <v>6747</v>
      </c>
      <c r="D4089" t="s">
        <v>8072</v>
      </c>
      <c r="E4089" t="s">
        <v>9700</v>
      </c>
      <c r="F4089" t="s">
        <v>10299</v>
      </c>
      <c r="G4089">
        <v>0.01</v>
      </c>
      <c r="H4089" t="s">
        <v>10310</v>
      </c>
      <c r="I4089" t="s">
        <v>10326</v>
      </c>
      <c r="L4089">
        <v>2017</v>
      </c>
      <c r="R4089" t="s">
        <v>11038</v>
      </c>
      <c r="S4089" t="s">
        <v>10310</v>
      </c>
      <c r="U4089" t="s">
        <v>11049</v>
      </c>
      <c r="W4089" s="2" t="s">
        <v>11204</v>
      </c>
    </row>
    <row r="4090" spans="1:23" hidden="1" x14ac:dyDescent="0.45">
      <c r="A4090" s="1" t="s">
        <v>4043</v>
      </c>
      <c r="B4090" t="s">
        <v>6434</v>
      </c>
      <c r="D4090" t="s">
        <v>8048</v>
      </c>
      <c r="E4090" t="s">
        <v>9642</v>
      </c>
      <c r="F4090" t="s">
        <v>10299</v>
      </c>
      <c r="G4090">
        <v>40</v>
      </c>
      <c r="H4090" t="s">
        <v>10310</v>
      </c>
      <c r="I4090" t="s">
        <v>10326</v>
      </c>
      <c r="L4090">
        <v>1967</v>
      </c>
      <c r="R4090" t="s">
        <v>11038</v>
      </c>
      <c r="S4090" t="s">
        <v>10310</v>
      </c>
      <c r="U4090" t="s">
        <v>11046</v>
      </c>
      <c r="W4090" s="2" t="s">
        <v>11204</v>
      </c>
    </row>
    <row r="4091" spans="1:23" hidden="1" x14ac:dyDescent="0.45">
      <c r="A4091" s="1" t="s">
        <v>4044</v>
      </c>
      <c r="B4091" t="s">
        <v>6392</v>
      </c>
      <c r="D4091" t="s">
        <v>8052</v>
      </c>
      <c r="E4091" t="s">
        <v>9650</v>
      </c>
      <c r="F4091" t="s">
        <v>10299</v>
      </c>
      <c r="G4091">
        <v>0.315</v>
      </c>
      <c r="H4091" t="s">
        <v>10310</v>
      </c>
      <c r="I4091" t="s">
        <v>10326</v>
      </c>
      <c r="L4091">
        <v>1949</v>
      </c>
      <c r="R4091" t="s">
        <v>11038</v>
      </c>
      <c r="S4091" t="s">
        <v>10310</v>
      </c>
      <c r="U4091" t="s">
        <v>11047</v>
      </c>
      <c r="W4091" s="2" t="s">
        <v>11204</v>
      </c>
    </row>
    <row r="4092" spans="1:23" hidden="1" x14ac:dyDescent="0.45">
      <c r="A4092" s="1" t="s">
        <v>4045</v>
      </c>
      <c r="B4092" t="s">
        <v>6656</v>
      </c>
      <c r="D4092" t="s">
        <v>8041</v>
      </c>
      <c r="E4092" t="s">
        <v>9764</v>
      </c>
      <c r="F4092" t="s">
        <v>10299</v>
      </c>
      <c r="G4092">
        <v>3</v>
      </c>
      <c r="H4092" t="s">
        <v>10310</v>
      </c>
      <c r="I4092" t="s">
        <v>10326</v>
      </c>
      <c r="L4092">
        <v>1911</v>
      </c>
      <c r="R4092" t="s">
        <v>11038</v>
      </c>
      <c r="S4092" t="s">
        <v>10310</v>
      </c>
      <c r="U4092" t="s">
        <v>11050</v>
      </c>
      <c r="W4092" s="2" t="s">
        <v>11204</v>
      </c>
    </row>
    <row r="4093" spans="1:23" hidden="1" x14ac:dyDescent="0.45">
      <c r="A4093" s="1" t="s">
        <v>4046</v>
      </c>
      <c r="B4093" t="s">
        <v>6281</v>
      </c>
      <c r="D4093" t="s">
        <v>8053</v>
      </c>
      <c r="E4093" t="s">
        <v>9743</v>
      </c>
      <c r="F4093" t="s">
        <v>10299</v>
      </c>
      <c r="G4093">
        <v>3.6</v>
      </c>
      <c r="H4093" t="s">
        <v>10310</v>
      </c>
      <c r="I4093" t="s">
        <v>10326</v>
      </c>
      <c r="L4093">
        <v>2016</v>
      </c>
      <c r="R4093" t="s">
        <v>11038</v>
      </c>
      <c r="S4093" t="s">
        <v>10310</v>
      </c>
      <c r="U4093" t="s">
        <v>11049</v>
      </c>
      <c r="W4093" s="2" t="s">
        <v>11204</v>
      </c>
    </row>
    <row r="4094" spans="1:23" hidden="1" x14ac:dyDescent="0.45">
      <c r="A4094" s="1" t="s">
        <v>4047</v>
      </c>
      <c r="B4094" t="s">
        <v>6748</v>
      </c>
      <c r="D4094" t="s">
        <v>8037</v>
      </c>
      <c r="E4094" t="s">
        <v>9629</v>
      </c>
      <c r="F4094" t="s">
        <v>10299</v>
      </c>
      <c r="G4094">
        <v>1.44</v>
      </c>
      <c r="H4094" t="s">
        <v>10310</v>
      </c>
      <c r="I4094" t="s">
        <v>10326</v>
      </c>
      <c r="L4094">
        <v>2005</v>
      </c>
      <c r="R4094" t="s">
        <v>11038</v>
      </c>
      <c r="S4094" t="s">
        <v>10310</v>
      </c>
      <c r="U4094" t="s">
        <v>11047</v>
      </c>
      <c r="W4094" s="2" t="s">
        <v>11204</v>
      </c>
    </row>
    <row r="4095" spans="1:23" hidden="1" x14ac:dyDescent="0.45">
      <c r="A4095" s="1" t="s">
        <v>4048</v>
      </c>
      <c r="B4095" t="s">
        <v>6546</v>
      </c>
      <c r="D4095" t="s">
        <v>8037</v>
      </c>
      <c r="E4095" t="s">
        <v>9629</v>
      </c>
      <c r="F4095" t="s">
        <v>10299</v>
      </c>
      <c r="G4095">
        <v>5.25</v>
      </c>
      <c r="H4095" t="s">
        <v>10310</v>
      </c>
      <c r="I4095" t="s">
        <v>10326</v>
      </c>
      <c r="L4095">
        <v>2011</v>
      </c>
      <c r="R4095" t="s">
        <v>11038</v>
      </c>
      <c r="S4095" t="s">
        <v>10310</v>
      </c>
      <c r="U4095" t="s">
        <v>11047</v>
      </c>
      <c r="W4095" s="2" t="s">
        <v>11204</v>
      </c>
    </row>
    <row r="4096" spans="1:23" hidden="1" x14ac:dyDescent="0.45">
      <c r="A4096" s="1" t="s">
        <v>4049</v>
      </c>
      <c r="B4096" t="s">
        <v>6749</v>
      </c>
      <c r="D4096" t="s">
        <v>8027</v>
      </c>
      <c r="E4096" t="s">
        <v>9718</v>
      </c>
      <c r="F4096" t="s">
        <v>10299</v>
      </c>
      <c r="G4096">
        <v>9</v>
      </c>
      <c r="H4096" t="s">
        <v>10310</v>
      </c>
      <c r="I4096" t="s">
        <v>10326</v>
      </c>
      <c r="L4096">
        <v>2019</v>
      </c>
      <c r="R4096" t="s">
        <v>11038</v>
      </c>
      <c r="S4096" t="s">
        <v>10310</v>
      </c>
      <c r="U4096" t="s">
        <v>11046</v>
      </c>
      <c r="W4096" s="2" t="s">
        <v>11204</v>
      </c>
    </row>
    <row r="4097" spans="1:23" hidden="1" x14ac:dyDescent="0.45">
      <c r="A4097" s="1" t="s">
        <v>4050</v>
      </c>
      <c r="B4097" t="s">
        <v>6310</v>
      </c>
      <c r="D4097" t="s">
        <v>8042</v>
      </c>
      <c r="E4097" t="s">
        <v>1588</v>
      </c>
      <c r="F4097" t="s">
        <v>10299</v>
      </c>
      <c r="G4097">
        <v>23.2</v>
      </c>
      <c r="H4097" t="s">
        <v>10310</v>
      </c>
      <c r="I4097" t="s">
        <v>10326</v>
      </c>
      <c r="L4097">
        <v>1949</v>
      </c>
      <c r="R4097" t="s">
        <v>11038</v>
      </c>
      <c r="S4097" t="s">
        <v>10310</v>
      </c>
      <c r="U4097" t="s">
        <v>11047</v>
      </c>
      <c r="W4097" s="2" t="s">
        <v>11204</v>
      </c>
    </row>
    <row r="4098" spans="1:23" hidden="1" x14ac:dyDescent="0.45">
      <c r="A4098" s="1" t="s">
        <v>4051</v>
      </c>
      <c r="B4098" t="s">
        <v>6378</v>
      </c>
      <c r="D4098" t="s">
        <v>8072</v>
      </c>
      <c r="E4098" t="s">
        <v>9700</v>
      </c>
      <c r="F4098" t="s">
        <v>10299</v>
      </c>
      <c r="G4098">
        <v>56</v>
      </c>
      <c r="H4098" t="s">
        <v>10310</v>
      </c>
      <c r="I4098" t="s">
        <v>10324</v>
      </c>
      <c r="L4098">
        <v>2005</v>
      </c>
      <c r="R4098" t="s">
        <v>11038</v>
      </c>
      <c r="S4098" t="s">
        <v>10310</v>
      </c>
      <c r="U4098" t="s">
        <v>11049</v>
      </c>
      <c r="W4098" s="2" t="s">
        <v>11204</v>
      </c>
    </row>
    <row r="4099" spans="1:23" hidden="1" x14ac:dyDescent="0.45">
      <c r="A4099" s="1" t="s">
        <v>4052</v>
      </c>
      <c r="B4099" t="s">
        <v>6595</v>
      </c>
      <c r="D4099" t="s">
        <v>8041</v>
      </c>
      <c r="E4099" t="s">
        <v>9633</v>
      </c>
      <c r="F4099" t="s">
        <v>10299</v>
      </c>
      <c r="G4099">
        <v>25</v>
      </c>
      <c r="H4099" t="s">
        <v>10310</v>
      </c>
      <c r="I4099" t="s">
        <v>10326</v>
      </c>
      <c r="L4099">
        <v>1932</v>
      </c>
      <c r="R4099" t="s">
        <v>11038</v>
      </c>
      <c r="S4099" t="s">
        <v>10310</v>
      </c>
      <c r="U4099" t="s">
        <v>11048</v>
      </c>
      <c r="W4099" s="2" t="s">
        <v>11204</v>
      </c>
    </row>
    <row r="4100" spans="1:23" hidden="1" x14ac:dyDescent="0.45">
      <c r="A4100" s="1" t="s">
        <v>4053</v>
      </c>
      <c r="B4100" t="s">
        <v>6336</v>
      </c>
      <c r="D4100" t="s">
        <v>8082</v>
      </c>
      <c r="E4100" t="s">
        <v>9756</v>
      </c>
      <c r="F4100" t="s">
        <v>10299</v>
      </c>
      <c r="G4100">
        <v>5</v>
      </c>
      <c r="H4100" t="s">
        <v>10310</v>
      </c>
      <c r="I4100" t="s">
        <v>10326</v>
      </c>
      <c r="L4100">
        <v>1988</v>
      </c>
      <c r="R4100" t="s">
        <v>11038</v>
      </c>
      <c r="S4100" t="s">
        <v>10310</v>
      </c>
      <c r="U4100" t="s">
        <v>11049</v>
      </c>
      <c r="W4100" s="2" t="s">
        <v>11204</v>
      </c>
    </row>
    <row r="4101" spans="1:23" hidden="1" x14ac:dyDescent="0.45">
      <c r="A4101" s="1" t="s">
        <v>4054</v>
      </c>
      <c r="D4101" t="s">
        <v>8074</v>
      </c>
      <c r="E4101" t="s">
        <v>9703</v>
      </c>
      <c r="F4101" t="s">
        <v>10299</v>
      </c>
      <c r="G4101">
        <v>2.1999999999999999E-2</v>
      </c>
      <c r="H4101" t="s">
        <v>10310</v>
      </c>
      <c r="I4101" t="s">
        <v>10326</v>
      </c>
      <c r="L4101">
        <v>1999</v>
      </c>
      <c r="R4101" t="s">
        <v>11038</v>
      </c>
      <c r="S4101" t="s">
        <v>10310</v>
      </c>
      <c r="U4101" t="s">
        <v>11047</v>
      </c>
      <c r="W4101" s="2" t="s">
        <v>11204</v>
      </c>
    </row>
    <row r="4102" spans="1:23" hidden="1" x14ac:dyDescent="0.45">
      <c r="A4102" s="1" t="s">
        <v>4055</v>
      </c>
      <c r="B4102" t="s">
        <v>6281</v>
      </c>
      <c r="D4102" t="s">
        <v>8082</v>
      </c>
      <c r="E4102" t="s">
        <v>9771</v>
      </c>
      <c r="F4102" t="s">
        <v>10299</v>
      </c>
      <c r="G4102">
        <v>2.1</v>
      </c>
      <c r="H4102" t="s">
        <v>10310</v>
      </c>
      <c r="I4102" t="s">
        <v>10326</v>
      </c>
      <c r="L4102">
        <v>2015</v>
      </c>
      <c r="R4102" t="s">
        <v>11038</v>
      </c>
      <c r="S4102" t="s">
        <v>10310</v>
      </c>
      <c r="U4102" t="s">
        <v>11048</v>
      </c>
      <c r="W4102" s="2" t="s">
        <v>11204</v>
      </c>
    </row>
    <row r="4103" spans="1:23" hidden="1" x14ac:dyDescent="0.45">
      <c r="A4103" s="1" t="s">
        <v>4056</v>
      </c>
      <c r="B4103" t="s">
        <v>6750</v>
      </c>
      <c r="D4103" t="s">
        <v>8064</v>
      </c>
      <c r="E4103" t="s">
        <v>9821</v>
      </c>
      <c r="F4103" t="s">
        <v>10299</v>
      </c>
      <c r="G4103">
        <v>0.2</v>
      </c>
      <c r="H4103" t="s">
        <v>10310</v>
      </c>
      <c r="I4103" t="s">
        <v>10326</v>
      </c>
      <c r="L4103">
        <v>2004</v>
      </c>
      <c r="R4103" t="s">
        <v>11038</v>
      </c>
      <c r="S4103" t="s">
        <v>10310</v>
      </c>
      <c r="U4103" t="s">
        <v>11047</v>
      </c>
      <c r="W4103" s="2" t="s">
        <v>11204</v>
      </c>
    </row>
    <row r="4104" spans="1:23" hidden="1" x14ac:dyDescent="0.45">
      <c r="A4104" s="1" t="s">
        <v>4057</v>
      </c>
      <c r="B4104" t="s">
        <v>6751</v>
      </c>
      <c r="D4104" t="s">
        <v>8031</v>
      </c>
      <c r="E4104" t="s">
        <v>9773</v>
      </c>
      <c r="F4104" t="s">
        <v>10299</v>
      </c>
      <c r="G4104">
        <v>7.4999999999999997E-2</v>
      </c>
      <c r="H4104" t="s">
        <v>10310</v>
      </c>
      <c r="I4104" t="s">
        <v>10326</v>
      </c>
      <c r="L4104">
        <v>2006</v>
      </c>
      <c r="R4104" t="s">
        <v>11038</v>
      </c>
      <c r="S4104" t="s">
        <v>10310</v>
      </c>
      <c r="U4104" t="s">
        <v>11046</v>
      </c>
      <c r="W4104" s="2" t="s">
        <v>11204</v>
      </c>
    </row>
    <row r="4105" spans="1:23" hidden="1" x14ac:dyDescent="0.45">
      <c r="A4105" s="1" t="s">
        <v>4058</v>
      </c>
      <c r="B4105" t="s">
        <v>6752</v>
      </c>
      <c r="D4105" t="s">
        <v>8026</v>
      </c>
      <c r="E4105" t="s">
        <v>9721</v>
      </c>
      <c r="F4105" t="s">
        <v>10299</v>
      </c>
      <c r="G4105">
        <v>1.5</v>
      </c>
      <c r="H4105" t="s">
        <v>10310</v>
      </c>
      <c r="I4105" t="s">
        <v>10326</v>
      </c>
      <c r="L4105">
        <v>2006</v>
      </c>
      <c r="R4105" t="s">
        <v>11038</v>
      </c>
      <c r="S4105" t="s">
        <v>10310</v>
      </c>
      <c r="U4105" t="s">
        <v>11050</v>
      </c>
      <c r="W4105" s="2" t="s">
        <v>11204</v>
      </c>
    </row>
    <row r="4106" spans="1:23" hidden="1" x14ac:dyDescent="0.45">
      <c r="A4106" s="1" t="s">
        <v>4059</v>
      </c>
      <c r="B4106" t="s">
        <v>6753</v>
      </c>
      <c r="D4106" t="s">
        <v>8031</v>
      </c>
      <c r="E4106" t="s">
        <v>9793</v>
      </c>
      <c r="F4106" t="s">
        <v>10299</v>
      </c>
      <c r="G4106">
        <v>9.6000000000000002E-2</v>
      </c>
      <c r="H4106" t="s">
        <v>10310</v>
      </c>
      <c r="I4106" t="s">
        <v>10326</v>
      </c>
      <c r="L4106">
        <v>1997</v>
      </c>
      <c r="R4106" t="s">
        <v>11038</v>
      </c>
      <c r="S4106" t="s">
        <v>10310</v>
      </c>
      <c r="U4106" t="s">
        <v>11046</v>
      </c>
      <c r="W4106" s="2" t="s">
        <v>11204</v>
      </c>
    </row>
    <row r="4107" spans="1:23" hidden="1" x14ac:dyDescent="0.45">
      <c r="A4107" s="1" t="s">
        <v>4060</v>
      </c>
      <c r="B4107" t="s">
        <v>6754</v>
      </c>
      <c r="D4107" t="s">
        <v>8059</v>
      </c>
      <c r="E4107" t="s">
        <v>9761</v>
      </c>
      <c r="F4107" t="s">
        <v>10299</v>
      </c>
      <c r="G4107">
        <v>7.4999999999999997E-2</v>
      </c>
      <c r="H4107" t="s">
        <v>10310</v>
      </c>
      <c r="I4107" t="s">
        <v>10326</v>
      </c>
      <c r="L4107">
        <v>2012</v>
      </c>
      <c r="R4107" t="s">
        <v>11038</v>
      </c>
      <c r="S4107" t="s">
        <v>10310</v>
      </c>
      <c r="U4107" t="s">
        <v>11046</v>
      </c>
      <c r="W4107" s="2" t="s">
        <v>11204</v>
      </c>
    </row>
    <row r="4108" spans="1:23" hidden="1" x14ac:dyDescent="0.45">
      <c r="A4108" s="1" t="s">
        <v>4061</v>
      </c>
      <c r="B4108" t="s">
        <v>6274</v>
      </c>
      <c r="D4108" t="s">
        <v>8029</v>
      </c>
      <c r="E4108" t="s">
        <v>9622</v>
      </c>
      <c r="F4108" t="s">
        <v>10299</v>
      </c>
      <c r="G4108">
        <v>2.2000000000000002</v>
      </c>
      <c r="H4108" t="s">
        <v>10310</v>
      </c>
      <c r="I4108" t="s">
        <v>10326</v>
      </c>
      <c r="L4108">
        <v>2015</v>
      </c>
      <c r="R4108" t="s">
        <v>11038</v>
      </c>
      <c r="S4108" t="s">
        <v>10310</v>
      </c>
      <c r="U4108" t="s">
        <v>11048</v>
      </c>
      <c r="W4108" s="2" t="s">
        <v>11204</v>
      </c>
    </row>
    <row r="4109" spans="1:23" hidden="1" x14ac:dyDescent="0.45">
      <c r="A4109" s="1" t="s">
        <v>4062</v>
      </c>
      <c r="B4109" t="s">
        <v>6281</v>
      </c>
      <c r="D4109" t="s">
        <v>8039</v>
      </c>
      <c r="E4109" t="s">
        <v>9695</v>
      </c>
      <c r="F4109" t="s">
        <v>10299</v>
      </c>
      <c r="G4109">
        <v>3</v>
      </c>
      <c r="H4109" t="s">
        <v>10310</v>
      </c>
      <c r="I4109" t="s">
        <v>10326</v>
      </c>
      <c r="L4109">
        <v>2006</v>
      </c>
      <c r="R4109" t="s">
        <v>11038</v>
      </c>
      <c r="S4109" t="s">
        <v>10310</v>
      </c>
      <c r="U4109" t="s">
        <v>11046</v>
      </c>
      <c r="W4109" s="2" t="s">
        <v>11204</v>
      </c>
    </row>
    <row r="4110" spans="1:23" hidden="1" x14ac:dyDescent="0.45">
      <c r="A4110" s="1" t="s">
        <v>4063</v>
      </c>
      <c r="B4110" t="s">
        <v>6281</v>
      </c>
      <c r="D4110" t="s">
        <v>8039</v>
      </c>
      <c r="E4110" t="s">
        <v>9695</v>
      </c>
      <c r="F4110" t="s">
        <v>10299</v>
      </c>
      <c r="G4110">
        <v>5</v>
      </c>
      <c r="H4110" t="s">
        <v>10310</v>
      </c>
      <c r="I4110" t="s">
        <v>10326</v>
      </c>
      <c r="L4110">
        <v>2007</v>
      </c>
      <c r="R4110" t="s">
        <v>11038</v>
      </c>
      <c r="S4110" t="s">
        <v>10310</v>
      </c>
      <c r="U4110" t="s">
        <v>11046</v>
      </c>
      <c r="W4110" s="2" t="s">
        <v>11204</v>
      </c>
    </row>
    <row r="4111" spans="1:23" hidden="1" x14ac:dyDescent="0.45">
      <c r="A4111" s="1" t="s">
        <v>4064</v>
      </c>
      <c r="B4111" t="s">
        <v>6755</v>
      </c>
      <c r="D4111" t="s">
        <v>8034</v>
      </c>
      <c r="E4111" t="s">
        <v>9627</v>
      </c>
      <c r="F4111" t="s">
        <v>10299</v>
      </c>
      <c r="G4111">
        <v>1.2</v>
      </c>
      <c r="H4111" t="s">
        <v>10310</v>
      </c>
      <c r="I4111" t="s">
        <v>10326</v>
      </c>
      <c r="L4111">
        <v>2011</v>
      </c>
      <c r="R4111" t="s">
        <v>11038</v>
      </c>
      <c r="S4111" t="s">
        <v>10310</v>
      </c>
      <c r="U4111" t="s">
        <v>11046</v>
      </c>
      <c r="W4111" s="2" t="s">
        <v>11204</v>
      </c>
    </row>
    <row r="4112" spans="1:23" hidden="1" x14ac:dyDescent="0.45">
      <c r="A4112" s="1" t="s">
        <v>4065</v>
      </c>
      <c r="B4112" t="s">
        <v>6378</v>
      </c>
      <c r="D4112" t="s">
        <v>8030</v>
      </c>
      <c r="E4112" t="s">
        <v>9623</v>
      </c>
      <c r="F4112" t="s">
        <v>10299</v>
      </c>
      <c r="G4112">
        <v>11</v>
      </c>
      <c r="H4112" t="s">
        <v>10310</v>
      </c>
      <c r="I4112" t="s">
        <v>10326</v>
      </c>
      <c r="L4112">
        <v>1988</v>
      </c>
      <c r="R4112" t="s">
        <v>11038</v>
      </c>
      <c r="S4112" t="s">
        <v>10310</v>
      </c>
      <c r="U4112" t="s">
        <v>11049</v>
      </c>
      <c r="W4112" s="2" t="s">
        <v>11204</v>
      </c>
    </row>
    <row r="4113" spans="1:23" hidden="1" x14ac:dyDescent="0.45">
      <c r="A4113" s="1" t="s">
        <v>4066</v>
      </c>
      <c r="B4113" t="s">
        <v>6756</v>
      </c>
      <c r="D4113" t="s">
        <v>8055</v>
      </c>
      <c r="E4113" t="s">
        <v>3805</v>
      </c>
      <c r="F4113" t="s">
        <v>10299</v>
      </c>
      <c r="G4113">
        <v>0.214</v>
      </c>
      <c r="H4113" t="s">
        <v>10310</v>
      </c>
      <c r="I4113" t="s">
        <v>10326</v>
      </c>
      <c r="L4113">
        <v>2006</v>
      </c>
      <c r="R4113" t="s">
        <v>11038</v>
      </c>
      <c r="S4113" t="s">
        <v>10310</v>
      </c>
      <c r="U4113" t="s">
        <v>11046</v>
      </c>
      <c r="W4113" s="2" t="s">
        <v>11204</v>
      </c>
    </row>
    <row r="4114" spans="1:23" hidden="1" x14ac:dyDescent="0.45">
      <c r="A4114" s="1" t="s">
        <v>4067</v>
      </c>
      <c r="B4114" t="s">
        <v>6274</v>
      </c>
      <c r="D4114" t="s">
        <v>8048</v>
      </c>
      <c r="E4114" t="s">
        <v>9642</v>
      </c>
      <c r="F4114" t="s">
        <v>10299</v>
      </c>
      <c r="G4114">
        <v>206</v>
      </c>
      <c r="H4114" t="s">
        <v>10310</v>
      </c>
      <c r="I4114" t="s">
        <v>10326</v>
      </c>
      <c r="L4114">
        <v>1980</v>
      </c>
      <c r="R4114" t="s">
        <v>11038</v>
      </c>
      <c r="S4114" t="s">
        <v>10310</v>
      </c>
      <c r="U4114" t="s">
        <v>11046</v>
      </c>
      <c r="W4114" s="2" t="s">
        <v>11204</v>
      </c>
    </row>
    <row r="4115" spans="1:23" hidden="1" x14ac:dyDescent="0.45">
      <c r="A4115" s="1" t="s">
        <v>4068</v>
      </c>
      <c r="D4115" t="s">
        <v>8055</v>
      </c>
      <c r="E4115" t="s">
        <v>9702</v>
      </c>
      <c r="F4115" t="s">
        <v>10299</v>
      </c>
      <c r="G4115">
        <v>0.02</v>
      </c>
      <c r="H4115" t="s">
        <v>10310</v>
      </c>
      <c r="I4115" t="s">
        <v>10326</v>
      </c>
      <c r="L4115">
        <v>1981</v>
      </c>
      <c r="R4115" t="s">
        <v>11038</v>
      </c>
      <c r="S4115" t="s">
        <v>10310</v>
      </c>
      <c r="U4115" t="s">
        <v>11047</v>
      </c>
      <c r="W4115" s="2" t="s">
        <v>11204</v>
      </c>
    </row>
    <row r="4116" spans="1:23" hidden="1" x14ac:dyDescent="0.45">
      <c r="A4116" s="1" t="s">
        <v>4069</v>
      </c>
      <c r="B4116" t="s">
        <v>6374</v>
      </c>
      <c r="D4116" t="s">
        <v>8067</v>
      </c>
      <c r="E4116" t="s">
        <v>9739</v>
      </c>
      <c r="F4116" t="s">
        <v>10299</v>
      </c>
      <c r="G4116">
        <v>15</v>
      </c>
      <c r="H4116" t="s">
        <v>10310</v>
      </c>
      <c r="I4116" t="s">
        <v>10326</v>
      </c>
      <c r="L4116">
        <v>1953</v>
      </c>
      <c r="R4116" t="s">
        <v>11038</v>
      </c>
      <c r="S4116" t="s">
        <v>10310</v>
      </c>
      <c r="U4116" t="s">
        <v>11048</v>
      </c>
      <c r="W4116" s="2" t="s">
        <v>11204</v>
      </c>
    </row>
    <row r="4117" spans="1:23" hidden="1" x14ac:dyDescent="0.45">
      <c r="A4117" s="1" t="s">
        <v>4070</v>
      </c>
      <c r="B4117" t="s">
        <v>6757</v>
      </c>
      <c r="D4117" t="s">
        <v>8050</v>
      </c>
      <c r="E4117" t="s">
        <v>9774</v>
      </c>
      <c r="F4117" t="s">
        <v>10299</v>
      </c>
      <c r="G4117">
        <v>1.4999999999999999E-2</v>
      </c>
      <c r="H4117" t="s">
        <v>10310</v>
      </c>
      <c r="I4117" t="s">
        <v>10326</v>
      </c>
      <c r="L4117">
        <v>2004</v>
      </c>
      <c r="R4117" t="s">
        <v>11038</v>
      </c>
      <c r="S4117" t="s">
        <v>10310</v>
      </c>
      <c r="U4117" t="s">
        <v>11050</v>
      </c>
      <c r="W4117" s="2" t="s">
        <v>11204</v>
      </c>
    </row>
    <row r="4118" spans="1:23" hidden="1" x14ac:dyDescent="0.45">
      <c r="A4118" s="1" t="s">
        <v>4071</v>
      </c>
      <c r="B4118" t="s">
        <v>6346</v>
      </c>
      <c r="D4118" t="s">
        <v>8056</v>
      </c>
      <c r="E4118" t="s">
        <v>3440</v>
      </c>
      <c r="F4118" t="s">
        <v>10299</v>
      </c>
      <c r="G4118">
        <v>9.3000000000000007</v>
      </c>
      <c r="H4118" t="s">
        <v>10310</v>
      </c>
      <c r="I4118" t="s">
        <v>10326</v>
      </c>
      <c r="L4118">
        <v>1909</v>
      </c>
      <c r="R4118" t="s">
        <v>11038</v>
      </c>
      <c r="S4118" t="s">
        <v>10310</v>
      </c>
      <c r="U4118" t="s">
        <v>11046</v>
      </c>
      <c r="W4118" s="2" t="s">
        <v>11204</v>
      </c>
    </row>
    <row r="4119" spans="1:23" hidden="1" x14ac:dyDescent="0.45">
      <c r="A4119" s="1" t="s">
        <v>4072</v>
      </c>
      <c r="B4119" t="s">
        <v>6346</v>
      </c>
      <c r="D4119" t="s">
        <v>8056</v>
      </c>
      <c r="E4119" t="s">
        <v>3440</v>
      </c>
      <c r="F4119" t="s">
        <v>10299</v>
      </c>
      <c r="G4119">
        <v>5</v>
      </c>
      <c r="H4119" t="s">
        <v>10310</v>
      </c>
      <c r="I4119" t="s">
        <v>10326</v>
      </c>
      <c r="L4119">
        <v>1935</v>
      </c>
      <c r="R4119" t="s">
        <v>11038</v>
      </c>
      <c r="S4119" t="s">
        <v>10310</v>
      </c>
      <c r="U4119" t="s">
        <v>11046</v>
      </c>
      <c r="W4119" s="2" t="s">
        <v>11204</v>
      </c>
    </row>
    <row r="4120" spans="1:23" hidden="1" x14ac:dyDescent="0.45">
      <c r="A4120" s="1" t="s">
        <v>4073</v>
      </c>
      <c r="B4120" t="s">
        <v>6758</v>
      </c>
      <c r="D4120" t="s">
        <v>8056</v>
      </c>
      <c r="E4120" t="s">
        <v>9669</v>
      </c>
      <c r="F4120" t="s">
        <v>10299</v>
      </c>
      <c r="G4120">
        <v>1.4</v>
      </c>
      <c r="H4120" t="s">
        <v>10310</v>
      </c>
      <c r="I4120" t="s">
        <v>10326</v>
      </c>
      <c r="L4120">
        <v>2011</v>
      </c>
      <c r="R4120" t="s">
        <v>11038</v>
      </c>
      <c r="S4120" t="s">
        <v>10310</v>
      </c>
      <c r="U4120" t="s">
        <v>11049</v>
      </c>
      <c r="W4120" s="2" t="s">
        <v>11204</v>
      </c>
    </row>
    <row r="4121" spans="1:23" hidden="1" x14ac:dyDescent="0.45">
      <c r="A4121" s="1" t="s">
        <v>4074</v>
      </c>
      <c r="B4121" t="s">
        <v>6648</v>
      </c>
      <c r="D4121" t="s">
        <v>8051</v>
      </c>
      <c r="E4121" t="s">
        <v>9817</v>
      </c>
      <c r="F4121" t="s">
        <v>10299</v>
      </c>
      <c r="G4121">
        <v>1.2</v>
      </c>
      <c r="H4121" t="s">
        <v>10310</v>
      </c>
      <c r="I4121" t="s">
        <v>10326</v>
      </c>
      <c r="L4121">
        <v>2008</v>
      </c>
      <c r="R4121" t="s">
        <v>11038</v>
      </c>
      <c r="S4121" t="s">
        <v>10310</v>
      </c>
      <c r="U4121" t="s">
        <v>11050</v>
      </c>
      <c r="W4121" s="2" t="s">
        <v>11204</v>
      </c>
    </row>
    <row r="4122" spans="1:23" hidden="1" x14ac:dyDescent="0.45">
      <c r="A4122" s="1" t="s">
        <v>4075</v>
      </c>
      <c r="B4122" t="s">
        <v>6289</v>
      </c>
      <c r="D4122" t="s">
        <v>8041</v>
      </c>
      <c r="E4122" t="s">
        <v>9687</v>
      </c>
      <c r="F4122" t="s">
        <v>10299</v>
      </c>
      <c r="G4122">
        <v>40</v>
      </c>
      <c r="H4122" t="s">
        <v>10310</v>
      </c>
      <c r="I4122" t="s">
        <v>10326</v>
      </c>
      <c r="L4122">
        <v>1988</v>
      </c>
      <c r="R4122" t="s">
        <v>11038</v>
      </c>
      <c r="S4122" t="s">
        <v>10310</v>
      </c>
      <c r="U4122" t="s">
        <v>11047</v>
      </c>
      <c r="W4122" s="2" t="s">
        <v>11204</v>
      </c>
    </row>
    <row r="4123" spans="1:23" hidden="1" x14ac:dyDescent="0.45">
      <c r="A4123" s="1" t="s">
        <v>4076</v>
      </c>
      <c r="B4123" t="s">
        <v>6281</v>
      </c>
      <c r="D4123" t="s">
        <v>8029</v>
      </c>
      <c r="E4123" t="s">
        <v>9661</v>
      </c>
      <c r="F4123" t="s">
        <v>10299</v>
      </c>
      <c r="G4123">
        <v>1.2</v>
      </c>
      <c r="H4123" t="s">
        <v>10310</v>
      </c>
      <c r="I4123" t="s">
        <v>10326</v>
      </c>
      <c r="L4123">
        <v>2004</v>
      </c>
      <c r="R4123" t="s">
        <v>11038</v>
      </c>
      <c r="S4123" t="s">
        <v>10310</v>
      </c>
      <c r="U4123" t="s">
        <v>11049</v>
      </c>
      <c r="W4123" s="2" t="s">
        <v>11204</v>
      </c>
    </row>
    <row r="4124" spans="1:23" hidden="1" x14ac:dyDescent="0.45">
      <c r="A4124" s="1" t="s">
        <v>4077</v>
      </c>
      <c r="D4124" t="s">
        <v>8029</v>
      </c>
      <c r="E4124" t="s">
        <v>9661</v>
      </c>
      <c r="F4124" t="s">
        <v>10299</v>
      </c>
      <c r="G4124">
        <v>3.7000000000000012E-2</v>
      </c>
      <c r="H4124" t="s">
        <v>10310</v>
      </c>
      <c r="I4124" t="s">
        <v>10326</v>
      </c>
      <c r="L4124">
        <v>1999</v>
      </c>
      <c r="R4124" t="s">
        <v>11038</v>
      </c>
      <c r="S4124" t="s">
        <v>10310</v>
      </c>
      <c r="U4124" t="s">
        <v>11049</v>
      </c>
      <c r="W4124" s="2" t="s">
        <v>11204</v>
      </c>
    </row>
    <row r="4125" spans="1:23" hidden="1" x14ac:dyDescent="0.45">
      <c r="A4125" s="1" t="s">
        <v>4078</v>
      </c>
      <c r="B4125" t="s">
        <v>6290</v>
      </c>
      <c r="D4125" t="s">
        <v>8056</v>
      </c>
      <c r="E4125" t="s">
        <v>4694</v>
      </c>
      <c r="F4125" t="s">
        <v>10299</v>
      </c>
      <c r="G4125">
        <v>90</v>
      </c>
      <c r="H4125" t="s">
        <v>10310</v>
      </c>
      <c r="I4125" t="s">
        <v>10326</v>
      </c>
      <c r="L4125">
        <v>1981</v>
      </c>
      <c r="R4125" t="s">
        <v>11038</v>
      </c>
      <c r="S4125" t="s">
        <v>10310</v>
      </c>
      <c r="U4125" t="s">
        <v>11050</v>
      </c>
      <c r="W4125" s="2" t="s">
        <v>11204</v>
      </c>
    </row>
    <row r="4126" spans="1:23" hidden="1" x14ac:dyDescent="0.45">
      <c r="A4126" s="1" t="s">
        <v>4079</v>
      </c>
      <c r="B4126" t="s">
        <v>6425</v>
      </c>
      <c r="D4126" t="s">
        <v>8040</v>
      </c>
      <c r="E4126" t="s">
        <v>9632</v>
      </c>
      <c r="F4126" t="s">
        <v>10299</v>
      </c>
      <c r="G4126">
        <v>0.6</v>
      </c>
      <c r="H4126" t="s">
        <v>10310</v>
      </c>
      <c r="I4126" t="s">
        <v>10326</v>
      </c>
      <c r="L4126">
        <v>2012</v>
      </c>
      <c r="R4126" t="s">
        <v>11038</v>
      </c>
      <c r="S4126" t="s">
        <v>10310</v>
      </c>
      <c r="U4126" t="s">
        <v>11049</v>
      </c>
      <c r="W4126" s="2" t="s">
        <v>11204</v>
      </c>
    </row>
    <row r="4127" spans="1:23" hidden="1" x14ac:dyDescent="0.45">
      <c r="A4127" s="1" t="s">
        <v>4080</v>
      </c>
      <c r="B4127" t="s">
        <v>6274</v>
      </c>
      <c r="D4127" t="s">
        <v>8046</v>
      </c>
      <c r="E4127" t="s">
        <v>9640</v>
      </c>
      <c r="F4127" t="s">
        <v>10299</v>
      </c>
      <c r="G4127">
        <v>20</v>
      </c>
      <c r="H4127" t="s">
        <v>10310</v>
      </c>
      <c r="I4127" t="s">
        <v>10326</v>
      </c>
      <c r="L4127">
        <v>1958</v>
      </c>
      <c r="R4127" t="s">
        <v>11038</v>
      </c>
      <c r="S4127" t="s">
        <v>10310</v>
      </c>
      <c r="U4127" t="s">
        <v>11047</v>
      </c>
      <c r="W4127" s="2" t="s">
        <v>11204</v>
      </c>
    </row>
    <row r="4128" spans="1:23" hidden="1" x14ac:dyDescent="0.45">
      <c r="A4128" s="1" t="s">
        <v>4081</v>
      </c>
      <c r="B4128" t="s">
        <v>6311</v>
      </c>
      <c r="D4128" t="s">
        <v>8039</v>
      </c>
      <c r="E4128" t="s">
        <v>9695</v>
      </c>
      <c r="F4128" t="s">
        <v>10299</v>
      </c>
      <c r="G4128">
        <v>4</v>
      </c>
      <c r="H4128" t="s">
        <v>10310</v>
      </c>
      <c r="I4128" t="s">
        <v>10326</v>
      </c>
      <c r="L4128">
        <v>1964</v>
      </c>
      <c r="R4128" t="s">
        <v>11038</v>
      </c>
      <c r="S4128" t="s">
        <v>10310</v>
      </c>
      <c r="U4128" t="s">
        <v>11046</v>
      </c>
      <c r="W4128" s="2" t="s">
        <v>11204</v>
      </c>
    </row>
    <row r="4129" spans="1:23" hidden="1" x14ac:dyDescent="0.45">
      <c r="A4129" s="1" t="s">
        <v>4081</v>
      </c>
      <c r="B4129" t="s">
        <v>6470</v>
      </c>
      <c r="D4129" t="s">
        <v>8030</v>
      </c>
      <c r="E4129" t="s">
        <v>9748</v>
      </c>
      <c r="F4129" t="s">
        <v>10299</v>
      </c>
      <c r="G4129">
        <v>16.5</v>
      </c>
      <c r="H4129" t="s">
        <v>10310</v>
      </c>
      <c r="I4129" t="s">
        <v>10326</v>
      </c>
      <c r="L4129">
        <v>1954</v>
      </c>
      <c r="R4129" t="s">
        <v>11038</v>
      </c>
      <c r="S4129" t="s">
        <v>10310</v>
      </c>
      <c r="U4129" t="s">
        <v>11046</v>
      </c>
      <c r="W4129" s="2" t="s">
        <v>11204</v>
      </c>
    </row>
    <row r="4130" spans="1:23" hidden="1" x14ac:dyDescent="0.45">
      <c r="A4130" s="1" t="s">
        <v>4082</v>
      </c>
      <c r="B4130" t="s">
        <v>6290</v>
      </c>
      <c r="D4130" t="s">
        <v>8056</v>
      </c>
      <c r="E4130" t="s">
        <v>4694</v>
      </c>
      <c r="F4130" t="s">
        <v>10299</v>
      </c>
      <c r="G4130">
        <v>5.6</v>
      </c>
      <c r="H4130" t="s">
        <v>10310</v>
      </c>
      <c r="I4130" t="s">
        <v>10326</v>
      </c>
      <c r="L4130">
        <v>1914</v>
      </c>
      <c r="R4130" t="s">
        <v>11038</v>
      </c>
      <c r="S4130" t="s">
        <v>10310</v>
      </c>
      <c r="U4130" t="s">
        <v>11050</v>
      </c>
      <c r="W4130" s="2" t="s">
        <v>11204</v>
      </c>
    </row>
    <row r="4131" spans="1:23" hidden="1" x14ac:dyDescent="0.45">
      <c r="A4131" s="1" t="s">
        <v>4083</v>
      </c>
      <c r="B4131" t="s">
        <v>6759</v>
      </c>
      <c r="D4131" t="s">
        <v>8029</v>
      </c>
      <c r="E4131" t="s">
        <v>9661</v>
      </c>
      <c r="F4131" t="s">
        <v>10299</v>
      </c>
      <c r="G4131">
        <v>0.75</v>
      </c>
      <c r="H4131" t="s">
        <v>10310</v>
      </c>
      <c r="I4131" t="s">
        <v>10326</v>
      </c>
      <c r="L4131">
        <v>2008</v>
      </c>
      <c r="R4131" t="s">
        <v>11038</v>
      </c>
      <c r="S4131" t="s">
        <v>10310</v>
      </c>
      <c r="U4131" t="s">
        <v>11049</v>
      </c>
      <c r="W4131" s="2" t="s">
        <v>11204</v>
      </c>
    </row>
    <row r="4132" spans="1:23" hidden="1" x14ac:dyDescent="0.45">
      <c r="A4132" s="1" t="s">
        <v>4084</v>
      </c>
      <c r="B4132" t="s">
        <v>6323</v>
      </c>
      <c r="D4132" t="s">
        <v>8045</v>
      </c>
      <c r="E4132" t="s">
        <v>9646</v>
      </c>
      <c r="F4132" t="s">
        <v>10299</v>
      </c>
      <c r="G4132">
        <v>2.9</v>
      </c>
      <c r="H4132" t="s">
        <v>10310</v>
      </c>
      <c r="I4132" t="s">
        <v>10326</v>
      </c>
      <c r="L4132">
        <v>1984</v>
      </c>
      <c r="R4132" t="s">
        <v>11038</v>
      </c>
      <c r="S4132" t="s">
        <v>10310</v>
      </c>
      <c r="U4132" t="s">
        <v>11047</v>
      </c>
      <c r="W4132" s="2" t="s">
        <v>11204</v>
      </c>
    </row>
    <row r="4133" spans="1:23" hidden="1" x14ac:dyDescent="0.45">
      <c r="A4133" s="1" t="s">
        <v>4085</v>
      </c>
      <c r="B4133" t="s">
        <v>6307</v>
      </c>
      <c r="D4133" t="s">
        <v>8030</v>
      </c>
      <c r="E4133" t="s">
        <v>9655</v>
      </c>
      <c r="F4133" t="s">
        <v>10299</v>
      </c>
      <c r="G4133">
        <v>2.5</v>
      </c>
      <c r="H4133" t="s">
        <v>10310</v>
      </c>
      <c r="I4133" t="s">
        <v>10326</v>
      </c>
      <c r="L4133">
        <v>1936</v>
      </c>
      <c r="R4133" t="s">
        <v>11038</v>
      </c>
      <c r="S4133" t="s">
        <v>10310</v>
      </c>
      <c r="U4133" t="s">
        <v>11048</v>
      </c>
      <c r="W4133" s="2" t="s">
        <v>11204</v>
      </c>
    </row>
    <row r="4134" spans="1:23" hidden="1" x14ac:dyDescent="0.45">
      <c r="A4134" s="1" t="s">
        <v>4086</v>
      </c>
      <c r="B4134" t="s">
        <v>6281</v>
      </c>
      <c r="D4134" t="s">
        <v>8057</v>
      </c>
      <c r="E4134" t="s">
        <v>9797</v>
      </c>
      <c r="F4134" t="s">
        <v>10299</v>
      </c>
      <c r="G4134">
        <v>2.2999999999999998</v>
      </c>
      <c r="H4134" t="s">
        <v>10310</v>
      </c>
      <c r="I4134" t="s">
        <v>10326</v>
      </c>
      <c r="L4134">
        <v>1951</v>
      </c>
      <c r="R4134" t="s">
        <v>11038</v>
      </c>
      <c r="S4134" t="s">
        <v>10310</v>
      </c>
      <c r="U4134" t="s">
        <v>11049</v>
      </c>
      <c r="W4134" s="2" t="s">
        <v>11204</v>
      </c>
    </row>
    <row r="4135" spans="1:23" hidden="1" x14ac:dyDescent="0.45">
      <c r="A4135" s="1" t="s">
        <v>4087</v>
      </c>
      <c r="B4135" t="s">
        <v>6760</v>
      </c>
      <c r="D4135" t="s">
        <v>8070</v>
      </c>
      <c r="E4135" t="s">
        <v>4102</v>
      </c>
      <c r="F4135" t="s">
        <v>10299</v>
      </c>
      <c r="G4135">
        <v>0.3</v>
      </c>
      <c r="H4135" t="s">
        <v>10310</v>
      </c>
      <c r="I4135" t="s">
        <v>10326</v>
      </c>
      <c r="L4135">
        <v>2005</v>
      </c>
      <c r="R4135" t="s">
        <v>11038</v>
      </c>
      <c r="S4135" t="s">
        <v>10310</v>
      </c>
      <c r="U4135" t="s">
        <v>11048</v>
      </c>
      <c r="W4135" s="2" t="s">
        <v>11204</v>
      </c>
    </row>
    <row r="4136" spans="1:23" hidden="1" x14ac:dyDescent="0.45">
      <c r="A4136" s="1" t="s">
        <v>4088</v>
      </c>
      <c r="B4136" t="s">
        <v>6665</v>
      </c>
      <c r="D4136" t="s">
        <v>8034</v>
      </c>
      <c r="E4136" t="s">
        <v>9820</v>
      </c>
      <c r="F4136" t="s">
        <v>10299</v>
      </c>
      <c r="G4136">
        <v>0.85</v>
      </c>
      <c r="H4136" t="s">
        <v>10310</v>
      </c>
      <c r="I4136" t="s">
        <v>10326</v>
      </c>
      <c r="L4136">
        <v>1932</v>
      </c>
      <c r="R4136" t="s">
        <v>11038</v>
      </c>
      <c r="S4136" t="s">
        <v>10310</v>
      </c>
      <c r="U4136" t="s">
        <v>11046</v>
      </c>
      <c r="W4136" s="2" t="s">
        <v>11204</v>
      </c>
    </row>
    <row r="4137" spans="1:23" hidden="1" x14ac:dyDescent="0.45">
      <c r="A4137" s="1" t="s">
        <v>4089</v>
      </c>
      <c r="B4137" t="s">
        <v>6761</v>
      </c>
      <c r="D4137" t="s">
        <v>8054</v>
      </c>
      <c r="E4137" t="s">
        <v>9799</v>
      </c>
      <c r="F4137" t="s">
        <v>10299</v>
      </c>
      <c r="G4137">
        <v>3.5000000000000003E-2</v>
      </c>
      <c r="H4137" t="s">
        <v>10310</v>
      </c>
      <c r="I4137" t="s">
        <v>10326</v>
      </c>
      <c r="L4137">
        <v>2008</v>
      </c>
      <c r="R4137" t="s">
        <v>11038</v>
      </c>
      <c r="S4137" t="s">
        <v>10310</v>
      </c>
      <c r="U4137" t="s">
        <v>11047</v>
      </c>
      <c r="W4137" s="2" t="s">
        <v>11204</v>
      </c>
    </row>
    <row r="4138" spans="1:23" hidden="1" x14ac:dyDescent="0.45">
      <c r="A4138" s="1" t="s">
        <v>4090</v>
      </c>
      <c r="D4138" t="s">
        <v>8034</v>
      </c>
      <c r="E4138" t="s">
        <v>9627</v>
      </c>
      <c r="F4138" t="s">
        <v>10299</v>
      </c>
      <c r="G4138">
        <v>1.7999999999999999E-2</v>
      </c>
      <c r="H4138" t="s">
        <v>10310</v>
      </c>
      <c r="I4138" t="s">
        <v>10326</v>
      </c>
      <c r="L4138">
        <v>1998</v>
      </c>
      <c r="R4138" t="s">
        <v>11038</v>
      </c>
      <c r="S4138" t="s">
        <v>10310</v>
      </c>
      <c r="U4138" t="s">
        <v>11046</v>
      </c>
      <c r="W4138" s="2" t="s">
        <v>11204</v>
      </c>
    </row>
    <row r="4139" spans="1:23" hidden="1" x14ac:dyDescent="0.45">
      <c r="A4139" s="1" t="s">
        <v>4091</v>
      </c>
      <c r="D4139" t="s">
        <v>8057</v>
      </c>
      <c r="E4139" t="s">
        <v>9671</v>
      </c>
      <c r="F4139" t="s">
        <v>10299</v>
      </c>
      <c r="G4139">
        <v>1.4999999999999999E-2</v>
      </c>
      <c r="H4139" t="s">
        <v>10310</v>
      </c>
      <c r="I4139" t="s">
        <v>10326</v>
      </c>
      <c r="L4139">
        <v>1997</v>
      </c>
      <c r="R4139" t="s">
        <v>11038</v>
      </c>
      <c r="S4139" t="s">
        <v>10310</v>
      </c>
      <c r="U4139" t="s">
        <v>11046</v>
      </c>
      <c r="W4139" s="2" t="s">
        <v>11204</v>
      </c>
    </row>
    <row r="4140" spans="1:23" hidden="1" x14ac:dyDescent="0.45">
      <c r="A4140" s="1" t="s">
        <v>4092</v>
      </c>
      <c r="B4140" t="s">
        <v>6563</v>
      </c>
      <c r="D4140" t="s">
        <v>8030</v>
      </c>
      <c r="E4140" t="s">
        <v>9623</v>
      </c>
      <c r="F4140" t="s">
        <v>10299</v>
      </c>
      <c r="G4140">
        <v>0.31</v>
      </c>
      <c r="H4140" t="s">
        <v>10310</v>
      </c>
      <c r="I4140" t="s">
        <v>10326</v>
      </c>
      <c r="L4140">
        <v>1919</v>
      </c>
      <c r="R4140" t="s">
        <v>11038</v>
      </c>
      <c r="S4140" t="s">
        <v>10310</v>
      </c>
      <c r="U4140" t="s">
        <v>11049</v>
      </c>
      <c r="W4140" s="2" t="s">
        <v>11204</v>
      </c>
    </row>
    <row r="4141" spans="1:23" hidden="1" x14ac:dyDescent="0.45">
      <c r="A4141" s="1" t="s">
        <v>4093</v>
      </c>
      <c r="B4141" t="s">
        <v>6298</v>
      </c>
      <c r="D4141" t="s">
        <v>8041</v>
      </c>
      <c r="E4141" t="s">
        <v>9764</v>
      </c>
      <c r="F4141" t="s">
        <v>10299</v>
      </c>
      <c r="G4141">
        <v>15.8</v>
      </c>
      <c r="H4141" t="s">
        <v>10310</v>
      </c>
      <c r="I4141" t="s">
        <v>10326</v>
      </c>
      <c r="L4141">
        <v>1982</v>
      </c>
      <c r="R4141" t="s">
        <v>11038</v>
      </c>
      <c r="S4141" t="s">
        <v>10310</v>
      </c>
      <c r="U4141" t="s">
        <v>11050</v>
      </c>
      <c r="W4141" s="2" t="s">
        <v>11204</v>
      </c>
    </row>
    <row r="4142" spans="1:23" hidden="1" x14ac:dyDescent="0.45">
      <c r="A4142" s="1" t="s">
        <v>4094</v>
      </c>
      <c r="B4142" t="s">
        <v>6762</v>
      </c>
      <c r="D4142" t="s">
        <v>8056</v>
      </c>
      <c r="E4142" t="s">
        <v>9669</v>
      </c>
      <c r="F4142" t="s">
        <v>10299</v>
      </c>
      <c r="G4142">
        <v>0.7</v>
      </c>
      <c r="H4142" t="s">
        <v>10310</v>
      </c>
      <c r="I4142" t="s">
        <v>10326</v>
      </c>
      <c r="L4142">
        <v>2008</v>
      </c>
      <c r="R4142" t="s">
        <v>11038</v>
      </c>
      <c r="S4142" t="s">
        <v>10310</v>
      </c>
      <c r="U4142" t="s">
        <v>11049</v>
      </c>
      <c r="W4142" s="2" t="s">
        <v>11204</v>
      </c>
    </row>
    <row r="4143" spans="1:23" hidden="1" x14ac:dyDescent="0.45">
      <c r="A4143" s="1" t="s">
        <v>4095</v>
      </c>
      <c r="B4143" t="s">
        <v>6274</v>
      </c>
      <c r="D4143" t="s">
        <v>8076</v>
      </c>
      <c r="E4143" t="s">
        <v>9719</v>
      </c>
      <c r="F4143" t="s">
        <v>10299</v>
      </c>
      <c r="G4143">
        <v>6.2</v>
      </c>
      <c r="H4143" t="s">
        <v>10310</v>
      </c>
      <c r="I4143" t="s">
        <v>10326</v>
      </c>
      <c r="L4143">
        <v>2007</v>
      </c>
      <c r="R4143" t="s">
        <v>11038</v>
      </c>
      <c r="S4143" t="s">
        <v>10310</v>
      </c>
      <c r="U4143" t="s">
        <v>11049</v>
      </c>
      <c r="W4143" s="2" t="s">
        <v>11204</v>
      </c>
    </row>
    <row r="4144" spans="1:23" hidden="1" x14ac:dyDescent="0.45">
      <c r="A4144" s="1" t="s">
        <v>4096</v>
      </c>
      <c r="B4144" t="s">
        <v>6763</v>
      </c>
      <c r="D4144" t="s">
        <v>8044</v>
      </c>
      <c r="E4144" t="s">
        <v>9638</v>
      </c>
      <c r="F4144" t="s">
        <v>10299</v>
      </c>
      <c r="G4144">
        <v>0.22500000000000001</v>
      </c>
      <c r="H4144" t="s">
        <v>10310</v>
      </c>
      <c r="I4144" t="s">
        <v>10326</v>
      </c>
      <c r="L4144">
        <v>2016</v>
      </c>
      <c r="R4144" t="s">
        <v>11038</v>
      </c>
      <c r="S4144" t="s">
        <v>10310</v>
      </c>
      <c r="U4144" t="s">
        <v>11047</v>
      </c>
      <c r="W4144" s="2" t="s">
        <v>11204</v>
      </c>
    </row>
    <row r="4145" spans="1:23" hidden="1" x14ac:dyDescent="0.45">
      <c r="A4145" s="1" t="s">
        <v>4097</v>
      </c>
      <c r="B4145" t="s">
        <v>6764</v>
      </c>
      <c r="D4145" t="s">
        <v>8032</v>
      </c>
      <c r="E4145" t="s">
        <v>9625</v>
      </c>
      <c r="F4145" t="s">
        <v>10299</v>
      </c>
      <c r="G4145">
        <v>2</v>
      </c>
      <c r="H4145" t="s">
        <v>10310</v>
      </c>
      <c r="I4145" t="s">
        <v>10326</v>
      </c>
      <c r="L4145">
        <v>2008</v>
      </c>
      <c r="R4145" t="s">
        <v>11038</v>
      </c>
      <c r="S4145" t="s">
        <v>10310</v>
      </c>
      <c r="U4145" t="s">
        <v>11046</v>
      </c>
      <c r="W4145" s="2" t="s">
        <v>11204</v>
      </c>
    </row>
    <row r="4146" spans="1:23" hidden="1" x14ac:dyDescent="0.45">
      <c r="A4146" s="1" t="s">
        <v>4098</v>
      </c>
      <c r="B4146" t="s">
        <v>6764</v>
      </c>
      <c r="D4146" t="s">
        <v>8032</v>
      </c>
      <c r="E4146" t="s">
        <v>9625</v>
      </c>
      <c r="F4146" t="s">
        <v>10299</v>
      </c>
      <c r="G4146">
        <v>0.7</v>
      </c>
      <c r="H4146" t="s">
        <v>10310</v>
      </c>
      <c r="I4146" t="s">
        <v>10326</v>
      </c>
      <c r="L4146">
        <v>2008</v>
      </c>
      <c r="R4146" t="s">
        <v>11038</v>
      </c>
      <c r="S4146" t="s">
        <v>10310</v>
      </c>
      <c r="U4146" t="s">
        <v>11046</v>
      </c>
      <c r="W4146" s="2" t="s">
        <v>11204</v>
      </c>
    </row>
    <row r="4147" spans="1:23" hidden="1" x14ac:dyDescent="0.45">
      <c r="A4147" s="1" t="s">
        <v>4099</v>
      </c>
      <c r="D4147" t="s">
        <v>8071</v>
      </c>
      <c r="E4147" t="s">
        <v>9806</v>
      </c>
      <c r="F4147" t="s">
        <v>10299</v>
      </c>
      <c r="G4147">
        <v>8.1500000000000003E-2</v>
      </c>
      <c r="H4147" t="s">
        <v>10310</v>
      </c>
      <c r="I4147" t="s">
        <v>10326</v>
      </c>
      <c r="L4147">
        <v>2010</v>
      </c>
      <c r="R4147" t="s">
        <v>11038</v>
      </c>
      <c r="S4147" t="s">
        <v>10310</v>
      </c>
      <c r="U4147" t="s">
        <v>11050</v>
      </c>
      <c r="W4147" s="2" t="s">
        <v>11204</v>
      </c>
    </row>
    <row r="4148" spans="1:23" hidden="1" x14ac:dyDescent="0.45">
      <c r="A4148" s="1" t="s">
        <v>4100</v>
      </c>
      <c r="B4148" t="s">
        <v>6765</v>
      </c>
      <c r="D4148" t="s">
        <v>8037</v>
      </c>
      <c r="E4148" t="s">
        <v>9726</v>
      </c>
      <c r="F4148" t="s">
        <v>10299</v>
      </c>
      <c r="G4148">
        <v>30</v>
      </c>
      <c r="H4148" t="s">
        <v>10310</v>
      </c>
      <c r="I4148" t="s">
        <v>10326</v>
      </c>
      <c r="L4148">
        <v>1961</v>
      </c>
      <c r="R4148" t="s">
        <v>11038</v>
      </c>
      <c r="S4148" t="s">
        <v>10310</v>
      </c>
      <c r="U4148" t="s">
        <v>11050</v>
      </c>
      <c r="W4148" s="2" t="s">
        <v>11204</v>
      </c>
    </row>
    <row r="4149" spans="1:23" hidden="1" x14ac:dyDescent="0.45">
      <c r="A4149" s="1" t="s">
        <v>4101</v>
      </c>
      <c r="B4149" t="s">
        <v>6766</v>
      </c>
      <c r="D4149" t="s">
        <v>8039</v>
      </c>
      <c r="E4149" t="s">
        <v>9699</v>
      </c>
      <c r="F4149" t="s">
        <v>10299</v>
      </c>
      <c r="G4149">
        <v>1.2</v>
      </c>
      <c r="H4149" t="s">
        <v>10310</v>
      </c>
      <c r="I4149" t="s">
        <v>10326</v>
      </c>
      <c r="L4149">
        <v>1983</v>
      </c>
      <c r="R4149" t="s">
        <v>11038</v>
      </c>
      <c r="S4149" t="s">
        <v>10310</v>
      </c>
      <c r="U4149" t="s">
        <v>11047</v>
      </c>
      <c r="W4149" s="2" t="s">
        <v>11204</v>
      </c>
    </row>
    <row r="4150" spans="1:23" hidden="1" x14ac:dyDescent="0.45">
      <c r="A4150" s="1" t="s">
        <v>4102</v>
      </c>
      <c r="B4150" t="s">
        <v>6274</v>
      </c>
      <c r="D4150" t="s">
        <v>8070</v>
      </c>
      <c r="E4150" t="s">
        <v>4102</v>
      </c>
      <c r="F4150" t="s">
        <v>10299</v>
      </c>
      <c r="G4150">
        <v>500</v>
      </c>
      <c r="H4150" t="s">
        <v>10310</v>
      </c>
      <c r="I4150" t="s">
        <v>10326</v>
      </c>
      <c r="L4150">
        <v>1968</v>
      </c>
      <c r="R4150" t="s">
        <v>11038</v>
      </c>
      <c r="S4150" t="s">
        <v>10310</v>
      </c>
      <c r="U4150" t="s">
        <v>11048</v>
      </c>
      <c r="W4150" s="2" t="s">
        <v>11204</v>
      </c>
    </row>
    <row r="4151" spans="1:23" hidden="1" x14ac:dyDescent="0.45">
      <c r="A4151" s="1" t="s">
        <v>4103</v>
      </c>
      <c r="B4151" t="s">
        <v>6281</v>
      </c>
      <c r="D4151" t="s">
        <v>8030</v>
      </c>
      <c r="E4151" t="s">
        <v>9623</v>
      </c>
      <c r="F4151" t="s">
        <v>10299</v>
      </c>
      <c r="G4151">
        <v>5.2</v>
      </c>
      <c r="H4151" t="s">
        <v>10310</v>
      </c>
      <c r="I4151" t="s">
        <v>10326</v>
      </c>
      <c r="L4151">
        <v>2009</v>
      </c>
      <c r="R4151" t="s">
        <v>11038</v>
      </c>
      <c r="S4151" t="s">
        <v>10310</v>
      </c>
      <c r="U4151" t="s">
        <v>11049</v>
      </c>
      <c r="W4151" s="2" t="s">
        <v>11204</v>
      </c>
    </row>
    <row r="4152" spans="1:23" hidden="1" x14ac:dyDescent="0.45">
      <c r="A4152" s="1" t="s">
        <v>4104</v>
      </c>
      <c r="B4152" t="s">
        <v>6290</v>
      </c>
      <c r="D4152" t="s">
        <v>8047</v>
      </c>
      <c r="E4152" t="s">
        <v>9750</v>
      </c>
      <c r="F4152" t="s">
        <v>10299</v>
      </c>
      <c r="G4152">
        <v>1.1000000000000001</v>
      </c>
      <c r="H4152" t="s">
        <v>10310</v>
      </c>
      <c r="I4152" t="s">
        <v>10326</v>
      </c>
      <c r="L4152">
        <v>1941</v>
      </c>
      <c r="R4152" t="s">
        <v>11038</v>
      </c>
      <c r="S4152" t="s">
        <v>10310</v>
      </c>
      <c r="U4152" t="s">
        <v>11050</v>
      </c>
      <c r="W4152" s="2" t="s">
        <v>11204</v>
      </c>
    </row>
    <row r="4153" spans="1:23" hidden="1" x14ac:dyDescent="0.45">
      <c r="A4153" s="1" t="s">
        <v>4105</v>
      </c>
      <c r="B4153" t="s">
        <v>6469</v>
      </c>
      <c r="D4153" t="s">
        <v>8084</v>
      </c>
      <c r="E4153" t="s">
        <v>9766</v>
      </c>
      <c r="F4153" t="s">
        <v>10299</v>
      </c>
      <c r="G4153">
        <v>2.7</v>
      </c>
      <c r="H4153" t="s">
        <v>10310</v>
      </c>
      <c r="I4153" t="s">
        <v>10326</v>
      </c>
      <c r="L4153">
        <v>1996</v>
      </c>
      <c r="R4153" t="s">
        <v>11038</v>
      </c>
      <c r="S4153" t="s">
        <v>10310</v>
      </c>
      <c r="U4153" t="s">
        <v>11047</v>
      </c>
      <c r="W4153" s="2" t="s">
        <v>11204</v>
      </c>
    </row>
    <row r="4154" spans="1:23" hidden="1" x14ac:dyDescent="0.45">
      <c r="A4154" s="1" t="s">
        <v>4106</v>
      </c>
      <c r="B4154" t="s">
        <v>6767</v>
      </c>
      <c r="D4154" t="s">
        <v>8070</v>
      </c>
      <c r="E4154" t="s">
        <v>9759</v>
      </c>
      <c r="F4154" t="s">
        <v>10299</v>
      </c>
      <c r="G4154">
        <v>3.8</v>
      </c>
      <c r="H4154" t="s">
        <v>10310</v>
      </c>
      <c r="I4154" t="s">
        <v>10324</v>
      </c>
      <c r="L4154">
        <v>2007</v>
      </c>
      <c r="R4154" t="s">
        <v>11038</v>
      </c>
      <c r="S4154" t="s">
        <v>10310</v>
      </c>
      <c r="U4154" t="s">
        <v>11047</v>
      </c>
      <c r="V4154" t="s">
        <v>11182</v>
      </c>
      <c r="W4154" s="2" t="s">
        <v>11204</v>
      </c>
    </row>
    <row r="4155" spans="1:23" hidden="1" x14ac:dyDescent="0.45">
      <c r="A4155" s="1" t="s">
        <v>4107</v>
      </c>
      <c r="D4155" t="s">
        <v>8074</v>
      </c>
      <c r="E4155" t="s">
        <v>9839</v>
      </c>
      <c r="F4155" t="s">
        <v>10299</v>
      </c>
      <c r="G4155">
        <v>5.0000000000000001E-3</v>
      </c>
      <c r="H4155" t="s">
        <v>10310</v>
      </c>
      <c r="I4155" t="s">
        <v>10326</v>
      </c>
      <c r="L4155">
        <v>1990</v>
      </c>
      <c r="R4155" t="s">
        <v>11038</v>
      </c>
      <c r="S4155" t="s">
        <v>10310</v>
      </c>
      <c r="U4155" t="s">
        <v>11048</v>
      </c>
      <c r="W4155" s="2" t="s">
        <v>11204</v>
      </c>
    </row>
    <row r="4156" spans="1:23" hidden="1" x14ac:dyDescent="0.45">
      <c r="A4156" s="1" t="s">
        <v>4108</v>
      </c>
      <c r="B4156" t="s">
        <v>6768</v>
      </c>
      <c r="D4156" t="s">
        <v>8070</v>
      </c>
      <c r="E4156" t="s">
        <v>4102</v>
      </c>
      <c r="F4156" t="s">
        <v>10299</v>
      </c>
      <c r="G4156">
        <v>1.25</v>
      </c>
      <c r="H4156" t="s">
        <v>10310</v>
      </c>
      <c r="I4156" t="s">
        <v>10326</v>
      </c>
      <c r="L4156">
        <v>2011</v>
      </c>
      <c r="R4156" t="s">
        <v>11038</v>
      </c>
      <c r="S4156" t="s">
        <v>10310</v>
      </c>
      <c r="U4156" t="s">
        <v>11048</v>
      </c>
      <c r="W4156" s="2" t="s">
        <v>11204</v>
      </c>
    </row>
    <row r="4157" spans="1:23" hidden="1" x14ac:dyDescent="0.45">
      <c r="A4157" s="1" t="s">
        <v>4109</v>
      </c>
      <c r="B4157" t="s">
        <v>6274</v>
      </c>
      <c r="D4157" t="s">
        <v>8042</v>
      </c>
      <c r="E4157" t="s">
        <v>4614</v>
      </c>
      <c r="F4157" t="s">
        <v>10299</v>
      </c>
      <c r="G4157">
        <v>90</v>
      </c>
      <c r="H4157" t="s">
        <v>10310</v>
      </c>
      <c r="I4157" t="s">
        <v>10326</v>
      </c>
      <c r="L4157">
        <v>1968</v>
      </c>
      <c r="R4157" t="s">
        <v>11038</v>
      </c>
      <c r="S4157" t="s">
        <v>10310</v>
      </c>
      <c r="U4157" t="s">
        <v>11049</v>
      </c>
      <c r="W4157" s="2" t="s">
        <v>11204</v>
      </c>
    </row>
    <row r="4158" spans="1:23" hidden="1" x14ac:dyDescent="0.45">
      <c r="A4158" s="1" t="s">
        <v>4109</v>
      </c>
      <c r="B4158" t="s">
        <v>6359</v>
      </c>
      <c r="D4158" t="s">
        <v>8037</v>
      </c>
      <c r="E4158" t="s">
        <v>9629</v>
      </c>
      <c r="F4158" t="s">
        <v>10299</v>
      </c>
      <c r="G4158">
        <v>0.49299999999999999</v>
      </c>
      <c r="H4158" t="s">
        <v>10310</v>
      </c>
      <c r="I4158" t="s">
        <v>10326</v>
      </c>
      <c r="L4158">
        <v>2000</v>
      </c>
      <c r="R4158" t="s">
        <v>11038</v>
      </c>
      <c r="S4158" t="s">
        <v>10310</v>
      </c>
      <c r="U4158" t="s">
        <v>11047</v>
      </c>
      <c r="W4158" s="2" t="s">
        <v>11204</v>
      </c>
    </row>
    <row r="4159" spans="1:23" hidden="1" x14ac:dyDescent="0.45">
      <c r="A4159" s="1" t="s">
        <v>4110</v>
      </c>
      <c r="B4159" t="s">
        <v>6769</v>
      </c>
      <c r="D4159" t="s">
        <v>8027</v>
      </c>
      <c r="E4159" t="s">
        <v>9718</v>
      </c>
      <c r="F4159" t="s">
        <v>10299</v>
      </c>
      <c r="G4159">
        <v>3.7000000000000002E-3</v>
      </c>
      <c r="H4159" t="s">
        <v>10310</v>
      </c>
      <c r="I4159" t="s">
        <v>10326</v>
      </c>
      <c r="L4159">
        <v>1996</v>
      </c>
      <c r="R4159" t="s">
        <v>11038</v>
      </c>
      <c r="S4159" t="s">
        <v>10310</v>
      </c>
      <c r="U4159" t="s">
        <v>11046</v>
      </c>
      <c r="W4159" s="2" t="s">
        <v>11204</v>
      </c>
    </row>
    <row r="4160" spans="1:23" hidden="1" x14ac:dyDescent="0.45">
      <c r="A4160" s="1" t="s">
        <v>4111</v>
      </c>
      <c r="B4160" t="s">
        <v>6274</v>
      </c>
      <c r="D4160" t="s">
        <v>8070</v>
      </c>
      <c r="E4160" t="s">
        <v>4102</v>
      </c>
      <c r="F4160" t="s">
        <v>10299</v>
      </c>
      <c r="G4160">
        <v>3.4</v>
      </c>
      <c r="H4160" t="s">
        <v>10310</v>
      </c>
      <c r="I4160" t="s">
        <v>10326</v>
      </c>
      <c r="L4160">
        <v>1925</v>
      </c>
      <c r="R4160" t="s">
        <v>11038</v>
      </c>
      <c r="S4160" t="s">
        <v>10310</v>
      </c>
      <c r="U4160" t="s">
        <v>11048</v>
      </c>
      <c r="W4160" s="2" t="s">
        <v>11204</v>
      </c>
    </row>
    <row r="4161" spans="1:23" hidden="1" x14ac:dyDescent="0.45">
      <c r="A4161" s="1" t="s">
        <v>4112</v>
      </c>
      <c r="B4161" t="s">
        <v>6281</v>
      </c>
      <c r="D4161" t="s">
        <v>8070</v>
      </c>
      <c r="E4161" t="s">
        <v>4102</v>
      </c>
      <c r="F4161" t="s">
        <v>10299</v>
      </c>
      <c r="G4161">
        <v>2.4</v>
      </c>
      <c r="H4161" t="s">
        <v>10310</v>
      </c>
      <c r="I4161" t="s">
        <v>10326</v>
      </c>
      <c r="L4161">
        <v>2009</v>
      </c>
      <c r="R4161" t="s">
        <v>11038</v>
      </c>
      <c r="S4161" t="s">
        <v>10310</v>
      </c>
      <c r="U4161" t="s">
        <v>11048</v>
      </c>
      <c r="W4161" s="2" t="s">
        <v>11204</v>
      </c>
    </row>
    <row r="4162" spans="1:23" hidden="1" x14ac:dyDescent="0.45">
      <c r="A4162" s="1" t="s">
        <v>4113</v>
      </c>
      <c r="B4162" t="s">
        <v>6770</v>
      </c>
      <c r="D4162" t="s">
        <v>8050</v>
      </c>
      <c r="E4162" t="s">
        <v>9645</v>
      </c>
      <c r="F4162" t="s">
        <v>10299</v>
      </c>
      <c r="G4162">
        <v>3.1</v>
      </c>
      <c r="H4162" t="s">
        <v>10310</v>
      </c>
      <c r="I4162" t="s">
        <v>10326</v>
      </c>
      <c r="L4162">
        <v>2008</v>
      </c>
      <c r="R4162" t="s">
        <v>11038</v>
      </c>
      <c r="S4162" t="s">
        <v>10310</v>
      </c>
      <c r="U4162" t="s">
        <v>11050</v>
      </c>
      <c r="W4162" s="2" t="s">
        <v>11204</v>
      </c>
    </row>
    <row r="4163" spans="1:23" hidden="1" x14ac:dyDescent="0.45">
      <c r="A4163" s="1" t="s">
        <v>4114</v>
      </c>
      <c r="B4163" t="s">
        <v>6503</v>
      </c>
      <c r="D4163" t="s">
        <v>8046</v>
      </c>
      <c r="E4163" t="s">
        <v>9640</v>
      </c>
      <c r="F4163" t="s">
        <v>10299</v>
      </c>
      <c r="G4163">
        <v>4.9000000000000004</v>
      </c>
      <c r="H4163" t="s">
        <v>10310</v>
      </c>
      <c r="I4163" t="s">
        <v>10326</v>
      </c>
      <c r="L4163">
        <v>1948</v>
      </c>
      <c r="R4163" t="s">
        <v>11038</v>
      </c>
      <c r="S4163" t="s">
        <v>10310</v>
      </c>
      <c r="U4163" t="s">
        <v>11047</v>
      </c>
      <c r="W4163" s="2" t="s">
        <v>11204</v>
      </c>
    </row>
    <row r="4164" spans="1:23" hidden="1" x14ac:dyDescent="0.45">
      <c r="A4164" s="1" t="s">
        <v>4115</v>
      </c>
      <c r="B4164" t="s">
        <v>6374</v>
      </c>
      <c r="D4164" t="s">
        <v>8029</v>
      </c>
      <c r="E4164" t="s">
        <v>9753</v>
      </c>
      <c r="F4164" t="s">
        <v>10299</v>
      </c>
      <c r="G4164">
        <v>9.6</v>
      </c>
      <c r="H4164" t="s">
        <v>10310</v>
      </c>
      <c r="I4164" t="s">
        <v>10326</v>
      </c>
      <c r="L4164">
        <v>2008</v>
      </c>
      <c r="R4164" t="s">
        <v>11038</v>
      </c>
      <c r="S4164" t="s">
        <v>10310</v>
      </c>
      <c r="U4164" t="s">
        <v>11048</v>
      </c>
      <c r="W4164" s="2" t="s">
        <v>11204</v>
      </c>
    </row>
    <row r="4165" spans="1:23" hidden="1" x14ac:dyDescent="0.45">
      <c r="A4165" s="1" t="s">
        <v>4116</v>
      </c>
      <c r="B4165" t="s">
        <v>6771</v>
      </c>
      <c r="D4165" t="s">
        <v>8031</v>
      </c>
      <c r="E4165" t="s">
        <v>9773</v>
      </c>
      <c r="F4165" t="s">
        <v>10299</v>
      </c>
      <c r="G4165">
        <v>1.7999999999999999E-2</v>
      </c>
      <c r="H4165" t="s">
        <v>10310</v>
      </c>
      <c r="I4165" t="s">
        <v>10326</v>
      </c>
      <c r="L4165">
        <v>1996</v>
      </c>
      <c r="R4165" t="s">
        <v>11038</v>
      </c>
      <c r="S4165" t="s">
        <v>10310</v>
      </c>
      <c r="U4165" t="s">
        <v>11046</v>
      </c>
      <c r="W4165" s="2" t="s">
        <v>11204</v>
      </c>
    </row>
    <row r="4166" spans="1:23" hidden="1" x14ac:dyDescent="0.45">
      <c r="A4166" s="1" t="s">
        <v>4117</v>
      </c>
      <c r="B4166" t="s">
        <v>6281</v>
      </c>
      <c r="D4166" t="s">
        <v>8033</v>
      </c>
      <c r="E4166" t="s">
        <v>9666</v>
      </c>
      <c r="F4166" t="s">
        <v>10299</v>
      </c>
      <c r="G4166">
        <v>3.91</v>
      </c>
      <c r="H4166" t="s">
        <v>10310</v>
      </c>
      <c r="I4166" t="s">
        <v>10326</v>
      </c>
      <c r="L4166">
        <v>2014</v>
      </c>
      <c r="R4166" t="s">
        <v>11038</v>
      </c>
      <c r="S4166" t="s">
        <v>10310</v>
      </c>
      <c r="U4166" t="s">
        <v>11048</v>
      </c>
      <c r="W4166" s="2" t="s">
        <v>11204</v>
      </c>
    </row>
    <row r="4167" spans="1:23" hidden="1" x14ac:dyDescent="0.45">
      <c r="A4167" s="1" t="s">
        <v>4118</v>
      </c>
      <c r="B4167" t="s">
        <v>6772</v>
      </c>
      <c r="D4167" t="s">
        <v>8048</v>
      </c>
      <c r="E4167" t="s">
        <v>9642</v>
      </c>
      <c r="F4167" t="s">
        <v>10299</v>
      </c>
      <c r="G4167">
        <v>0.45</v>
      </c>
      <c r="H4167" t="s">
        <v>10310</v>
      </c>
      <c r="I4167" t="s">
        <v>10326</v>
      </c>
      <c r="L4167">
        <v>2009</v>
      </c>
      <c r="R4167" t="s">
        <v>11038</v>
      </c>
      <c r="S4167" t="s">
        <v>10310</v>
      </c>
      <c r="U4167" t="s">
        <v>11049</v>
      </c>
      <c r="W4167" s="2" t="s">
        <v>11204</v>
      </c>
    </row>
    <row r="4168" spans="1:23" hidden="1" x14ac:dyDescent="0.45">
      <c r="A4168" s="1" t="s">
        <v>4119</v>
      </c>
      <c r="B4168" t="s">
        <v>6772</v>
      </c>
      <c r="D4168" t="s">
        <v>8048</v>
      </c>
      <c r="E4168" t="s">
        <v>9642</v>
      </c>
      <c r="F4168" t="s">
        <v>10299</v>
      </c>
      <c r="G4168">
        <v>1</v>
      </c>
      <c r="H4168" t="s">
        <v>10310</v>
      </c>
      <c r="I4168" t="s">
        <v>10326</v>
      </c>
      <c r="L4168">
        <v>2009</v>
      </c>
      <c r="R4168" t="s">
        <v>11038</v>
      </c>
      <c r="S4168" t="s">
        <v>10310</v>
      </c>
      <c r="U4168" t="s">
        <v>11049</v>
      </c>
      <c r="W4168" s="2" t="s">
        <v>11204</v>
      </c>
    </row>
    <row r="4169" spans="1:23" hidden="1" x14ac:dyDescent="0.45">
      <c r="A4169" s="1" t="s">
        <v>4120</v>
      </c>
      <c r="B4169" t="s">
        <v>6442</v>
      </c>
      <c r="D4169" t="s">
        <v>8089</v>
      </c>
      <c r="E4169" t="s">
        <v>9843</v>
      </c>
      <c r="F4169" t="s">
        <v>10299</v>
      </c>
      <c r="G4169">
        <v>23.3</v>
      </c>
      <c r="H4169" t="s">
        <v>10310</v>
      </c>
      <c r="I4169" t="s">
        <v>10326</v>
      </c>
      <c r="L4169">
        <v>1953</v>
      </c>
      <c r="R4169" t="s">
        <v>11038</v>
      </c>
      <c r="S4169" t="s">
        <v>10310</v>
      </c>
      <c r="U4169" t="s">
        <v>11048</v>
      </c>
      <c r="W4169" s="2" t="s">
        <v>11204</v>
      </c>
    </row>
    <row r="4170" spans="1:23" hidden="1" x14ac:dyDescent="0.45">
      <c r="A4170" s="1" t="s">
        <v>4121</v>
      </c>
      <c r="B4170" t="s">
        <v>6773</v>
      </c>
      <c r="D4170" t="s">
        <v>8078</v>
      </c>
      <c r="E4170" t="s">
        <v>9751</v>
      </c>
      <c r="F4170" t="s">
        <v>10299</v>
      </c>
      <c r="G4170">
        <v>0.55799999999999994</v>
      </c>
      <c r="H4170" t="s">
        <v>10310</v>
      </c>
      <c r="I4170" t="s">
        <v>10326</v>
      </c>
      <c r="L4170">
        <v>2009</v>
      </c>
      <c r="R4170" t="s">
        <v>11038</v>
      </c>
      <c r="S4170" t="s">
        <v>10310</v>
      </c>
      <c r="U4170" t="s">
        <v>11046</v>
      </c>
      <c r="W4170" s="2" t="s">
        <v>11204</v>
      </c>
    </row>
    <row r="4171" spans="1:23" hidden="1" x14ac:dyDescent="0.45">
      <c r="A4171" s="1" t="s">
        <v>4122</v>
      </c>
      <c r="B4171" t="s">
        <v>6774</v>
      </c>
      <c r="D4171" t="s">
        <v>8059</v>
      </c>
      <c r="E4171" t="s">
        <v>9663</v>
      </c>
      <c r="F4171" t="s">
        <v>10299</v>
      </c>
      <c r="G4171">
        <v>7.4999999999999997E-2</v>
      </c>
      <c r="H4171" t="s">
        <v>10310</v>
      </c>
      <c r="I4171" t="s">
        <v>10326</v>
      </c>
      <c r="L4171">
        <v>2015</v>
      </c>
      <c r="R4171" t="s">
        <v>11038</v>
      </c>
      <c r="S4171" t="s">
        <v>10310</v>
      </c>
      <c r="U4171" t="s">
        <v>11046</v>
      </c>
      <c r="W4171" s="2" t="s">
        <v>11204</v>
      </c>
    </row>
    <row r="4172" spans="1:23" hidden="1" x14ac:dyDescent="0.45">
      <c r="A4172" s="1" t="s">
        <v>4123</v>
      </c>
      <c r="B4172" t="s">
        <v>6290</v>
      </c>
      <c r="D4172" t="s">
        <v>8036</v>
      </c>
      <c r="E4172" t="s">
        <v>4123</v>
      </c>
      <c r="F4172" t="s">
        <v>10299</v>
      </c>
      <c r="G4172">
        <v>100.5</v>
      </c>
      <c r="H4172" t="s">
        <v>10310</v>
      </c>
      <c r="I4172" t="s">
        <v>10326</v>
      </c>
      <c r="L4172">
        <v>1971</v>
      </c>
      <c r="R4172" t="s">
        <v>11038</v>
      </c>
      <c r="S4172" t="s">
        <v>10310</v>
      </c>
      <c r="U4172" t="s">
        <v>11050</v>
      </c>
      <c r="W4172" s="2" t="s">
        <v>11204</v>
      </c>
    </row>
    <row r="4173" spans="1:23" hidden="1" x14ac:dyDescent="0.45">
      <c r="A4173" s="1" t="s">
        <v>4124</v>
      </c>
      <c r="B4173" t="s">
        <v>6775</v>
      </c>
      <c r="D4173" t="s">
        <v>8074</v>
      </c>
      <c r="E4173" t="s">
        <v>9763</v>
      </c>
      <c r="F4173" t="s">
        <v>10299</v>
      </c>
      <c r="G4173">
        <v>2.8</v>
      </c>
      <c r="H4173" t="s">
        <v>10310</v>
      </c>
      <c r="I4173" t="s">
        <v>10326</v>
      </c>
      <c r="L4173">
        <v>2010</v>
      </c>
      <c r="R4173" t="s">
        <v>11038</v>
      </c>
      <c r="S4173" t="s">
        <v>10310</v>
      </c>
      <c r="U4173" t="s">
        <v>11048</v>
      </c>
      <c r="W4173" s="2" t="s">
        <v>11204</v>
      </c>
    </row>
    <row r="4174" spans="1:23" hidden="1" x14ac:dyDescent="0.45">
      <c r="A4174" s="1" t="s">
        <v>4125</v>
      </c>
      <c r="B4174" t="s">
        <v>6611</v>
      </c>
      <c r="D4174" t="s">
        <v>8033</v>
      </c>
      <c r="E4174" t="s">
        <v>9787</v>
      </c>
      <c r="F4174" t="s">
        <v>10299</v>
      </c>
      <c r="G4174">
        <v>1</v>
      </c>
      <c r="H4174" t="s">
        <v>10310</v>
      </c>
      <c r="I4174" t="s">
        <v>10326</v>
      </c>
      <c r="L4174">
        <v>2007</v>
      </c>
      <c r="R4174" t="s">
        <v>11038</v>
      </c>
      <c r="S4174" t="s">
        <v>10310</v>
      </c>
      <c r="U4174" t="s">
        <v>11047</v>
      </c>
      <c r="W4174" s="2" t="s">
        <v>11204</v>
      </c>
    </row>
    <row r="4175" spans="1:23" hidden="1" x14ac:dyDescent="0.45">
      <c r="A4175" s="1" t="s">
        <v>4126</v>
      </c>
      <c r="B4175" t="s">
        <v>6776</v>
      </c>
      <c r="D4175" t="s">
        <v>8085</v>
      </c>
      <c r="E4175" t="s">
        <v>9811</v>
      </c>
      <c r="F4175" t="s">
        <v>10299</v>
      </c>
      <c r="G4175">
        <v>10</v>
      </c>
      <c r="H4175" t="s">
        <v>10310</v>
      </c>
      <c r="I4175" t="s">
        <v>10326</v>
      </c>
      <c r="L4175">
        <v>1956</v>
      </c>
      <c r="R4175" t="s">
        <v>11038</v>
      </c>
      <c r="S4175" t="s">
        <v>10310</v>
      </c>
      <c r="U4175" t="s">
        <v>11048</v>
      </c>
      <c r="W4175" s="2" t="s">
        <v>11204</v>
      </c>
    </row>
    <row r="4176" spans="1:23" hidden="1" x14ac:dyDescent="0.45">
      <c r="A4176" s="1" t="s">
        <v>4127</v>
      </c>
      <c r="B4176" t="s">
        <v>6777</v>
      </c>
      <c r="D4176" t="s">
        <v>8044</v>
      </c>
      <c r="E4176" t="s">
        <v>9844</v>
      </c>
      <c r="F4176" t="s">
        <v>10299</v>
      </c>
      <c r="G4176">
        <v>4.2</v>
      </c>
      <c r="H4176" t="s">
        <v>10310</v>
      </c>
      <c r="I4176" t="s">
        <v>10326</v>
      </c>
      <c r="L4176">
        <v>1953</v>
      </c>
      <c r="R4176" t="s">
        <v>11038</v>
      </c>
      <c r="S4176" t="s">
        <v>10310</v>
      </c>
      <c r="U4176" t="s">
        <v>11048</v>
      </c>
      <c r="W4176" s="2" t="s">
        <v>11204</v>
      </c>
    </row>
    <row r="4177" spans="1:23" hidden="1" x14ac:dyDescent="0.45">
      <c r="A4177" s="1" t="s">
        <v>4128</v>
      </c>
      <c r="B4177" t="s">
        <v>6778</v>
      </c>
      <c r="D4177" t="s">
        <v>8082</v>
      </c>
      <c r="E4177" t="s">
        <v>4687</v>
      </c>
      <c r="F4177" t="s">
        <v>10299</v>
      </c>
      <c r="G4177">
        <v>1.9</v>
      </c>
      <c r="H4177" t="s">
        <v>10310</v>
      </c>
      <c r="I4177" t="s">
        <v>10326</v>
      </c>
      <c r="L4177">
        <v>2010</v>
      </c>
      <c r="R4177" t="s">
        <v>11038</v>
      </c>
      <c r="S4177" t="s">
        <v>10310</v>
      </c>
      <c r="U4177" t="s">
        <v>11049</v>
      </c>
      <c r="W4177" s="2" t="s">
        <v>11204</v>
      </c>
    </row>
    <row r="4178" spans="1:23" hidden="1" x14ac:dyDescent="0.45">
      <c r="A4178" s="1" t="s">
        <v>4129</v>
      </c>
      <c r="B4178" t="s">
        <v>6766</v>
      </c>
      <c r="D4178" t="s">
        <v>8039</v>
      </c>
      <c r="E4178" t="s">
        <v>9699</v>
      </c>
      <c r="F4178" t="s">
        <v>10299</v>
      </c>
      <c r="G4178">
        <v>5.3</v>
      </c>
      <c r="H4178" t="s">
        <v>10310</v>
      </c>
      <c r="I4178" t="s">
        <v>10326</v>
      </c>
      <c r="L4178">
        <v>1918</v>
      </c>
      <c r="R4178" t="s">
        <v>11038</v>
      </c>
      <c r="S4178" t="s">
        <v>10310</v>
      </c>
      <c r="U4178" t="s">
        <v>11047</v>
      </c>
      <c r="W4178" s="2" t="s">
        <v>11204</v>
      </c>
    </row>
    <row r="4179" spans="1:23" hidden="1" x14ac:dyDescent="0.45">
      <c r="A4179" s="1" t="s">
        <v>4130</v>
      </c>
      <c r="B4179" t="s">
        <v>6766</v>
      </c>
      <c r="D4179" t="s">
        <v>8039</v>
      </c>
      <c r="E4179" t="s">
        <v>9699</v>
      </c>
      <c r="F4179" t="s">
        <v>10299</v>
      </c>
      <c r="G4179">
        <v>4.5</v>
      </c>
      <c r="H4179" t="s">
        <v>10310</v>
      </c>
      <c r="I4179" t="s">
        <v>10326</v>
      </c>
      <c r="L4179">
        <v>2003</v>
      </c>
      <c r="R4179" t="s">
        <v>11038</v>
      </c>
      <c r="S4179" t="s">
        <v>10310</v>
      </c>
      <c r="U4179" t="s">
        <v>11047</v>
      </c>
      <c r="W4179" s="2" t="s">
        <v>11204</v>
      </c>
    </row>
    <row r="4180" spans="1:23" hidden="1" x14ac:dyDescent="0.45">
      <c r="A4180" s="1" t="s">
        <v>4131</v>
      </c>
      <c r="B4180" t="s">
        <v>6272</v>
      </c>
      <c r="D4180" t="s">
        <v>8027</v>
      </c>
      <c r="E4180" t="s">
        <v>9620</v>
      </c>
      <c r="F4180" t="s">
        <v>10299</v>
      </c>
      <c r="G4180">
        <v>1</v>
      </c>
      <c r="H4180" t="s">
        <v>10310</v>
      </c>
      <c r="I4180" t="s">
        <v>10326</v>
      </c>
      <c r="L4180">
        <v>2001</v>
      </c>
      <c r="R4180" t="s">
        <v>11038</v>
      </c>
      <c r="S4180" t="s">
        <v>10310</v>
      </c>
      <c r="U4180" t="s">
        <v>11046</v>
      </c>
      <c r="W4180" s="2" t="s">
        <v>11204</v>
      </c>
    </row>
    <row r="4181" spans="1:23" hidden="1" x14ac:dyDescent="0.45">
      <c r="A4181" s="1" t="s">
        <v>4132</v>
      </c>
      <c r="B4181" t="s">
        <v>6779</v>
      </c>
      <c r="D4181" t="s">
        <v>8042</v>
      </c>
      <c r="E4181" t="s">
        <v>9780</v>
      </c>
      <c r="F4181" t="s">
        <v>10299</v>
      </c>
      <c r="G4181">
        <v>1.5</v>
      </c>
      <c r="H4181" t="s">
        <v>10310</v>
      </c>
      <c r="I4181" t="s">
        <v>10326</v>
      </c>
      <c r="L4181">
        <v>2014</v>
      </c>
      <c r="R4181" t="s">
        <v>11038</v>
      </c>
      <c r="S4181" t="s">
        <v>10310</v>
      </c>
      <c r="U4181" t="s">
        <v>11049</v>
      </c>
      <c r="W4181" s="2" t="s">
        <v>11204</v>
      </c>
    </row>
    <row r="4182" spans="1:23" hidden="1" x14ac:dyDescent="0.45">
      <c r="A4182" s="1" t="s">
        <v>4133</v>
      </c>
      <c r="B4182" t="s">
        <v>6780</v>
      </c>
      <c r="D4182" t="s">
        <v>8051</v>
      </c>
      <c r="E4182" t="s">
        <v>9735</v>
      </c>
      <c r="F4182" t="s">
        <v>10299</v>
      </c>
      <c r="G4182">
        <v>5.85</v>
      </c>
      <c r="H4182" t="s">
        <v>10310</v>
      </c>
      <c r="I4182" t="s">
        <v>10326</v>
      </c>
      <c r="L4182">
        <v>2011</v>
      </c>
      <c r="R4182" t="s">
        <v>11038</v>
      </c>
      <c r="S4182" t="s">
        <v>10310</v>
      </c>
      <c r="U4182" t="s">
        <v>11047</v>
      </c>
      <c r="W4182" s="2" t="s">
        <v>11204</v>
      </c>
    </row>
    <row r="4183" spans="1:23" hidden="1" x14ac:dyDescent="0.45">
      <c r="A4183" s="1" t="s">
        <v>4134</v>
      </c>
      <c r="B4183" t="s">
        <v>6274</v>
      </c>
      <c r="D4183" t="s">
        <v>8048</v>
      </c>
      <c r="E4183" t="s">
        <v>9642</v>
      </c>
      <c r="F4183" t="s">
        <v>10299</v>
      </c>
      <c r="G4183">
        <v>23</v>
      </c>
      <c r="H4183" t="s">
        <v>10310</v>
      </c>
      <c r="I4183" t="s">
        <v>10326</v>
      </c>
      <c r="L4183">
        <v>2017</v>
      </c>
      <c r="R4183" t="s">
        <v>11038</v>
      </c>
      <c r="S4183" t="s">
        <v>10310</v>
      </c>
      <c r="U4183" t="s">
        <v>11046</v>
      </c>
      <c r="W4183" s="2" t="s">
        <v>11204</v>
      </c>
    </row>
    <row r="4184" spans="1:23" hidden="1" x14ac:dyDescent="0.45">
      <c r="A4184" s="1" t="s">
        <v>4135</v>
      </c>
      <c r="B4184" t="s">
        <v>6781</v>
      </c>
      <c r="D4184" t="s">
        <v>8030</v>
      </c>
      <c r="E4184" t="s">
        <v>9623</v>
      </c>
      <c r="F4184" t="s">
        <v>10299</v>
      </c>
      <c r="G4184">
        <v>0.05</v>
      </c>
      <c r="H4184" t="s">
        <v>10310</v>
      </c>
      <c r="I4184" t="s">
        <v>10326</v>
      </c>
      <c r="L4184">
        <v>2015</v>
      </c>
      <c r="R4184" t="s">
        <v>11038</v>
      </c>
      <c r="S4184" t="s">
        <v>10310</v>
      </c>
      <c r="U4184" t="s">
        <v>11049</v>
      </c>
      <c r="W4184" s="2" t="s">
        <v>11204</v>
      </c>
    </row>
    <row r="4185" spans="1:23" hidden="1" x14ac:dyDescent="0.45">
      <c r="A4185" s="1" t="s">
        <v>4136</v>
      </c>
      <c r="D4185" t="s">
        <v>8055</v>
      </c>
      <c r="E4185" t="s">
        <v>9702</v>
      </c>
      <c r="F4185" t="s">
        <v>10299</v>
      </c>
      <c r="G4185">
        <v>3.5000000000000003E-2</v>
      </c>
      <c r="H4185" t="s">
        <v>10310</v>
      </c>
      <c r="I4185" t="s">
        <v>10326</v>
      </c>
      <c r="L4185">
        <v>1979</v>
      </c>
      <c r="R4185" t="s">
        <v>11038</v>
      </c>
      <c r="S4185" t="s">
        <v>10310</v>
      </c>
      <c r="U4185" t="s">
        <v>11047</v>
      </c>
      <c r="W4185" s="2" t="s">
        <v>11204</v>
      </c>
    </row>
    <row r="4186" spans="1:23" hidden="1" x14ac:dyDescent="0.45">
      <c r="A4186" s="1" t="s">
        <v>4137</v>
      </c>
      <c r="D4186" t="s">
        <v>8044</v>
      </c>
      <c r="E4186" t="s">
        <v>9717</v>
      </c>
      <c r="F4186" t="s">
        <v>10299</v>
      </c>
      <c r="G4186">
        <v>1.2E-2</v>
      </c>
      <c r="H4186" t="s">
        <v>10310</v>
      </c>
      <c r="I4186" t="s">
        <v>10326</v>
      </c>
      <c r="L4186">
        <v>1995</v>
      </c>
      <c r="R4186" t="s">
        <v>11038</v>
      </c>
      <c r="S4186" t="s">
        <v>10310</v>
      </c>
      <c r="U4186" t="s">
        <v>11046</v>
      </c>
      <c r="W4186" s="2" t="s">
        <v>11204</v>
      </c>
    </row>
    <row r="4187" spans="1:23" hidden="1" x14ac:dyDescent="0.45">
      <c r="A4187" s="1" t="s">
        <v>4138</v>
      </c>
      <c r="B4187" t="s">
        <v>6782</v>
      </c>
      <c r="D4187" t="s">
        <v>8045</v>
      </c>
      <c r="E4187" t="s">
        <v>9646</v>
      </c>
      <c r="F4187" t="s">
        <v>10299</v>
      </c>
      <c r="G4187">
        <v>3.2</v>
      </c>
      <c r="H4187" t="s">
        <v>10310</v>
      </c>
      <c r="I4187" t="s">
        <v>10326</v>
      </c>
      <c r="L4187">
        <v>2005</v>
      </c>
      <c r="R4187" t="s">
        <v>11038</v>
      </c>
      <c r="S4187" t="s">
        <v>10310</v>
      </c>
      <c r="U4187" t="s">
        <v>11047</v>
      </c>
      <c r="W4187" s="2" t="s">
        <v>11204</v>
      </c>
    </row>
    <row r="4188" spans="1:23" hidden="1" x14ac:dyDescent="0.45">
      <c r="A4188" s="1" t="s">
        <v>4139</v>
      </c>
      <c r="B4188" t="s">
        <v>6783</v>
      </c>
      <c r="D4188" t="s">
        <v>8081</v>
      </c>
      <c r="E4188" t="s">
        <v>9731</v>
      </c>
      <c r="F4188" t="s">
        <v>10299</v>
      </c>
      <c r="G4188">
        <v>1.7</v>
      </c>
      <c r="H4188" t="s">
        <v>10310</v>
      </c>
      <c r="I4188" t="s">
        <v>10326</v>
      </c>
      <c r="L4188">
        <v>2011</v>
      </c>
      <c r="R4188" t="s">
        <v>11038</v>
      </c>
      <c r="S4188" t="s">
        <v>10310</v>
      </c>
      <c r="U4188" t="s">
        <v>11047</v>
      </c>
      <c r="W4188" s="2" t="s">
        <v>11204</v>
      </c>
    </row>
    <row r="4189" spans="1:23" hidden="1" x14ac:dyDescent="0.45">
      <c r="A4189" s="1" t="s">
        <v>4140</v>
      </c>
      <c r="D4189" t="s">
        <v>8056</v>
      </c>
      <c r="E4189" t="s">
        <v>3440</v>
      </c>
      <c r="F4189" t="s">
        <v>10299</v>
      </c>
      <c r="G4189">
        <v>0.15</v>
      </c>
      <c r="H4189" t="s">
        <v>10310</v>
      </c>
      <c r="I4189" t="s">
        <v>10326</v>
      </c>
      <c r="L4189">
        <v>2006</v>
      </c>
      <c r="R4189" t="s">
        <v>11038</v>
      </c>
      <c r="S4189" t="s">
        <v>10310</v>
      </c>
      <c r="U4189" t="s">
        <v>11046</v>
      </c>
      <c r="W4189" s="2" t="s">
        <v>11204</v>
      </c>
    </row>
    <row r="4190" spans="1:23" hidden="1" x14ac:dyDescent="0.45">
      <c r="A4190" s="1" t="s">
        <v>4141</v>
      </c>
      <c r="B4190" t="s">
        <v>6563</v>
      </c>
      <c r="D4190" t="s">
        <v>8030</v>
      </c>
      <c r="E4190" t="s">
        <v>9623</v>
      </c>
      <c r="F4190" t="s">
        <v>10299</v>
      </c>
      <c r="G4190">
        <v>6</v>
      </c>
      <c r="H4190" t="s">
        <v>10310</v>
      </c>
      <c r="I4190" t="s">
        <v>10326</v>
      </c>
      <c r="L4190">
        <v>1989</v>
      </c>
      <c r="R4190" t="s">
        <v>11038</v>
      </c>
      <c r="S4190" t="s">
        <v>10310</v>
      </c>
      <c r="U4190" t="s">
        <v>11049</v>
      </c>
      <c r="W4190" s="2" t="s">
        <v>11204</v>
      </c>
    </row>
    <row r="4191" spans="1:23" hidden="1" x14ac:dyDescent="0.45">
      <c r="A4191" s="1" t="s">
        <v>4142</v>
      </c>
      <c r="D4191" t="s">
        <v>8035</v>
      </c>
      <c r="E4191" t="s">
        <v>9845</v>
      </c>
      <c r="F4191" t="s">
        <v>10299</v>
      </c>
      <c r="G4191">
        <v>1.7999999999999999E-2</v>
      </c>
      <c r="H4191" t="s">
        <v>10310</v>
      </c>
      <c r="I4191" t="s">
        <v>10326</v>
      </c>
      <c r="L4191">
        <v>1999</v>
      </c>
      <c r="R4191" t="s">
        <v>11038</v>
      </c>
      <c r="S4191" t="s">
        <v>10310</v>
      </c>
      <c r="U4191" t="s">
        <v>11046</v>
      </c>
      <c r="W4191" s="2" t="s">
        <v>11204</v>
      </c>
    </row>
    <row r="4192" spans="1:23" hidden="1" x14ac:dyDescent="0.45">
      <c r="A4192" s="1" t="s">
        <v>4143</v>
      </c>
      <c r="B4192" t="s">
        <v>6294</v>
      </c>
      <c r="D4192" t="s">
        <v>8063</v>
      </c>
      <c r="E4192" t="s">
        <v>9668</v>
      </c>
      <c r="F4192" t="s">
        <v>10299</v>
      </c>
      <c r="G4192">
        <v>0.3</v>
      </c>
      <c r="H4192" t="s">
        <v>10310</v>
      </c>
      <c r="I4192" t="s">
        <v>10324</v>
      </c>
      <c r="L4192">
        <v>1969</v>
      </c>
      <c r="R4192" t="s">
        <v>11038</v>
      </c>
      <c r="S4192" t="s">
        <v>10310</v>
      </c>
      <c r="U4192" t="s">
        <v>11046</v>
      </c>
      <c r="V4192" t="s">
        <v>11182</v>
      </c>
      <c r="W4192" s="2" t="s">
        <v>11204</v>
      </c>
    </row>
    <row r="4193" spans="1:23" hidden="1" x14ac:dyDescent="0.45">
      <c r="A4193" s="1" t="s">
        <v>4144</v>
      </c>
      <c r="B4193" t="s">
        <v>6303</v>
      </c>
      <c r="D4193" t="s">
        <v>8053</v>
      </c>
      <c r="E4193" t="s">
        <v>9652</v>
      </c>
      <c r="F4193" t="s">
        <v>10299</v>
      </c>
      <c r="G4193">
        <v>8.6300000000000008</v>
      </c>
      <c r="H4193" t="s">
        <v>10310</v>
      </c>
      <c r="I4193" t="s">
        <v>10326</v>
      </c>
      <c r="L4193">
        <v>2017</v>
      </c>
      <c r="R4193" t="s">
        <v>11038</v>
      </c>
      <c r="S4193" t="s">
        <v>10310</v>
      </c>
      <c r="U4193" t="s">
        <v>11049</v>
      </c>
      <c r="W4193" s="2" t="s">
        <v>11204</v>
      </c>
    </row>
    <row r="4194" spans="1:23" hidden="1" x14ac:dyDescent="0.45">
      <c r="A4194" s="1" t="s">
        <v>4145</v>
      </c>
      <c r="B4194" t="s">
        <v>6784</v>
      </c>
      <c r="D4194" t="s">
        <v>8071</v>
      </c>
      <c r="E4194" t="s">
        <v>9689</v>
      </c>
      <c r="F4194" t="s">
        <v>10299</v>
      </c>
      <c r="G4194">
        <v>3</v>
      </c>
      <c r="H4194" t="s">
        <v>10310</v>
      </c>
      <c r="I4194" t="s">
        <v>10326</v>
      </c>
      <c r="L4194">
        <v>2006</v>
      </c>
      <c r="R4194" t="s">
        <v>11038</v>
      </c>
      <c r="S4194" t="s">
        <v>10310</v>
      </c>
      <c r="U4194" t="s">
        <v>11047</v>
      </c>
      <c r="W4194" s="2" t="s">
        <v>11204</v>
      </c>
    </row>
    <row r="4195" spans="1:23" hidden="1" x14ac:dyDescent="0.45">
      <c r="A4195" s="1" t="s">
        <v>4146</v>
      </c>
      <c r="B4195" t="s">
        <v>6290</v>
      </c>
      <c r="D4195" t="s">
        <v>8047</v>
      </c>
      <c r="E4195" t="s">
        <v>9750</v>
      </c>
      <c r="F4195" t="s">
        <v>10299</v>
      </c>
      <c r="G4195">
        <v>5</v>
      </c>
      <c r="H4195" t="s">
        <v>10310</v>
      </c>
      <c r="I4195" t="s">
        <v>10326</v>
      </c>
      <c r="L4195">
        <v>1976</v>
      </c>
      <c r="R4195" t="s">
        <v>11038</v>
      </c>
      <c r="S4195" t="s">
        <v>10310</v>
      </c>
      <c r="U4195" t="s">
        <v>11050</v>
      </c>
      <c r="W4195" s="2" t="s">
        <v>11204</v>
      </c>
    </row>
    <row r="4196" spans="1:23" hidden="1" x14ac:dyDescent="0.45">
      <c r="A4196" s="1" t="s">
        <v>4147</v>
      </c>
      <c r="B4196" t="s">
        <v>6785</v>
      </c>
      <c r="D4196" t="s">
        <v>8034</v>
      </c>
      <c r="E4196" t="s">
        <v>9627</v>
      </c>
      <c r="F4196" t="s">
        <v>10299</v>
      </c>
      <c r="G4196">
        <v>0.5</v>
      </c>
      <c r="H4196" t="s">
        <v>10310</v>
      </c>
      <c r="I4196" t="s">
        <v>10326</v>
      </c>
      <c r="L4196">
        <v>1957</v>
      </c>
      <c r="R4196" t="s">
        <v>11038</v>
      </c>
      <c r="S4196" t="s">
        <v>10310</v>
      </c>
      <c r="U4196" t="s">
        <v>11046</v>
      </c>
      <c r="W4196" s="2" t="s">
        <v>11204</v>
      </c>
    </row>
    <row r="4197" spans="1:23" hidden="1" x14ac:dyDescent="0.45">
      <c r="A4197" s="1" t="s">
        <v>4148</v>
      </c>
      <c r="B4197" t="s">
        <v>6395</v>
      </c>
      <c r="D4197" t="s">
        <v>8039</v>
      </c>
      <c r="E4197" t="s">
        <v>9695</v>
      </c>
      <c r="F4197" t="s">
        <v>10299</v>
      </c>
      <c r="G4197">
        <v>50</v>
      </c>
      <c r="H4197" t="s">
        <v>10310</v>
      </c>
      <c r="I4197" t="s">
        <v>10326</v>
      </c>
      <c r="L4197">
        <v>1979</v>
      </c>
      <c r="R4197" t="s">
        <v>11038</v>
      </c>
      <c r="S4197" t="s">
        <v>10310</v>
      </c>
      <c r="U4197" t="s">
        <v>11046</v>
      </c>
      <c r="W4197" s="2" t="s">
        <v>11204</v>
      </c>
    </row>
    <row r="4198" spans="1:23" hidden="1" x14ac:dyDescent="0.45">
      <c r="A4198" s="1" t="s">
        <v>4149</v>
      </c>
      <c r="B4198" t="s">
        <v>6290</v>
      </c>
      <c r="D4198" t="s">
        <v>8074</v>
      </c>
      <c r="E4198" t="s">
        <v>9846</v>
      </c>
      <c r="F4198" t="s">
        <v>10299</v>
      </c>
      <c r="G4198">
        <v>80</v>
      </c>
      <c r="H4198" t="s">
        <v>10310</v>
      </c>
      <c r="I4198" t="s">
        <v>10326</v>
      </c>
      <c r="L4198">
        <v>2018</v>
      </c>
      <c r="R4198" t="s">
        <v>11038</v>
      </c>
      <c r="S4198" t="s">
        <v>10310</v>
      </c>
      <c r="U4198" t="s">
        <v>11047</v>
      </c>
      <c r="W4198" s="2" t="s">
        <v>11204</v>
      </c>
    </row>
    <row r="4199" spans="1:23" hidden="1" x14ac:dyDescent="0.45">
      <c r="A4199" s="1" t="s">
        <v>4150</v>
      </c>
      <c r="B4199" t="s">
        <v>6786</v>
      </c>
      <c r="D4199" t="s">
        <v>8064</v>
      </c>
      <c r="E4199" t="s">
        <v>9847</v>
      </c>
      <c r="F4199" t="s">
        <v>10299</v>
      </c>
      <c r="G4199">
        <v>0.18</v>
      </c>
      <c r="H4199" t="s">
        <v>10310</v>
      </c>
      <c r="I4199" t="s">
        <v>10326</v>
      </c>
      <c r="L4199">
        <v>1940</v>
      </c>
      <c r="R4199" t="s">
        <v>11038</v>
      </c>
      <c r="S4199" t="s">
        <v>10310</v>
      </c>
      <c r="U4199" t="s">
        <v>11050</v>
      </c>
      <c r="W4199" s="2" t="s">
        <v>11204</v>
      </c>
    </row>
    <row r="4200" spans="1:23" hidden="1" x14ac:dyDescent="0.45">
      <c r="A4200" s="1" t="s">
        <v>4151</v>
      </c>
      <c r="B4200" t="s">
        <v>6307</v>
      </c>
      <c r="D4200" t="s">
        <v>8036</v>
      </c>
      <c r="E4200" t="s">
        <v>9848</v>
      </c>
      <c r="F4200" t="s">
        <v>10299</v>
      </c>
      <c r="G4200">
        <v>5.49</v>
      </c>
      <c r="H4200" t="s">
        <v>10310</v>
      </c>
      <c r="I4200" t="s">
        <v>10326</v>
      </c>
      <c r="L4200">
        <v>1952</v>
      </c>
      <c r="R4200" t="s">
        <v>11038</v>
      </c>
      <c r="S4200" t="s">
        <v>10310</v>
      </c>
      <c r="U4200" t="s">
        <v>11048</v>
      </c>
      <c r="W4200" s="2" t="s">
        <v>11204</v>
      </c>
    </row>
    <row r="4201" spans="1:23" hidden="1" x14ac:dyDescent="0.45">
      <c r="A4201" s="1" t="s">
        <v>4152</v>
      </c>
      <c r="D4201" t="s">
        <v>8032</v>
      </c>
      <c r="E4201" t="s">
        <v>9660</v>
      </c>
      <c r="F4201" t="s">
        <v>10299</v>
      </c>
      <c r="G4201">
        <v>0.05</v>
      </c>
      <c r="H4201" t="s">
        <v>10310</v>
      </c>
      <c r="I4201" t="s">
        <v>10326</v>
      </c>
      <c r="L4201">
        <v>2004</v>
      </c>
      <c r="R4201" t="s">
        <v>11038</v>
      </c>
      <c r="S4201" t="s">
        <v>10310</v>
      </c>
      <c r="U4201" t="s">
        <v>11047</v>
      </c>
      <c r="W4201" s="2" t="s">
        <v>11204</v>
      </c>
    </row>
    <row r="4202" spans="1:23" hidden="1" x14ac:dyDescent="0.45">
      <c r="A4202" s="1" t="s">
        <v>4153</v>
      </c>
      <c r="B4202" t="s">
        <v>6625</v>
      </c>
      <c r="D4202" t="s">
        <v>8053</v>
      </c>
      <c r="E4202" t="s">
        <v>9652</v>
      </c>
      <c r="F4202" t="s">
        <v>10299</v>
      </c>
      <c r="G4202">
        <v>0.66</v>
      </c>
      <c r="H4202" t="s">
        <v>10310</v>
      </c>
      <c r="I4202" t="s">
        <v>10326</v>
      </c>
      <c r="L4202">
        <v>2008</v>
      </c>
      <c r="R4202" t="s">
        <v>11038</v>
      </c>
      <c r="S4202" t="s">
        <v>10310</v>
      </c>
      <c r="U4202" t="s">
        <v>11049</v>
      </c>
      <c r="W4202" s="2" t="s">
        <v>11204</v>
      </c>
    </row>
    <row r="4203" spans="1:23" hidden="1" x14ac:dyDescent="0.45">
      <c r="A4203" s="1" t="s">
        <v>4154</v>
      </c>
      <c r="D4203" t="s">
        <v>8028</v>
      </c>
      <c r="E4203" t="s">
        <v>9636</v>
      </c>
      <c r="F4203" t="s">
        <v>10299</v>
      </c>
      <c r="G4203">
        <v>0.09</v>
      </c>
      <c r="H4203" t="s">
        <v>10310</v>
      </c>
      <c r="I4203" t="s">
        <v>10326</v>
      </c>
      <c r="L4203">
        <v>1935</v>
      </c>
      <c r="R4203" t="s">
        <v>11038</v>
      </c>
      <c r="S4203" t="s">
        <v>10310</v>
      </c>
      <c r="U4203" t="s">
        <v>11050</v>
      </c>
      <c r="W4203" s="2" t="s">
        <v>11204</v>
      </c>
    </row>
    <row r="4204" spans="1:23" hidden="1" x14ac:dyDescent="0.45">
      <c r="A4204" s="1" t="s">
        <v>4155</v>
      </c>
      <c r="B4204" t="s">
        <v>6787</v>
      </c>
      <c r="D4204" t="s">
        <v>8063</v>
      </c>
      <c r="E4204" t="s">
        <v>9668</v>
      </c>
      <c r="F4204" t="s">
        <v>10299</v>
      </c>
      <c r="G4204">
        <v>0.4</v>
      </c>
      <c r="H4204" t="s">
        <v>10310</v>
      </c>
      <c r="I4204" t="s">
        <v>10326</v>
      </c>
      <c r="L4204">
        <v>2000</v>
      </c>
      <c r="R4204" t="s">
        <v>11038</v>
      </c>
      <c r="S4204" t="s">
        <v>10310</v>
      </c>
      <c r="U4204" t="s">
        <v>11046</v>
      </c>
      <c r="W4204" s="2" t="s">
        <v>11204</v>
      </c>
    </row>
    <row r="4205" spans="1:23" hidden="1" x14ac:dyDescent="0.45">
      <c r="A4205" s="1" t="s">
        <v>4156</v>
      </c>
      <c r="B4205" t="s">
        <v>6788</v>
      </c>
      <c r="D4205" t="s">
        <v>8058</v>
      </c>
      <c r="E4205" t="s">
        <v>9662</v>
      </c>
      <c r="F4205" t="s">
        <v>10299</v>
      </c>
      <c r="G4205">
        <v>5.49</v>
      </c>
      <c r="H4205" t="s">
        <v>10310</v>
      </c>
      <c r="I4205" t="s">
        <v>10326</v>
      </c>
      <c r="L4205">
        <v>2019</v>
      </c>
      <c r="R4205" t="s">
        <v>11038</v>
      </c>
      <c r="S4205" t="s">
        <v>10310</v>
      </c>
      <c r="U4205" t="s">
        <v>11046</v>
      </c>
      <c r="W4205" s="2" t="s">
        <v>11204</v>
      </c>
    </row>
    <row r="4206" spans="1:23" hidden="1" x14ac:dyDescent="0.45">
      <c r="A4206" s="1" t="s">
        <v>4157</v>
      </c>
      <c r="B4206" t="s">
        <v>6789</v>
      </c>
      <c r="D4206" t="s">
        <v>8030</v>
      </c>
      <c r="E4206" t="s">
        <v>9623</v>
      </c>
      <c r="F4206" t="s">
        <v>10299</v>
      </c>
      <c r="G4206">
        <v>0.04</v>
      </c>
      <c r="H4206" t="s">
        <v>10310</v>
      </c>
      <c r="I4206" t="s">
        <v>10326</v>
      </c>
      <c r="L4206">
        <v>2003</v>
      </c>
      <c r="R4206" t="s">
        <v>11038</v>
      </c>
      <c r="S4206" t="s">
        <v>10310</v>
      </c>
      <c r="U4206" t="s">
        <v>11049</v>
      </c>
      <c r="W4206" s="2" t="s">
        <v>11204</v>
      </c>
    </row>
    <row r="4207" spans="1:23" hidden="1" x14ac:dyDescent="0.45">
      <c r="A4207" s="1" t="s">
        <v>4158</v>
      </c>
      <c r="B4207" t="s">
        <v>6790</v>
      </c>
      <c r="D4207" t="s">
        <v>8064</v>
      </c>
      <c r="E4207" t="s">
        <v>9849</v>
      </c>
      <c r="F4207" t="s">
        <v>10299</v>
      </c>
      <c r="G4207">
        <v>3.488</v>
      </c>
      <c r="H4207" t="s">
        <v>10310</v>
      </c>
      <c r="I4207" t="s">
        <v>10326</v>
      </c>
      <c r="L4207">
        <v>2013</v>
      </c>
      <c r="R4207" t="s">
        <v>11038</v>
      </c>
      <c r="S4207" t="s">
        <v>10310</v>
      </c>
      <c r="U4207" t="s">
        <v>11047</v>
      </c>
      <c r="W4207" s="2" t="s">
        <v>11204</v>
      </c>
    </row>
    <row r="4208" spans="1:23" hidden="1" x14ac:dyDescent="0.45">
      <c r="A4208" s="1" t="s">
        <v>4159</v>
      </c>
      <c r="B4208" t="s">
        <v>6311</v>
      </c>
      <c r="D4208" t="s">
        <v>8073</v>
      </c>
      <c r="E4208" t="s">
        <v>9782</v>
      </c>
      <c r="F4208" t="s">
        <v>10299</v>
      </c>
      <c r="G4208">
        <v>55</v>
      </c>
      <c r="H4208" t="s">
        <v>10310</v>
      </c>
      <c r="I4208" t="s">
        <v>10326</v>
      </c>
      <c r="L4208">
        <v>1978</v>
      </c>
      <c r="R4208" t="s">
        <v>11038</v>
      </c>
      <c r="S4208" t="s">
        <v>10310</v>
      </c>
      <c r="U4208" t="s">
        <v>11046</v>
      </c>
      <c r="W4208" s="2" t="s">
        <v>11204</v>
      </c>
    </row>
    <row r="4209" spans="1:23" hidden="1" x14ac:dyDescent="0.45">
      <c r="A4209" s="1" t="s">
        <v>4160</v>
      </c>
      <c r="B4209" t="s">
        <v>6311</v>
      </c>
      <c r="D4209" t="s">
        <v>8073</v>
      </c>
      <c r="E4209" t="s">
        <v>9782</v>
      </c>
      <c r="F4209" t="s">
        <v>10299</v>
      </c>
      <c r="G4209">
        <v>0.11</v>
      </c>
      <c r="H4209" t="s">
        <v>10310</v>
      </c>
      <c r="I4209" t="s">
        <v>10326</v>
      </c>
      <c r="L4209">
        <v>1992</v>
      </c>
      <c r="R4209" t="s">
        <v>11038</v>
      </c>
      <c r="S4209" t="s">
        <v>10310</v>
      </c>
      <c r="U4209" t="s">
        <v>11046</v>
      </c>
      <c r="W4209" s="2" t="s">
        <v>11204</v>
      </c>
    </row>
    <row r="4210" spans="1:23" hidden="1" x14ac:dyDescent="0.45">
      <c r="A4210" s="1" t="s">
        <v>4161</v>
      </c>
      <c r="B4210" t="s">
        <v>6791</v>
      </c>
      <c r="D4210" t="s">
        <v>8071</v>
      </c>
      <c r="E4210" t="s">
        <v>9689</v>
      </c>
      <c r="F4210" t="s">
        <v>10299</v>
      </c>
      <c r="G4210">
        <v>1.25</v>
      </c>
      <c r="H4210" t="s">
        <v>10310</v>
      </c>
      <c r="I4210" t="s">
        <v>10326</v>
      </c>
      <c r="L4210">
        <v>1999</v>
      </c>
      <c r="R4210" t="s">
        <v>11038</v>
      </c>
      <c r="S4210" t="s">
        <v>10310</v>
      </c>
      <c r="U4210" t="s">
        <v>11047</v>
      </c>
      <c r="W4210" s="2" t="s">
        <v>11204</v>
      </c>
    </row>
    <row r="4211" spans="1:23" hidden="1" x14ac:dyDescent="0.45">
      <c r="A4211" s="1" t="s">
        <v>4161</v>
      </c>
      <c r="B4211" t="s">
        <v>6281</v>
      </c>
      <c r="D4211" t="s">
        <v>8046</v>
      </c>
      <c r="E4211" t="s">
        <v>9640</v>
      </c>
      <c r="F4211" t="s">
        <v>10299</v>
      </c>
      <c r="G4211">
        <v>1.95</v>
      </c>
      <c r="H4211" t="s">
        <v>10310</v>
      </c>
      <c r="I4211" t="s">
        <v>10326</v>
      </c>
      <c r="L4211">
        <v>2006</v>
      </c>
      <c r="R4211" t="s">
        <v>11038</v>
      </c>
      <c r="S4211" t="s">
        <v>10310</v>
      </c>
      <c r="U4211" t="s">
        <v>11047</v>
      </c>
      <c r="W4211" s="2" t="s">
        <v>11204</v>
      </c>
    </row>
    <row r="4212" spans="1:23" hidden="1" x14ac:dyDescent="0.45">
      <c r="A4212" s="1" t="s">
        <v>4162</v>
      </c>
      <c r="B4212" t="s">
        <v>6792</v>
      </c>
      <c r="D4212" t="s">
        <v>8083</v>
      </c>
      <c r="E4212" t="s">
        <v>9760</v>
      </c>
      <c r="F4212" t="s">
        <v>10299</v>
      </c>
      <c r="G4212">
        <v>0.85</v>
      </c>
      <c r="H4212" t="s">
        <v>10310</v>
      </c>
      <c r="I4212" t="s">
        <v>10326</v>
      </c>
      <c r="L4212">
        <v>2008</v>
      </c>
      <c r="R4212" t="s">
        <v>11038</v>
      </c>
      <c r="S4212" t="s">
        <v>10310</v>
      </c>
      <c r="U4212" t="s">
        <v>11047</v>
      </c>
      <c r="W4212" s="2" t="s">
        <v>11204</v>
      </c>
    </row>
    <row r="4213" spans="1:23" hidden="1" x14ac:dyDescent="0.45">
      <c r="A4213" s="1" t="s">
        <v>4163</v>
      </c>
      <c r="B4213" t="s">
        <v>6274</v>
      </c>
      <c r="D4213" t="s">
        <v>8076</v>
      </c>
      <c r="E4213" t="s">
        <v>9719</v>
      </c>
      <c r="F4213" t="s">
        <v>10299</v>
      </c>
      <c r="G4213">
        <v>2.9</v>
      </c>
      <c r="H4213" t="s">
        <v>10310</v>
      </c>
      <c r="I4213" t="s">
        <v>10326</v>
      </c>
      <c r="L4213">
        <v>2009</v>
      </c>
      <c r="R4213" t="s">
        <v>11038</v>
      </c>
      <c r="S4213" t="s">
        <v>10310</v>
      </c>
      <c r="U4213" t="s">
        <v>11049</v>
      </c>
      <c r="W4213" s="2" t="s">
        <v>11204</v>
      </c>
    </row>
    <row r="4214" spans="1:23" hidden="1" x14ac:dyDescent="0.45">
      <c r="A4214" s="1" t="s">
        <v>4164</v>
      </c>
      <c r="B4214" t="s">
        <v>6331</v>
      </c>
      <c r="D4214" t="s">
        <v>8043</v>
      </c>
      <c r="E4214" t="s">
        <v>9635</v>
      </c>
      <c r="F4214" t="s">
        <v>10299</v>
      </c>
      <c r="G4214">
        <v>9</v>
      </c>
      <c r="H4214" t="s">
        <v>10310</v>
      </c>
      <c r="I4214" t="s">
        <v>10326</v>
      </c>
      <c r="L4214">
        <v>2006</v>
      </c>
      <c r="R4214" t="s">
        <v>11038</v>
      </c>
      <c r="S4214" t="s">
        <v>10310</v>
      </c>
      <c r="U4214" t="s">
        <v>11046</v>
      </c>
      <c r="W4214" s="2" t="s">
        <v>11204</v>
      </c>
    </row>
    <row r="4215" spans="1:23" hidden="1" x14ac:dyDescent="0.45">
      <c r="A4215" s="1" t="s">
        <v>4165</v>
      </c>
      <c r="B4215" t="s">
        <v>6430</v>
      </c>
      <c r="D4215" t="s">
        <v>8051</v>
      </c>
      <c r="E4215" t="s">
        <v>9735</v>
      </c>
      <c r="F4215" t="s">
        <v>10299</v>
      </c>
      <c r="G4215">
        <v>2.15</v>
      </c>
      <c r="H4215" t="s">
        <v>10310</v>
      </c>
      <c r="I4215" t="s">
        <v>10326</v>
      </c>
      <c r="L4215">
        <v>2015</v>
      </c>
      <c r="R4215" t="s">
        <v>11038</v>
      </c>
      <c r="S4215" t="s">
        <v>10310</v>
      </c>
      <c r="U4215" t="s">
        <v>11047</v>
      </c>
      <c r="W4215" s="2" t="s">
        <v>11204</v>
      </c>
    </row>
    <row r="4216" spans="1:23" hidden="1" x14ac:dyDescent="0.45">
      <c r="A4216" s="1" t="s">
        <v>4166</v>
      </c>
      <c r="D4216" t="s">
        <v>8042</v>
      </c>
      <c r="E4216" t="s">
        <v>1588</v>
      </c>
      <c r="F4216" t="s">
        <v>10299</v>
      </c>
      <c r="G4216">
        <v>7.0000000000000007E-2</v>
      </c>
      <c r="H4216" t="s">
        <v>10310</v>
      </c>
      <c r="I4216" t="s">
        <v>10326</v>
      </c>
      <c r="L4216">
        <v>2001</v>
      </c>
      <c r="R4216" t="s">
        <v>11038</v>
      </c>
      <c r="S4216" t="s">
        <v>10310</v>
      </c>
      <c r="U4216" t="s">
        <v>11047</v>
      </c>
      <c r="W4216" s="2" t="s">
        <v>11204</v>
      </c>
    </row>
    <row r="4217" spans="1:23" hidden="1" x14ac:dyDescent="0.45">
      <c r="A4217" s="1" t="s">
        <v>4167</v>
      </c>
      <c r="B4217" t="s">
        <v>6548</v>
      </c>
      <c r="D4217" t="s">
        <v>8032</v>
      </c>
      <c r="E4217" t="s">
        <v>9660</v>
      </c>
      <c r="F4217" t="s">
        <v>10299</v>
      </c>
      <c r="G4217">
        <v>3.21</v>
      </c>
      <c r="H4217" t="s">
        <v>10310</v>
      </c>
      <c r="I4217" t="s">
        <v>10326</v>
      </c>
      <c r="L4217">
        <v>2019</v>
      </c>
      <c r="R4217" t="s">
        <v>11038</v>
      </c>
      <c r="S4217" t="s">
        <v>10310</v>
      </c>
      <c r="U4217" t="s">
        <v>11047</v>
      </c>
      <c r="W4217" s="2" t="s">
        <v>11204</v>
      </c>
    </row>
    <row r="4218" spans="1:23" hidden="1" x14ac:dyDescent="0.45">
      <c r="A4218" s="1" t="s">
        <v>4168</v>
      </c>
      <c r="B4218" t="s">
        <v>6434</v>
      </c>
      <c r="D4218" t="s">
        <v>8048</v>
      </c>
      <c r="E4218" t="s">
        <v>9642</v>
      </c>
      <c r="F4218" t="s">
        <v>10299</v>
      </c>
      <c r="G4218">
        <v>166</v>
      </c>
      <c r="H4218" t="s">
        <v>10310</v>
      </c>
      <c r="I4218" t="s">
        <v>10326</v>
      </c>
      <c r="L4218">
        <v>1966</v>
      </c>
      <c r="R4218" t="s">
        <v>11038</v>
      </c>
      <c r="S4218" t="s">
        <v>10310</v>
      </c>
      <c r="U4218" t="s">
        <v>11046</v>
      </c>
      <c r="W4218" s="2" t="s">
        <v>11204</v>
      </c>
    </row>
    <row r="4219" spans="1:23" hidden="1" x14ac:dyDescent="0.45">
      <c r="A4219" s="1" t="s">
        <v>4169</v>
      </c>
      <c r="B4219" t="s">
        <v>6433</v>
      </c>
      <c r="D4219" t="s">
        <v>8080</v>
      </c>
      <c r="E4219" t="s">
        <v>9729</v>
      </c>
      <c r="F4219" t="s">
        <v>10299</v>
      </c>
      <c r="G4219">
        <v>4.3</v>
      </c>
      <c r="H4219" t="s">
        <v>10310</v>
      </c>
      <c r="I4219" t="s">
        <v>10326</v>
      </c>
      <c r="L4219">
        <v>2016</v>
      </c>
      <c r="R4219" t="s">
        <v>11038</v>
      </c>
      <c r="S4219" t="s">
        <v>10310</v>
      </c>
      <c r="U4219" t="s">
        <v>11049</v>
      </c>
      <c r="W4219" s="2" t="s">
        <v>11204</v>
      </c>
    </row>
    <row r="4220" spans="1:23" hidden="1" x14ac:dyDescent="0.45">
      <c r="A4220" s="1" t="s">
        <v>4170</v>
      </c>
      <c r="B4220" t="s">
        <v>6793</v>
      </c>
      <c r="D4220" t="s">
        <v>8075</v>
      </c>
      <c r="E4220" t="s">
        <v>9715</v>
      </c>
      <c r="F4220" t="s">
        <v>10299</v>
      </c>
      <c r="G4220">
        <v>1.7999999999999999E-2</v>
      </c>
      <c r="H4220" t="s">
        <v>10310</v>
      </c>
      <c r="I4220" t="s">
        <v>10326</v>
      </c>
      <c r="L4220">
        <v>2006</v>
      </c>
      <c r="R4220" t="s">
        <v>11038</v>
      </c>
      <c r="S4220" t="s">
        <v>10310</v>
      </c>
      <c r="U4220" t="s">
        <v>11047</v>
      </c>
      <c r="W4220" s="2" t="s">
        <v>11204</v>
      </c>
    </row>
    <row r="4221" spans="1:23" hidden="1" x14ac:dyDescent="0.45">
      <c r="A4221" s="1" t="s">
        <v>4171</v>
      </c>
      <c r="B4221" t="s">
        <v>6794</v>
      </c>
      <c r="D4221" t="s">
        <v>8035</v>
      </c>
      <c r="E4221" t="s">
        <v>9845</v>
      </c>
      <c r="F4221" t="s">
        <v>10299</v>
      </c>
      <c r="G4221">
        <v>9.9000000000000005E-2</v>
      </c>
      <c r="H4221" t="s">
        <v>10310</v>
      </c>
      <c r="I4221" t="s">
        <v>10326</v>
      </c>
      <c r="L4221">
        <v>2004</v>
      </c>
      <c r="R4221" t="s">
        <v>11038</v>
      </c>
      <c r="S4221" t="s">
        <v>10310</v>
      </c>
      <c r="U4221" t="s">
        <v>11046</v>
      </c>
      <c r="W4221" s="2" t="s">
        <v>11204</v>
      </c>
    </row>
    <row r="4222" spans="1:23" hidden="1" x14ac:dyDescent="0.45">
      <c r="A4222" s="1" t="s">
        <v>4172</v>
      </c>
      <c r="B4222" t="s">
        <v>6795</v>
      </c>
      <c r="D4222" t="s">
        <v>8061</v>
      </c>
      <c r="E4222" t="s">
        <v>9665</v>
      </c>
      <c r="F4222" t="s">
        <v>10299</v>
      </c>
      <c r="G4222">
        <v>7.0000000000000007E-2</v>
      </c>
      <c r="H4222" t="s">
        <v>10310</v>
      </c>
      <c r="I4222" t="s">
        <v>10326</v>
      </c>
      <c r="L4222">
        <v>2003</v>
      </c>
      <c r="R4222" t="s">
        <v>11038</v>
      </c>
      <c r="S4222" t="s">
        <v>10310</v>
      </c>
      <c r="U4222" t="s">
        <v>11046</v>
      </c>
      <c r="W4222" s="2" t="s">
        <v>11204</v>
      </c>
    </row>
    <row r="4223" spans="1:23" hidden="1" x14ac:dyDescent="0.45">
      <c r="A4223" s="1" t="s">
        <v>4173</v>
      </c>
      <c r="D4223" t="s">
        <v>8065</v>
      </c>
      <c r="E4223" t="s">
        <v>9677</v>
      </c>
      <c r="F4223" t="s">
        <v>10299</v>
      </c>
      <c r="G4223">
        <v>1.0999999999999999E-2</v>
      </c>
      <c r="H4223" t="s">
        <v>10310</v>
      </c>
      <c r="I4223" t="s">
        <v>10326</v>
      </c>
      <c r="L4223">
        <v>1997</v>
      </c>
      <c r="R4223" t="s">
        <v>11038</v>
      </c>
      <c r="S4223" t="s">
        <v>10310</v>
      </c>
      <c r="U4223" t="s">
        <v>11047</v>
      </c>
      <c r="W4223" s="2" t="s">
        <v>11204</v>
      </c>
    </row>
    <row r="4224" spans="1:23" hidden="1" x14ac:dyDescent="0.45">
      <c r="A4224" s="1" t="s">
        <v>4174</v>
      </c>
      <c r="D4224" t="s">
        <v>8033</v>
      </c>
      <c r="E4224" t="s">
        <v>9666</v>
      </c>
      <c r="F4224" t="s">
        <v>10299</v>
      </c>
      <c r="G4224">
        <v>3.0000000000000001E-3</v>
      </c>
      <c r="H4224" t="s">
        <v>10310</v>
      </c>
      <c r="I4224" t="s">
        <v>10326</v>
      </c>
      <c r="L4224">
        <v>2004</v>
      </c>
      <c r="R4224" t="s">
        <v>11038</v>
      </c>
      <c r="S4224" t="s">
        <v>10310</v>
      </c>
      <c r="U4224" t="s">
        <v>11048</v>
      </c>
      <c r="W4224" s="2" t="s">
        <v>11204</v>
      </c>
    </row>
    <row r="4225" spans="1:23" hidden="1" x14ac:dyDescent="0.45">
      <c r="A4225" s="1" t="s">
        <v>4175</v>
      </c>
      <c r="B4225" t="s">
        <v>6308</v>
      </c>
      <c r="D4225" t="s">
        <v>8065</v>
      </c>
      <c r="E4225" t="s">
        <v>9677</v>
      </c>
      <c r="F4225" t="s">
        <v>10299</v>
      </c>
      <c r="G4225">
        <v>2.8</v>
      </c>
      <c r="H4225" t="s">
        <v>10310</v>
      </c>
      <c r="I4225" t="s">
        <v>10326</v>
      </c>
      <c r="L4225">
        <v>2010</v>
      </c>
      <c r="R4225" t="s">
        <v>11038</v>
      </c>
      <c r="S4225" t="s">
        <v>10310</v>
      </c>
      <c r="U4225" t="s">
        <v>11047</v>
      </c>
      <c r="W4225" s="2" t="s">
        <v>11204</v>
      </c>
    </row>
    <row r="4226" spans="1:23" hidden="1" x14ac:dyDescent="0.45">
      <c r="A4226" s="1" t="s">
        <v>4176</v>
      </c>
      <c r="B4226" t="s">
        <v>6648</v>
      </c>
      <c r="D4226" t="s">
        <v>8057</v>
      </c>
      <c r="E4226" t="s">
        <v>9850</v>
      </c>
      <c r="F4226" t="s">
        <v>10299</v>
      </c>
      <c r="G4226">
        <v>3</v>
      </c>
      <c r="H4226" t="s">
        <v>10310</v>
      </c>
      <c r="I4226" t="s">
        <v>10326</v>
      </c>
      <c r="L4226">
        <v>1913</v>
      </c>
      <c r="R4226" t="s">
        <v>11038</v>
      </c>
      <c r="S4226" t="s">
        <v>10310</v>
      </c>
      <c r="U4226" t="s">
        <v>11050</v>
      </c>
      <c r="W4226" s="2" t="s">
        <v>11204</v>
      </c>
    </row>
    <row r="4227" spans="1:23" hidden="1" x14ac:dyDescent="0.45">
      <c r="A4227" s="1" t="s">
        <v>4177</v>
      </c>
      <c r="B4227" t="s">
        <v>6796</v>
      </c>
      <c r="D4227" t="s">
        <v>8055</v>
      </c>
      <c r="E4227" t="s">
        <v>3805</v>
      </c>
      <c r="F4227" t="s">
        <v>10299</v>
      </c>
      <c r="G4227">
        <v>1.33</v>
      </c>
      <c r="H4227" t="s">
        <v>10310</v>
      </c>
      <c r="I4227" t="s">
        <v>10326</v>
      </c>
      <c r="L4227">
        <v>2004</v>
      </c>
      <c r="R4227" t="s">
        <v>11038</v>
      </c>
      <c r="S4227" t="s">
        <v>10310</v>
      </c>
      <c r="U4227" t="s">
        <v>11046</v>
      </c>
      <c r="W4227" s="2" t="s">
        <v>11204</v>
      </c>
    </row>
    <row r="4228" spans="1:23" hidden="1" x14ac:dyDescent="0.45">
      <c r="A4228" s="1" t="s">
        <v>4178</v>
      </c>
      <c r="B4228" t="s">
        <v>6797</v>
      </c>
      <c r="D4228" t="s">
        <v>8045</v>
      </c>
      <c r="E4228" t="s">
        <v>9644</v>
      </c>
      <c r="F4228" t="s">
        <v>10299</v>
      </c>
      <c r="G4228">
        <v>2.7</v>
      </c>
      <c r="H4228" t="s">
        <v>10310</v>
      </c>
      <c r="I4228" t="s">
        <v>10326</v>
      </c>
      <c r="L4228">
        <v>2006</v>
      </c>
      <c r="R4228" t="s">
        <v>11038</v>
      </c>
      <c r="S4228" t="s">
        <v>10310</v>
      </c>
      <c r="U4228" t="s">
        <v>11048</v>
      </c>
      <c r="W4228" s="2" t="s">
        <v>11204</v>
      </c>
    </row>
    <row r="4229" spans="1:23" hidden="1" x14ac:dyDescent="0.45">
      <c r="A4229" s="1" t="s">
        <v>4179</v>
      </c>
      <c r="B4229" t="s">
        <v>6289</v>
      </c>
      <c r="D4229" t="s">
        <v>8082</v>
      </c>
      <c r="E4229" t="s">
        <v>9771</v>
      </c>
      <c r="F4229" t="s">
        <v>10299</v>
      </c>
      <c r="G4229">
        <v>16.600000000000001</v>
      </c>
      <c r="H4229" t="s">
        <v>10310</v>
      </c>
      <c r="I4229" t="s">
        <v>10326</v>
      </c>
      <c r="L4229">
        <v>1965</v>
      </c>
      <c r="R4229" t="s">
        <v>11038</v>
      </c>
      <c r="S4229" t="s">
        <v>10310</v>
      </c>
      <c r="U4229" t="s">
        <v>11048</v>
      </c>
      <c r="W4229" s="2" t="s">
        <v>11204</v>
      </c>
    </row>
    <row r="4230" spans="1:23" hidden="1" x14ac:dyDescent="0.45">
      <c r="A4230" s="1" t="s">
        <v>4180</v>
      </c>
      <c r="B4230" t="s">
        <v>6469</v>
      </c>
      <c r="D4230" t="s">
        <v>8055</v>
      </c>
      <c r="E4230" t="s">
        <v>9702</v>
      </c>
      <c r="F4230" t="s">
        <v>10299</v>
      </c>
      <c r="G4230">
        <v>0.34599999999999997</v>
      </c>
      <c r="H4230" t="s">
        <v>10310</v>
      </c>
      <c r="I4230" t="s">
        <v>10326</v>
      </c>
      <c r="L4230">
        <v>2008</v>
      </c>
      <c r="R4230" t="s">
        <v>11038</v>
      </c>
      <c r="S4230" t="s">
        <v>10310</v>
      </c>
      <c r="U4230" t="s">
        <v>11047</v>
      </c>
      <c r="W4230" s="2" t="s">
        <v>11204</v>
      </c>
    </row>
    <row r="4231" spans="1:23" hidden="1" x14ac:dyDescent="0.45">
      <c r="A4231" s="1" t="s">
        <v>4181</v>
      </c>
      <c r="B4231" t="s">
        <v>6313</v>
      </c>
      <c r="D4231" t="s">
        <v>8061</v>
      </c>
      <c r="E4231" t="s">
        <v>4017</v>
      </c>
      <c r="F4231" t="s">
        <v>10299</v>
      </c>
      <c r="G4231">
        <v>128.4</v>
      </c>
      <c r="H4231" t="s">
        <v>10310</v>
      </c>
      <c r="I4231" t="s">
        <v>10326</v>
      </c>
      <c r="L4231">
        <v>1921</v>
      </c>
      <c r="R4231" t="s">
        <v>11038</v>
      </c>
      <c r="S4231" t="s">
        <v>10310</v>
      </c>
      <c r="U4231" t="s">
        <v>11050</v>
      </c>
      <c r="W4231" s="2" t="s">
        <v>11204</v>
      </c>
    </row>
    <row r="4232" spans="1:23" hidden="1" x14ac:dyDescent="0.45">
      <c r="A4232" s="1" t="s">
        <v>4182</v>
      </c>
      <c r="B4232" t="s">
        <v>6798</v>
      </c>
      <c r="D4232" t="s">
        <v>7986</v>
      </c>
      <c r="E4232" t="s">
        <v>9648</v>
      </c>
      <c r="F4232" t="s">
        <v>10299</v>
      </c>
      <c r="G4232">
        <v>4.9450000000000003</v>
      </c>
      <c r="H4232" t="s">
        <v>10310</v>
      </c>
      <c r="I4232" t="s">
        <v>10326</v>
      </c>
      <c r="L4232">
        <v>2010</v>
      </c>
      <c r="R4232" t="s">
        <v>11038</v>
      </c>
      <c r="S4232" t="s">
        <v>10310</v>
      </c>
      <c r="U4232" t="s">
        <v>11047</v>
      </c>
      <c r="W4232" s="2" t="s">
        <v>11204</v>
      </c>
    </row>
    <row r="4233" spans="1:23" hidden="1" x14ac:dyDescent="0.45">
      <c r="A4233" s="1" t="s">
        <v>4183</v>
      </c>
      <c r="B4233" t="s">
        <v>6771</v>
      </c>
      <c r="D4233" t="s">
        <v>8031</v>
      </c>
      <c r="E4233" t="s">
        <v>9773</v>
      </c>
      <c r="F4233" t="s">
        <v>10299</v>
      </c>
      <c r="G4233">
        <v>0.4</v>
      </c>
      <c r="H4233" t="s">
        <v>10310</v>
      </c>
      <c r="I4233" t="s">
        <v>10326</v>
      </c>
      <c r="L4233">
        <v>2006</v>
      </c>
      <c r="R4233" t="s">
        <v>11038</v>
      </c>
      <c r="S4233" t="s">
        <v>10310</v>
      </c>
      <c r="U4233" t="s">
        <v>11046</v>
      </c>
      <c r="W4233" s="2" t="s">
        <v>11204</v>
      </c>
    </row>
    <row r="4234" spans="1:23" hidden="1" x14ac:dyDescent="0.45">
      <c r="A4234" s="1" t="s">
        <v>4184</v>
      </c>
      <c r="B4234" t="s">
        <v>6771</v>
      </c>
      <c r="D4234" t="s">
        <v>8031</v>
      </c>
      <c r="E4234" t="s">
        <v>9773</v>
      </c>
      <c r="F4234" t="s">
        <v>10299</v>
      </c>
      <c r="G4234">
        <v>0.32500000000000001</v>
      </c>
      <c r="H4234" t="s">
        <v>10310</v>
      </c>
      <c r="I4234" t="s">
        <v>10326</v>
      </c>
      <c r="L4234">
        <v>2009</v>
      </c>
      <c r="R4234" t="s">
        <v>11038</v>
      </c>
      <c r="S4234" t="s">
        <v>10310</v>
      </c>
      <c r="U4234" t="s">
        <v>11046</v>
      </c>
      <c r="W4234" s="2" t="s">
        <v>11204</v>
      </c>
    </row>
    <row r="4235" spans="1:23" hidden="1" x14ac:dyDescent="0.45">
      <c r="A4235" s="1" t="s">
        <v>4185</v>
      </c>
      <c r="B4235" t="s">
        <v>6771</v>
      </c>
      <c r="D4235" t="s">
        <v>8031</v>
      </c>
      <c r="E4235" t="s">
        <v>9773</v>
      </c>
      <c r="F4235" t="s">
        <v>10299</v>
      </c>
      <c r="G4235">
        <v>0.15</v>
      </c>
      <c r="H4235" t="s">
        <v>10310</v>
      </c>
      <c r="I4235" t="s">
        <v>10326</v>
      </c>
      <c r="L4235">
        <v>2009</v>
      </c>
      <c r="R4235" t="s">
        <v>11038</v>
      </c>
      <c r="S4235" t="s">
        <v>10310</v>
      </c>
      <c r="U4235" t="s">
        <v>11046</v>
      </c>
      <c r="W4235" s="2" t="s">
        <v>11204</v>
      </c>
    </row>
    <row r="4236" spans="1:23" hidden="1" x14ac:dyDescent="0.45">
      <c r="A4236" s="1" t="s">
        <v>4186</v>
      </c>
      <c r="B4236" t="s">
        <v>6402</v>
      </c>
      <c r="D4236" t="s">
        <v>8039</v>
      </c>
      <c r="E4236" t="s">
        <v>9714</v>
      </c>
      <c r="F4236" t="s">
        <v>10299</v>
      </c>
      <c r="G4236">
        <v>1.2</v>
      </c>
      <c r="H4236" t="s">
        <v>10310</v>
      </c>
      <c r="I4236" t="s">
        <v>10326</v>
      </c>
      <c r="L4236">
        <v>1916</v>
      </c>
      <c r="R4236" t="s">
        <v>11038</v>
      </c>
      <c r="S4236" t="s">
        <v>10310</v>
      </c>
      <c r="U4236" t="s">
        <v>11047</v>
      </c>
      <c r="W4236" s="2" t="s">
        <v>11204</v>
      </c>
    </row>
    <row r="4237" spans="1:23" hidden="1" x14ac:dyDescent="0.45">
      <c r="A4237" s="1" t="s">
        <v>4187</v>
      </c>
      <c r="B4237" t="s">
        <v>6799</v>
      </c>
      <c r="D4237" t="s">
        <v>8080</v>
      </c>
      <c r="E4237" t="s">
        <v>9729</v>
      </c>
      <c r="F4237" t="s">
        <v>10299</v>
      </c>
      <c r="G4237">
        <v>8.9</v>
      </c>
      <c r="H4237" t="s">
        <v>10310</v>
      </c>
      <c r="I4237" t="s">
        <v>10326</v>
      </c>
      <c r="L4237">
        <v>2001</v>
      </c>
      <c r="R4237" t="s">
        <v>11038</v>
      </c>
      <c r="S4237" t="s">
        <v>10310</v>
      </c>
      <c r="U4237" t="s">
        <v>11049</v>
      </c>
      <c r="W4237" s="2" t="s">
        <v>11204</v>
      </c>
    </row>
    <row r="4238" spans="1:23" hidden="1" x14ac:dyDescent="0.45">
      <c r="A4238" s="1" t="s">
        <v>4188</v>
      </c>
      <c r="B4238" t="s">
        <v>6290</v>
      </c>
      <c r="D4238" t="s">
        <v>8055</v>
      </c>
      <c r="E4238" t="s">
        <v>3805</v>
      </c>
      <c r="F4238" t="s">
        <v>10299</v>
      </c>
      <c r="G4238">
        <v>2.9</v>
      </c>
      <c r="H4238" t="s">
        <v>10310</v>
      </c>
      <c r="I4238" t="s">
        <v>10326</v>
      </c>
      <c r="L4238">
        <v>1901</v>
      </c>
      <c r="R4238" t="s">
        <v>11038</v>
      </c>
      <c r="S4238" t="s">
        <v>10310</v>
      </c>
      <c r="U4238" t="s">
        <v>11046</v>
      </c>
      <c r="W4238" s="2" t="s">
        <v>11204</v>
      </c>
    </row>
    <row r="4239" spans="1:23" hidden="1" x14ac:dyDescent="0.45">
      <c r="A4239" s="1" t="s">
        <v>4189</v>
      </c>
      <c r="B4239" t="s">
        <v>6323</v>
      </c>
      <c r="D4239" t="s">
        <v>8071</v>
      </c>
      <c r="E4239" t="s">
        <v>9689</v>
      </c>
      <c r="F4239" t="s">
        <v>10299</v>
      </c>
      <c r="G4239">
        <v>10.1</v>
      </c>
      <c r="H4239" t="s">
        <v>10310</v>
      </c>
      <c r="I4239" t="s">
        <v>10326</v>
      </c>
      <c r="L4239">
        <v>1986</v>
      </c>
      <c r="R4239" t="s">
        <v>11038</v>
      </c>
      <c r="S4239" t="s">
        <v>10310</v>
      </c>
      <c r="U4239" t="s">
        <v>11047</v>
      </c>
      <c r="W4239" s="2" t="s">
        <v>11204</v>
      </c>
    </row>
    <row r="4240" spans="1:23" hidden="1" x14ac:dyDescent="0.45">
      <c r="A4240" s="1" t="s">
        <v>4190</v>
      </c>
      <c r="B4240" t="s">
        <v>6800</v>
      </c>
      <c r="D4240" t="s">
        <v>8033</v>
      </c>
      <c r="E4240" t="s">
        <v>9818</v>
      </c>
      <c r="F4240" t="s">
        <v>10299</v>
      </c>
      <c r="G4240">
        <v>0.63</v>
      </c>
      <c r="H4240" t="s">
        <v>10310</v>
      </c>
      <c r="I4240" t="s">
        <v>10326</v>
      </c>
      <c r="L4240">
        <v>2006</v>
      </c>
      <c r="R4240" t="s">
        <v>11038</v>
      </c>
      <c r="S4240" t="s">
        <v>10310</v>
      </c>
      <c r="U4240" t="s">
        <v>11047</v>
      </c>
      <c r="W4240" s="2" t="s">
        <v>11204</v>
      </c>
    </row>
    <row r="4241" spans="1:23" hidden="1" x14ac:dyDescent="0.45">
      <c r="A4241" s="1" t="s">
        <v>4190</v>
      </c>
      <c r="B4241" t="s">
        <v>6801</v>
      </c>
      <c r="D4241" t="s">
        <v>8037</v>
      </c>
      <c r="E4241" t="s">
        <v>9629</v>
      </c>
      <c r="F4241" t="s">
        <v>10299</v>
      </c>
      <c r="G4241">
        <v>0.65</v>
      </c>
      <c r="H4241" t="s">
        <v>10310</v>
      </c>
      <c r="I4241" t="s">
        <v>10326</v>
      </c>
      <c r="L4241">
        <v>2007</v>
      </c>
      <c r="R4241" t="s">
        <v>11038</v>
      </c>
      <c r="S4241" t="s">
        <v>10310</v>
      </c>
      <c r="U4241" t="s">
        <v>11047</v>
      </c>
      <c r="W4241" s="2" t="s">
        <v>11204</v>
      </c>
    </row>
    <row r="4242" spans="1:23" hidden="1" x14ac:dyDescent="0.45">
      <c r="A4242" s="1" t="s">
        <v>4190</v>
      </c>
      <c r="B4242" t="s">
        <v>6802</v>
      </c>
      <c r="D4242" t="s">
        <v>8044</v>
      </c>
      <c r="E4242" t="s">
        <v>9638</v>
      </c>
      <c r="F4242" t="s">
        <v>10299</v>
      </c>
      <c r="G4242">
        <v>2.8</v>
      </c>
      <c r="H4242" t="s">
        <v>10310</v>
      </c>
      <c r="I4242" t="s">
        <v>10326</v>
      </c>
      <c r="L4242">
        <v>2019</v>
      </c>
      <c r="R4242" t="s">
        <v>11038</v>
      </c>
      <c r="S4242" t="s">
        <v>10310</v>
      </c>
      <c r="U4242" t="s">
        <v>11047</v>
      </c>
      <c r="W4242" s="2" t="s">
        <v>11204</v>
      </c>
    </row>
    <row r="4243" spans="1:23" hidden="1" x14ac:dyDescent="0.45">
      <c r="A4243" s="1" t="s">
        <v>4191</v>
      </c>
      <c r="B4243" t="s">
        <v>6652</v>
      </c>
      <c r="D4243" t="s">
        <v>8070</v>
      </c>
      <c r="E4243" t="s">
        <v>4102</v>
      </c>
      <c r="F4243" t="s">
        <v>10299</v>
      </c>
      <c r="G4243">
        <v>0.55500000000000005</v>
      </c>
      <c r="H4243" t="s">
        <v>10310</v>
      </c>
      <c r="I4243" t="s">
        <v>10326</v>
      </c>
      <c r="L4243">
        <v>2001</v>
      </c>
      <c r="R4243" t="s">
        <v>11038</v>
      </c>
      <c r="S4243" t="s">
        <v>10310</v>
      </c>
      <c r="U4243" t="s">
        <v>11048</v>
      </c>
      <c r="W4243" s="2" t="s">
        <v>11204</v>
      </c>
    </row>
    <row r="4244" spans="1:23" hidden="1" x14ac:dyDescent="0.45">
      <c r="A4244" s="1" t="s">
        <v>4192</v>
      </c>
      <c r="B4244" t="s">
        <v>6652</v>
      </c>
      <c r="D4244" t="s">
        <v>8070</v>
      </c>
      <c r="E4244" t="s">
        <v>4102</v>
      </c>
      <c r="F4244" t="s">
        <v>10299</v>
      </c>
      <c r="G4244">
        <v>0.435</v>
      </c>
      <c r="H4244" t="s">
        <v>10310</v>
      </c>
      <c r="I4244" t="s">
        <v>10326</v>
      </c>
      <c r="L4244">
        <v>2002</v>
      </c>
      <c r="R4244" t="s">
        <v>11038</v>
      </c>
      <c r="S4244" t="s">
        <v>10310</v>
      </c>
      <c r="U4244" t="s">
        <v>11048</v>
      </c>
      <c r="W4244" s="2" t="s">
        <v>11204</v>
      </c>
    </row>
    <row r="4245" spans="1:23" hidden="1" x14ac:dyDescent="0.45">
      <c r="A4245" s="1" t="s">
        <v>4193</v>
      </c>
      <c r="B4245" t="s">
        <v>6281</v>
      </c>
      <c r="D4245" t="s">
        <v>8053</v>
      </c>
      <c r="E4245" t="s">
        <v>9652</v>
      </c>
      <c r="F4245" t="s">
        <v>10299</v>
      </c>
      <c r="G4245">
        <v>2.2999999999999998</v>
      </c>
      <c r="H4245" t="s">
        <v>10310</v>
      </c>
      <c r="I4245" t="s">
        <v>10326</v>
      </c>
      <c r="L4245">
        <v>2012</v>
      </c>
      <c r="R4245" t="s">
        <v>11038</v>
      </c>
      <c r="S4245" t="s">
        <v>10310</v>
      </c>
      <c r="U4245" t="s">
        <v>11049</v>
      </c>
      <c r="W4245" s="2" t="s">
        <v>11204</v>
      </c>
    </row>
    <row r="4246" spans="1:23" hidden="1" x14ac:dyDescent="0.45">
      <c r="A4246" s="1" t="s">
        <v>4194</v>
      </c>
      <c r="B4246" t="s">
        <v>6803</v>
      </c>
      <c r="D4246" t="s">
        <v>8060</v>
      </c>
      <c r="E4246" t="s">
        <v>9697</v>
      </c>
      <c r="F4246" t="s">
        <v>10299</v>
      </c>
      <c r="G4246">
        <v>4.45</v>
      </c>
      <c r="H4246" t="s">
        <v>10310</v>
      </c>
      <c r="I4246" t="s">
        <v>10326</v>
      </c>
      <c r="L4246">
        <v>2004</v>
      </c>
      <c r="R4246" t="s">
        <v>11038</v>
      </c>
      <c r="S4246" t="s">
        <v>10310</v>
      </c>
      <c r="U4246" t="s">
        <v>11047</v>
      </c>
      <c r="W4246" s="2" t="s">
        <v>11204</v>
      </c>
    </row>
    <row r="4247" spans="1:23" hidden="1" x14ac:dyDescent="0.45">
      <c r="A4247" s="1" t="s">
        <v>4195</v>
      </c>
      <c r="B4247" t="s">
        <v>6442</v>
      </c>
      <c r="D4247" t="s">
        <v>8089</v>
      </c>
      <c r="E4247" t="s">
        <v>9843</v>
      </c>
      <c r="F4247" t="s">
        <v>10299</v>
      </c>
      <c r="G4247">
        <v>11.3</v>
      </c>
      <c r="H4247" t="s">
        <v>10310</v>
      </c>
      <c r="I4247" t="s">
        <v>10326</v>
      </c>
      <c r="L4247">
        <v>1979</v>
      </c>
      <c r="R4247" t="s">
        <v>11038</v>
      </c>
      <c r="S4247" t="s">
        <v>10310</v>
      </c>
      <c r="U4247" t="s">
        <v>11048</v>
      </c>
      <c r="W4247" s="2" t="s">
        <v>11204</v>
      </c>
    </row>
    <row r="4248" spans="1:23" hidden="1" x14ac:dyDescent="0.45">
      <c r="A4248" s="1" t="s">
        <v>4195</v>
      </c>
      <c r="B4248" t="s">
        <v>6804</v>
      </c>
      <c r="D4248" t="s">
        <v>8064</v>
      </c>
      <c r="E4248" t="s">
        <v>9847</v>
      </c>
      <c r="F4248" t="s">
        <v>10299</v>
      </c>
      <c r="G4248">
        <v>0.34699999999999998</v>
      </c>
      <c r="H4248" t="s">
        <v>10310</v>
      </c>
      <c r="I4248" t="s">
        <v>10326</v>
      </c>
      <c r="L4248">
        <v>2008</v>
      </c>
      <c r="R4248" t="s">
        <v>11038</v>
      </c>
      <c r="S4248" t="s">
        <v>10310</v>
      </c>
      <c r="U4248" t="s">
        <v>11050</v>
      </c>
      <c r="W4248" s="2" t="s">
        <v>11204</v>
      </c>
    </row>
    <row r="4249" spans="1:23" hidden="1" x14ac:dyDescent="0.45">
      <c r="A4249" s="1" t="s">
        <v>4195</v>
      </c>
      <c r="B4249" t="s">
        <v>6294</v>
      </c>
      <c r="D4249" t="s">
        <v>8058</v>
      </c>
      <c r="E4249" t="s">
        <v>9800</v>
      </c>
      <c r="F4249" t="s">
        <v>10299</v>
      </c>
      <c r="G4249">
        <v>0.8</v>
      </c>
      <c r="H4249" t="s">
        <v>10310</v>
      </c>
      <c r="I4249" t="s">
        <v>10326</v>
      </c>
      <c r="L4249">
        <v>1988</v>
      </c>
      <c r="R4249" t="s">
        <v>11038</v>
      </c>
      <c r="S4249" t="s">
        <v>10310</v>
      </c>
      <c r="U4249" t="s">
        <v>11046</v>
      </c>
      <c r="W4249" s="2" t="s">
        <v>11204</v>
      </c>
    </row>
    <row r="4250" spans="1:23" hidden="1" x14ac:dyDescent="0.45">
      <c r="A4250" s="1" t="s">
        <v>4196</v>
      </c>
      <c r="B4250" t="s">
        <v>6290</v>
      </c>
      <c r="D4250" t="s">
        <v>8030</v>
      </c>
      <c r="E4250" t="s">
        <v>9829</v>
      </c>
      <c r="F4250" t="s">
        <v>10299</v>
      </c>
      <c r="G4250">
        <v>6.2</v>
      </c>
      <c r="H4250" t="s">
        <v>10310</v>
      </c>
      <c r="I4250" t="s">
        <v>10326</v>
      </c>
      <c r="L4250">
        <v>1943</v>
      </c>
      <c r="R4250" t="s">
        <v>11038</v>
      </c>
      <c r="S4250" t="s">
        <v>10310</v>
      </c>
      <c r="U4250" t="s">
        <v>11050</v>
      </c>
      <c r="W4250" s="2" t="s">
        <v>11204</v>
      </c>
    </row>
    <row r="4251" spans="1:23" hidden="1" x14ac:dyDescent="0.45">
      <c r="A4251" s="1" t="s">
        <v>4197</v>
      </c>
      <c r="B4251" t="s">
        <v>6805</v>
      </c>
      <c r="D4251" t="s">
        <v>8060</v>
      </c>
      <c r="E4251" t="s">
        <v>9664</v>
      </c>
      <c r="F4251" t="s">
        <v>10299</v>
      </c>
      <c r="G4251">
        <v>0.112</v>
      </c>
      <c r="H4251" t="s">
        <v>10310</v>
      </c>
      <c r="I4251" t="s">
        <v>10326</v>
      </c>
      <c r="L4251">
        <v>2001</v>
      </c>
      <c r="R4251" t="s">
        <v>11038</v>
      </c>
      <c r="S4251" t="s">
        <v>10310</v>
      </c>
      <c r="U4251" t="s">
        <v>11046</v>
      </c>
      <c r="W4251" s="2" t="s">
        <v>11204</v>
      </c>
    </row>
    <row r="4252" spans="1:23" hidden="1" x14ac:dyDescent="0.45">
      <c r="A4252" s="1" t="s">
        <v>4198</v>
      </c>
      <c r="B4252" t="s">
        <v>6678</v>
      </c>
      <c r="D4252" t="s">
        <v>8070</v>
      </c>
      <c r="E4252" t="s">
        <v>4102</v>
      </c>
      <c r="F4252" t="s">
        <v>10299</v>
      </c>
      <c r="G4252">
        <v>0.96</v>
      </c>
      <c r="H4252" t="s">
        <v>10310</v>
      </c>
      <c r="I4252" t="s">
        <v>10326</v>
      </c>
      <c r="L4252">
        <v>2004</v>
      </c>
      <c r="R4252" t="s">
        <v>11038</v>
      </c>
      <c r="S4252" t="s">
        <v>10310</v>
      </c>
      <c r="U4252" t="s">
        <v>11048</v>
      </c>
      <c r="W4252" s="2" t="s">
        <v>11204</v>
      </c>
    </row>
    <row r="4253" spans="1:23" hidden="1" x14ac:dyDescent="0.45">
      <c r="A4253" s="1" t="s">
        <v>4199</v>
      </c>
      <c r="B4253" t="s">
        <v>6806</v>
      </c>
      <c r="D4253" t="s">
        <v>8053</v>
      </c>
      <c r="E4253" t="s">
        <v>9724</v>
      </c>
      <c r="F4253" t="s">
        <v>10299</v>
      </c>
      <c r="G4253">
        <v>2.5</v>
      </c>
      <c r="H4253" t="s">
        <v>10310</v>
      </c>
      <c r="I4253" t="s">
        <v>10326</v>
      </c>
      <c r="L4253">
        <v>2012</v>
      </c>
      <c r="R4253" t="s">
        <v>11038</v>
      </c>
      <c r="S4253" t="s">
        <v>10310</v>
      </c>
      <c r="U4253" t="s">
        <v>11048</v>
      </c>
      <c r="W4253" s="2" t="s">
        <v>11204</v>
      </c>
    </row>
    <row r="4254" spans="1:23" hidden="1" x14ac:dyDescent="0.45">
      <c r="A4254" s="1" t="s">
        <v>4200</v>
      </c>
      <c r="D4254" t="s">
        <v>8061</v>
      </c>
      <c r="E4254" t="s">
        <v>9819</v>
      </c>
      <c r="F4254" t="s">
        <v>10299</v>
      </c>
      <c r="G4254">
        <v>7.4999999999999997E-3</v>
      </c>
      <c r="H4254" t="s">
        <v>10310</v>
      </c>
      <c r="I4254" t="s">
        <v>10326</v>
      </c>
      <c r="L4254">
        <v>2005</v>
      </c>
      <c r="R4254" t="s">
        <v>11038</v>
      </c>
      <c r="S4254" t="s">
        <v>10310</v>
      </c>
      <c r="U4254" t="s">
        <v>11048</v>
      </c>
      <c r="W4254" s="2" t="s">
        <v>11204</v>
      </c>
    </row>
    <row r="4255" spans="1:23" hidden="1" x14ac:dyDescent="0.45">
      <c r="A4255" s="1" t="s">
        <v>4201</v>
      </c>
      <c r="B4255" t="s">
        <v>6683</v>
      </c>
      <c r="D4255" t="s">
        <v>8043</v>
      </c>
      <c r="E4255" t="s">
        <v>9822</v>
      </c>
      <c r="F4255" t="s">
        <v>10299</v>
      </c>
      <c r="G4255">
        <v>1.5</v>
      </c>
      <c r="H4255" t="s">
        <v>10310</v>
      </c>
      <c r="I4255" t="s">
        <v>10326</v>
      </c>
      <c r="L4255">
        <v>1988</v>
      </c>
      <c r="R4255" t="s">
        <v>11038</v>
      </c>
      <c r="S4255" t="s">
        <v>10310</v>
      </c>
      <c r="U4255" t="s">
        <v>11047</v>
      </c>
      <c r="W4255" s="2" t="s">
        <v>11204</v>
      </c>
    </row>
    <row r="4256" spans="1:23" hidden="1" x14ac:dyDescent="0.45">
      <c r="A4256" s="1" t="s">
        <v>4202</v>
      </c>
      <c r="B4256" t="s">
        <v>6308</v>
      </c>
      <c r="D4256" t="s">
        <v>8040</v>
      </c>
      <c r="E4256" t="s">
        <v>9733</v>
      </c>
      <c r="F4256" t="s">
        <v>10299</v>
      </c>
      <c r="G4256">
        <v>5</v>
      </c>
      <c r="H4256" t="s">
        <v>10310</v>
      </c>
      <c r="I4256" t="s">
        <v>10326</v>
      </c>
      <c r="L4256">
        <v>2012</v>
      </c>
      <c r="R4256" t="s">
        <v>11038</v>
      </c>
      <c r="S4256" t="s">
        <v>10310</v>
      </c>
      <c r="U4256" t="s">
        <v>11048</v>
      </c>
      <c r="W4256" s="2" t="s">
        <v>11204</v>
      </c>
    </row>
    <row r="4257" spans="1:23" hidden="1" x14ac:dyDescent="0.45">
      <c r="A4257" s="1" t="s">
        <v>4203</v>
      </c>
      <c r="B4257" t="s">
        <v>6807</v>
      </c>
      <c r="D4257" t="s">
        <v>8032</v>
      </c>
      <c r="E4257" t="s">
        <v>9625</v>
      </c>
      <c r="F4257" t="s">
        <v>10299</v>
      </c>
      <c r="G4257">
        <v>0.25</v>
      </c>
      <c r="H4257" t="s">
        <v>10310</v>
      </c>
      <c r="I4257" t="s">
        <v>10326</v>
      </c>
      <c r="L4257">
        <v>2011</v>
      </c>
      <c r="R4257" t="s">
        <v>11038</v>
      </c>
      <c r="S4257" t="s">
        <v>10310</v>
      </c>
      <c r="U4257" t="s">
        <v>11046</v>
      </c>
      <c r="W4257" s="2" t="s">
        <v>11204</v>
      </c>
    </row>
    <row r="4258" spans="1:23" hidden="1" x14ac:dyDescent="0.45">
      <c r="A4258" s="1" t="s">
        <v>4204</v>
      </c>
      <c r="B4258" t="s">
        <v>6392</v>
      </c>
      <c r="D4258" t="s">
        <v>8039</v>
      </c>
      <c r="E4258" t="s">
        <v>9714</v>
      </c>
      <c r="F4258" t="s">
        <v>10299</v>
      </c>
      <c r="G4258">
        <v>7.9</v>
      </c>
      <c r="H4258" t="s">
        <v>10310</v>
      </c>
      <c r="I4258" t="s">
        <v>10326</v>
      </c>
      <c r="L4258">
        <v>1979</v>
      </c>
      <c r="R4258" t="s">
        <v>11038</v>
      </c>
      <c r="S4258" t="s">
        <v>10310</v>
      </c>
      <c r="U4258" t="s">
        <v>11047</v>
      </c>
      <c r="W4258" s="2" t="s">
        <v>11204</v>
      </c>
    </row>
    <row r="4259" spans="1:23" hidden="1" x14ac:dyDescent="0.45">
      <c r="A4259" s="1" t="s">
        <v>4205</v>
      </c>
      <c r="B4259" t="s">
        <v>6331</v>
      </c>
      <c r="D4259" t="s">
        <v>8061</v>
      </c>
      <c r="E4259" t="s">
        <v>9665</v>
      </c>
      <c r="F4259" t="s">
        <v>10299</v>
      </c>
      <c r="G4259">
        <v>3.5</v>
      </c>
      <c r="H4259" t="s">
        <v>10310</v>
      </c>
      <c r="I4259" t="s">
        <v>10326</v>
      </c>
      <c r="L4259">
        <v>1916</v>
      </c>
      <c r="R4259" t="s">
        <v>11038</v>
      </c>
      <c r="S4259" t="s">
        <v>10310</v>
      </c>
      <c r="U4259" t="s">
        <v>11046</v>
      </c>
      <c r="W4259" s="2" t="s">
        <v>11204</v>
      </c>
    </row>
    <row r="4260" spans="1:23" hidden="1" x14ac:dyDescent="0.45">
      <c r="A4260" s="1" t="s">
        <v>4206</v>
      </c>
      <c r="B4260" t="s">
        <v>6808</v>
      </c>
      <c r="D4260" t="s">
        <v>8071</v>
      </c>
      <c r="E4260" t="s">
        <v>9689</v>
      </c>
      <c r="F4260" t="s">
        <v>10299</v>
      </c>
      <c r="G4260">
        <v>2.7</v>
      </c>
      <c r="H4260" t="s">
        <v>10310</v>
      </c>
      <c r="I4260" t="s">
        <v>10326</v>
      </c>
      <c r="L4260">
        <v>2004</v>
      </c>
      <c r="R4260" t="s">
        <v>11038</v>
      </c>
      <c r="S4260" t="s">
        <v>10310</v>
      </c>
      <c r="U4260" t="s">
        <v>11047</v>
      </c>
      <c r="W4260" s="2" t="s">
        <v>11204</v>
      </c>
    </row>
    <row r="4261" spans="1:23" hidden="1" x14ac:dyDescent="0.45">
      <c r="A4261" s="1" t="s">
        <v>4207</v>
      </c>
      <c r="B4261" t="s">
        <v>6809</v>
      </c>
      <c r="D4261" t="s">
        <v>8037</v>
      </c>
      <c r="E4261" t="s">
        <v>9629</v>
      </c>
      <c r="F4261" t="s">
        <v>10299</v>
      </c>
      <c r="G4261">
        <v>2.5</v>
      </c>
      <c r="H4261" t="s">
        <v>10310</v>
      </c>
      <c r="I4261" t="s">
        <v>10326</v>
      </c>
      <c r="L4261">
        <v>2007</v>
      </c>
      <c r="R4261" t="s">
        <v>11038</v>
      </c>
      <c r="S4261" t="s">
        <v>10310</v>
      </c>
      <c r="U4261" t="s">
        <v>11047</v>
      </c>
      <c r="W4261" s="2" t="s">
        <v>11204</v>
      </c>
    </row>
    <row r="4262" spans="1:23" hidden="1" x14ac:dyDescent="0.45">
      <c r="A4262" s="1" t="s">
        <v>4208</v>
      </c>
      <c r="D4262" t="s">
        <v>8042</v>
      </c>
      <c r="E4262" t="s">
        <v>1588</v>
      </c>
      <c r="F4262" t="s">
        <v>10299</v>
      </c>
      <c r="G4262">
        <v>1.2E-2</v>
      </c>
      <c r="H4262" t="s">
        <v>10310</v>
      </c>
      <c r="I4262" t="s">
        <v>10326</v>
      </c>
      <c r="L4262">
        <v>2001</v>
      </c>
      <c r="R4262" t="s">
        <v>11038</v>
      </c>
      <c r="S4262" t="s">
        <v>10310</v>
      </c>
      <c r="U4262" t="s">
        <v>11047</v>
      </c>
      <c r="W4262" s="2" t="s">
        <v>11204</v>
      </c>
    </row>
    <row r="4263" spans="1:23" hidden="1" x14ac:dyDescent="0.45">
      <c r="A4263" s="1" t="s">
        <v>4208</v>
      </c>
      <c r="B4263" t="s">
        <v>6433</v>
      </c>
      <c r="D4263" t="s">
        <v>8061</v>
      </c>
      <c r="E4263" t="s">
        <v>9679</v>
      </c>
      <c r="F4263" t="s">
        <v>10299</v>
      </c>
      <c r="G4263">
        <v>2.29</v>
      </c>
      <c r="H4263" t="s">
        <v>10310</v>
      </c>
      <c r="I4263" t="s">
        <v>10326</v>
      </c>
      <c r="L4263">
        <v>2018</v>
      </c>
      <c r="R4263" t="s">
        <v>11038</v>
      </c>
      <c r="S4263" t="s">
        <v>10310</v>
      </c>
      <c r="U4263" t="s">
        <v>11049</v>
      </c>
      <c r="W4263" s="2" t="s">
        <v>11204</v>
      </c>
    </row>
    <row r="4264" spans="1:23" hidden="1" x14ac:dyDescent="0.45">
      <c r="A4264" s="1" t="s">
        <v>4209</v>
      </c>
      <c r="B4264" t="s">
        <v>6810</v>
      </c>
      <c r="D4264" t="s">
        <v>8043</v>
      </c>
      <c r="E4264" t="s">
        <v>9635</v>
      </c>
      <c r="F4264" t="s">
        <v>10299</v>
      </c>
      <c r="G4264">
        <v>0.99</v>
      </c>
      <c r="H4264" t="s">
        <v>10310</v>
      </c>
      <c r="I4264" t="s">
        <v>10326</v>
      </c>
      <c r="L4264">
        <v>2018</v>
      </c>
      <c r="R4264" t="s">
        <v>11038</v>
      </c>
      <c r="S4264" t="s">
        <v>10310</v>
      </c>
      <c r="U4264" t="s">
        <v>11046</v>
      </c>
      <c r="W4264" s="2" t="s">
        <v>11204</v>
      </c>
    </row>
    <row r="4265" spans="1:23" hidden="1" x14ac:dyDescent="0.45">
      <c r="A4265" s="1" t="s">
        <v>4210</v>
      </c>
      <c r="B4265" t="s">
        <v>6290</v>
      </c>
      <c r="D4265" t="s">
        <v>8035</v>
      </c>
      <c r="E4265" t="s">
        <v>9683</v>
      </c>
      <c r="F4265" t="s">
        <v>10299</v>
      </c>
      <c r="G4265">
        <v>80</v>
      </c>
      <c r="H4265" t="s">
        <v>10310</v>
      </c>
      <c r="I4265" t="s">
        <v>10326</v>
      </c>
      <c r="L4265">
        <v>1978</v>
      </c>
      <c r="R4265" t="s">
        <v>11038</v>
      </c>
      <c r="S4265" t="s">
        <v>10310</v>
      </c>
      <c r="U4265" t="s">
        <v>11050</v>
      </c>
      <c r="W4265" s="2" t="s">
        <v>11204</v>
      </c>
    </row>
    <row r="4266" spans="1:23" hidden="1" x14ac:dyDescent="0.45">
      <c r="A4266" s="1" t="s">
        <v>4211</v>
      </c>
      <c r="B4266" t="s">
        <v>6541</v>
      </c>
      <c r="D4266" t="s">
        <v>8043</v>
      </c>
      <c r="E4266" t="s">
        <v>9792</v>
      </c>
      <c r="F4266" t="s">
        <v>10299</v>
      </c>
      <c r="G4266">
        <v>0.45</v>
      </c>
      <c r="H4266" t="s">
        <v>10310</v>
      </c>
      <c r="I4266" t="s">
        <v>10326</v>
      </c>
      <c r="L4266">
        <v>1987</v>
      </c>
      <c r="R4266" t="s">
        <v>11038</v>
      </c>
      <c r="S4266" t="s">
        <v>10310</v>
      </c>
      <c r="U4266" t="s">
        <v>11048</v>
      </c>
      <c r="W4266" s="2" t="s">
        <v>11204</v>
      </c>
    </row>
    <row r="4267" spans="1:23" hidden="1" x14ac:dyDescent="0.45">
      <c r="A4267" s="1" t="s">
        <v>4212</v>
      </c>
      <c r="B4267" t="s">
        <v>6274</v>
      </c>
      <c r="D4267" t="s">
        <v>8061</v>
      </c>
      <c r="E4267" t="s">
        <v>9665</v>
      </c>
      <c r="F4267" t="s">
        <v>10299</v>
      </c>
      <c r="G4267">
        <v>640</v>
      </c>
      <c r="H4267" t="s">
        <v>10310</v>
      </c>
      <c r="I4267" t="s">
        <v>10324</v>
      </c>
      <c r="L4267">
        <v>1985</v>
      </c>
      <c r="R4267" t="s">
        <v>11038</v>
      </c>
      <c r="S4267" t="s">
        <v>10310</v>
      </c>
      <c r="U4267" t="s">
        <v>11046</v>
      </c>
      <c r="W4267" s="2" t="s">
        <v>11204</v>
      </c>
    </row>
    <row r="4268" spans="1:23" hidden="1" x14ac:dyDescent="0.45">
      <c r="A4268" s="1" t="s">
        <v>4213</v>
      </c>
      <c r="B4268" t="s">
        <v>6290</v>
      </c>
      <c r="D4268" t="s">
        <v>8039</v>
      </c>
      <c r="E4268" t="s">
        <v>9851</v>
      </c>
      <c r="F4268" t="s">
        <v>10299</v>
      </c>
      <c r="G4268">
        <v>62</v>
      </c>
      <c r="H4268" t="s">
        <v>10310</v>
      </c>
      <c r="I4268" t="s">
        <v>10326</v>
      </c>
      <c r="L4268">
        <v>1971</v>
      </c>
      <c r="R4268" t="s">
        <v>11038</v>
      </c>
      <c r="S4268" t="s">
        <v>10310</v>
      </c>
      <c r="U4268" t="s">
        <v>11050</v>
      </c>
      <c r="W4268" s="2" t="s">
        <v>11204</v>
      </c>
    </row>
    <row r="4269" spans="1:23" hidden="1" x14ac:dyDescent="0.45">
      <c r="A4269" s="1" t="s">
        <v>4214</v>
      </c>
      <c r="B4269" t="s">
        <v>6281</v>
      </c>
      <c r="D4269" t="s">
        <v>8050</v>
      </c>
      <c r="E4269" t="s">
        <v>9712</v>
      </c>
      <c r="F4269" t="s">
        <v>10299</v>
      </c>
      <c r="G4269">
        <v>1.3998999999999999</v>
      </c>
      <c r="H4269" t="s">
        <v>10310</v>
      </c>
      <c r="I4269" t="s">
        <v>10326</v>
      </c>
      <c r="L4269">
        <v>1994</v>
      </c>
      <c r="R4269" t="s">
        <v>11038</v>
      </c>
      <c r="S4269" t="s">
        <v>10310</v>
      </c>
      <c r="U4269" t="s">
        <v>11047</v>
      </c>
      <c r="W4269" s="2" t="s">
        <v>11204</v>
      </c>
    </row>
    <row r="4270" spans="1:23" hidden="1" x14ac:dyDescent="0.45">
      <c r="A4270" s="1" t="s">
        <v>4215</v>
      </c>
      <c r="B4270" t="s">
        <v>6811</v>
      </c>
      <c r="D4270" t="s">
        <v>8082</v>
      </c>
      <c r="E4270" t="s">
        <v>9756</v>
      </c>
      <c r="F4270" t="s">
        <v>10299</v>
      </c>
      <c r="G4270">
        <v>6.5</v>
      </c>
      <c r="H4270" t="s">
        <v>10310</v>
      </c>
      <c r="I4270" t="s">
        <v>10326</v>
      </c>
      <c r="L4270">
        <v>2011</v>
      </c>
      <c r="R4270" t="s">
        <v>11038</v>
      </c>
      <c r="S4270" t="s">
        <v>10310</v>
      </c>
      <c r="U4270" t="s">
        <v>11049</v>
      </c>
      <c r="W4270" s="2" t="s">
        <v>11204</v>
      </c>
    </row>
    <row r="4271" spans="1:23" hidden="1" x14ac:dyDescent="0.45">
      <c r="A4271" s="1" t="s">
        <v>4216</v>
      </c>
      <c r="B4271" t="s">
        <v>6812</v>
      </c>
      <c r="D4271" t="s">
        <v>8056</v>
      </c>
      <c r="E4271" t="s">
        <v>9669</v>
      </c>
      <c r="F4271" t="s">
        <v>10299</v>
      </c>
      <c r="G4271">
        <v>0.74</v>
      </c>
      <c r="H4271" t="s">
        <v>10310</v>
      </c>
      <c r="I4271" t="s">
        <v>10326</v>
      </c>
      <c r="L4271">
        <v>2015</v>
      </c>
      <c r="R4271" t="s">
        <v>11038</v>
      </c>
      <c r="S4271" t="s">
        <v>10310</v>
      </c>
      <c r="U4271" t="s">
        <v>11049</v>
      </c>
      <c r="W4271" s="2" t="s">
        <v>11204</v>
      </c>
    </row>
    <row r="4272" spans="1:23" hidden="1" x14ac:dyDescent="0.45">
      <c r="A4272" s="1" t="s">
        <v>4217</v>
      </c>
      <c r="B4272" t="s">
        <v>6813</v>
      </c>
      <c r="D4272" t="s">
        <v>8030</v>
      </c>
      <c r="E4272" t="s">
        <v>9623</v>
      </c>
      <c r="F4272" t="s">
        <v>10299</v>
      </c>
      <c r="G4272">
        <v>0.02</v>
      </c>
      <c r="H4272" t="s">
        <v>10310</v>
      </c>
      <c r="I4272" t="s">
        <v>10326</v>
      </c>
      <c r="L4272">
        <v>2006</v>
      </c>
      <c r="R4272" t="s">
        <v>11038</v>
      </c>
      <c r="S4272" t="s">
        <v>10310</v>
      </c>
      <c r="U4272" t="s">
        <v>11049</v>
      </c>
      <c r="W4272" s="2" t="s">
        <v>11204</v>
      </c>
    </row>
    <row r="4273" spans="1:23" hidden="1" x14ac:dyDescent="0.45">
      <c r="A4273" s="1" t="s">
        <v>4218</v>
      </c>
      <c r="B4273" t="s">
        <v>6814</v>
      </c>
      <c r="D4273" t="s">
        <v>8037</v>
      </c>
      <c r="E4273" t="s">
        <v>9629</v>
      </c>
      <c r="F4273" t="s">
        <v>10299</v>
      </c>
      <c r="G4273">
        <v>5.36</v>
      </c>
      <c r="H4273" t="s">
        <v>10310</v>
      </c>
      <c r="I4273" t="s">
        <v>10326</v>
      </c>
      <c r="L4273">
        <v>2016</v>
      </c>
      <c r="R4273" t="s">
        <v>11038</v>
      </c>
      <c r="S4273" t="s">
        <v>10310</v>
      </c>
      <c r="U4273" t="s">
        <v>11047</v>
      </c>
      <c r="W4273" s="2" t="s">
        <v>11204</v>
      </c>
    </row>
    <row r="4274" spans="1:23" hidden="1" x14ac:dyDescent="0.45">
      <c r="A4274" s="1" t="s">
        <v>4219</v>
      </c>
      <c r="B4274" t="s">
        <v>6815</v>
      </c>
      <c r="D4274" t="s">
        <v>8044</v>
      </c>
      <c r="E4274" t="s">
        <v>9832</v>
      </c>
      <c r="F4274" t="s">
        <v>10299</v>
      </c>
      <c r="G4274">
        <v>5</v>
      </c>
      <c r="H4274" t="s">
        <v>10310</v>
      </c>
      <c r="I4274" t="s">
        <v>10326</v>
      </c>
      <c r="L4274">
        <v>2016</v>
      </c>
      <c r="R4274" t="s">
        <v>11038</v>
      </c>
      <c r="S4274" t="s">
        <v>10310</v>
      </c>
      <c r="U4274" t="s">
        <v>11047</v>
      </c>
      <c r="W4274" s="2" t="s">
        <v>11204</v>
      </c>
    </row>
    <row r="4275" spans="1:23" hidden="1" x14ac:dyDescent="0.45">
      <c r="A4275" s="1" t="s">
        <v>4220</v>
      </c>
      <c r="B4275" t="s">
        <v>6816</v>
      </c>
      <c r="D4275" t="s">
        <v>8046</v>
      </c>
      <c r="E4275" t="s">
        <v>9640</v>
      </c>
      <c r="F4275" t="s">
        <v>10299</v>
      </c>
      <c r="G4275">
        <v>4.74</v>
      </c>
      <c r="H4275" t="s">
        <v>10310</v>
      </c>
      <c r="I4275" t="s">
        <v>10326</v>
      </c>
      <c r="L4275">
        <v>2014</v>
      </c>
      <c r="R4275" t="s">
        <v>11038</v>
      </c>
      <c r="S4275" t="s">
        <v>10310</v>
      </c>
      <c r="U4275" t="s">
        <v>11047</v>
      </c>
      <c r="W4275" s="2" t="s">
        <v>11204</v>
      </c>
    </row>
    <row r="4276" spans="1:23" hidden="1" x14ac:dyDescent="0.45">
      <c r="A4276" s="1" t="s">
        <v>4221</v>
      </c>
      <c r="B4276" t="s">
        <v>6817</v>
      </c>
      <c r="D4276" t="s">
        <v>8070</v>
      </c>
      <c r="E4276" t="s">
        <v>9754</v>
      </c>
      <c r="F4276" t="s">
        <v>10299</v>
      </c>
      <c r="G4276">
        <v>1</v>
      </c>
      <c r="H4276" t="s">
        <v>10310</v>
      </c>
      <c r="I4276" t="s">
        <v>10326</v>
      </c>
      <c r="L4276">
        <v>2006</v>
      </c>
      <c r="R4276" t="s">
        <v>11038</v>
      </c>
      <c r="S4276" t="s">
        <v>10310</v>
      </c>
      <c r="U4276" t="s">
        <v>11047</v>
      </c>
      <c r="W4276" s="2" t="s">
        <v>11204</v>
      </c>
    </row>
    <row r="4277" spans="1:23" hidden="1" x14ac:dyDescent="0.45">
      <c r="A4277" s="1" t="s">
        <v>4222</v>
      </c>
      <c r="B4277" t="s">
        <v>6818</v>
      </c>
      <c r="D4277" t="s">
        <v>7917</v>
      </c>
      <c r="E4277" t="s">
        <v>9672</v>
      </c>
      <c r="F4277" t="s">
        <v>10299</v>
      </c>
      <c r="G4277">
        <v>4.7</v>
      </c>
      <c r="H4277" t="s">
        <v>10310</v>
      </c>
      <c r="I4277" t="s">
        <v>10326</v>
      </c>
      <c r="L4277">
        <v>2019</v>
      </c>
      <c r="R4277" t="s">
        <v>11038</v>
      </c>
      <c r="S4277" t="s">
        <v>10310</v>
      </c>
      <c r="U4277" t="s">
        <v>11047</v>
      </c>
      <c r="W4277" s="2" t="s">
        <v>11204</v>
      </c>
    </row>
    <row r="4278" spans="1:23" hidden="1" x14ac:dyDescent="0.45">
      <c r="A4278" s="1" t="s">
        <v>4223</v>
      </c>
      <c r="B4278" t="s">
        <v>6819</v>
      </c>
      <c r="D4278" t="s">
        <v>8053</v>
      </c>
      <c r="E4278" t="s">
        <v>9743</v>
      </c>
      <c r="F4278" t="s">
        <v>10299</v>
      </c>
      <c r="G4278">
        <v>4.8</v>
      </c>
      <c r="H4278" t="s">
        <v>10310</v>
      </c>
      <c r="I4278" t="s">
        <v>10326</v>
      </c>
      <c r="L4278">
        <v>2008</v>
      </c>
      <c r="R4278" t="s">
        <v>11038</v>
      </c>
      <c r="S4278" t="s">
        <v>10310</v>
      </c>
      <c r="U4278" t="s">
        <v>11049</v>
      </c>
      <c r="W4278" s="2" t="s">
        <v>11204</v>
      </c>
    </row>
    <row r="4279" spans="1:23" hidden="1" x14ac:dyDescent="0.45">
      <c r="A4279" s="1" t="s">
        <v>4224</v>
      </c>
      <c r="B4279" t="s">
        <v>6820</v>
      </c>
      <c r="D4279" t="s">
        <v>7917</v>
      </c>
      <c r="E4279" t="s">
        <v>9672</v>
      </c>
      <c r="F4279" t="s">
        <v>10299</v>
      </c>
      <c r="G4279">
        <v>8.99</v>
      </c>
      <c r="H4279" t="s">
        <v>10310</v>
      </c>
      <c r="I4279" t="s">
        <v>10326</v>
      </c>
      <c r="L4279">
        <v>2018</v>
      </c>
      <c r="R4279" t="s">
        <v>11038</v>
      </c>
      <c r="S4279" t="s">
        <v>10310</v>
      </c>
      <c r="U4279" t="s">
        <v>11047</v>
      </c>
      <c r="W4279" s="2" t="s">
        <v>11204</v>
      </c>
    </row>
    <row r="4280" spans="1:23" hidden="1" x14ac:dyDescent="0.45">
      <c r="A4280" s="1" t="s">
        <v>4225</v>
      </c>
      <c r="B4280" t="s">
        <v>6309</v>
      </c>
      <c r="D4280" t="s">
        <v>8039</v>
      </c>
      <c r="E4280" t="s">
        <v>9810</v>
      </c>
      <c r="F4280" t="s">
        <v>10299</v>
      </c>
      <c r="G4280">
        <v>1.9</v>
      </c>
      <c r="H4280" t="s">
        <v>10310</v>
      </c>
      <c r="I4280" t="s">
        <v>10326</v>
      </c>
      <c r="L4280">
        <v>1950</v>
      </c>
      <c r="R4280" t="s">
        <v>11038</v>
      </c>
      <c r="S4280" t="s">
        <v>10310</v>
      </c>
      <c r="U4280" t="s">
        <v>11048</v>
      </c>
      <c r="W4280" s="2" t="s">
        <v>11204</v>
      </c>
    </row>
    <row r="4281" spans="1:23" hidden="1" x14ac:dyDescent="0.45">
      <c r="A4281" s="1" t="s">
        <v>4226</v>
      </c>
      <c r="D4281" t="s">
        <v>8085</v>
      </c>
      <c r="E4281" t="s">
        <v>9808</v>
      </c>
      <c r="F4281" t="s">
        <v>10299</v>
      </c>
      <c r="G4281">
        <v>8.5000000000000006E-2</v>
      </c>
      <c r="H4281" t="s">
        <v>10310</v>
      </c>
      <c r="I4281" t="s">
        <v>10326</v>
      </c>
      <c r="L4281">
        <v>1997</v>
      </c>
      <c r="R4281" t="s">
        <v>11038</v>
      </c>
      <c r="S4281" t="s">
        <v>10310</v>
      </c>
      <c r="U4281" t="s">
        <v>11050</v>
      </c>
      <c r="W4281" s="2" t="s">
        <v>11204</v>
      </c>
    </row>
    <row r="4282" spans="1:23" hidden="1" x14ac:dyDescent="0.45">
      <c r="A4282" s="1" t="s">
        <v>4227</v>
      </c>
      <c r="B4282" t="s">
        <v>6821</v>
      </c>
      <c r="D4282" t="s">
        <v>8045</v>
      </c>
      <c r="E4282" t="s">
        <v>9644</v>
      </c>
      <c r="F4282" t="s">
        <v>10299</v>
      </c>
      <c r="G4282">
        <v>0.5</v>
      </c>
      <c r="H4282" t="s">
        <v>10310</v>
      </c>
      <c r="I4282" t="s">
        <v>10326</v>
      </c>
      <c r="L4282">
        <v>2010</v>
      </c>
      <c r="R4282" t="s">
        <v>11038</v>
      </c>
      <c r="S4282" t="s">
        <v>10310</v>
      </c>
      <c r="U4282" t="s">
        <v>11048</v>
      </c>
      <c r="W4282" s="2" t="s">
        <v>11204</v>
      </c>
    </row>
    <row r="4283" spans="1:23" hidden="1" x14ac:dyDescent="0.45">
      <c r="A4283" s="1" t="s">
        <v>4228</v>
      </c>
      <c r="B4283" t="s">
        <v>6595</v>
      </c>
      <c r="D4283" t="s">
        <v>8041</v>
      </c>
      <c r="E4283" t="s">
        <v>9633</v>
      </c>
      <c r="F4283" t="s">
        <v>10299</v>
      </c>
      <c r="G4283">
        <v>65</v>
      </c>
      <c r="H4283" t="s">
        <v>10310</v>
      </c>
      <c r="I4283" t="s">
        <v>10326</v>
      </c>
      <c r="L4283">
        <v>1982</v>
      </c>
      <c r="R4283" t="s">
        <v>11038</v>
      </c>
      <c r="S4283" t="s">
        <v>10310</v>
      </c>
      <c r="U4283" t="s">
        <v>11048</v>
      </c>
      <c r="W4283" s="2" t="s">
        <v>11204</v>
      </c>
    </row>
    <row r="4284" spans="1:23" hidden="1" x14ac:dyDescent="0.45">
      <c r="A4284" s="1" t="s">
        <v>4229</v>
      </c>
      <c r="B4284" t="s">
        <v>6822</v>
      </c>
      <c r="D4284" t="s">
        <v>8040</v>
      </c>
      <c r="E4284" t="s">
        <v>9733</v>
      </c>
      <c r="F4284" t="s">
        <v>10299</v>
      </c>
      <c r="G4284">
        <v>1.25</v>
      </c>
      <c r="H4284" t="s">
        <v>10310</v>
      </c>
      <c r="I4284" t="s">
        <v>10326</v>
      </c>
      <c r="L4284">
        <v>2015</v>
      </c>
      <c r="R4284" t="s">
        <v>11038</v>
      </c>
      <c r="S4284" t="s">
        <v>10310</v>
      </c>
      <c r="U4284" t="s">
        <v>11048</v>
      </c>
      <c r="W4284" s="2" t="s">
        <v>11204</v>
      </c>
    </row>
    <row r="4285" spans="1:23" hidden="1" x14ac:dyDescent="0.45">
      <c r="A4285" s="1" t="s">
        <v>4230</v>
      </c>
      <c r="B4285" t="s">
        <v>6392</v>
      </c>
      <c r="D4285" t="s">
        <v>8072</v>
      </c>
      <c r="E4285" t="s">
        <v>9788</v>
      </c>
      <c r="F4285" t="s">
        <v>10299</v>
      </c>
      <c r="G4285">
        <v>0.35</v>
      </c>
      <c r="H4285" t="s">
        <v>10310</v>
      </c>
      <c r="I4285" t="s">
        <v>10326</v>
      </c>
      <c r="L4285">
        <v>1921</v>
      </c>
      <c r="R4285" t="s">
        <v>11038</v>
      </c>
      <c r="S4285" t="s">
        <v>10310</v>
      </c>
      <c r="U4285" t="s">
        <v>11047</v>
      </c>
      <c r="W4285" s="2" t="s">
        <v>11204</v>
      </c>
    </row>
    <row r="4286" spans="1:23" hidden="1" x14ac:dyDescent="0.45">
      <c r="A4286" s="1" t="s">
        <v>4231</v>
      </c>
      <c r="B4286" t="s">
        <v>6823</v>
      </c>
      <c r="D4286" t="s">
        <v>8082</v>
      </c>
      <c r="E4286" t="s">
        <v>4687</v>
      </c>
      <c r="F4286" t="s">
        <v>10299</v>
      </c>
      <c r="G4286">
        <v>0.08</v>
      </c>
      <c r="H4286" t="s">
        <v>10310</v>
      </c>
      <c r="I4286" t="s">
        <v>10326</v>
      </c>
      <c r="L4286">
        <v>2004</v>
      </c>
      <c r="R4286" t="s">
        <v>11038</v>
      </c>
      <c r="S4286" t="s">
        <v>10310</v>
      </c>
      <c r="U4286" t="s">
        <v>11049</v>
      </c>
      <c r="W4286" s="2" t="s">
        <v>11204</v>
      </c>
    </row>
    <row r="4287" spans="1:23" hidden="1" x14ac:dyDescent="0.45">
      <c r="A4287" s="1" t="s">
        <v>4232</v>
      </c>
      <c r="B4287" t="s">
        <v>6595</v>
      </c>
      <c r="D4287" t="s">
        <v>8041</v>
      </c>
      <c r="E4287" t="s">
        <v>9633</v>
      </c>
      <c r="F4287" t="s">
        <v>10299</v>
      </c>
      <c r="G4287">
        <v>0.7</v>
      </c>
      <c r="H4287" t="s">
        <v>10310</v>
      </c>
      <c r="I4287" t="s">
        <v>10326</v>
      </c>
      <c r="L4287">
        <v>1999</v>
      </c>
      <c r="R4287" t="s">
        <v>11038</v>
      </c>
      <c r="S4287" t="s">
        <v>10310</v>
      </c>
      <c r="U4287" t="s">
        <v>11048</v>
      </c>
      <c r="W4287" s="2" t="s">
        <v>11204</v>
      </c>
    </row>
    <row r="4288" spans="1:23" hidden="1" x14ac:dyDescent="0.45">
      <c r="A4288" s="1" t="s">
        <v>4233</v>
      </c>
      <c r="B4288" t="s">
        <v>6672</v>
      </c>
      <c r="D4288" t="s">
        <v>8045</v>
      </c>
      <c r="E4288" t="s">
        <v>9644</v>
      </c>
      <c r="F4288" t="s">
        <v>10299</v>
      </c>
      <c r="G4288">
        <v>180</v>
      </c>
      <c r="H4288" t="s">
        <v>10310</v>
      </c>
      <c r="I4288" t="s">
        <v>10326</v>
      </c>
      <c r="L4288">
        <v>1968</v>
      </c>
      <c r="R4288" t="s">
        <v>11038</v>
      </c>
      <c r="S4288" t="s">
        <v>10310</v>
      </c>
      <c r="U4288" t="s">
        <v>11048</v>
      </c>
      <c r="W4288" s="2" t="s">
        <v>11204</v>
      </c>
    </row>
    <row r="4289" spans="1:23" hidden="1" x14ac:dyDescent="0.45">
      <c r="A4289" s="1" t="s">
        <v>4234</v>
      </c>
      <c r="B4289" t="s">
        <v>6278</v>
      </c>
      <c r="D4289" t="s">
        <v>8070</v>
      </c>
      <c r="E4289" t="s">
        <v>4102</v>
      </c>
      <c r="F4289" t="s">
        <v>10299</v>
      </c>
      <c r="G4289">
        <v>52</v>
      </c>
      <c r="H4289" t="s">
        <v>10310</v>
      </c>
      <c r="I4289" t="s">
        <v>10326</v>
      </c>
      <c r="L4289">
        <v>1973</v>
      </c>
      <c r="R4289" t="s">
        <v>11038</v>
      </c>
      <c r="S4289" t="s">
        <v>10310</v>
      </c>
      <c r="U4289" t="s">
        <v>11048</v>
      </c>
      <c r="W4289" s="2" t="s">
        <v>11204</v>
      </c>
    </row>
    <row r="4290" spans="1:23" hidden="1" x14ac:dyDescent="0.45">
      <c r="A4290" s="1" t="s">
        <v>4235</v>
      </c>
      <c r="B4290" t="s">
        <v>6374</v>
      </c>
      <c r="D4290" t="s">
        <v>8029</v>
      </c>
      <c r="E4290" t="s">
        <v>9753</v>
      </c>
      <c r="F4290" t="s">
        <v>10299</v>
      </c>
      <c r="G4290">
        <v>3.6</v>
      </c>
      <c r="H4290" t="s">
        <v>10310</v>
      </c>
      <c r="I4290" t="s">
        <v>10326</v>
      </c>
      <c r="L4290">
        <v>1950</v>
      </c>
      <c r="R4290" t="s">
        <v>11038</v>
      </c>
      <c r="S4290" t="s">
        <v>10310</v>
      </c>
      <c r="U4290" t="s">
        <v>11048</v>
      </c>
      <c r="W4290" s="2" t="s">
        <v>11204</v>
      </c>
    </row>
    <row r="4291" spans="1:23" hidden="1" x14ac:dyDescent="0.45">
      <c r="A4291" s="1" t="s">
        <v>4236</v>
      </c>
      <c r="B4291" t="s">
        <v>6824</v>
      </c>
      <c r="D4291" t="s">
        <v>8059</v>
      </c>
      <c r="E4291" t="s">
        <v>9663</v>
      </c>
      <c r="F4291" t="s">
        <v>10299</v>
      </c>
      <c r="G4291">
        <v>6.5000000000000002E-2</v>
      </c>
      <c r="H4291" t="s">
        <v>10310</v>
      </c>
      <c r="I4291" t="s">
        <v>10326</v>
      </c>
      <c r="L4291">
        <v>2000</v>
      </c>
      <c r="R4291" t="s">
        <v>11038</v>
      </c>
      <c r="S4291" t="s">
        <v>10310</v>
      </c>
      <c r="U4291" t="s">
        <v>11046</v>
      </c>
      <c r="W4291" s="2" t="s">
        <v>11204</v>
      </c>
    </row>
    <row r="4292" spans="1:23" hidden="1" x14ac:dyDescent="0.45">
      <c r="A4292" s="1" t="s">
        <v>4237</v>
      </c>
      <c r="B4292" t="s">
        <v>6825</v>
      </c>
      <c r="D4292" t="s">
        <v>8046</v>
      </c>
      <c r="E4292" t="s">
        <v>9640</v>
      </c>
      <c r="F4292" t="s">
        <v>10299</v>
      </c>
      <c r="G4292">
        <v>0.55000000000000004</v>
      </c>
      <c r="H4292" t="s">
        <v>10310</v>
      </c>
      <c r="I4292" t="s">
        <v>10326</v>
      </c>
      <c r="L4292">
        <v>2009</v>
      </c>
      <c r="R4292" t="s">
        <v>11038</v>
      </c>
      <c r="S4292" t="s">
        <v>10310</v>
      </c>
      <c r="U4292" t="s">
        <v>11047</v>
      </c>
      <c r="W4292" s="2" t="s">
        <v>11204</v>
      </c>
    </row>
    <row r="4293" spans="1:23" hidden="1" x14ac:dyDescent="0.45">
      <c r="A4293" s="1" t="s">
        <v>4238</v>
      </c>
      <c r="B4293" t="s">
        <v>6374</v>
      </c>
      <c r="D4293" t="s">
        <v>8047</v>
      </c>
      <c r="E4293" t="s">
        <v>9713</v>
      </c>
      <c r="F4293" t="s">
        <v>10299</v>
      </c>
      <c r="G4293">
        <v>66</v>
      </c>
      <c r="H4293" t="s">
        <v>10310</v>
      </c>
      <c r="I4293" t="s">
        <v>10326</v>
      </c>
      <c r="L4293">
        <v>1983</v>
      </c>
      <c r="R4293" t="s">
        <v>11038</v>
      </c>
      <c r="S4293" t="s">
        <v>10310</v>
      </c>
      <c r="U4293" t="s">
        <v>11048</v>
      </c>
      <c r="W4293" s="2" t="s">
        <v>11204</v>
      </c>
    </row>
    <row r="4294" spans="1:23" hidden="1" x14ac:dyDescent="0.45">
      <c r="A4294" s="1" t="s">
        <v>4239</v>
      </c>
      <c r="B4294" t="s">
        <v>6434</v>
      </c>
      <c r="D4294" t="s">
        <v>8080</v>
      </c>
      <c r="E4294" t="s">
        <v>9729</v>
      </c>
      <c r="F4294" t="s">
        <v>10299</v>
      </c>
      <c r="G4294">
        <v>270</v>
      </c>
      <c r="H4294" t="s">
        <v>10310</v>
      </c>
      <c r="I4294" t="s">
        <v>10326</v>
      </c>
      <c r="L4294">
        <v>1959</v>
      </c>
      <c r="R4294" t="s">
        <v>11038</v>
      </c>
      <c r="S4294" t="s">
        <v>10310</v>
      </c>
      <c r="U4294" t="s">
        <v>11049</v>
      </c>
      <c r="W4294" s="2" t="s">
        <v>11204</v>
      </c>
    </row>
    <row r="4295" spans="1:23" hidden="1" x14ac:dyDescent="0.45">
      <c r="A4295" s="1" t="s">
        <v>4240</v>
      </c>
      <c r="D4295" t="s">
        <v>8065</v>
      </c>
      <c r="E4295" t="s">
        <v>9704</v>
      </c>
      <c r="F4295" t="s">
        <v>10299</v>
      </c>
      <c r="G4295">
        <v>0</v>
      </c>
      <c r="H4295" t="s">
        <v>10310</v>
      </c>
      <c r="I4295" t="s">
        <v>10326</v>
      </c>
      <c r="L4295">
        <v>1995</v>
      </c>
      <c r="R4295" t="s">
        <v>11038</v>
      </c>
      <c r="S4295" t="s">
        <v>10310</v>
      </c>
      <c r="U4295" t="s">
        <v>11050</v>
      </c>
      <c r="W4295" s="2" t="s">
        <v>11204</v>
      </c>
    </row>
    <row r="4296" spans="1:23" hidden="1" x14ac:dyDescent="0.45">
      <c r="A4296" s="1" t="s">
        <v>4241</v>
      </c>
      <c r="B4296" t="s">
        <v>6503</v>
      </c>
      <c r="D4296" t="s">
        <v>8043</v>
      </c>
      <c r="E4296" t="s">
        <v>9783</v>
      </c>
      <c r="F4296" t="s">
        <v>10299</v>
      </c>
      <c r="G4296">
        <v>2.9</v>
      </c>
      <c r="H4296" t="s">
        <v>10310</v>
      </c>
      <c r="I4296" t="s">
        <v>10326</v>
      </c>
      <c r="L4296">
        <v>1920</v>
      </c>
      <c r="R4296" t="s">
        <v>11038</v>
      </c>
      <c r="S4296" t="s">
        <v>10310</v>
      </c>
      <c r="U4296" t="s">
        <v>11047</v>
      </c>
      <c r="W4296" s="2" t="s">
        <v>11204</v>
      </c>
    </row>
    <row r="4297" spans="1:23" hidden="1" x14ac:dyDescent="0.45">
      <c r="A4297" s="1" t="s">
        <v>4242</v>
      </c>
      <c r="B4297" t="s">
        <v>6281</v>
      </c>
      <c r="D4297" t="s">
        <v>8041</v>
      </c>
      <c r="E4297" t="s">
        <v>9633</v>
      </c>
      <c r="F4297" t="s">
        <v>10299</v>
      </c>
      <c r="G4297">
        <v>5</v>
      </c>
      <c r="H4297" t="s">
        <v>10310</v>
      </c>
      <c r="I4297" t="s">
        <v>10326</v>
      </c>
      <c r="L4297">
        <v>2012</v>
      </c>
      <c r="R4297" t="s">
        <v>11038</v>
      </c>
      <c r="S4297" t="s">
        <v>10310</v>
      </c>
      <c r="U4297" t="s">
        <v>11048</v>
      </c>
      <c r="W4297" s="2" t="s">
        <v>11204</v>
      </c>
    </row>
    <row r="4298" spans="1:23" hidden="1" x14ac:dyDescent="0.45">
      <c r="A4298" s="1" t="s">
        <v>4243</v>
      </c>
      <c r="B4298" t="s">
        <v>6357</v>
      </c>
      <c r="D4298" t="s">
        <v>8056</v>
      </c>
      <c r="E4298" t="s">
        <v>9691</v>
      </c>
      <c r="F4298" t="s">
        <v>10299</v>
      </c>
      <c r="G4298">
        <v>24</v>
      </c>
      <c r="H4298" t="s">
        <v>10310</v>
      </c>
      <c r="I4298" t="s">
        <v>10326</v>
      </c>
      <c r="L4298">
        <v>2014</v>
      </c>
      <c r="R4298" t="s">
        <v>11038</v>
      </c>
      <c r="S4298" t="s">
        <v>10310</v>
      </c>
      <c r="U4298" t="s">
        <v>11046</v>
      </c>
      <c r="W4298" s="2" t="s">
        <v>11204</v>
      </c>
    </row>
    <row r="4299" spans="1:23" hidden="1" x14ac:dyDescent="0.45">
      <c r="A4299" s="1" t="s">
        <v>4244</v>
      </c>
      <c r="B4299" t="s">
        <v>6349</v>
      </c>
      <c r="D4299" t="s">
        <v>8056</v>
      </c>
      <c r="E4299" t="s">
        <v>9691</v>
      </c>
      <c r="F4299" t="s">
        <v>10299</v>
      </c>
      <c r="G4299">
        <v>9</v>
      </c>
      <c r="H4299" t="s">
        <v>10310</v>
      </c>
      <c r="I4299" t="s">
        <v>10324</v>
      </c>
      <c r="L4299">
        <v>1987</v>
      </c>
      <c r="R4299" t="s">
        <v>11038</v>
      </c>
      <c r="S4299" t="s">
        <v>10310</v>
      </c>
      <c r="U4299" t="s">
        <v>11046</v>
      </c>
      <c r="V4299" t="s">
        <v>11182</v>
      </c>
      <c r="W4299" s="2" t="s">
        <v>11204</v>
      </c>
    </row>
    <row r="4300" spans="1:23" hidden="1" x14ac:dyDescent="0.45">
      <c r="A4300" s="1" t="s">
        <v>4245</v>
      </c>
      <c r="B4300" t="s">
        <v>6307</v>
      </c>
      <c r="D4300" t="s">
        <v>8040</v>
      </c>
      <c r="E4300" t="s">
        <v>9733</v>
      </c>
      <c r="F4300" t="s">
        <v>10299</v>
      </c>
      <c r="G4300">
        <v>4</v>
      </c>
      <c r="H4300" t="s">
        <v>10310</v>
      </c>
      <c r="I4300" t="s">
        <v>10326</v>
      </c>
      <c r="L4300">
        <v>1922</v>
      </c>
      <c r="R4300" t="s">
        <v>11038</v>
      </c>
      <c r="S4300" t="s">
        <v>10310</v>
      </c>
      <c r="U4300" t="s">
        <v>11048</v>
      </c>
      <c r="W4300" s="2" t="s">
        <v>11204</v>
      </c>
    </row>
    <row r="4301" spans="1:23" hidden="1" x14ac:dyDescent="0.45">
      <c r="A4301" s="1" t="s">
        <v>4246</v>
      </c>
      <c r="B4301" t="s">
        <v>6826</v>
      </c>
      <c r="D4301" t="s">
        <v>8056</v>
      </c>
      <c r="E4301" t="s">
        <v>9688</v>
      </c>
      <c r="F4301" t="s">
        <v>10299</v>
      </c>
      <c r="G4301">
        <v>0.9</v>
      </c>
      <c r="H4301" t="s">
        <v>10310</v>
      </c>
      <c r="I4301" t="s">
        <v>10326</v>
      </c>
      <c r="L4301">
        <v>1999</v>
      </c>
      <c r="R4301" t="s">
        <v>11038</v>
      </c>
      <c r="S4301" t="s">
        <v>10310</v>
      </c>
      <c r="U4301" t="s">
        <v>11047</v>
      </c>
      <c r="W4301" s="2" t="s">
        <v>11204</v>
      </c>
    </row>
    <row r="4302" spans="1:23" hidden="1" x14ac:dyDescent="0.45">
      <c r="A4302" s="1" t="s">
        <v>4247</v>
      </c>
      <c r="D4302" t="s">
        <v>8039</v>
      </c>
      <c r="E4302" t="s">
        <v>9695</v>
      </c>
      <c r="F4302" t="s">
        <v>10299</v>
      </c>
      <c r="G4302">
        <v>0.03</v>
      </c>
      <c r="H4302" t="s">
        <v>10310</v>
      </c>
      <c r="I4302" t="s">
        <v>10326</v>
      </c>
      <c r="L4302">
        <v>2003</v>
      </c>
      <c r="R4302" t="s">
        <v>11038</v>
      </c>
      <c r="S4302" t="s">
        <v>10310</v>
      </c>
      <c r="U4302" t="s">
        <v>11046</v>
      </c>
      <c r="W4302" s="2" t="s">
        <v>11204</v>
      </c>
    </row>
    <row r="4303" spans="1:23" hidden="1" x14ac:dyDescent="0.45">
      <c r="A4303" s="1" t="s">
        <v>4248</v>
      </c>
      <c r="B4303" t="s">
        <v>6307</v>
      </c>
      <c r="D4303" t="s">
        <v>8051</v>
      </c>
      <c r="E4303" t="s">
        <v>9649</v>
      </c>
      <c r="F4303" t="s">
        <v>10299</v>
      </c>
      <c r="G4303">
        <v>70</v>
      </c>
      <c r="H4303" t="s">
        <v>10310</v>
      </c>
      <c r="I4303" t="s">
        <v>10326</v>
      </c>
      <c r="L4303">
        <v>1979</v>
      </c>
      <c r="R4303" t="s">
        <v>11038</v>
      </c>
      <c r="S4303" t="s">
        <v>10310</v>
      </c>
      <c r="U4303" t="s">
        <v>11048</v>
      </c>
      <c r="W4303" s="2" t="s">
        <v>11204</v>
      </c>
    </row>
    <row r="4304" spans="1:23" hidden="1" x14ac:dyDescent="0.45">
      <c r="A4304" s="1" t="s">
        <v>4249</v>
      </c>
      <c r="B4304" t="s">
        <v>6827</v>
      </c>
      <c r="D4304" t="s">
        <v>8075</v>
      </c>
      <c r="E4304" t="s">
        <v>9715</v>
      </c>
      <c r="F4304" t="s">
        <v>10299</v>
      </c>
      <c r="G4304">
        <v>1.2</v>
      </c>
      <c r="H4304" t="s">
        <v>10310</v>
      </c>
      <c r="I4304" t="s">
        <v>10326</v>
      </c>
      <c r="L4304">
        <v>2008</v>
      </c>
      <c r="R4304" t="s">
        <v>11038</v>
      </c>
      <c r="S4304" t="s">
        <v>10310</v>
      </c>
      <c r="U4304" t="s">
        <v>11047</v>
      </c>
      <c r="W4304" s="2" t="s">
        <v>11204</v>
      </c>
    </row>
    <row r="4305" spans="1:23" hidden="1" x14ac:dyDescent="0.45">
      <c r="A4305" s="1" t="s">
        <v>4250</v>
      </c>
      <c r="B4305" t="s">
        <v>6828</v>
      </c>
      <c r="D4305" t="s">
        <v>8031</v>
      </c>
      <c r="E4305" t="s">
        <v>4081</v>
      </c>
      <c r="F4305" t="s">
        <v>10299</v>
      </c>
      <c r="G4305">
        <v>0.38</v>
      </c>
      <c r="H4305" t="s">
        <v>10310</v>
      </c>
      <c r="I4305" t="s">
        <v>10326</v>
      </c>
      <c r="L4305">
        <v>2011</v>
      </c>
      <c r="R4305" t="s">
        <v>11038</v>
      </c>
      <c r="S4305" t="s">
        <v>10310</v>
      </c>
      <c r="U4305" t="s">
        <v>11047</v>
      </c>
      <c r="W4305" s="2" t="s">
        <v>11204</v>
      </c>
    </row>
    <row r="4306" spans="1:23" hidden="1" x14ac:dyDescent="0.45">
      <c r="A4306" s="1" t="s">
        <v>4251</v>
      </c>
      <c r="B4306" t="s">
        <v>6829</v>
      </c>
      <c r="D4306" t="s">
        <v>8031</v>
      </c>
      <c r="E4306" t="s">
        <v>9852</v>
      </c>
      <c r="F4306" t="s">
        <v>10299</v>
      </c>
      <c r="G4306">
        <v>4</v>
      </c>
      <c r="H4306" t="s">
        <v>10310</v>
      </c>
      <c r="I4306" t="s">
        <v>10326</v>
      </c>
      <c r="L4306">
        <v>1910</v>
      </c>
      <c r="R4306" t="s">
        <v>11038</v>
      </c>
      <c r="S4306" t="s">
        <v>10310</v>
      </c>
      <c r="U4306" t="s">
        <v>11050</v>
      </c>
      <c r="W4306" s="2" t="s">
        <v>11204</v>
      </c>
    </row>
    <row r="4307" spans="1:23" hidden="1" x14ac:dyDescent="0.45">
      <c r="A4307" s="1" t="s">
        <v>4252</v>
      </c>
      <c r="B4307" t="s">
        <v>6829</v>
      </c>
      <c r="D4307" t="s">
        <v>8031</v>
      </c>
      <c r="E4307" t="s">
        <v>9852</v>
      </c>
      <c r="F4307" t="s">
        <v>10299</v>
      </c>
      <c r="G4307">
        <v>19.8</v>
      </c>
      <c r="H4307" t="s">
        <v>10310</v>
      </c>
      <c r="I4307" t="s">
        <v>10326</v>
      </c>
      <c r="L4307">
        <v>1972</v>
      </c>
      <c r="R4307" t="s">
        <v>11038</v>
      </c>
      <c r="S4307" t="s">
        <v>10310</v>
      </c>
      <c r="U4307" t="s">
        <v>11050</v>
      </c>
      <c r="W4307" s="2" t="s">
        <v>11204</v>
      </c>
    </row>
    <row r="4308" spans="1:23" hidden="1" x14ac:dyDescent="0.45">
      <c r="A4308" s="1" t="s">
        <v>4253</v>
      </c>
      <c r="B4308" t="s">
        <v>6274</v>
      </c>
      <c r="D4308" t="s">
        <v>8048</v>
      </c>
      <c r="E4308" t="s">
        <v>9642</v>
      </c>
      <c r="F4308" t="s">
        <v>10299</v>
      </c>
      <c r="G4308">
        <v>2.6</v>
      </c>
      <c r="H4308" t="s">
        <v>10310</v>
      </c>
      <c r="I4308" t="s">
        <v>10324</v>
      </c>
      <c r="L4308">
        <v>1986</v>
      </c>
      <c r="R4308" t="s">
        <v>11038</v>
      </c>
      <c r="S4308" t="s">
        <v>10310</v>
      </c>
      <c r="U4308" t="s">
        <v>11046</v>
      </c>
      <c r="V4308" t="s">
        <v>11182</v>
      </c>
      <c r="W4308" s="2" t="s">
        <v>11204</v>
      </c>
    </row>
    <row r="4309" spans="1:23" hidden="1" x14ac:dyDescent="0.45">
      <c r="A4309" s="1" t="s">
        <v>4254</v>
      </c>
      <c r="B4309" t="s">
        <v>6830</v>
      </c>
      <c r="D4309" t="s">
        <v>8049</v>
      </c>
      <c r="E4309" t="s">
        <v>9742</v>
      </c>
      <c r="F4309" t="s">
        <v>10299</v>
      </c>
      <c r="G4309">
        <v>0.25</v>
      </c>
      <c r="H4309" t="s">
        <v>10310</v>
      </c>
      <c r="I4309" t="s">
        <v>10326</v>
      </c>
      <c r="L4309">
        <v>2011</v>
      </c>
      <c r="R4309" t="s">
        <v>11038</v>
      </c>
      <c r="S4309" t="s">
        <v>10310</v>
      </c>
      <c r="U4309" t="s">
        <v>11050</v>
      </c>
      <c r="W4309" s="2" t="s">
        <v>11204</v>
      </c>
    </row>
    <row r="4310" spans="1:23" hidden="1" x14ac:dyDescent="0.45">
      <c r="A4310" s="1" t="s">
        <v>4255</v>
      </c>
      <c r="B4310" t="s">
        <v>6402</v>
      </c>
      <c r="D4310" t="s">
        <v>8083</v>
      </c>
      <c r="E4310" t="s">
        <v>9760</v>
      </c>
      <c r="F4310" t="s">
        <v>10299</v>
      </c>
      <c r="G4310">
        <v>5.8</v>
      </c>
      <c r="H4310" t="s">
        <v>10310</v>
      </c>
      <c r="I4310" t="s">
        <v>10326</v>
      </c>
      <c r="L4310">
        <v>1906</v>
      </c>
      <c r="R4310" t="s">
        <v>11038</v>
      </c>
      <c r="S4310" t="s">
        <v>10310</v>
      </c>
      <c r="U4310" t="s">
        <v>11047</v>
      </c>
      <c r="W4310" s="2" t="s">
        <v>11204</v>
      </c>
    </row>
    <row r="4311" spans="1:23" hidden="1" x14ac:dyDescent="0.45">
      <c r="A4311" s="1" t="s">
        <v>4256</v>
      </c>
      <c r="B4311" t="s">
        <v>6831</v>
      </c>
      <c r="D4311" t="s">
        <v>8071</v>
      </c>
      <c r="E4311" t="s">
        <v>9689</v>
      </c>
      <c r="F4311" t="s">
        <v>10299</v>
      </c>
      <c r="G4311">
        <v>5.3</v>
      </c>
      <c r="H4311" t="s">
        <v>10310</v>
      </c>
      <c r="I4311" t="s">
        <v>10326</v>
      </c>
      <c r="L4311">
        <v>2008</v>
      </c>
      <c r="R4311" t="s">
        <v>11038</v>
      </c>
      <c r="S4311" t="s">
        <v>10310</v>
      </c>
      <c r="U4311" t="s">
        <v>11047</v>
      </c>
      <c r="W4311" s="2" t="s">
        <v>11204</v>
      </c>
    </row>
    <row r="4312" spans="1:23" hidden="1" x14ac:dyDescent="0.45">
      <c r="A4312" s="1" t="s">
        <v>4257</v>
      </c>
      <c r="B4312" t="s">
        <v>6311</v>
      </c>
      <c r="D4312" t="s">
        <v>8036</v>
      </c>
      <c r="E4312" t="s">
        <v>9807</v>
      </c>
      <c r="F4312" t="s">
        <v>10299</v>
      </c>
      <c r="G4312">
        <v>206.6</v>
      </c>
      <c r="H4312" t="s">
        <v>10310</v>
      </c>
      <c r="I4312" t="s">
        <v>10326</v>
      </c>
      <c r="L4312">
        <v>1997</v>
      </c>
      <c r="R4312" t="s">
        <v>11038</v>
      </c>
      <c r="S4312" t="s">
        <v>10310</v>
      </c>
      <c r="U4312" t="s">
        <v>11046</v>
      </c>
      <c r="W4312" s="2" t="s">
        <v>11204</v>
      </c>
    </row>
    <row r="4313" spans="1:23" hidden="1" x14ac:dyDescent="0.45">
      <c r="A4313" s="1" t="s">
        <v>4258</v>
      </c>
      <c r="B4313" t="s">
        <v>6274</v>
      </c>
      <c r="D4313" t="s">
        <v>8041</v>
      </c>
      <c r="E4313" t="s">
        <v>9633</v>
      </c>
      <c r="F4313" t="s">
        <v>10299</v>
      </c>
      <c r="G4313">
        <v>300</v>
      </c>
      <c r="H4313" t="s">
        <v>10310</v>
      </c>
      <c r="I4313" t="s">
        <v>10326</v>
      </c>
      <c r="L4313">
        <v>1973</v>
      </c>
      <c r="R4313" t="s">
        <v>11038</v>
      </c>
      <c r="S4313" t="s">
        <v>10310</v>
      </c>
      <c r="U4313" t="s">
        <v>11048</v>
      </c>
      <c r="W4313" s="2" t="s">
        <v>11204</v>
      </c>
    </row>
    <row r="4314" spans="1:23" hidden="1" x14ac:dyDescent="0.45">
      <c r="A4314" s="1" t="s">
        <v>4259</v>
      </c>
      <c r="B4314" t="s">
        <v>6539</v>
      </c>
      <c r="D4314" t="s">
        <v>8028</v>
      </c>
      <c r="E4314" t="s">
        <v>9636</v>
      </c>
      <c r="F4314" t="s">
        <v>10299</v>
      </c>
      <c r="G4314">
        <v>0.16</v>
      </c>
      <c r="H4314" t="s">
        <v>10310</v>
      </c>
      <c r="I4314" t="s">
        <v>10326</v>
      </c>
      <c r="L4314">
        <v>2016</v>
      </c>
      <c r="R4314" t="s">
        <v>11038</v>
      </c>
      <c r="S4314" t="s">
        <v>10310</v>
      </c>
      <c r="U4314" t="s">
        <v>11050</v>
      </c>
      <c r="W4314" s="2" t="s">
        <v>11204</v>
      </c>
    </row>
    <row r="4315" spans="1:23" hidden="1" x14ac:dyDescent="0.45">
      <c r="A4315" s="1" t="s">
        <v>4260</v>
      </c>
      <c r="B4315" t="s">
        <v>6392</v>
      </c>
      <c r="D4315" t="s">
        <v>8052</v>
      </c>
      <c r="E4315" t="s">
        <v>9650</v>
      </c>
      <c r="F4315" t="s">
        <v>10299</v>
      </c>
      <c r="G4315">
        <v>2.6</v>
      </c>
      <c r="H4315" t="s">
        <v>10310</v>
      </c>
      <c r="I4315" t="s">
        <v>10326</v>
      </c>
      <c r="L4315">
        <v>1993</v>
      </c>
      <c r="R4315" t="s">
        <v>11038</v>
      </c>
      <c r="S4315" t="s">
        <v>10310</v>
      </c>
      <c r="U4315" t="s">
        <v>11047</v>
      </c>
      <c r="W4315" s="2" t="s">
        <v>11204</v>
      </c>
    </row>
    <row r="4316" spans="1:23" hidden="1" x14ac:dyDescent="0.45">
      <c r="A4316" s="1" t="s">
        <v>4261</v>
      </c>
      <c r="D4316" t="s">
        <v>8049</v>
      </c>
      <c r="E4316" t="s">
        <v>9769</v>
      </c>
      <c r="F4316" t="s">
        <v>10299</v>
      </c>
      <c r="G4316">
        <v>0.1</v>
      </c>
      <c r="H4316" t="s">
        <v>10310</v>
      </c>
      <c r="I4316" t="s">
        <v>10326</v>
      </c>
      <c r="L4316">
        <v>2005</v>
      </c>
      <c r="R4316" t="s">
        <v>11038</v>
      </c>
      <c r="S4316" t="s">
        <v>10310</v>
      </c>
      <c r="U4316" t="s">
        <v>11046</v>
      </c>
      <c r="W4316" s="2" t="s">
        <v>11204</v>
      </c>
    </row>
    <row r="4317" spans="1:23" hidden="1" x14ac:dyDescent="0.45">
      <c r="A4317" s="1" t="s">
        <v>4262</v>
      </c>
      <c r="B4317" t="s">
        <v>6290</v>
      </c>
      <c r="D4317" t="s">
        <v>8070</v>
      </c>
      <c r="E4317" t="s">
        <v>9759</v>
      </c>
      <c r="F4317" t="s">
        <v>10299</v>
      </c>
      <c r="G4317">
        <v>32</v>
      </c>
      <c r="H4317" t="s">
        <v>10310</v>
      </c>
      <c r="I4317" t="s">
        <v>10326</v>
      </c>
      <c r="L4317">
        <v>1965</v>
      </c>
      <c r="R4317" t="s">
        <v>11038</v>
      </c>
      <c r="S4317" t="s">
        <v>10310</v>
      </c>
      <c r="U4317" t="s">
        <v>11047</v>
      </c>
      <c r="W4317" s="2" t="s">
        <v>11204</v>
      </c>
    </row>
    <row r="4318" spans="1:23" hidden="1" x14ac:dyDescent="0.45">
      <c r="A4318" s="1" t="s">
        <v>4263</v>
      </c>
      <c r="B4318" t="s">
        <v>6832</v>
      </c>
      <c r="D4318" t="s">
        <v>8075</v>
      </c>
      <c r="E4318" t="s">
        <v>9715</v>
      </c>
      <c r="F4318" t="s">
        <v>10299</v>
      </c>
      <c r="G4318">
        <v>2</v>
      </c>
      <c r="H4318" t="s">
        <v>10310</v>
      </c>
      <c r="I4318" t="s">
        <v>10326</v>
      </c>
      <c r="L4318">
        <v>2004</v>
      </c>
      <c r="R4318" t="s">
        <v>11038</v>
      </c>
      <c r="S4318" t="s">
        <v>10310</v>
      </c>
      <c r="U4318" t="s">
        <v>11047</v>
      </c>
      <c r="W4318" s="2" t="s">
        <v>11204</v>
      </c>
    </row>
    <row r="4319" spans="1:23" hidden="1" x14ac:dyDescent="0.45">
      <c r="A4319" s="1" t="s">
        <v>4264</v>
      </c>
      <c r="B4319" t="s">
        <v>6445</v>
      </c>
      <c r="D4319" t="s">
        <v>8058</v>
      </c>
      <c r="E4319" t="s">
        <v>9795</v>
      </c>
      <c r="F4319" t="s">
        <v>10299</v>
      </c>
      <c r="G4319">
        <v>6.78</v>
      </c>
      <c r="H4319" t="s">
        <v>10310</v>
      </c>
      <c r="I4319" t="s">
        <v>10326</v>
      </c>
      <c r="L4319">
        <v>1953</v>
      </c>
      <c r="R4319" t="s">
        <v>11038</v>
      </c>
      <c r="S4319" t="s">
        <v>10310</v>
      </c>
      <c r="U4319" t="s">
        <v>11048</v>
      </c>
      <c r="W4319" s="2" t="s">
        <v>11204</v>
      </c>
    </row>
    <row r="4320" spans="1:23" hidden="1" x14ac:dyDescent="0.45">
      <c r="A4320" s="1" t="s">
        <v>4265</v>
      </c>
      <c r="B4320" t="s">
        <v>6281</v>
      </c>
      <c r="D4320" t="s">
        <v>8056</v>
      </c>
      <c r="E4320" t="s">
        <v>9657</v>
      </c>
      <c r="F4320" t="s">
        <v>10299</v>
      </c>
      <c r="G4320">
        <v>0.86</v>
      </c>
      <c r="H4320" t="s">
        <v>10310</v>
      </c>
      <c r="I4320" t="s">
        <v>10326</v>
      </c>
      <c r="L4320">
        <v>2002</v>
      </c>
      <c r="R4320" t="s">
        <v>11038</v>
      </c>
      <c r="S4320" t="s">
        <v>10310</v>
      </c>
      <c r="U4320" t="s">
        <v>11046</v>
      </c>
      <c r="W4320" s="2" t="s">
        <v>11204</v>
      </c>
    </row>
    <row r="4321" spans="1:23" hidden="1" x14ac:dyDescent="0.45">
      <c r="A4321" s="1" t="s">
        <v>4266</v>
      </c>
      <c r="B4321" t="s">
        <v>6833</v>
      </c>
      <c r="D4321" t="s">
        <v>8041</v>
      </c>
      <c r="E4321" t="s">
        <v>9687</v>
      </c>
      <c r="F4321" t="s">
        <v>10299</v>
      </c>
      <c r="G4321">
        <v>0.42</v>
      </c>
      <c r="H4321" t="s">
        <v>10310</v>
      </c>
      <c r="I4321" t="s">
        <v>10326</v>
      </c>
      <c r="L4321">
        <v>2015</v>
      </c>
      <c r="R4321" t="s">
        <v>11038</v>
      </c>
      <c r="S4321" t="s">
        <v>10310</v>
      </c>
      <c r="U4321" t="s">
        <v>11047</v>
      </c>
      <c r="W4321" s="2" t="s">
        <v>11204</v>
      </c>
    </row>
    <row r="4322" spans="1:23" hidden="1" x14ac:dyDescent="0.45">
      <c r="A4322" s="1" t="s">
        <v>4267</v>
      </c>
      <c r="B4322" t="s">
        <v>6466</v>
      </c>
      <c r="D4322" t="s">
        <v>8080</v>
      </c>
      <c r="E4322" t="s">
        <v>9812</v>
      </c>
      <c r="F4322" t="s">
        <v>10299</v>
      </c>
      <c r="G4322">
        <v>48</v>
      </c>
      <c r="H4322" t="s">
        <v>10310</v>
      </c>
      <c r="I4322" t="s">
        <v>10326</v>
      </c>
      <c r="L4322">
        <v>1964</v>
      </c>
      <c r="R4322" t="s">
        <v>11038</v>
      </c>
      <c r="S4322" t="s">
        <v>10310</v>
      </c>
      <c r="U4322" t="s">
        <v>11048</v>
      </c>
      <c r="W4322" s="2" t="s">
        <v>11204</v>
      </c>
    </row>
    <row r="4323" spans="1:23" hidden="1" x14ac:dyDescent="0.45">
      <c r="A4323" s="1" t="s">
        <v>4268</v>
      </c>
      <c r="B4323" t="s">
        <v>6323</v>
      </c>
      <c r="D4323" t="s">
        <v>8071</v>
      </c>
      <c r="E4323" t="s">
        <v>9689</v>
      </c>
      <c r="F4323" t="s">
        <v>10299</v>
      </c>
      <c r="G4323">
        <v>7.7</v>
      </c>
      <c r="H4323" t="s">
        <v>10310</v>
      </c>
      <c r="I4323" t="s">
        <v>10326</v>
      </c>
      <c r="L4323">
        <v>1987</v>
      </c>
      <c r="R4323" t="s">
        <v>11038</v>
      </c>
      <c r="S4323" t="s">
        <v>10310</v>
      </c>
      <c r="U4323" t="s">
        <v>11047</v>
      </c>
      <c r="W4323" s="2" t="s">
        <v>11204</v>
      </c>
    </row>
    <row r="4324" spans="1:23" hidden="1" x14ac:dyDescent="0.45">
      <c r="A4324" s="1" t="s">
        <v>4269</v>
      </c>
      <c r="D4324" t="s">
        <v>8043</v>
      </c>
      <c r="E4324" t="s">
        <v>9635</v>
      </c>
      <c r="F4324" t="s">
        <v>10299</v>
      </c>
      <c r="G4324">
        <v>0.11</v>
      </c>
      <c r="H4324" t="s">
        <v>10310</v>
      </c>
      <c r="I4324" t="s">
        <v>10326</v>
      </c>
      <c r="L4324">
        <v>2003</v>
      </c>
      <c r="R4324" t="s">
        <v>11038</v>
      </c>
      <c r="S4324" t="s">
        <v>10310</v>
      </c>
      <c r="U4324" t="s">
        <v>11046</v>
      </c>
      <c r="W4324" s="2" t="s">
        <v>11204</v>
      </c>
    </row>
    <row r="4325" spans="1:23" hidden="1" x14ac:dyDescent="0.45">
      <c r="A4325" s="1" t="s">
        <v>4270</v>
      </c>
      <c r="B4325" t="s">
        <v>6298</v>
      </c>
      <c r="D4325" t="s">
        <v>8041</v>
      </c>
      <c r="E4325" t="s">
        <v>9764</v>
      </c>
      <c r="F4325" t="s">
        <v>10299</v>
      </c>
      <c r="G4325">
        <v>97</v>
      </c>
      <c r="H4325" t="s">
        <v>10310</v>
      </c>
      <c r="I4325" t="s">
        <v>10326</v>
      </c>
      <c r="L4325">
        <v>1983</v>
      </c>
      <c r="R4325" t="s">
        <v>11038</v>
      </c>
      <c r="S4325" t="s">
        <v>10310</v>
      </c>
      <c r="U4325" t="s">
        <v>11050</v>
      </c>
      <c r="W4325" s="2" t="s">
        <v>11204</v>
      </c>
    </row>
    <row r="4326" spans="1:23" hidden="1" x14ac:dyDescent="0.45">
      <c r="A4326" s="1" t="s">
        <v>4271</v>
      </c>
      <c r="B4326" t="s">
        <v>6834</v>
      </c>
      <c r="D4326" t="s">
        <v>8054</v>
      </c>
      <c r="E4326" t="s">
        <v>9853</v>
      </c>
      <c r="F4326" t="s">
        <v>10299</v>
      </c>
      <c r="G4326">
        <v>0.96</v>
      </c>
      <c r="H4326" t="s">
        <v>10310</v>
      </c>
      <c r="I4326" t="s">
        <v>10326</v>
      </c>
      <c r="L4326">
        <v>1988</v>
      </c>
      <c r="R4326" t="s">
        <v>11038</v>
      </c>
      <c r="S4326" t="s">
        <v>10310</v>
      </c>
      <c r="U4326" t="s">
        <v>11050</v>
      </c>
      <c r="W4326" s="2" t="s">
        <v>11204</v>
      </c>
    </row>
    <row r="4327" spans="1:23" hidden="1" x14ac:dyDescent="0.45">
      <c r="A4327" s="1" t="s">
        <v>4272</v>
      </c>
      <c r="B4327" t="s">
        <v>6835</v>
      </c>
      <c r="D4327" t="s">
        <v>8073</v>
      </c>
      <c r="E4327" t="s">
        <v>9701</v>
      </c>
      <c r="F4327" t="s">
        <v>10299</v>
      </c>
      <c r="G4327">
        <v>1.3</v>
      </c>
      <c r="H4327" t="s">
        <v>10310</v>
      </c>
      <c r="I4327" t="s">
        <v>10326</v>
      </c>
      <c r="L4327">
        <v>2002</v>
      </c>
      <c r="R4327" t="s">
        <v>11038</v>
      </c>
      <c r="S4327" t="s">
        <v>10310</v>
      </c>
      <c r="U4327" t="s">
        <v>11047</v>
      </c>
      <c r="W4327" s="2" t="s">
        <v>11204</v>
      </c>
    </row>
    <row r="4328" spans="1:23" hidden="1" x14ac:dyDescent="0.45">
      <c r="A4328" s="1" t="s">
        <v>4273</v>
      </c>
      <c r="B4328" t="s">
        <v>6836</v>
      </c>
      <c r="D4328" t="s">
        <v>8040</v>
      </c>
      <c r="E4328" t="s">
        <v>9694</v>
      </c>
      <c r="F4328" t="s">
        <v>10299</v>
      </c>
      <c r="G4328">
        <v>2.4</v>
      </c>
      <c r="H4328" t="s">
        <v>10310</v>
      </c>
      <c r="I4328" t="s">
        <v>10326</v>
      </c>
      <c r="L4328">
        <v>1997</v>
      </c>
      <c r="R4328" t="s">
        <v>11038</v>
      </c>
      <c r="S4328" t="s">
        <v>10310</v>
      </c>
      <c r="U4328" t="s">
        <v>11050</v>
      </c>
      <c r="W4328" s="2" t="s">
        <v>11204</v>
      </c>
    </row>
    <row r="4329" spans="1:23" hidden="1" x14ac:dyDescent="0.45">
      <c r="A4329" s="1" t="s">
        <v>4274</v>
      </c>
      <c r="B4329" t="s">
        <v>6837</v>
      </c>
      <c r="D4329" t="s">
        <v>8041</v>
      </c>
      <c r="E4329" t="s">
        <v>9651</v>
      </c>
      <c r="F4329" t="s">
        <v>10299</v>
      </c>
      <c r="G4329">
        <v>2.9</v>
      </c>
      <c r="H4329" t="s">
        <v>10310</v>
      </c>
      <c r="I4329" t="s">
        <v>10326</v>
      </c>
      <c r="L4329">
        <v>2019</v>
      </c>
      <c r="R4329" t="s">
        <v>11038</v>
      </c>
      <c r="S4329" t="s">
        <v>10310</v>
      </c>
      <c r="U4329" t="s">
        <v>11047</v>
      </c>
      <c r="W4329" s="2" t="s">
        <v>11204</v>
      </c>
    </row>
    <row r="4330" spans="1:23" hidden="1" x14ac:dyDescent="0.45">
      <c r="A4330" s="1" t="s">
        <v>4275</v>
      </c>
      <c r="B4330" t="s">
        <v>6323</v>
      </c>
      <c r="D4330" t="s">
        <v>8050</v>
      </c>
      <c r="E4330" t="s">
        <v>9740</v>
      </c>
      <c r="F4330" t="s">
        <v>10299</v>
      </c>
      <c r="G4330">
        <v>1.8</v>
      </c>
      <c r="H4330" t="s">
        <v>10310</v>
      </c>
      <c r="I4330" t="s">
        <v>10326</v>
      </c>
      <c r="L4330">
        <v>1936</v>
      </c>
      <c r="R4330" t="s">
        <v>11038</v>
      </c>
      <c r="S4330" t="s">
        <v>10310</v>
      </c>
      <c r="U4330" t="s">
        <v>11047</v>
      </c>
      <c r="W4330" s="2" t="s">
        <v>11204</v>
      </c>
    </row>
    <row r="4331" spans="1:23" hidden="1" x14ac:dyDescent="0.45">
      <c r="A4331" s="1" t="s">
        <v>4276</v>
      </c>
      <c r="B4331" t="s">
        <v>6838</v>
      </c>
      <c r="D4331" t="s">
        <v>8080</v>
      </c>
      <c r="E4331" t="s">
        <v>9825</v>
      </c>
      <c r="F4331" t="s">
        <v>10299</v>
      </c>
      <c r="G4331">
        <v>0.08</v>
      </c>
      <c r="H4331" t="s">
        <v>10310</v>
      </c>
      <c r="I4331" t="s">
        <v>10326</v>
      </c>
      <c r="L4331">
        <v>1997</v>
      </c>
      <c r="R4331" t="s">
        <v>11038</v>
      </c>
      <c r="S4331" t="s">
        <v>10310</v>
      </c>
      <c r="U4331" t="s">
        <v>11048</v>
      </c>
      <c r="W4331" s="2" t="s">
        <v>11204</v>
      </c>
    </row>
    <row r="4332" spans="1:23" hidden="1" x14ac:dyDescent="0.45">
      <c r="A4332" s="1" t="s">
        <v>4277</v>
      </c>
      <c r="B4332" t="s">
        <v>6640</v>
      </c>
      <c r="D4332" t="s">
        <v>8028</v>
      </c>
      <c r="E4332" t="s">
        <v>9621</v>
      </c>
      <c r="F4332" t="s">
        <v>10299</v>
      </c>
      <c r="G4332">
        <v>24</v>
      </c>
      <c r="H4332" t="s">
        <v>10310</v>
      </c>
      <c r="I4332" t="s">
        <v>10326</v>
      </c>
      <c r="L4332">
        <v>1953</v>
      </c>
      <c r="R4332" t="s">
        <v>11038</v>
      </c>
      <c r="S4332" t="s">
        <v>10310</v>
      </c>
      <c r="U4332" t="s">
        <v>11046</v>
      </c>
      <c r="W4332" s="2" t="s">
        <v>11204</v>
      </c>
    </row>
    <row r="4333" spans="1:23" hidden="1" x14ac:dyDescent="0.45">
      <c r="A4333" s="1" t="s">
        <v>4278</v>
      </c>
      <c r="B4333" t="s">
        <v>6839</v>
      </c>
      <c r="D4333" t="s">
        <v>7917</v>
      </c>
      <c r="E4333" t="s">
        <v>9786</v>
      </c>
      <c r="F4333" t="s">
        <v>10299</v>
      </c>
      <c r="G4333">
        <v>1</v>
      </c>
      <c r="H4333" t="s">
        <v>10310</v>
      </c>
      <c r="I4333" t="s">
        <v>10326</v>
      </c>
      <c r="L4333">
        <v>1992</v>
      </c>
      <c r="R4333" t="s">
        <v>11038</v>
      </c>
      <c r="S4333" t="s">
        <v>10310</v>
      </c>
      <c r="U4333" t="s">
        <v>11050</v>
      </c>
      <c r="W4333" s="2" t="s">
        <v>11204</v>
      </c>
    </row>
    <row r="4334" spans="1:23" hidden="1" x14ac:dyDescent="0.45">
      <c r="A4334" s="1" t="s">
        <v>4279</v>
      </c>
      <c r="B4334" t="s">
        <v>6281</v>
      </c>
      <c r="D4334" t="s">
        <v>8036</v>
      </c>
      <c r="E4334" t="s">
        <v>9628</v>
      </c>
      <c r="F4334" t="s">
        <v>10299</v>
      </c>
      <c r="G4334">
        <v>5</v>
      </c>
      <c r="H4334" t="s">
        <v>10310</v>
      </c>
      <c r="I4334" t="s">
        <v>10326</v>
      </c>
      <c r="L4334">
        <v>2014</v>
      </c>
      <c r="R4334" t="s">
        <v>11038</v>
      </c>
      <c r="S4334" t="s">
        <v>10310</v>
      </c>
      <c r="U4334" t="s">
        <v>11048</v>
      </c>
      <c r="W4334" s="2" t="s">
        <v>11204</v>
      </c>
    </row>
    <row r="4335" spans="1:23" hidden="1" x14ac:dyDescent="0.45">
      <c r="A4335" s="1" t="s">
        <v>4280</v>
      </c>
      <c r="B4335" t="s">
        <v>6470</v>
      </c>
      <c r="D4335" t="s">
        <v>8063</v>
      </c>
      <c r="E4335" t="s">
        <v>9668</v>
      </c>
      <c r="F4335" t="s">
        <v>10299</v>
      </c>
      <c r="G4335">
        <v>6.9</v>
      </c>
      <c r="H4335" t="s">
        <v>10310</v>
      </c>
      <c r="I4335" t="s">
        <v>10326</v>
      </c>
      <c r="L4335">
        <v>1995</v>
      </c>
      <c r="R4335" t="s">
        <v>11038</v>
      </c>
      <c r="S4335" t="s">
        <v>10310</v>
      </c>
      <c r="U4335" t="s">
        <v>11046</v>
      </c>
      <c r="W4335" s="2" t="s">
        <v>11204</v>
      </c>
    </row>
    <row r="4336" spans="1:23" hidden="1" x14ac:dyDescent="0.45">
      <c r="A4336" s="1" t="s">
        <v>4281</v>
      </c>
      <c r="B4336" t="s">
        <v>6840</v>
      </c>
      <c r="D4336" t="s">
        <v>8049</v>
      </c>
      <c r="E4336" t="s">
        <v>9708</v>
      </c>
      <c r="F4336" t="s">
        <v>10299</v>
      </c>
      <c r="G4336">
        <v>2.6</v>
      </c>
      <c r="H4336" t="s">
        <v>10310</v>
      </c>
      <c r="I4336" t="s">
        <v>10326</v>
      </c>
      <c r="L4336">
        <v>2014</v>
      </c>
      <c r="R4336" t="s">
        <v>11038</v>
      </c>
      <c r="S4336" t="s">
        <v>10310</v>
      </c>
      <c r="U4336" t="s">
        <v>11046</v>
      </c>
      <c r="W4336" s="2" t="s">
        <v>11204</v>
      </c>
    </row>
    <row r="4337" spans="1:23" hidden="1" x14ac:dyDescent="0.45">
      <c r="A4337" s="1" t="s">
        <v>4282</v>
      </c>
      <c r="B4337" t="s">
        <v>6374</v>
      </c>
      <c r="D4337" t="s">
        <v>8029</v>
      </c>
      <c r="E4337" t="s">
        <v>9753</v>
      </c>
      <c r="F4337" t="s">
        <v>10299</v>
      </c>
      <c r="G4337">
        <v>2.2999999999999998</v>
      </c>
      <c r="H4337" t="s">
        <v>10310</v>
      </c>
      <c r="I4337" t="s">
        <v>10326</v>
      </c>
      <c r="L4337">
        <v>2008</v>
      </c>
      <c r="R4337" t="s">
        <v>11038</v>
      </c>
      <c r="S4337" t="s">
        <v>10310</v>
      </c>
      <c r="U4337" t="s">
        <v>11048</v>
      </c>
      <c r="W4337" s="2" t="s">
        <v>11204</v>
      </c>
    </row>
    <row r="4338" spans="1:23" hidden="1" x14ac:dyDescent="0.45">
      <c r="A4338" s="1" t="s">
        <v>4283</v>
      </c>
      <c r="D4338" t="s">
        <v>8065</v>
      </c>
      <c r="E4338" t="s">
        <v>9677</v>
      </c>
      <c r="F4338" t="s">
        <v>10299</v>
      </c>
      <c r="G4338">
        <v>6.0000000000000001E-3</v>
      </c>
      <c r="H4338" t="s">
        <v>10310</v>
      </c>
      <c r="I4338" t="s">
        <v>10326</v>
      </c>
      <c r="L4338">
        <v>1999</v>
      </c>
      <c r="R4338" t="s">
        <v>11038</v>
      </c>
      <c r="S4338" t="s">
        <v>10310</v>
      </c>
      <c r="U4338" t="s">
        <v>11047</v>
      </c>
      <c r="W4338" s="2" t="s">
        <v>11204</v>
      </c>
    </row>
    <row r="4339" spans="1:23" hidden="1" x14ac:dyDescent="0.45">
      <c r="A4339" s="1" t="s">
        <v>4284</v>
      </c>
      <c r="B4339" t="s">
        <v>6617</v>
      </c>
      <c r="D4339" t="s">
        <v>8056</v>
      </c>
      <c r="E4339" t="s">
        <v>9669</v>
      </c>
      <c r="F4339" t="s">
        <v>10299</v>
      </c>
      <c r="G4339">
        <v>4.5</v>
      </c>
      <c r="H4339" t="s">
        <v>10310</v>
      </c>
      <c r="I4339" t="s">
        <v>10326</v>
      </c>
      <c r="L4339">
        <v>1950</v>
      </c>
      <c r="R4339" t="s">
        <v>11038</v>
      </c>
      <c r="S4339" t="s">
        <v>10310</v>
      </c>
      <c r="U4339" t="s">
        <v>11049</v>
      </c>
      <c r="W4339" s="2" t="s">
        <v>11204</v>
      </c>
    </row>
    <row r="4340" spans="1:23" hidden="1" x14ac:dyDescent="0.45">
      <c r="A4340" s="1" t="s">
        <v>4285</v>
      </c>
      <c r="B4340" t="s">
        <v>6402</v>
      </c>
      <c r="D4340" t="s">
        <v>8044</v>
      </c>
      <c r="E4340" t="s">
        <v>9638</v>
      </c>
      <c r="F4340" t="s">
        <v>10299</v>
      </c>
      <c r="G4340">
        <v>0.45</v>
      </c>
      <c r="H4340" t="s">
        <v>10310</v>
      </c>
      <c r="I4340" t="s">
        <v>10326</v>
      </c>
      <c r="L4340">
        <v>1910</v>
      </c>
      <c r="R4340" t="s">
        <v>11038</v>
      </c>
      <c r="S4340" t="s">
        <v>10310</v>
      </c>
      <c r="U4340" t="s">
        <v>11047</v>
      </c>
      <c r="W4340" s="2" t="s">
        <v>11204</v>
      </c>
    </row>
    <row r="4341" spans="1:23" hidden="1" x14ac:dyDescent="0.45">
      <c r="A4341" s="1" t="s">
        <v>4286</v>
      </c>
      <c r="B4341" t="s">
        <v>6841</v>
      </c>
      <c r="D4341" t="s">
        <v>8037</v>
      </c>
      <c r="E4341" t="s">
        <v>9629</v>
      </c>
      <c r="F4341" t="s">
        <v>10299</v>
      </c>
      <c r="G4341">
        <v>4.76</v>
      </c>
      <c r="H4341" t="s">
        <v>10310</v>
      </c>
      <c r="I4341" t="s">
        <v>10326</v>
      </c>
      <c r="L4341">
        <v>2010</v>
      </c>
      <c r="R4341" t="s">
        <v>11038</v>
      </c>
      <c r="S4341" t="s">
        <v>10310</v>
      </c>
      <c r="U4341" t="s">
        <v>11047</v>
      </c>
      <c r="W4341" s="2" t="s">
        <v>11204</v>
      </c>
    </row>
    <row r="4342" spans="1:23" hidden="1" x14ac:dyDescent="0.45">
      <c r="A4342" s="1" t="s">
        <v>4287</v>
      </c>
      <c r="B4342" t="s">
        <v>6842</v>
      </c>
      <c r="D4342" t="s">
        <v>8056</v>
      </c>
      <c r="E4342" t="s">
        <v>9669</v>
      </c>
      <c r="F4342" t="s">
        <v>10299</v>
      </c>
      <c r="G4342">
        <v>1.4</v>
      </c>
      <c r="H4342" t="s">
        <v>10310</v>
      </c>
      <c r="I4342" t="s">
        <v>10326</v>
      </c>
      <c r="L4342">
        <v>2008</v>
      </c>
      <c r="R4342" t="s">
        <v>11038</v>
      </c>
      <c r="S4342" t="s">
        <v>10310</v>
      </c>
      <c r="U4342" t="s">
        <v>11049</v>
      </c>
      <c r="W4342" s="2" t="s">
        <v>11204</v>
      </c>
    </row>
    <row r="4343" spans="1:23" hidden="1" x14ac:dyDescent="0.45">
      <c r="A4343" s="1" t="s">
        <v>4288</v>
      </c>
      <c r="B4343" t="s">
        <v>6319</v>
      </c>
      <c r="D4343" t="s">
        <v>8032</v>
      </c>
      <c r="E4343" t="s">
        <v>9660</v>
      </c>
      <c r="F4343" t="s">
        <v>10299</v>
      </c>
      <c r="G4343">
        <v>1.4</v>
      </c>
      <c r="H4343" t="s">
        <v>10310</v>
      </c>
      <c r="I4343" t="s">
        <v>10326</v>
      </c>
      <c r="L4343">
        <v>2015</v>
      </c>
      <c r="R4343" t="s">
        <v>11038</v>
      </c>
      <c r="S4343" t="s">
        <v>10310</v>
      </c>
      <c r="U4343" t="s">
        <v>11047</v>
      </c>
      <c r="W4343" s="2" t="s">
        <v>11204</v>
      </c>
    </row>
    <row r="4344" spans="1:23" hidden="1" x14ac:dyDescent="0.45">
      <c r="A4344" s="1" t="s">
        <v>4289</v>
      </c>
      <c r="B4344" t="s">
        <v>6843</v>
      </c>
      <c r="D4344" t="s">
        <v>8061</v>
      </c>
      <c r="E4344" t="s">
        <v>9665</v>
      </c>
      <c r="F4344" t="s">
        <v>10299</v>
      </c>
      <c r="G4344">
        <v>7.4999999999999997E-2</v>
      </c>
      <c r="H4344" t="s">
        <v>10310</v>
      </c>
      <c r="I4344" t="s">
        <v>10326</v>
      </c>
      <c r="L4344">
        <v>2002</v>
      </c>
      <c r="R4344" t="s">
        <v>11038</v>
      </c>
      <c r="S4344" t="s">
        <v>10310</v>
      </c>
      <c r="U4344" t="s">
        <v>11046</v>
      </c>
      <c r="W4344" s="2" t="s">
        <v>11204</v>
      </c>
    </row>
    <row r="4345" spans="1:23" hidden="1" x14ac:dyDescent="0.45">
      <c r="A4345" s="1" t="s">
        <v>4290</v>
      </c>
      <c r="B4345" t="s">
        <v>6844</v>
      </c>
      <c r="D4345" t="s">
        <v>8042</v>
      </c>
      <c r="E4345" t="s">
        <v>1588</v>
      </c>
      <c r="F4345" t="s">
        <v>10299</v>
      </c>
      <c r="G4345">
        <v>1.8</v>
      </c>
      <c r="H4345" t="s">
        <v>10310</v>
      </c>
      <c r="I4345" t="s">
        <v>10326</v>
      </c>
      <c r="L4345">
        <v>2019</v>
      </c>
      <c r="R4345" t="s">
        <v>11038</v>
      </c>
      <c r="S4345" t="s">
        <v>10310</v>
      </c>
      <c r="U4345" t="s">
        <v>11047</v>
      </c>
      <c r="W4345" s="2" t="s">
        <v>11204</v>
      </c>
    </row>
    <row r="4346" spans="1:23" hidden="1" x14ac:dyDescent="0.45">
      <c r="A4346" s="1" t="s">
        <v>4291</v>
      </c>
      <c r="B4346" t="s">
        <v>6273</v>
      </c>
      <c r="D4346" t="s">
        <v>8028</v>
      </c>
      <c r="E4346" t="s">
        <v>9621</v>
      </c>
      <c r="F4346" t="s">
        <v>10299</v>
      </c>
      <c r="G4346">
        <v>0.7</v>
      </c>
      <c r="H4346" t="s">
        <v>10310</v>
      </c>
      <c r="I4346" t="s">
        <v>10326</v>
      </c>
      <c r="L4346">
        <v>1975</v>
      </c>
      <c r="R4346" t="s">
        <v>11038</v>
      </c>
      <c r="S4346" t="s">
        <v>10310</v>
      </c>
      <c r="U4346" t="s">
        <v>11046</v>
      </c>
      <c r="W4346" s="2" t="s">
        <v>11204</v>
      </c>
    </row>
    <row r="4347" spans="1:23" hidden="1" x14ac:dyDescent="0.45">
      <c r="A4347" s="1" t="s">
        <v>4292</v>
      </c>
      <c r="B4347" t="s">
        <v>6845</v>
      </c>
      <c r="D4347" t="s">
        <v>8048</v>
      </c>
      <c r="E4347" t="s">
        <v>9642</v>
      </c>
      <c r="F4347" t="s">
        <v>10299</v>
      </c>
      <c r="G4347">
        <v>5.5</v>
      </c>
      <c r="H4347" t="s">
        <v>10310</v>
      </c>
      <c r="I4347" t="s">
        <v>10326</v>
      </c>
      <c r="L4347">
        <v>2017</v>
      </c>
      <c r="R4347" t="s">
        <v>11038</v>
      </c>
      <c r="S4347" t="s">
        <v>10310</v>
      </c>
      <c r="U4347" t="s">
        <v>11046</v>
      </c>
      <c r="W4347" s="2" t="s">
        <v>11204</v>
      </c>
    </row>
    <row r="4348" spans="1:23" hidden="1" x14ac:dyDescent="0.45">
      <c r="A4348" s="1" t="s">
        <v>4293</v>
      </c>
      <c r="B4348" t="s">
        <v>6611</v>
      </c>
      <c r="D4348" t="s">
        <v>8033</v>
      </c>
      <c r="E4348" t="s">
        <v>9787</v>
      </c>
      <c r="F4348" t="s">
        <v>10299</v>
      </c>
      <c r="G4348">
        <v>20</v>
      </c>
      <c r="H4348" t="s">
        <v>10310</v>
      </c>
      <c r="I4348" t="s">
        <v>10326</v>
      </c>
      <c r="L4348">
        <v>1985</v>
      </c>
      <c r="R4348" t="s">
        <v>11038</v>
      </c>
      <c r="S4348" t="s">
        <v>10310</v>
      </c>
      <c r="U4348" t="s">
        <v>11047</v>
      </c>
      <c r="W4348" s="2" t="s">
        <v>11204</v>
      </c>
    </row>
    <row r="4349" spans="1:23" hidden="1" x14ac:dyDescent="0.45">
      <c r="A4349" s="1" t="s">
        <v>4294</v>
      </c>
      <c r="B4349" t="s">
        <v>6442</v>
      </c>
      <c r="D4349" t="s">
        <v>8089</v>
      </c>
      <c r="E4349" t="s">
        <v>9843</v>
      </c>
      <c r="F4349" t="s">
        <v>10299</v>
      </c>
      <c r="G4349">
        <v>21</v>
      </c>
      <c r="H4349" t="s">
        <v>10310</v>
      </c>
      <c r="I4349" t="s">
        <v>10326</v>
      </c>
      <c r="L4349">
        <v>1983</v>
      </c>
      <c r="R4349" t="s">
        <v>11038</v>
      </c>
      <c r="S4349" t="s">
        <v>10310</v>
      </c>
      <c r="U4349" t="s">
        <v>11048</v>
      </c>
      <c r="W4349" s="2" t="s">
        <v>11204</v>
      </c>
    </row>
    <row r="4350" spans="1:23" hidden="1" x14ac:dyDescent="0.45">
      <c r="A4350" s="1" t="s">
        <v>4295</v>
      </c>
      <c r="B4350" t="s">
        <v>6311</v>
      </c>
      <c r="D4350" t="s">
        <v>8036</v>
      </c>
      <c r="E4350" t="s">
        <v>9807</v>
      </c>
      <c r="F4350" t="s">
        <v>10299</v>
      </c>
      <c r="G4350">
        <v>24</v>
      </c>
      <c r="H4350" t="s">
        <v>10310</v>
      </c>
      <c r="I4350" t="s">
        <v>10326</v>
      </c>
      <c r="L4350">
        <v>1985</v>
      </c>
      <c r="R4350" t="s">
        <v>11038</v>
      </c>
      <c r="S4350" t="s">
        <v>10310</v>
      </c>
      <c r="U4350" t="s">
        <v>11046</v>
      </c>
      <c r="W4350" s="2" t="s">
        <v>11204</v>
      </c>
    </row>
    <row r="4351" spans="1:23" hidden="1" x14ac:dyDescent="0.45">
      <c r="A4351" s="1" t="s">
        <v>4296</v>
      </c>
      <c r="B4351" t="s">
        <v>6846</v>
      </c>
      <c r="D4351" t="s">
        <v>8051</v>
      </c>
      <c r="E4351" t="s">
        <v>4623</v>
      </c>
      <c r="F4351" t="s">
        <v>10299</v>
      </c>
      <c r="G4351">
        <v>0.36</v>
      </c>
      <c r="H4351" t="s">
        <v>10310</v>
      </c>
      <c r="I4351" t="s">
        <v>10326</v>
      </c>
      <c r="L4351">
        <v>1982</v>
      </c>
      <c r="R4351" t="s">
        <v>11038</v>
      </c>
      <c r="S4351" t="s">
        <v>10310</v>
      </c>
      <c r="U4351" t="s">
        <v>11046</v>
      </c>
      <c r="W4351" s="2" t="s">
        <v>11204</v>
      </c>
    </row>
    <row r="4352" spans="1:23" hidden="1" x14ac:dyDescent="0.45">
      <c r="A4352" s="1" t="s">
        <v>4297</v>
      </c>
      <c r="B4352" t="s">
        <v>6846</v>
      </c>
      <c r="D4352" t="s">
        <v>8051</v>
      </c>
      <c r="E4352" t="s">
        <v>4623</v>
      </c>
      <c r="F4352" t="s">
        <v>10299</v>
      </c>
      <c r="G4352">
        <v>0.32</v>
      </c>
      <c r="H4352" t="s">
        <v>10310</v>
      </c>
      <c r="I4352" t="s">
        <v>10326</v>
      </c>
      <c r="L4352">
        <v>1999</v>
      </c>
      <c r="R4352" t="s">
        <v>11038</v>
      </c>
      <c r="S4352" t="s">
        <v>10310</v>
      </c>
      <c r="U4352" t="s">
        <v>11046</v>
      </c>
      <c r="W4352" s="2" t="s">
        <v>11204</v>
      </c>
    </row>
    <row r="4353" spans="1:23" hidden="1" x14ac:dyDescent="0.45">
      <c r="A4353" s="1" t="s">
        <v>4298</v>
      </c>
      <c r="B4353" t="s">
        <v>6847</v>
      </c>
      <c r="D4353" t="s">
        <v>8076</v>
      </c>
      <c r="E4353" t="s">
        <v>9719</v>
      </c>
      <c r="F4353" t="s">
        <v>10299</v>
      </c>
      <c r="G4353">
        <v>1.4</v>
      </c>
      <c r="H4353" t="s">
        <v>10310</v>
      </c>
      <c r="I4353" t="s">
        <v>10326</v>
      </c>
      <c r="L4353">
        <v>2008</v>
      </c>
      <c r="R4353" t="s">
        <v>11038</v>
      </c>
      <c r="S4353" t="s">
        <v>10310</v>
      </c>
      <c r="U4353" t="s">
        <v>11049</v>
      </c>
      <c r="W4353" s="2" t="s">
        <v>11204</v>
      </c>
    </row>
    <row r="4354" spans="1:23" hidden="1" x14ac:dyDescent="0.45">
      <c r="A4354" s="1" t="s">
        <v>4298</v>
      </c>
      <c r="B4354" t="s">
        <v>6407</v>
      </c>
      <c r="D4354" t="s">
        <v>8061</v>
      </c>
      <c r="E4354" t="s">
        <v>9830</v>
      </c>
      <c r="F4354" t="s">
        <v>10299</v>
      </c>
      <c r="G4354">
        <v>13.7</v>
      </c>
      <c r="H4354" t="s">
        <v>10310</v>
      </c>
      <c r="I4354" t="s">
        <v>10326</v>
      </c>
      <c r="L4354">
        <v>2015</v>
      </c>
      <c r="R4354" t="s">
        <v>11038</v>
      </c>
      <c r="S4354" t="s">
        <v>10310</v>
      </c>
      <c r="U4354" t="s">
        <v>11047</v>
      </c>
      <c r="W4354" s="2" t="s">
        <v>11204</v>
      </c>
    </row>
    <row r="4355" spans="1:23" hidden="1" x14ac:dyDescent="0.45">
      <c r="A4355" s="1" t="s">
        <v>4299</v>
      </c>
      <c r="B4355" t="s">
        <v>6373</v>
      </c>
      <c r="D4355" t="s">
        <v>8072</v>
      </c>
      <c r="E4355" t="s">
        <v>9711</v>
      </c>
      <c r="F4355" t="s">
        <v>10299</v>
      </c>
      <c r="G4355">
        <v>18.8</v>
      </c>
      <c r="H4355" t="s">
        <v>10310</v>
      </c>
      <c r="I4355" t="s">
        <v>10326</v>
      </c>
      <c r="L4355">
        <v>1970</v>
      </c>
      <c r="R4355" t="s">
        <v>11038</v>
      </c>
      <c r="S4355" t="s">
        <v>10310</v>
      </c>
      <c r="U4355" t="s">
        <v>11048</v>
      </c>
      <c r="W4355" s="2" t="s">
        <v>11204</v>
      </c>
    </row>
    <row r="4356" spans="1:23" hidden="1" x14ac:dyDescent="0.45">
      <c r="A4356" s="1" t="s">
        <v>4300</v>
      </c>
      <c r="B4356" t="s">
        <v>6848</v>
      </c>
      <c r="D4356" t="s">
        <v>8070</v>
      </c>
      <c r="E4356" t="s">
        <v>4102</v>
      </c>
      <c r="F4356" t="s">
        <v>10299</v>
      </c>
      <c r="G4356">
        <v>2.7</v>
      </c>
      <c r="H4356" t="s">
        <v>10310</v>
      </c>
      <c r="I4356" t="s">
        <v>10326</v>
      </c>
      <c r="L4356">
        <v>2014</v>
      </c>
      <c r="R4356" t="s">
        <v>11038</v>
      </c>
      <c r="S4356" t="s">
        <v>10310</v>
      </c>
      <c r="U4356" t="s">
        <v>11048</v>
      </c>
      <c r="W4356" s="2" t="s">
        <v>11204</v>
      </c>
    </row>
    <row r="4357" spans="1:23" hidden="1" x14ac:dyDescent="0.45">
      <c r="A4357" s="1" t="s">
        <v>4301</v>
      </c>
      <c r="B4357" t="s">
        <v>6392</v>
      </c>
      <c r="D4357" t="s">
        <v>8039</v>
      </c>
      <c r="E4357" t="s">
        <v>9714</v>
      </c>
      <c r="F4357" t="s">
        <v>10299</v>
      </c>
      <c r="G4357">
        <v>25</v>
      </c>
      <c r="H4357" t="s">
        <v>10310</v>
      </c>
      <c r="I4357" t="s">
        <v>10326</v>
      </c>
      <c r="L4357">
        <v>1964</v>
      </c>
      <c r="R4357" t="s">
        <v>11038</v>
      </c>
      <c r="S4357" t="s">
        <v>10310</v>
      </c>
      <c r="U4357" t="s">
        <v>11047</v>
      </c>
      <c r="W4357" s="2" t="s">
        <v>11204</v>
      </c>
    </row>
    <row r="4358" spans="1:23" hidden="1" x14ac:dyDescent="0.45">
      <c r="A4358" s="1" t="s">
        <v>4302</v>
      </c>
      <c r="B4358" t="s">
        <v>6849</v>
      </c>
      <c r="D4358" t="s">
        <v>8063</v>
      </c>
      <c r="E4358" t="s">
        <v>9668</v>
      </c>
      <c r="F4358" t="s">
        <v>10299</v>
      </c>
      <c r="G4358">
        <v>0.98</v>
      </c>
      <c r="H4358" t="s">
        <v>10310</v>
      </c>
      <c r="I4358" t="s">
        <v>10326</v>
      </c>
      <c r="L4358">
        <v>2009</v>
      </c>
      <c r="R4358" t="s">
        <v>11038</v>
      </c>
      <c r="S4358" t="s">
        <v>10310</v>
      </c>
      <c r="U4358" t="s">
        <v>11046</v>
      </c>
      <c r="W4358" s="2" t="s">
        <v>11204</v>
      </c>
    </row>
    <row r="4359" spans="1:23" hidden="1" x14ac:dyDescent="0.45">
      <c r="A4359" s="1" t="s">
        <v>4303</v>
      </c>
      <c r="B4359" t="s">
        <v>6290</v>
      </c>
      <c r="D4359" t="s">
        <v>8049</v>
      </c>
      <c r="E4359" t="s">
        <v>9742</v>
      </c>
      <c r="F4359" t="s">
        <v>10299</v>
      </c>
      <c r="G4359">
        <v>208</v>
      </c>
      <c r="H4359" t="s">
        <v>10310</v>
      </c>
      <c r="I4359" t="s">
        <v>10326</v>
      </c>
      <c r="L4359">
        <v>1924</v>
      </c>
      <c r="R4359" t="s">
        <v>11038</v>
      </c>
      <c r="S4359" t="s">
        <v>10310</v>
      </c>
      <c r="U4359" t="s">
        <v>11050</v>
      </c>
      <c r="W4359" s="2" t="s">
        <v>11204</v>
      </c>
    </row>
    <row r="4360" spans="1:23" hidden="1" x14ac:dyDescent="0.45">
      <c r="A4360" s="1" t="s">
        <v>4304</v>
      </c>
      <c r="B4360" t="s">
        <v>6541</v>
      </c>
      <c r="D4360" t="s">
        <v>8083</v>
      </c>
      <c r="E4360" t="s">
        <v>9854</v>
      </c>
      <c r="F4360" t="s">
        <v>10299</v>
      </c>
      <c r="G4360">
        <v>4.2</v>
      </c>
      <c r="H4360" t="s">
        <v>10310</v>
      </c>
      <c r="I4360" t="s">
        <v>10326</v>
      </c>
      <c r="L4360">
        <v>1956</v>
      </c>
      <c r="R4360" t="s">
        <v>11038</v>
      </c>
      <c r="S4360" t="s">
        <v>10310</v>
      </c>
      <c r="U4360" t="s">
        <v>11048</v>
      </c>
      <c r="W4360" s="2" t="s">
        <v>11204</v>
      </c>
    </row>
    <row r="4361" spans="1:23" hidden="1" x14ac:dyDescent="0.45">
      <c r="A4361" s="1" t="s">
        <v>4305</v>
      </c>
      <c r="B4361" t="s">
        <v>6395</v>
      </c>
      <c r="D4361" t="s">
        <v>8055</v>
      </c>
      <c r="E4361" t="s">
        <v>3805</v>
      </c>
      <c r="F4361" t="s">
        <v>10299</v>
      </c>
      <c r="G4361">
        <v>200</v>
      </c>
      <c r="H4361" t="s">
        <v>10310</v>
      </c>
      <c r="I4361" t="s">
        <v>10326</v>
      </c>
      <c r="L4361">
        <v>1974</v>
      </c>
      <c r="R4361" t="s">
        <v>11038</v>
      </c>
      <c r="S4361" t="s">
        <v>10310</v>
      </c>
      <c r="U4361" t="s">
        <v>11046</v>
      </c>
      <c r="W4361" s="2" t="s">
        <v>11204</v>
      </c>
    </row>
    <row r="4362" spans="1:23" hidden="1" x14ac:dyDescent="0.45">
      <c r="A4362" s="1" t="s">
        <v>4306</v>
      </c>
      <c r="D4362" t="s">
        <v>8028</v>
      </c>
      <c r="E4362" t="s">
        <v>9653</v>
      </c>
      <c r="F4362" t="s">
        <v>10299</v>
      </c>
      <c r="G4362">
        <v>1.2E-2</v>
      </c>
      <c r="H4362" t="s">
        <v>10310</v>
      </c>
      <c r="I4362" t="s">
        <v>10326</v>
      </c>
      <c r="L4362">
        <v>1913</v>
      </c>
      <c r="R4362" t="s">
        <v>11038</v>
      </c>
      <c r="S4362" t="s">
        <v>10310</v>
      </c>
      <c r="U4362" t="s">
        <v>11047</v>
      </c>
      <c r="W4362" s="2" t="s">
        <v>11204</v>
      </c>
    </row>
    <row r="4363" spans="1:23" hidden="1" x14ac:dyDescent="0.45">
      <c r="A4363" s="1" t="s">
        <v>4307</v>
      </c>
      <c r="B4363" t="s">
        <v>6274</v>
      </c>
      <c r="D4363" t="s">
        <v>8051</v>
      </c>
      <c r="E4363" t="s">
        <v>4623</v>
      </c>
      <c r="F4363" t="s">
        <v>10299</v>
      </c>
      <c r="G4363">
        <v>120</v>
      </c>
      <c r="H4363" t="s">
        <v>10310</v>
      </c>
      <c r="I4363" t="s">
        <v>10326</v>
      </c>
      <c r="L4363">
        <v>1964</v>
      </c>
      <c r="R4363" t="s">
        <v>11038</v>
      </c>
      <c r="S4363" t="s">
        <v>10310</v>
      </c>
      <c r="U4363" t="s">
        <v>11046</v>
      </c>
      <c r="W4363" s="2" t="s">
        <v>11204</v>
      </c>
    </row>
    <row r="4364" spans="1:23" hidden="1" x14ac:dyDescent="0.45">
      <c r="A4364" s="1" t="s">
        <v>4308</v>
      </c>
      <c r="D4364" t="s">
        <v>8040</v>
      </c>
      <c r="E4364" t="s">
        <v>3764</v>
      </c>
      <c r="F4364" t="s">
        <v>10299</v>
      </c>
      <c r="G4364">
        <v>0.02</v>
      </c>
      <c r="H4364" t="s">
        <v>10310</v>
      </c>
      <c r="I4364" t="s">
        <v>10326</v>
      </c>
      <c r="L4364">
        <v>1977</v>
      </c>
      <c r="R4364" t="s">
        <v>11038</v>
      </c>
      <c r="S4364" t="s">
        <v>10310</v>
      </c>
      <c r="U4364" t="s">
        <v>11050</v>
      </c>
      <c r="W4364" s="2" t="s">
        <v>11204</v>
      </c>
    </row>
    <row r="4365" spans="1:23" hidden="1" x14ac:dyDescent="0.45">
      <c r="A4365" s="1" t="s">
        <v>4309</v>
      </c>
      <c r="B4365" t="s">
        <v>6850</v>
      </c>
      <c r="D4365" t="s">
        <v>8036</v>
      </c>
      <c r="E4365" t="s">
        <v>9855</v>
      </c>
      <c r="F4365" t="s">
        <v>10299</v>
      </c>
      <c r="G4365">
        <v>0.38</v>
      </c>
      <c r="H4365" t="s">
        <v>10310</v>
      </c>
      <c r="I4365" t="s">
        <v>10326</v>
      </c>
      <c r="L4365">
        <v>1915</v>
      </c>
      <c r="R4365" t="s">
        <v>11038</v>
      </c>
      <c r="S4365" t="s">
        <v>10310</v>
      </c>
      <c r="U4365" t="s">
        <v>11050</v>
      </c>
      <c r="W4365" s="2" t="s">
        <v>11204</v>
      </c>
    </row>
    <row r="4366" spans="1:23" hidden="1" x14ac:dyDescent="0.45">
      <c r="A4366" s="1" t="s">
        <v>4310</v>
      </c>
      <c r="B4366" t="s">
        <v>6851</v>
      </c>
      <c r="D4366" t="s">
        <v>8059</v>
      </c>
      <c r="E4366" t="s">
        <v>9663</v>
      </c>
      <c r="F4366" t="s">
        <v>10299</v>
      </c>
      <c r="G4366">
        <v>1.25</v>
      </c>
      <c r="H4366" t="s">
        <v>10310</v>
      </c>
      <c r="I4366" t="s">
        <v>10326</v>
      </c>
      <c r="L4366">
        <v>2008</v>
      </c>
      <c r="R4366" t="s">
        <v>11038</v>
      </c>
      <c r="S4366" t="s">
        <v>10310</v>
      </c>
      <c r="U4366" t="s">
        <v>11046</v>
      </c>
      <c r="W4366" s="2" t="s">
        <v>11204</v>
      </c>
    </row>
    <row r="4367" spans="1:23" hidden="1" x14ac:dyDescent="0.45">
      <c r="A4367" s="1" t="s">
        <v>4311</v>
      </c>
      <c r="B4367" t="s">
        <v>6399</v>
      </c>
      <c r="D4367" t="s">
        <v>8051</v>
      </c>
      <c r="E4367" t="s">
        <v>9735</v>
      </c>
      <c r="F4367" t="s">
        <v>10299</v>
      </c>
      <c r="G4367">
        <v>4.53</v>
      </c>
      <c r="H4367" t="s">
        <v>10310</v>
      </c>
      <c r="I4367" t="s">
        <v>10326</v>
      </c>
      <c r="L4367">
        <v>2001</v>
      </c>
      <c r="R4367" t="s">
        <v>11038</v>
      </c>
      <c r="S4367" t="s">
        <v>10310</v>
      </c>
      <c r="U4367" t="s">
        <v>11047</v>
      </c>
      <c r="W4367" s="2" t="s">
        <v>11204</v>
      </c>
    </row>
    <row r="4368" spans="1:23" hidden="1" x14ac:dyDescent="0.45">
      <c r="A4368" s="1" t="s">
        <v>4312</v>
      </c>
      <c r="B4368" t="s">
        <v>6331</v>
      </c>
      <c r="D4368" t="s">
        <v>8034</v>
      </c>
      <c r="E4368" t="s">
        <v>9627</v>
      </c>
      <c r="F4368" t="s">
        <v>10299</v>
      </c>
      <c r="G4368">
        <v>3.8</v>
      </c>
      <c r="H4368" t="s">
        <v>10310</v>
      </c>
      <c r="I4368" t="s">
        <v>10326</v>
      </c>
      <c r="L4368">
        <v>2000</v>
      </c>
      <c r="R4368" t="s">
        <v>11038</v>
      </c>
      <c r="S4368" t="s">
        <v>10310</v>
      </c>
      <c r="U4368" t="s">
        <v>11046</v>
      </c>
      <c r="W4368" s="2" t="s">
        <v>11204</v>
      </c>
    </row>
    <row r="4369" spans="1:23" hidden="1" x14ac:dyDescent="0.45">
      <c r="A4369" s="1" t="s">
        <v>4313</v>
      </c>
      <c r="B4369" t="s">
        <v>6359</v>
      </c>
      <c r="D4369" t="s">
        <v>8037</v>
      </c>
      <c r="E4369" t="s">
        <v>9629</v>
      </c>
      <c r="F4369" t="s">
        <v>10299</v>
      </c>
      <c r="G4369">
        <v>10</v>
      </c>
      <c r="H4369" t="s">
        <v>10310</v>
      </c>
      <c r="I4369" t="s">
        <v>10326</v>
      </c>
      <c r="L4369">
        <v>1954</v>
      </c>
      <c r="R4369" t="s">
        <v>11038</v>
      </c>
      <c r="S4369" t="s">
        <v>10310</v>
      </c>
      <c r="U4369" t="s">
        <v>11047</v>
      </c>
      <c r="W4369" s="2" t="s">
        <v>11204</v>
      </c>
    </row>
    <row r="4370" spans="1:23" hidden="1" x14ac:dyDescent="0.45">
      <c r="A4370" s="1" t="s">
        <v>4314</v>
      </c>
      <c r="B4370" t="s">
        <v>6319</v>
      </c>
      <c r="D4370" t="s">
        <v>8031</v>
      </c>
      <c r="E4370" t="s">
        <v>9624</v>
      </c>
      <c r="F4370" t="s">
        <v>10299</v>
      </c>
      <c r="G4370">
        <v>5.49</v>
      </c>
      <c r="H4370" t="s">
        <v>10310</v>
      </c>
      <c r="I4370" t="s">
        <v>10326</v>
      </c>
      <c r="L4370">
        <v>2012</v>
      </c>
      <c r="R4370" t="s">
        <v>11038</v>
      </c>
      <c r="S4370" t="s">
        <v>10310</v>
      </c>
      <c r="U4370" t="s">
        <v>11047</v>
      </c>
      <c r="W4370" s="2" t="s">
        <v>11204</v>
      </c>
    </row>
    <row r="4371" spans="1:23" hidden="1" x14ac:dyDescent="0.45">
      <c r="A4371" s="1" t="s">
        <v>4315</v>
      </c>
      <c r="B4371" t="s">
        <v>6852</v>
      </c>
      <c r="D4371" t="s">
        <v>8034</v>
      </c>
      <c r="E4371" t="s">
        <v>9747</v>
      </c>
      <c r="F4371" t="s">
        <v>10299</v>
      </c>
      <c r="G4371">
        <v>1.2</v>
      </c>
      <c r="H4371" t="s">
        <v>10310</v>
      </c>
      <c r="I4371" t="s">
        <v>10326</v>
      </c>
      <c r="L4371">
        <v>2007</v>
      </c>
      <c r="R4371" t="s">
        <v>11038</v>
      </c>
      <c r="S4371" t="s">
        <v>10310</v>
      </c>
      <c r="U4371" t="s">
        <v>11046</v>
      </c>
      <c r="W4371" s="2" t="s">
        <v>11204</v>
      </c>
    </row>
    <row r="4372" spans="1:23" hidden="1" x14ac:dyDescent="0.45">
      <c r="A4372" s="1" t="s">
        <v>4316</v>
      </c>
      <c r="B4372" t="s">
        <v>6853</v>
      </c>
      <c r="D4372" t="s">
        <v>8048</v>
      </c>
      <c r="E4372" t="s">
        <v>9762</v>
      </c>
      <c r="F4372" t="s">
        <v>10299</v>
      </c>
      <c r="G4372">
        <v>2.4</v>
      </c>
      <c r="H4372" t="s">
        <v>10310</v>
      </c>
      <c r="I4372" t="s">
        <v>10326</v>
      </c>
      <c r="L4372">
        <v>2002</v>
      </c>
      <c r="R4372" t="s">
        <v>11038</v>
      </c>
      <c r="S4372" t="s">
        <v>10310</v>
      </c>
      <c r="U4372" t="s">
        <v>11046</v>
      </c>
      <c r="W4372" s="2" t="s">
        <v>11204</v>
      </c>
    </row>
    <row r="4373" spans="1:23" hidden="1" x14ac:dyDescent="0.45">
      <c r="A4373" s="1" t="s">
        <v>4317</v>
      </c>
      <c r="B4373" t="s">
        <v>6854</v>
      </c>
      <c r="D4373" t="s">
        <v>8070</v>
      </c>
      <c r="E4373" t="s">
        <v>4102</v>
      </c>
      <c r="F4373" t="s">
        <v>10299</v>
      </c>
      <c r="G4373">
        <v>7.1999999999999998E-3</v>
      </c>
      <c r="H4373" t="s">
        <v>10310</v>
      </c>
      <c r="I4373" t="s">
        <v>10326</v>
      </c>
      <c r="L4373">
        <v>2010</v>
      </c>
      <c r="R4373" t="s">
        <v>11038</v>
      </c>
      <c r="S4373" t="s">
        <v>10310</v>
      </c>
      <c r="U4373" t="s">
        <v>11048</v>
      </c>
      <c r="W4373" s="2" t="s">
        <v>11204</v>
      </c>
    </row>
    <row r="4374" spans="1:23" hidden="1" x14ac:dyDescent="0.45">
      <c r="A4374" s="1" t="s">
        <v>4318</v>
      </c>
      <c r="B4374" t="s">
        <v>6855</v>
      </c>
      <c r="D4374" t="s">
        <v>8073</v>
      </c>
      <c r="E4374" t="s">
        <v>9701</v>
      </c>
      <c r="F4374" t="s">
        <v>10299</v>
      </c>
      <c r="G4374">
        <v>4.2</v>
      </c>
      <c r="H4374" t="s">
        <v>10310</v>
      </c>
      <c r="I4374" t="s">
        <v>10326</v>
      </c>
      <c r="L4374">
        <v>2019</v>
      </c>
      <c r="R4374" t="s">
        <v>11038</v>
      </c>
      <c r="S4374" t="s">
        <v>10310</v>
      </c>
      <c r="U4374" t="s">
        <v>11047</v>
      </c>
      <c r="W4374" s="2" t="s">
        <v>11204</v>
      </c>
    </row>
    <row r="4375" spans="1:23" hidden="1" x14ac:dyDescent="0.45">
      <c r="A4375" s="1" t="s">
        <v>4319</v>
      </c>
      <c r="B4375" t="s">
        <v>6855</v>
      </c>
      <c r="D4375" t="s">
        <v>8073</v>
      </c>
      <c r="E4375" t="s">
        <v>9701</v>
      </c>
      <c r="F4375" t="s">
        <v>10299</v>
      </c>
      <c r="G4375">
        <v>3.1</v>
      </c>
      <c r="H4375" t="s">
        <v>10310</v>
      </c>
      <c r="I4375" t="s">
        <v>10326</v>
      </c>
      <c r="L4375">
        <v>2019</v>
      </c>
      <c r="R4375" t="s">
        <v>11038</v>
      </c>
      <c r="S4375" t="s">
        <v>10310</v>
      </c>
      <c r="U4375" t="s">
        <v>11047</v>
      </c>
      <c r="W4375" s="2" t="s">
        <v>11204</v>
      </c>
    </row>
    <row r="4376" spans="1:23" hidden="1" x14ac:dyDescent="0.45">
      <c r="A4376" s="1" t="s">
        <v>4320</v>
      </c>
      <c r="B4376" t="s">
        <v>6856</v>
      </c>
      <c r="D4376" t="s">
        <v>8026</v>
      </c>
      <c r="E4376" t="s">
        <v>9619</v>
      </c>
      <c r="F4376" t="s">
        <v>10299</v>
      </c>
      <c r="G4376">
        <v>2.6</v>
      </c>
      <c r="H4376" t="s">
        <v>10310</v>
      </c>
      <c r="I4376" t="s">
        <v>10326</v>
      </c>
      <c r="L4376">
        <v>2009</v>
      </c>
      <c r="R4376" t="s">
        <v>11038</v>
      </c>
      <c r="S4376" t="s">
        <v>10310</v>
      </c>
      <c r="U4376" t="s">
        <v>11047</v>
      </c>
      <c r="W4376" s="2" t="s">
        <v>11204</v>
      </c>
    </row>
    <row r="4377" spans="1:23" hidden="1" x14ac:dyDescent="0.45">
      <c r="A4377" s="1" t="s">
        <v>4321</v>
      </c>
      <c r="B4377" t="s">
        <v>6857</v>
      </c>
      <c r="D4377" t="s">
        <v>8061</v>
      </c>
      <c r="E4377" t="s">
        <v>9665</v>
      </c>
      <c r="F4377" t="s">
        <v>10299</v>
      </c>
      <c r="G4377">
        <v>1.9</v>
      </c>
      <c r="H4377" t="s">
        <v>10310</v>
      </c>
      <c r="I4377" t="s">
        <v>10326</v>
      </c>
      <c r="L4377">
        <v>2006</v>
      </c>
      <c r="R4377" t="s">
        <v>11038</v>
      </c>
      <c r="S4377" t="s">
        <v>10310</v>
      </c>
      <c r="U4377" t="s">
        <v>11046</v>
      </c>
      <c r="W4377" s="2" t="s">
        <v>11204</v>
      </c>
    </row>
    <row r="4378" spans="1:23" hidden="1" x14ac:dyDescent="0.45">
      <c r="A4378" s="1" t="s">
        <v>4322</v>
      </c>
      <c r="B4378" t="s">
        <v>6311</v>
      </c>
      <c r="D4378" t="s">
        <v>8063</v>
      </c>
      <c r="E4378" t="s">
        <v>9784</v>
      </c>
      <c r="F4378" t="s">
        <v>10299</v>
      </c>
      <c r="G4378">
        <v>110</v>
      </c>
      <c r="H4378" t="s">
        <v>10310</v>
      </c>
      <c r="I4378" t="s">
        <v>10326</v>
      </c>
      <c r="L4378">
        <v>1957</v>
      </c>
      <c r="R4378" t="s">
        <v>11038</v>
      </c>
      <c r="S4378" t="s">
        <v>10310</v>
      </c>
      <c r="U4378" t="s">
        <v>11046</v>
      </c>
      <c r="W4378" s="2" t="s">
        <v>11204</v>
      </c>
    </row>
    <row r="4379" spans="1:23" hidden="1" x14ac:dyDescent="0.45">
      <c r="A4379" s="1" t="s">
        <v>4323</v>
      </c>
      <c r="B4379" t="s">
        <v>6378</v>
      </c>
      <c r="D4379" t="s">
        <v>8072</v>
      </c>
      <c r="E4379" t="s">
        <v>9700</v>
      </c>
      <c r="F4379" t="s">
        <v>10299</v>
      </c>
      <c r="G4379">
        <v>170</v>
      </c>
      <c r="H4379" t="s">
        <v>10310</v>
      </c>
      <c r="I4379" t="s">
        <v>10326</v>
      </c>
      <c r="L4379">
        <v>1981</v>
      </c>
      <c r="R4379" t="s">
        <v>11038</v>
      </c>
      <c r="S4379" t="s">
        <v>10310</v>
      </c>
      <c r="U4379" t="s">
        <v>11049</v>
      </c>
      <c r="W4379" s="2" t="s">
        <v>11204</v>
      </c>
    </row>
    <row r="4380" spans="1:23" hidden="1" x14ac:dyDescent="0.45">
      <c r="A4380" s="1" t="s">
        <v>4324</v>
      </c>
      <c r="B4380" t="s">
        <v>6858</v>
      </c>
      <c r="D4380" t="s">
        <v>8075</v>
      </c>
      <c r="E4380" t="s">
        <v>9715</v>
      </c>
      <c r="F4380" t="s">
        <v>10299</v>
      </c>
      <c r="G4380">
        <v>8.1999999999999993</v>
      </c>
      <c r="H4380" t="s">
        <v>10310</v>
      </c>
      <c r="I4380" t="s">
        <v>10326</v>
      </c>
      <c r="L4380">
        <v>2009</v>
      </c>
      <c r="R4380" t="s">
        <v>11038</v>
      </c>
      <c r="S4380" t="s">
        <v>10310</v>
      </c>
      <c r="U4380" t="s">
        <v>11047</v>
      </c>
      <c r="W4380" s="2" t="s">
        <v>11204</v>
      </c>
    </row>
    <row r="4381" spans="1:23" hidden="1" x14ac:dyDescent="0.45">
      <c r="A4381" s="1" t="s">
        <v>4325</v>
      </c>
      <c r="B4381" t="s">
        <v>6374</v>
      </c>
      <c r="D4381" t="s">
        <v>8042</v>
      </c>
      <c r="E4381" t="s">
        <v>9634</v>
      </c>
      <c r="F4381" t="s">
        <v>10299</v>
      </c>
      <c r="G4381">
        <v>5.4</v>
      </c>
      <c r="H4381" t="s">
        <v>10310</v>
      </c>
      <c r="I4381" t="s">
        <v>10326</v>
      </c>
      <c r="L4381">
        <v>2013</v>
      </c>
      <c r="R4381" t="s">
        <v>11038</v>
      </c>
      <c r="S4381" t="s">
        <v>10310</v>
      </c>
      <c r="U4381" t="s">
        <v>11048</v>
      </c>
      <c r="W4381" s="2" t="s">
        <v>11204</v>
      </c>
    </row>
    <row r="4382" spans="1:23" hidden="1" x14ac:dyDescent="0.45">
      <c r="A4382" s="1" t="s">
        <v>4326</v>
      </c>
      <c r="B4382" t="s">
        <v>6378</v>
      </c>
      <c r="D4382" t="s">
        <v>8040</v>
      </c>
      <c r="E4382" t="s">
        <v>9632</v>
      </c>
      <c r="F4382" t="s">
        <v>10299</v>
      </c>
      <c r="G4382">
        <v>0.95</v>
      </c>
      <c r="H4382" t="s">
        <v>10310</v>
      </c>
      <c r="I4382" t="s">
        <v>10326</v>
      </c>
      <c r="L4382">
        <v>1985</v>
      </c>
      <c r="R4382" t="s">
        <v>11038</v>
      </c>
      <c r="S4382" t="s">
        <v>10310</v>
      </c>
      <c r="U4382" t="s">
        <v>11049</v>
      </c>
      <c r="W4382" s="2" t="s">
        <v>11204</v>
      </c>
    </row>
    <row r="4383" spans="1:23" hidden="1" x14ac:dyDescent="0.45">
      <c r="A4383" s="1" t="s">
        <v>4327</v>
      </c>
      <c r="B4383" t="s">
        <v>6859</v>
      </c>
      <c r="D4383" t="s">
        <v>8040</v>
      </c>
      <c r="E4383" t="s">
        <v>9856</v>
      </c>
      <c r="F4383" t="s">
        <v>10299</v>
      </c>
      <c r="G4383">
        <v>0.75</v>
      </c>
      <c r="H4383" t="s">
        <v>10310</v>
      </c>
      <c r="I4383" t="s">
        <v>10326</v>
      </c>
      <c r="L4383">
        <v>1939</v>
      </c>
      <c r="R4383" t="s">
        <v>11038</v>
      </c>
      <c r="S4383" t="s">
        <v>10310</v>
      </c>
      <c r="U4383" t="s">
        <v>11046</v>
      </c>
      <c r="W4383" s="2" t="s">
        <v>11204</v>
      </c>
    </row>
    <row r="4384" spans="1:23" hidden="1" x14ac:dyDescent="0.45">
      <c r="A4384" s="1" t="s">
        <v>4328</v>
      </c>
      <c r="B4384" t="s">
        <v>6281</v>
      </c>
      <c r="D4384" t="s">
        <v>8055</v>
      </c>
      <c r="E4384" t="s">
        <v>3805</v>
      </c>
      <c r="F4384" t="s">
        <v>10299</v>
      </c>
      <c r="G4384">
        <v>3.12</v>
      </c>
      <c r="H4384" t="s">
        <v>10310</v>
      </c>
      <c r="I4384" t="s">
        <v>10326</v>
      </c>
      <c r="L4384">
        <v>2010</v>
      </c>
      <c r="R4384" t="s">
        <v>11038</v>
      </c>
      <c r="S4384" t="s">
        <v>10310</v>
      </c>
      <c r="U4384" t="s">
        <v>11046</v>
      </c>
      <c r="W4384" s="2" t="s">
        <v>11204</v>
      </c>
    </row>
    <row r="4385" spans="1:23" hidden="1" x14ac:dyDescent="0.45">
      <c r="A4385" s="1" t="s">
        <v>4329</v>
      </c>
      <c r="B4385" t="s">
        <v>6323</v>
      </c>
      <c r="D4385" t="s">
        <v>8045</v>
      </c>
      <c r="E4385" t="s">
        <v>9646</v>
      </c>
      <c r="F4385" t="s">
        <v>10299</v>
      </c>
      <c r="G4385">
        <v>2.9</v>
      </c>
      <c r="H4385" t="s">
        <v>10310</v>
      </c>
      <c r="I4385" t="s">
        <v>10326</v>
      </c>
      <c r="L4385">
        <v>1907</v>
      </c>
      <c r="R4385" t="s">
        <v>11038</v>
      </c>
      <c r="S4385" t="s">
        <v>10310</v>
      </c>
      <c r="U4385" t="s">
        <v>11047</v>
      </c>
      <c r="W4385" s="2" t="s">
        <v>11204</v>
      </c>
    </row>
    <row r="4386" spans="1:23" hidden="1" x14ac:dyDescent="0.45">
      <c r="A4386" s="1" t="s">
        <v>4330</v>
      </c>
      <c r="B4386" t="s">
        <v>6378</v>
      </c>
      <c r="D4386" t="s">
        <v>8029</v>
      </c>
      <c r="E4386" t="s">
        <v>9661</v>
      </c>
      <c r="F4386" t="s">
        <v>10299</v>
      </c>
      <c r="G4386">
        <v>26</v>
      </c>
      <c r="H4386" t="s">
        <v>10310</v>
      </c>
      <c r="I4386" t="s">
        <v>10326</v>
      </c>
      <c r="L4386">
        <v>1974</v>
      </c>
      <c r="R4386" t="s">
        <v>11038</v>
      </c>
      <c r="S4386" t="s">
        <v>10310</v>
      </c>
      <c r="U4386" t="s">
        <v>11049</v>
      </c>
      <c r="W4386" s="2" t="s">
        <v>11204</v>
      </c>
    </row>
    <row r="4387" spans="1:23" hidden="1" x14ac:dyDescent="0.45">
      <c r="A4387" s="1" t="s">
        <v>4331</v>
      </c>
      <c r="B4387" t="s">
        <v>6860</v>
      </c>
      <c r="D4387" t="s">
        <v>8062</v>
      </c>
      <c r="E4387" t="s">
        <v>9823</v>
      </c>
      <c r="F4387" t="s">
        <v>10299</v>
      </c>
      <c r="G4387">
        <v>2</v>
      </c>
      <c r="H4387" t="s">
        <v>10310</v>
      </c>
      <c r="I4387" t="s">
        <v>10326</v>
      </c>
      <c r="L4387">
        <v>2004</v>
      </c>
      <c r="R4387" t="s">
        <v>11038</v>
      </c>
      <c r="S4387" t="s">
        <v>10310</v>
      </c>
      <c r="U4387" t="s">
        <v>11046</v>
      </c>
      <c r="W4387" s="2" t="s">
        <v>11204</v>
      </c>
    </row>
    <row r="4388" spans="1:23" hidden="1" x14ac:dyDescent="0.45">
      <c r="A4388" s="1" t="s">
        <v>4332</v>
      </c>
      <c r="B4388" t="s">
        <v>6861</v>
      </c>
      <c r="D4388" t="s">
        <v>8060</v>
      </c>
      <c r="E4388" t="s">
        <v>9697</v>
      </c>
      <c r="F4388" t="s">
        <v>10299</v>
      </c>
      <c r="G4388">
        <v>0.75</v>
      </c>
      <c r="H4388" t="s">
        <v>10310</v>
      </c>
      <c r="I4388" t="s">
        <v>10326</v>
      </c>
      <c r="L4388">
        <v>2002</v>
      </c>
      <c r="R4388" t="s">
        <v>11038</v>
      </c>
      <c r="S4388" t="s">
        <v>10310</v>
      </c>
      <c r="U4388" t="s">
        <v>11047</v>
      </c>
      <c r="W4388" s="2" t="s">
        <v>11204</v>
      </c>
    </row>
    <row r="4389" spans="1:23" hidden="1" x14ac:dyDescent="0.45">
      <c r="A4389" s="1" t="s">
        <v>4333</v>
      </c>
      <c r="B4389" t="s">
        <v>6445</v>
      </c>
      <c r="D4389" t="s">
        <v>7777</v>
      </c>
      <c r="E4389" t="s">
        <v>9842</v>
      </c>
      <c r="F4389" t="s">
        <v>10299</v>
      </c>
      <c r="G4389">
        <v>0.47</v>
      </c>
      <c r="H4389" t="s">
        <v>10310</v>
      </c>
      <c r="I4389" t="s">
        <v>10326</v>
      </c>
      <c r="L4389">
        <v>1948</v>
      </c>
      <c r="R4389" t="s">
        <v>11038</v>
      </c>
      <c r="S4389" t="s">
        <v>10310</v>
      </c>
      <c r="U4389" t="s">
        <v>11048</v>
      </c>
      <c r="W4389" s="2" t="s">
        <v>11204</v>
      </c>
    </row>
    <row r="4390" spans="1:23" hidden="1" x14ac:dyDescent="0.45">
      <c r="A4390" s="1" t="s">
        <v>4333</v>
      </c>
      <c r="B4390" t="s">
        <v>6862</v>
      </c>
      <c r="D4390" t="s">
        <v>8073</v>
      </c>
      <c r="E4390" t="s">
        <v>9701</v>
      </c>
      <c r="F4390" t="s">
        <v>10299</v>
      </c>
      <c r="G4390">
        <v>0.4</v>
      </c>
      <c r="H4390" t="s">
        <v>10310</v>
      </c>
      <c r="I4390" t="s">
        <v>10326</v>
      </c>
      <c r="L4390">
        <v>1999</v>
      </c>
      <c r="R4390" t="s">
        <v>11038</v>
      </c>
      <c r="S4390" t="s">
        <v>10310</v>
      </c>
      <c r="U4390" t="s">
        <v>11047</v>
      </c>
      <c r="W4390" s="2" t="s">
        <v>11204</v>
      </c>
    </row>
    <row r="4391" spans="1:23" hidden="1" x14ac:dyDescent="0.45">
      <c r="A4391" s="1" t="s">
        <v>4333</v>
      </c>
      <c r="B4391" t="s">
        <v>6278</v>
      </c>
      <c r="D4391" t="s">
        <v>7777</v>
      </c>
      <c r="E4391" t="s">
        <v>9674</v>
      </c>
      <c r="F4391" t="s">
        <v>10299</v>
      </c>
      <c r="G4391">
        <v>8</v>
      </c>
      <c r="H4391" t="s">
        <v>10310</v>
      </c>
      <c r="I4391" t="s">
        <v>10326</v>
      </c>
      <c r="L4391">
        <v>2019</v>
      </c>
      <c r="R4391" t="s">
        <v>11038</v>
      </c>
      <c r="S4391" t="s">
        <v>10310</v>
      </c>
      <c r="U4391" t="s">
        <v>11048</v>
      </c>
      <c r="W4391" s="2" t="s">
        <v>11204</v>
      </c>
    </row>
    <row r="4392" spans="1:23" hidden="1" x14ac:dyDescent="0.45">
      <c r="A4392" s="1" t="s">
        <v>4334</v>
      </c>
      <c r="B4392" t="s">
        <v>6863</v>
      </c>
      <c r="D4392" t="s">
        <v>8048</v>
      </c>
      <c r="E4392" t="s">
        <v>9642</v>
      </c>
      <c r="F4392" t="s">
        <v>10299</v>
      </c>
      <c r="G4392">
        <v>4.04</v>
      </c>
      <c r="H4392" t="s">
        <v>10310</v>
      </c>
      <c r="I4392" t="s">
        <v>10326</v>
      </c>
      <c r="L4392">
        <v>2017</v>
      </c>
      <c r="R4392" t="s">
        <v>11038</v>
      </c>
      <c r="S4392" t="s">
        <v>10310</v>
      </c>
      <c r="U4392" t="s">
        <v>11049</v>
      </c>
      <c r="W4392" s="2" t="s">
        <v>11204</v>
      </c>
    </row>
    <row r="4393" spans="1:23" hidden="1" x14ac:dyDescent="0.45">
      <c r="A4393" s="1" t="s">
        <v>4335</v>
      </c>
      <c r="B4393" t="s">
        <v>6374</v>
      </c>
      <c r="D4393" t="s">
        <v>8047</v>
      </c>
      <c r="E4393" t="s">
        <v>9713</v>
      </c>
      <c r="F4393" t="s">
        <v>10299</v>
      </c>
      <c r="G4393">
        <v>5</v>
      </c>
      <c r="H4393" t="s">
        <v>10310</v>
      </c>
      <c r="I4393" t="s">
        <v>10326</v>
      </c>
      <c r="L4393">
        <v>2015</v>
      </c>
      <c r="R4393" t="s">
        <v>11038</v>
      </c>
      <c r="S4393" t="s">
        <v>10310</v>
      </c>
      <c r="U4393" t="s">
        <v>11048</v>
      </c>
      <c r="W4393" s="2" t="s">
        <v>11204</v>
      </c>
    </row>
    <row r="4394" spans="1:23" hidden="1" x14ac:dyDescent="0.45">
      <c r="A4394" s="1" t="s">
        <v>4336</v>
      </c>
      <c r="B4394" t="s">
        <v>6417</v>
      </c>
      <c r="D4394" t="s">
        <v>8063</v>
      </c>
      <c r="E4394" t="s">
        <v>9734</v>
      </c>
      <c r="F4394" t="s">
        <v>10299</v>
      </c>
      <c r="G4394">
        <v>2.7</v>
      </c>
      <c r="H4394" t="s">
        <v>10310</v>
      </c>
      <c r="I4394" t="s">
        <v>10326</v>
      </c>
      <c r="L4394">
        <v>1990</v>
      </c>
      <c r="R4394" t="s">
        <v>11038</v>
      </c>
      <c r="S4394" t="s">
        <v>10310</v>
      </c>
      <c r="U4394" t="s">
        <v>11050</v>
      </c>
      <c r="W4394" s="2" t="s">
        <v>11204</v>
      </c>
    </row>
    <row r="4395" spans="1:23" hidden="1" x14ac:dyDescent="0.45">
      <c r="A4395" s="1" t="s">
        <v>4337</v>
      </c>
      <c r="B4395" t="s">
        <v>6385</v>
      </c>
      <c r="D4395" t="s">
        <v>8044</v>
      </c>
      <c r="E4395" t="s">
        <v>9717</v>
      </c>
      <c r="F4395" t="s">
        <v>10299</v>
      </c>
      <c r="G4395">
        <v>0.62</v>
      </c>
      <c r="H4395" t="s">
        <v>10310</v>
      </c>
      <c r="I4395" t="s">
        <v>10326</v>
      </c>
      <c r="L4395">
        <v>2009</v>
      </c>
      <c r="R4395" t="s">
        <v>11038</v>
      </c>
      <c r="S4395" t="s">
        <v>10310</v>
      </c>
      <c r="U4395" t="s">
        <v>11046</v>
      </c>
      <c r="W4395" s="2" t="s">
        <v>11204</v>
      </c>
    </row>
    <row r="4396" spans="1:23" hidden="1" x14ac:dyDescent="0.45">
      <c r="A4396" s="1" t="s">
        <v>4338</v>
      </c>
      <c r="B4396" t="s">
        <v>6385</v>
      </c>
      <c r="D4396" t="s">
        <v>8044</v>
      </c>
      <c r="E4396" t="s">
        <v>9717</v>
      </c>
      <c r="F4396" t="s">
        <v>10299</v>
      </c>
      <c r="G4396">
        <v>48</v>
      </c>
      <c r="H4396" t="s">
        <v>10310</v>
      </c>
      <c r="I4396" t="s">
        <v>10326</v>
      </c>
      <c r="L4396">
        <v>1968</v>
      </c>
      <c r="R4396" t="s">
        <v>11038</v>
      </c>
      <c r="S4396" t="s">
        <v>10310</v>
      </c>
      <c r="U4396" t="s">
        <v>11046</v>
      </c>
      <c r="W4396" s="2" t="s">
        <v>11204</v>
      </c>
    </row>
    <row r="4397" spans="1:23" hidden="1" x14ac:dyDescent="0.45">
      <c r="A4397" s="1" t="s">
        <v>4339</v>
      </c>
      <c r="B4397" t="s">
        <v>6864</v>
      </c>
      <c r="D4397" t="s">
        <v>8070</v>
      </c>
      <c r="E4397" t="s">
        <v>4102</v>
      </c>
      <c r="F4397" t="s">
        <v>10299</v>
      </c>
      <c r="G4397">
        <v>0.64800000000000002</v>
      </c>
      <c r="H4397" t="s">
        <v>10310</v>
      </c>
      <c r="I4397" t="s">
        <v>10326</v>
      </c>
      <c r="L4397">
        <v>2002</v>
      </c>
      <c r="R4397" t="s">
        <v>11038</v>
      </c>
      <c r="S4397" t="s">
        <v>10310</v>
      </c>
      <c r="U4397" t="s">
        <v>11048</v>
      </c>
      <c r="W4397" s="2" t="s">
        <v>11204</v>
      </c>
    </row>
    <row r="4398" spans="1:23" hidden="1" x14ac:dyDescent="0.45">
      <c r="A4398" s="1" t="s">
        <v>4340</v>
      </c>
      <c r="B4398" t="s">
        <v>6821</v>
      </c>
      <c r="D4398" t="s">
        <v>8089</v>
      </c>
      <c r="E4398" t="s">
        <v>9843</v>
      </c>
      <c r="F4398" t="s">
        <v>10299</v>
      </c>
      <c r="G4398">
        <v>2</v>
      </c>
      <c r="H4398" t="s">
        <v>10310</v>
      </c>
      <c r="I4398" t="s">
        <v>10326</v>
      </c>
      <c r="L4398">
        <v>2015</v>
      </c>
      <c r="R4398" t="s">
        <v>11038</v>
      </c>
      <c r="S4398" t="s">
        <v>10310</v>
      </c>
      <c r="U4398" t="s">
        <v>11048</v>
      </c>
      <c r="W4398" s="2" t="s">
        <v>11204</v>
      </c>
    </row>
    <row r="4399" spans="1:23" hidden="1" x14ac:dyDescent="0.45">
      <c r="A4399" s="1" t="s">
        <v>4341</v>
      </c>
      <c r="B4399" t="s">
        <v>6308</v>
      </c>
      <c r="D4399" t="s">
        <v>8041</v>
      </c>
      <c r="E4399" t="s">
        <v>9633</v>
      </c>
      <c r="F4399" t="s">
        <v>10299</v>
      </c>
      <c r="G4399">
        <v>1.9</v>
      </c>
      <c r="H4399" t="s">
        <v>10310</v>
      </c>
      <c r="I4399" t="s">
        <v>10326</v>
      </c>
      <c r="L4399">
        <v>2011</v>
      </c>
      <c r="R4399" t="s">
        <v>11038</v>
      </c>
      <c r="S4399" t="s">
        <v>10310</v>
      </c>
      <c r="U4399" t="s">
        <v>11048</v>
      </c>
      <c r="W4399" s="2" t="s">
        <v>11204</v>
      </c>
    </row>
    <row r="4400" spans="1:23" hidden="1" x14ac:dyDescent="0.45">
      <c r="A4400" s="1" t="s">
        <v>4342</v>
      </c>
      <c r="B4400" t="s">
        <v>6289</v>
      </c>
      <c r="D4400" t="s">
        <v>8047</v>
      </c>
      <c r="E4400" t="s">
        <v>9680</v>
      </c>
      <c r="F4400" t="s">
        <v>10299</v>
      </c>
      <c r="G4400">
        <v>25.5</v>
      </c>
      <c r="H4400" t="s">
        <v>10310</v>
      </c>
      <c r="I4400" t="s">
        <v>10326</v>
      </c>
      <c r="L4400">
        <v>2018</v>
      </c>
      <c r="R4400" t="s">
        <v>11038</v>
      </c>
      <c r="S4400" t="s">
        <v>10310</v>
      </c>
      <c r="U4400" t="s">
        <v>11047</v>
      </c>
      <c r="W4400" s="2" t="s">
        <v>11204</v>
      </c>
    </row>
    <row r="4401" spans="1:23" hidden="1" x14ac:dyDescent="0.45">
      <c r="A4401" s="1" t="s">
        <v>4343</v>
      </c>
      <c r="B4401" t="s">
        <v>6865</v>
      </c>
      <c r="D4401" t="s">
        <v>8085</v>
      </c>
      <c r="E4401" t="s">
        <v>9811</v>
      </c>
      <c r="F4401" t="s">
        <v>10299</v>
      </c>
      <c r="G4401">
        <v>8</v>
      </c>
      <c r="H4401" t="s">
        <v>10310</v>
      </c>
      <c r="I4401" t="s">
        <v>10326</v>
      </c>
      <c r="L4401">
        <v>2019</v>
      </c>
      <c r="R4401" t="s">
        <v>11038</v>
      </c>
      <c r="S4401" t="s">
        <v>10310</v>
      </c>
      <c r="U4401" t="s">
        <v>11048</v>
      </c>
      <c r="W4401" s="2" t="s">
        <v>11204</v>
      </c>
    </row>
    <row r="4402" spans="1:23" hidden="1" x14ac:dyDescent="0.45">
      <c r="A4402" s="1" t="s">
        <v>4344</v>
      </c>
      <c r="D4402" t="s">
        <v>8062</v>
      </c>
      <c r="E4402" t="s">
        <v>9667</v>
      </c>
      <c r="F4402" t="s">
        <v>10299</v>
      </c>
      <c r="G4402">
        <v>4.0000000000000001E-3</v>
      </c>
      <c r="H4402" t="s">
        <v>10310</v>
      </c>
      <c r="I4402" t="s">
        <v>10326</v>
      </c>
      <c r="L4402">
        <v>2008</v>
      </c>
      <c r="R4402" t="s">
        <v>11038</v>
      </c>
      <c r="S4402" t="s">
        <v>10310</v>
      </c>
      <c r="U4402" t="s">
        <v>11046</v>
      </c>
      <c r="W4402" s="2" t="s">
        <v>11204</v>
      </c>
    </row>
    <row r="4403" spans="1:23" hidden="1" x14ac:dyDescent="0.45">
      <c r="A4403" s="1" t="s">
        <v>4345</v>
      </c>
      <c r="B4403" t="s">
        <v>6866</v>
      </c>
      <c r="D4403" t="s">
        <v>8045</v>
      </c>
      <c r="E4403" t="s">
        <v>9778</v>
      </c>
      <c r="F4403" t="s">
        <v>10299</v>
      </c>
      <c r="G4403">
        <v>0.37</v>
      </c>
      <c r="H4403" t="s">
        <v>10310</v>
      </c>
      <c r="I4403" t="s">
        <v>10326</v>
      </c>
      <c r="L4403">
        <v>2005</v>
      </c>
      <c r="R4403" t="s">
        <v>11038</v>
      </c>
      <c r="S4403" t="s">
        <v>10310</v>
      </c>
      <c r="U4403" t="s">
        <v>11050</v>
      </c>
      <c r="W4403" s="2" t="s">
        <v>11204</v>
      </c>
    </row>
    <row r="4404" spans="1:23" hidden="1" x14ac:dyDescent="0.45">
      <c r="A4404" s="1" t="s">
        <v>4346</v>
      </c>
      <c r="B4404" t="s">
        <v>6290</v>
      </c>
      <c r="D4404" t="s">
        <v>8031</v>
      </c>
      <c r="E4404" t="s">
        <v>9852</v>
      </c>
      <c r="F4404" t="s">
        <v>10299</v>
      </c>
      <c r="G4404">
        <v>25</v>
      </c>
      <c r="H4404" t="s">
        <v>10310</v>
      </c>
      <c r="I4404" t="s">
        <v>10326</v>
      </c>
      <c r="L4404">
        <v>1979</v>
      </c>
      <c r="R4404" t="s">
        <v>11038</v>
      </c>
      <c r="S4404" t="s">
        <v>10310</v>
      </c>
      <c r="U4404" t="s">
        <v>11050</v>
      </c>
      <c r="W4404" s="2" t="s">
        <v>11204</v>
      </c>
    </row>
    <row r="4405" spans="1:23" hidden="1" x14ac:dyDescent="0.45">
      <c r="A4405" s="1" t="s">
        <v>4347</v>
      </c>
      <c r="B4405" t="s">
        <v>6290</v>
      </c>
      <c r="D4405" t="s">
        <v>8031</v>
      </c>
      <c r="E4405" t="s">
        <v>9852</v>
      </c>
      <c r="F4405" t="s">
        <v>10299</v>
      </c>
      <c r="G4405">
        <v>0.13</v>
      </c>
      <c r="H4405" t="s">
        <v>10310</v>
      </c>
      <c r="I4405" t="s">
        <v>10326</v>
      </c>
      <c r="L4405">
        <v>1981</v>
      </c>
      <c r="R4405" t="s">
        <v>11038</v>
      </c>
      <c r="S4405" t="s">
        <v>10310</v>
      </c>
      <c r="U4405" t="s">
        <v>11050</v>
      </c>
      <c r="W4405" s="2" t="s">
        <v>11204</v>
      </c>
    </row>
    <row r="4406" spans="1:23" hidden="1" x14ac:dyDescent="0.45">
      <c r="A4406" s="1" t="s">
        <v>4348</v>
      </c>
      <c r="B4406" t="s">
        <v>6678</v>
      </c>
      <c r="D4406" t="s">
        <v>8070</v>
      </c>
      <c r="E4406" t="s">
        <v>4102</v>
      </c>
      <c r="F4406" t="s">
        <v>10299</v>
      </c>
      <c r="G4406">
        <v>0.75</v>
      </c>
      <c r="H4406" t="s">
        <v>10310</v>
      </c>
      <c r="I4406" t="s">
        <v>10326</v>
      </c>
      <c r="L4406">
        <v>2005</v>
      </c>
      <c r="R4406" t="s">
        <v>11038</v>
      </c>
      <c r="S4406" t="s">
        <v>10310</v>
      </c>
      <c r="U4406" t="s">
        <v>11048</v>
      </c>
      <c r="W4406" s="2" t="s">
        <v>11204</v>
      </c>
    </row>
    <row r="4407" spans="1:23" hidden="1" x14ac:dyDescent="0.45">
      <c r="A4407" s="1" t="s">
        <v>4349</v>
      </c>
      <c r="B4407" t="s">
        <v>6867</v>
      </c>
      <c r="D4407" t="s">
        <v>8029</v>
      </c>
      <c r="E4407" t="s">
        <v>9661</v>
      </c>
      <c r="F4407" t="s">
        <v>10299</v>
      </c>
      <c r="G4407">
        <v>1.93</v>
      </c>
      <c r="H4407" t="s">
        <v>10310</v>
      </c>
      <c r="I4407" t="s">
        <v>10326</v>
      </c>
      <c r="L4407">
        <v>2012</v>
      </c>
      <c r="R4407" t="s">
        <v>11038</v>
      </c>
      <c r="S4407" t="s">
        <v>10310</v>
      </c>
      <c r="U4407" t="s">
        <v>11047</v>
      </c>
      <c r="W4407" s="2" t="s">
        <v>11204</v>
      </c>
    </row>
    <row r="4408" spans="1:23" hidden="1" x14ac:dyDescent="0.45">
      <c r="A4408" s="1" t="s">
        <v>4350</v>
      </c>
      <c r="B4408" t="s">
        <v>6449</v>
      </c>
      <c r="D4408" t="s">
        <v>7917</v>
      </c>
      <c r="E4408" t="s">
        <v>9672</v>
      </c>
      <c r="F4408" t="s">
        <v>10299</v>
      </c>
      <c r="G4408">
        <v>1.45</v>
      </c>
      <c r="H4408" t="s">
        <v>10310</v>
      </c>
      <c r="I4408" t="s">
        <v>10326</v>
      </c>
      <c r="L4408">
        <v>2005</v>
      </c>
      <c r="R4408" t="s">
        <v>11038</v>
      </c>
      <c r="S4408" t="s">
        <v>10310</v>
      </c>
      <c r="U4408" t="s">
        <v>11047</v>
      </c>
      <c r="W4408" s="2" t="s">
        <v>11204</v>
      </c>
    </row>
    <row r="4409" spans="1:23" hidden="1" x14ac:dyDescent="0.45">
      <c r="A4409" s="1" t="s">
        <v>4351</v>
      </c>
      <c r="B4409" t="s">
        <v>6868</v>
      </c>
      <c r="D4409" t="s">
        <v>8030</v>
      </c>
      <c r="E4409" t="s">
        <v>9670</v>
      </c>
      <c r="F4409" t="s">
        <v>10299</v>
      </c>
      <c r="G4409">
        <v>5</v>
      </c>
      <c r="H4409" t="s">
        <v>10310</v>
      </c>
      <c r="I4409" t="s">
        <v>10326</v>
      </c>
      <c r="L4409">
        <v>2017</v>
      </c>
      <c r="R4409" t="s">
        <v>11038</v>
      </c>
      <c r="S4409" t="s">
        <v>10310</v>
      </c>
      <c r="U4409" t="s">
        <v>11046</v>
      </c>
      <c r="W4409" s="2" t="s">
        <v>11204</v>
      </c>
    </row>
    <row r="4410" spans="1:23" hidden="1" x14ac:dyDescent="0.45">
      <c r="A4410" s="1" t="s">
        <v>4352</v>
      </c>
      <c r="B4410" t="s">
        <v>6274</v>
      </c>
      <c r="D4410" t="s">
        <v>8025</v>
      </c>
      <c r="E4410" t="s">
        <v>9720</v>
      </c>
      <c r="F4410" t="s">
        <v>10299</v>
      </c>
      <c r="G4410">
        <v>130</v>
      </c>
      <c r="H4410" t="s">
        <v>10310</v>
      </c>
      <c r="I4410" t="s">
        <v>10326</v>
      </c>
      <c r="L4410">
        <v>1966</v>
      </c>
      <c r="R4410" t="s">
        <v>11038</v>
      </c>
      <c r="S4410" t="s">
        <v>10310</v>
      </c>
      <c r="U4410" t="s">
        <v>11048</v>
      </c>
      <c r="W4410" s="2" t="s">
        <v>11204</v>
      </c>
    </row>
    <row r="4411" spans="1:23" hidden="1" x14ac:dyDescent="0.45">
      <c r="A4411" s="1" t="s">
        <v>4353</v>
      </c>
      <c r="B4411" t="s">
        <v>6869</v>
      </c>
      <c r="D4411" t="s">
        <v>8051</v>
      </c>
      <c r="E4411" t="s">
        <v>4623</v>
      </c>
      <c r="F4411" t="s">
        <v>10299</v>
      </c>
      <c r="G4411">
        <v>0.4</v>
      </c>
      <c r="H4411" t="s">
        <v>10310</v>
      </c>
      <c r="I4411" t="s">
        <v>10326</v>
      </c>
      <c r="L4411">
        <v>2006</v>
      </c>
      <c r="R4411" t="s">
        <v>11038</v>
      </c>
      <c r="S4411" t="s">
        <v>10310</v>
      </c>
      <c r="U4411" t="s">
        <v>11046</v>
      </c>
      <c r="W4411" s="2" t="s">
        <v>11204</v>
      </c>
    </row>
    <row r="4412" spans="1:23" hidden="1" x14ac:dyDescent="0.45">
      <c r="A4412" s="1" t="s">
        <v>4354</v>
      </c>
      <c r="B4412" t="s">
        <v>6388</v>
      </c>
      <c r="D4412" t="s">
        <v>8066</v>
      </c>
      <c r="E4412" t="s">
        <v>9678</v>
      </c>
      <c r="F4412" t="s">
        <v>10299</v>
      </c>
      <c r="G4412">
        <v>1.7</v>
      </c>
      <c r="H4412" t="s">
        <v>10310</v>
      </c>
      <c r="I4412" t="s">
        <v>10326</v>
      </c>
      <c r="L4412">
        <v>1984</v>
      </c>
      <c r="R4412" t="s">
        <v>11038</v>
      </c>
      <c r="S4412" t="s">
        <v>10310</v>
      </c>
      <c r="U4412" t="s">
        <v>11048</v>
      </c>
      <c r="W4412" s="2" t="s">
        <v>11204</v>
      </c>
    </row>
    <row r="4413" spans="1:23" hidden="1" x14ac:dyDescent="0.45">
      <c r="A4413" s="1" t="s">
        <v>4355</v>
      </c>
      <c r="D4413" t="s">
        <v>8047</v>
      </c>
      <c r="E4413" t="s">
        <v>9680</v>
      </c>
      <c r="F4413" t="s">
        <v>10299</v>
      </c>
      <c r="G4413">
        <v>1.7999999999999999E-2</v>
      </c>
      <c r="H4413" t="s">
        <v>10310</v>
      </c>
      <c r="I4413" t="s">
        <v>10326</v>
      </c>
      <c r="L4413">
        <v>1997</v>
      </c>
      <c r="R4413" t="s">
        <v>11038</v>
      </c>
      <c r="S4413" t="s">
        <v>10310</v>
      </c>
      <c r="U4413" t="s">
        <v>11047</v>
      </c>
      <c r="W4413" s="2" t="s">
        <v>11204</v>
      </c>
    </row>
    <row r="4414" spans="1:23" hidden="1" x14ac:dyDescent="0.45">
      <c r="A4414" s="1" t="s">
        <v>4356</v>
      </c>
      <c r="B4414" t="s">
        <v>6870</v>
      </c>
      <c r="D4414" t="s">
        <v>8073</v>
      </c>
      <c r="E4414" t="s">
        <v>9701</v>
      </c>
      <c r="F4414" t="s">
        <v>10299</v>
      </c>
      <c r="G4414">
        <v>0.48</v>
      </c>
      <c r="H4414" t="s">
        <v>10310</v>
      </c>
      <c r="I4414" t="s">
        <v>10326</v>
      </c>
      <c r="L4414">
        <v>1999</v>
      </c>
      <c r="R4414" t="s">
        <v>11038</v>
      </c>
      <c r="S4414" t="s">
        <v>10310</v>
      </c>
      <c r="U4414" t="s">
        <v>11047</v>
      </c>
      <c r="W4414" s="2" t="s">
        <v>11204</v>
      </c>
    </row>
    <row r="4415" spans="1:23" hidden="1" x14ac:dyDescent="0.45">
      <c r="A4415" s="1" t="s">
        <v>4356</v>
      </c>
      <c r="B4415" t="s">
        <v>6871</v>
      </c>
      <c r="D4415" t="s">
        <v>8071</v>
      </c>
      <c r="E4415" t="s">
        <v>9689</v>
      </c>
      <c r="F4415" t="s">
        <v>10299</v>
      </c>
      <c r="G4415">
        <v>1.92</v>
      </c>
      <c r="H4415" t="s">
        <v>10310</v>
      </c>
      <c r="I4415" t="s">
        <v>10326</v>
      </c>
      <c r="L4415">
        <v>2017</v>
      </c>
      <c r="R4415" t="s">
        <v>11038</v>
      </c>
      <c r="S4415" t="s">
        <v>10310</v>
      </c>
      <c r="U4415" t="s">
        <v>11047</v>
      </c>
      <c r="W4415" s="2" t="s">
        <v>11204</v>
      </c>
    </row>
    <row r="4416" spans="1:23" hidden="1" x14ac:dyDescent="0.45">
      <c r="A4416" s="1" t="s">
        <v>4357</v>
      </c>
      <c r="B4416" t="s">
        <v>6872</v>
      </c>
      <c r="D4416" t="s">
        <v>8058</v>
      </c>
      <c r="E4416" t="s">
        <v>9857</v>
      </c>
      <c r="F4416" t="s">
        <v>10299</v>
      </c>
      <c r="G4416">
        <v>0.5</v>
      </c>
      <c r="H4416" t="s">
        <v>10310</v>
      </c>
      <c r="I4416" t="s">
        <v>10326</v>
      </c>
      <c r="L4416">
        <v>1994</v>
      </c>
      <c r="R4416" t="s">
        <v>11038</v>
      </c>
      <c r="S4416" t="s">
        <v>10310</v>
      </c>
      <c r="U4416" t="s">
        <v>11050</v>
      </c>
      <c r="W4416" s="2" t="s">
        <v>11204</v>
      </c>
    </row>
    <row r="4417" spans="1:23" hidden="1" x14ac:dyDescent="0.45">
      <c r="A4417" s="1" t="s">
        <v>4358</v>
      </c>
      <c r="B4417" t="s">
        <v>6873</v>
      </c>
      <c r="D4417" t="s">
        <v>8061</v>
      </c>
      <c r="E4417" t="s">
        <v>9665</v>
      </c>
      <c r="F4417" t="s">
        <v>10299</v>
      </c>
      <c r="G4417">
        <v>4.4000000000000004</v>
      </c>
      <c r="H4417" t="s">
        <v>10310</v>
      </c>
      <c r="I4417" t="s">
        <v>10326</v>
      </c>
      <c r="L4417">
        <v>2007</v>
      </c>
      <c r="R4417" t="s">
        <v>11038</v>
      </c>
      <c r="S4417" t="s">
        <v>10310</v>
      </c>
      <c r="U4417" t="s">
        <v>11046</v>
      </c>
      <c r="W4417" s="2" t="s">
        <v>11204</v>
      </c>
    </row>
    <row r="4418" spans="1:23" hidden="1" x14ac:dyDescent="0.45">
      <c r="A4418" s="1" t="s">
        <v>4359</v>
      </c>
      <c r="B4418" t="s">
        <v>6281</v>
      </c>
      <c r="D4418" t="s">
        <v>8041</v>
      </c>
      <c r="E4418" t="s">
        <v>9633</v>
      </c>
      <c r="F4418" t="s">
        <v>10299</v>
      </c>
      <c r="G4418">
        <v>3</v>
      </c>
      <c r="H4418" t="s">
        <v>10310</v>
      </c>
      <c r="I4418" t="s">
        <v>10326</v>
      </c>
      <c r="L4418">
        <v>2014</v>
      </c>
      <c r="R4418" t="s">
        <v>11038</v>
      </c>
      <c r="S4418" t="s">
        <v>10310</v>
      </c>
      <c r="U4418" t="s">
        <v>11048</v>
      </c>
      <c r="W4418" s="2" t="s">
        <v>11204</v>
      </c>
    </row>
    <row r="4419" spans="1:23" hidden="1" x14ac:dyDescent="0.45">
      <c r="A4419" s="1" t="s">
        <v>4360</v>
      </c>
      <c r="B4419" t="s">
        <v>6874</v>
      </c>
      <c r="D4419" t="s">
        <v>8044</v>
      </c>
      <c r="E4419" t="s">
        <v>9658</v>
      </c>
      <c r="F4419" t="s">
        <v>10299</v>
      </c>
      <c r="G4419">
        <v>1.2</v>
      </c>
      <c r="H4419" t="s">
        <v>10310</v>
      </c>
      <c r="I4419" t="s">
        <v>10326</v>
      </c>
      <c r="L4419">
        <v>2007</v>
      </c>
      <c r="R4419" t="s">
        <v>11038</v>
      </c>
      <c r="S4419" t="s">
        <v>10310</v>
      </c>
      <c r="U4419" t="s">
        <v>11047</v>
      </c>
      <c r="W4419" s="2" t="s">
        <v>11204</v>
      </c>
    </row>
    <row r="4420" spans="1:23" hidden="1" x14ac:dyDescent="0.45">
      <c r="A4420" s="1" t="s">
        <v>4361</v>
      </c>
      <c r="B4420" t="s">
        <v>6875</v>
      </c>
      <c r="D4420" t="s">
        <v>8068</v>
      </c>
      <c r="E4420" t="s">
        <v>9682</v>
      </c>
      <c r="F4420" t="s">
        <v>10299</v>
      </c>
      <c r="G4420">
        <v>38</v>
      </c>
      <c r="H4420" t="s">
        <v>10310</v>
      </c>
      <c r="I4420" t="s">
        <v>10326</v>
      </c>
      <c r="L4420">
        <v>1988</v>
      </c>
      <c r="R4420" t="s">
        <v>11038</v>
      </c>
      <c r="S4420" t="s">
        <v>10310</v>
      </c>
      <c r="U4420" t="s">
        <v>11049</v>
      </c>
      <c r="W4420" s="2" t="s">
        <v>11204</v>
      </c>
    </row>
    <row r="4421" spans="1:23" hidden="1" x14ac:dyDescent="0.45">
      <c r="A4421" s="1" t="s">
        <v>4362</v>
      </c>
      <c r="B4421" t="s">
        <v>6402</v>
      </c>
      <c r="D4421" t="s">
        <v>8083</v>
      </c>
      <c r="E4421" t="s">
        <v>9760</v>
      </c>
      <c r="F4421" t="s">
        <v>10299</v>
      </c>
      <c r="G4421">
        <v>4.4999999999999998E-2</v>
      </c>
      <c r="H4421" t="s">
        <v>10310</v>
      </c>
      <c r="I4421" t="s">
        <v>10326</v>
      </c>
      <c r="L4421">
        <v>2003</v>
      </c>
      <c r="R4421" t="s">
        <v>11038</v>
      </c>
      <c r="S4421" t="s">
        <v>10310</v>
      </c>
      <c r="U4421" t="s">
        <v>11047</v>
      </c>
      <c r="W4421" s="2" t="s">
        <v>11204</v>
      </c>
    </row>
    <row r="4422" spans="1:23" hidden="1" x14ac:dyDescent="0.45">
      <c r="A4422" s="1" t="s">
        <v>4363</v>
      </c>
      <c r="B4422" t="s">
        <v>6274</v>
      </c>
      <c r="D4422" t="s">
        <v>8070</v>
      </c>
      <c r="E4422" t="s">
        <v>3591</v>
      </c>
      <c r="F4422" t="s">
        <v>10299</v>
      </c>
      <c r="G4422">
        <v>17</v>
      </c>
      <c r="H4422" t="s">
        <v>10310</v>
      </c>
      <c r="I4422" t="s">
        <v>10326</v>
      </c>
      <c r="L4422">
        <v>1986</v>
      </c>
      <c r="R4422" t="s">
        <v>11038</v>
      </c>
      <c r="S4422" t="s">
        <v>10310</v>
      </c>
      <c r="U4422" t="s">
        <v>11046</v>
      </c>
      <c r="W4422" s="2" t="s">
        <v>11204</v>
      </c>
    </row>
    <row r="4423" spans="1:23" hidden="1" x14ac:dyDescent="0.45">
      <c r="A4423" s="1" t="s">
        <v>4363</v>
      </c>
      <c r="B4423" t="s">
        <v>6274</v>
      </c>
      <c r="D4423" t="s">
        <v>8070</v>
      </c>
      <c r="E4423" t="s">
        <v>3591</v>
      </c>
      <c r="F4423" t="s">
        <v>10299</v>
      </c>
      <c r="G4423">
        <v>6</v>
      </c>
      <c r="H4423" t="s">
        <v>10310</v>
      </c>
      <c r="I4423" t="s">
        <v>10324</v>
      </c>
      <c r="L4423">
        <v>1985</v>
      </c>
      <c r="R4423" t="s">
        <v>11038</v>
      </c>
      <c r="S4423" t="s">
        <v>10310</v>
      </c>
      <c r="U4423" t="s">
        <v>11046</v>
      </c>
      <c r="V4423" t="s">
        <v>11182</v>
      </c>
      <c r="W4423" s="2" t="s">
        <v>11204</v>
      </c>
    </row>
    <row r="4424" spans="1:23" hidden="1" x14ac:dyDescent="0.45">
      <c r="A4424" s="1" t="s">
        <v>4364</v>
      </c>
      <c r="B4424" t="s">
        <v>6876</v>
      </c>
      <c r="D4424" t="s">
        <v>8048</v>
      </c>
      <c r="E4424" t="s">
        <v>9642</v>
      </c>
      <c r="F4424" t="s">
        <v>10299</v>
      </c>
      <c r="G4424">
        <v>7.5</v>
      </c>
      <c r="H4424" t="s">
        <v>10310</v>
      </c>
      <c r="I4424" t="s">
        <v>10326</v>
      </c>
      <c r="L4424">
        <v>2009</v>
      </c>
      <c r="R4424" t="s">
        <v>11038</v>
      </c>
      <c r="S4424" t="s">
        <v>10310</v>
      </c>
      <c r="U4424" t="s">
        <v>11049</v>
      </c>
      <c r="W4424" s="2" t="s">
        <v>11204</v>
      </c>
    </row>
    <row r="4425" spans="1:23" hidden="1" x14ac:dyDescent="0.45">
      <c r="A4425" s="1" t="s">
        <v>4365</v>
      </c>
      <c r="B4425" t="s">
        <v>6877</v>
      </c>
      <c r="D4425" t="s">
        <v>8049</v>
      </c>
      <c r="E4425" t="s">
        <v>9769</v>
      </c>
      <c r="F4425" t="s">
        <v>10299</v>
      </c>
      <c r="G4425">
        <v>1.34</v>
      </c>
      <c r="H4425" t="s">
        <v>10310</v>
      </c>
      <c r="I4425" t="s">
        <v>10326</v>
      </c>
      <c r="L4425">
        <v>2003</v>
      </c>
      <c r="R4425" t="s">
        <v>11038</v>
      </c>
      <c r="S4425" t="s">
        <v>10310</v>
      </c>
      <c r="U4425" t="s">
        <v>11046</v>
      </c>
      <c r="W4425" s="2" t="s">
        <v>11204</v>
      </c>
    </row>
    <row r="4426" spans="1:23" hidden="1" x14ac:dyDescent="0.45">
      <c r="A4426" s="1" t="s">
        <v>4366</v>
      </c>
      <c r="B4426" t="s">
        <v>6878</v>
      </c>
      <c r="D4426" t="s">
        <v>8037</v>
      </c>
      <c r="E4426" t="s">
        <v>9629</v>
      </c>
      <c r="F4426" t="s">
        <v>10299</v>
      </c>
      <c r="G4426">
        <v>1.5</v>
      </c>
      <c r="H4426" t="s">
        <v>10310</v>
      </c>
      <c r="I4426" t="s">
        <v>10326</v>
      </c>
      <c r="L4426">
        <v>2007</v>
      </c>
      <c r="R4426" t="s">
        <v>11038</v>
      </c>
      <c r="S4426" t="s">
        <v>10310</v>
      </c>
      <c r="U4426" t="s">
        <v>11047</v>
      </c>
      <c r="W4426" s="2" t="s">
        <v>11204</v>
      </c>
    </row>
    <row r="4427" spans="1:23" hidden="1" x14ac:dyDescent="0.45">
      <c r="A4427" s="1" t="s">
        <v>4367</v>
      </c>
      <c r="B4427" t="s">
        <v>6434</v>
      </c>
      <c r="D4427" t="s">
        <v>8061</v>
      </c>
      <c r="E4427" t="s">
        <v>9665</v>
      </c>
      <c r="F4427" t="s">
        <v>10299</v>
      </c>
      <c r="G4427">
        <v>180</v>
      </c>
      <c r="H4427" t="s">
        <v>10310</v>
      </c>
      <c r="I4427" t="s">
        <v>10326</v>
      </c>
      <c r="L4427">
        <v>1965</v>
      </c>
      <c r="R4427" t="s">
        <v>11038</v>
      </c>
      <c r="S4427" t="s">
        <v>10310</v>
      </c>
      <c r="U4427" t="s">
        <v>11046</v>
      </c>
      <c r="W4427" s="2" t="s">
        <v>11204</v>
      </c>
    </row>
    <row r="4428" spans="1:23" hidden="1" x14ac:dyDescent="0.45">
      <c r="A4428" s="1" t="s">
        <v>4368</v>
      </c>
      <c r="B4428" t="s">
        <v>6434</v>
      </c>
      <c r="D4428" t="s">
        <v>8061</v>
      </c>
      <c r="E4428" t="s">
        <v>9665</v>
      </c>
      <c r="F4428" t="s">
        <v>10299</v>
      </c>
      <c r="G4428">
        <v>150</v>
      </c>
      <c r="H4428" t="s">
        <v>10310</v>
      </c>
      <c r="I4428" t="s">
        <v>10326</v>
      </c>
      <c r="L4428">
        <v>1967</v>
      </c>
      <c r="R4428" t="s">
        <v>11038</v>
      </c>
      <c r="S4428" t="s">
        <v>10310</v>
      </c>
      <c r="U4428" t="s">
        <v>11046</v>
      </c>
      <c r="W4428" s="2" t="s">
        <v>11204</v>
      </c>
    </row>
    <row r="4429" spans="1:23" hidden="1" x14ac:dyDescent="0.45">
      <c r="A4429" s="1" t="s">
        <v>4369</v>
      </c>
      <c r="B4429" t="s">
        <v>6879</v>
      </c>
      <c r="D4429" t="s">
        <v>8075</v>
      </c>
      <c r="E4429" t="s">
        <v>9715</v>
      </c>
      <c r="F4429" t="s">
        <v>10299</v>
      </c>
      <c r="G4429">
        <v>4.2</v>
      </c>
      <c r="H4429" t="s">
        <v>10310</v>
      </c>
      <c r="I4429" t="s">
        <v>10326</v>
      </c>
      <c r="L4429">
        <v>2006</v>
      </c>
      <c r="R4429" t="s">
        <v>11038</v>
      </c>
      <c r="S4429" t="s">
        <v>10310</v>
      </c>
      <c r="U4429" t="s">
        <v>11047</v>
      </c>
      <c r="W4429" s="2" t="s">
        <v>11204</v>
      </c>
    </row>
    <row r="4430" spans="1:23" hidden="1" x14ac:dyDescent="0.45">
      <c r="A4430" s="1" t="s">
        <v>4370</v>
      </c>
      <c r="B4430" t="s">
        <v>6289</v>
      </c>
      <c r="D4430" t="s">
        <v>8041</v>
      </c>
      <c r="E4430" t="s">
        <v>9687</v>
      </c>
      <c r="F4430" t="s">
        <v>10299</v>
      </c>
      <c r="G4430">
        <v>2.2000000000000002</v>
      </c>
      <c r="H4430" t="s">
        <v>10310</v>
      </c>
      <c r="I4430" t="s">
        <v>10326</v>
      </c>
      <c r="L4430">
        <v>1998</v>
      </c>
      <c r="R4430" t="s">
        <v>11038</v>
      </c>
      <c r="S4430" t="s">
        <v>10310</v>
      </c>
      <c r="U4430" t="s">
        <v>11047</v>
      </c>
      <c r="W4430" s="2" t="s">
        <v>11204</v>
      </c>
    </row>
    <row r="4431" spans="1:23" hidden="1" x14ac:dyDescent="0.45">
      <c r="A4431" s="1" t="s">
        <v>4371</v>
      </c>
      <c r="B4431" t="s">
        <v>6880</v>
      </c>
      <c r="D4431" t="s">
        <v>8083</v>
      </c>
      <c r="E4431" t="s">
        <v>9760</v>
      </c>
      <c r="F4431" t="s">
        <v>10299</v>
      </c>
      <c r="G4431">
        <v>1.35</v>
      </c>
      <c r="H4431" t="s">
        <v>10310</v>
      </c>
      <c r="I4431" t="s">
        <v>10326</v>
      </c>
      <c r="L4431">
        <v>2015</v>
      </c>
      <c r="R4431" t="s">
        <v>11038</v>
      </c>
      <c r="S4431" t="s">
        <v>10310</v>
      </c>
      <c r="U4431" t="s">
        <v>11047</v>
      </c>
      <c r="W4431" s="2" t="s">
        <v>11204</v>
      </c>
    </row>
    <row r="4432" spans="1:23" hidden="1" x14ac:dyDescent="0.45">
      <c r="A4432" s="1" t="s">
        <v>4372</v>
      </c>
      <c r="B4432" t="s">
        <v>6294</v>
      </c>
      <c r="D4432" t="s">
        <v>8031</v>
      </c>
      <c r="E4432" t="s">
        <v>9773</v>
      </c>
      <c r="F4432" t="s">
        <v>10299</v>
      </c>
      <c r="G4432">
        <v>111</v>
      </c>
      <c r="H4432" t="s">
        <v>10310</v>
      </c>
      <c r="I4432" t="s">
        <v>10326</v>
      </c>
      <c r="L4432">
        <v>1970</v>
      </c>
      <c r="R4432" t="s">
        <v>11038</v>
      </c>
      <c r="S4432" t="s">
        <v>10310</v>
      </c>
      <c r="U4432" t="s">
        <v>11046</v>
      </c>
      <c r="W4432" s="2" t="s">
        <v>11204</v>
      </c>
    </row>
    <row r="4433" spans="1:23" hidden="1" x14ac:dyDescent="0.45">
      <c r="A4433" s="1" t="s">
        <v>4373</v>
      </c>
      <c r="B4433" t="s">
        <v>6374</v>
      </c>
      <c r="D4433" t="s">
        <v>8029</v>
      </c>
      <c r="E4433" t="s">
        <v>9753</v>
      </c>
      <c r="F4433" t="s">
        <v>10299</v>
      </c>
      <c r="G4433">
        <v>96</v>
      </c>
      <c r="H4433" t="s">
        <v>10310</v>
      </c>
      <c r="I4433" t="s">
        <v>10326</v>
      </c>
      <c r="L4433">
        <v>1961</v>
      </c>
      <c r="R4433" t="s">
        <v>11038</v>
      </c>
      <c r="S4433" t="s">
        <v>10310</v>
      </c>
      <c r="U4433" t="s">
        <v>11048</v>
      </c>
      <c r="W4433" s="2" t="s">
        <v>11204</v>
      </c>
    </row>
    <row r="4434" spans="1:23" hidden="1" x14ac:dyDescent="0.45">
      <c r="A4434" s="1" t="s">
        <v>4374</v>
      </c>
      <c r="B4434" t="s">
        <v>6749</v>
      </c>
      <c r="D4434" t="s">
        <v>8027</v>
      </c>
      <c r="E4434" t="s">
        <v>9718</v>
      </c>
      <c r="F4434" t="s">
        <v>10299</v>
      </c>
      <c r="G4434">
        <v>1.35</v>
      </c>
      <c r="H4434" t="s">
        <v>10310</v>
      </c>
      <c r="I4434" t="s">
        <v>10326</v>
      </c>
      <c r="L4434">
        <v>2004</v>
      </c>
      <c r="R4434" t="s">
        <v>11038</v>
      </c>
      <c r="S4434" t="s">
        <v>10310</v>
      </c>
      <c r="U4434" t="s">
        <v>11046</v>
      </c>
      <c r="W4434" s="2" t="s">
        <v>11204</v>
      </c>
    </row>
    <row r="4435" spans="1:23" hidden="1" x14ac:dyDescent="0.45">
      <c r="A4435" s="1" t="s">
        <v>4375</v>
      </c>
      <c r="B4435" t="s">
        <v>6749</v>
      </c>
      <c r="D4435" t="s">
        <v>8027</v>
      </c>
      <c r="E4435" t="s">
        <v>9718</v>
      </c>
      <c r="F4435" t="s">
        <v>10299</v>
      </c>
      <c r="G4435">
        <v>1.5</v>
      </c>
      <c r="H4435" t="s">
        <v>10310</v>
      </c>
      <c r="I4435" t="s">
        <v>10326</v>
      </c>
      <c r="L4435">
        <v>2004</v>
      </c>
      <c r="R4435" t="s">
        <v>11038</v>
      </c>
      <c r="S4435" t="s">
        <v>10310</v>
      </c>
      <c r="U4435" t="s">
        <v>11046</v>
      </c>
      <c r="W4435" s="2" t="s">
        <v>11204</v>
      </c>
    </row>
    <row r="4436" spans="1:23" hidden="1" x14ac:dyDescent="0.45">
      <c r="A4436" s="1" t="s">
        <v>4376</v>
      </c>
      <c r="B4436" t="s">
        <v>6881</v>
      </c>
      <c r="D4436" t="s">
        <v>8070</v>
      </c>
      <c r="E4436" t="s">
        <v>4102</v>
      </c>
      <c r="F4436" t="s">
        <v>10299</v>
      </c>
      <c r="G4436">
        <v>3.2</v>
      </c>
      <c r="H4436" t="s">
        <v>10310</v>
      </c>
      <c r="I4436" t="s">
        <v>10326</v>
      </c>
      <c r="L4436">
        <v>1996</v>
      </c>
      <c r="R4436" t="s">
        <v>11038</v>
      </c>
      <c r="S4436" t="s">
        <v>10310</v>
      </c>
      <c r="U4436" t="s">
        <v>11048</v>
      </c>
      <c r="W4436" s="2" t="s">
        <v>11204</v>
      </c>
    </row>
    <row r="4437" spans="1:23" hidden="1" x14ac:dyDescent="0.45">
      <c r="A4437" s="1" t="s">
        <v>4377</v>
      </c>
      <c r="B4437" t="s">
        <v>6434</v>
      </c>
      <c r="D4437" t="s">
        <v>8048</v>
      </c>
      <c r="E4437" t="s">
        <v>9642</v>
      </c>
      <c r="F4437" t="s">
        <v>10299</v>
      </c>
      <c r="G4437">
        <v>20</v>
      </c>
      <c r="H4437" t="s">
        <v>10310</v>
      </c>
      <c r="I4437" t="s">
        <v>10326</v>
      </c>
      <c r="L4437">
        <v>1977</v>
      </c>
      <c r="R4437" t="s">
        <v>11038</v>
      </c>
      <c r="S4437" t="s">
        <v>10310</v>
      </c>
      <c r="U4437" t="s">
        <v>11046</v>
      </c>
      <c r="W4437" s="2" t="s">
        <v>11204</v>
      </c>
    </row>
    <row r="4438" spans="1:23" hidden="1" x14ac:dyDescent="0.45">
      <c r="A4438" s="1" t="s">
        <v>4378</v>
      </c>
      <c r="B4438" t="s">
        <v>6882</v>
      </c>
      <c r="D4438" t="s">
        <v>8040</v>
      </c>
      <c r="E4438" t="s">
        <v>9736</v>
      </c>
      <c r="F4438" t="s">
        <v>10299</v>
      </c>
      <c r="G4438">
        <v>0.4</v>
      </c>
      <c r="H4438" t="s">
        <v>10310</v>
      </c>
      <c r="I4438" t="s">
        <v>10326</v>
      </c>
      <c r="L4438">
        <v>2003</v>
      </c>
      <c r="R4438" t="s">
        <v>11038</v>
      </c>
      <c r="S4438" t="s">
        <v>10310</v>
      </c>
      <c r="U4438" t="s">
        <v>11046</v>
      </c>
      <c r="W4438" s="2" t="s">
        <v>11204</v>
      </c>
    </row>
    <row r="4439" spans="1:23" hidden="1" x14ac:dyDescent="0.45">
      <c r="A4439" s="1" t="s">
        <v>4379</v>
      </c>
      <c r="D4439" t="s">
        <v>8056</v>
      </c>
      <c r="E4439" t="s">
        <v>3440</v>
      </c>
      <c r="F4439" t="s">
        <v>10299</v>
      </c>
      <c r="G4439">
        <v>0.45</v>
      </c>
      <c r="H4439" t="s">
        <v>10310</v>
      </c>
      <c r="I4439" t="s">
        <v>10326</v>
      </c>
      <c r="L4439">
        <v>1996</v>
      </c>
      <c r="R4439" t="s">
        <v>11038</v>
      </c>
      <c r="S4439" t="s">
        <v>10310</v>
      </c>
      <c r="U4439" t="s">
        <v>11046</v>
      </c>
      <c r="W4439" s="2" t="s">
        <v>11204</v>
      </c>
    </row>
    <row r="4440" spans="1:23" hidden="1" x14ac:dyDescent="0.45">
      <c r="A4440" s="1" t="s">
        <v>4380</v>
      </c>
      <c r="B4440" t="s">
        <v>6883</v>
      </c>
      <c r="D4440" t="s">
        <v>8080</v>
      </c>
      <c r="E4440" t="s">
        <v>9729</v>
      </c>
      <c r="F4440" t="s">
        <v>10299</v>
      </c>
      <c r="G4440">
        <v>9.1999999999999993</v>
      </c>
      <c r="H4440" t="s">
        <v>10310</v>
      </c>
      <c r="I4440" t="s">
        <v>10326</v>
      </c>
      <c r="L4440">
        <v>2018</v>
      </c>
      <c r="R4440" t="s">
        <v>11038</v>
      </c>
      <c r="S4440" t="s">
        <v>10310</v>
      </c>
      <c r="U4440" t="s">
        <v>11049</v>
      </c>
      <c r="W4440" s="2" t="s">
        <v>11204</v>
      </c>
    </row>
    <row r="4441" spans="1:23" hidden="1" x14ac:dyDescent="0.45">
      <c r="A4441" s="1" t="s">
        <v>4381</v>
      </c>
      <c r="B4441" t="s">
        <v>6884</v>
      </c>
      <c r="D4441" t="s">
        <v>8061</v>
      </c>
      <c r="E4441" t="s">
        <v>9679</v>
      </c>
      <c r="F4441" t="s">
        <v>10299</v>
      </c>
      <c r="G4441">
        <v>7.5</v>
      </c>
      <c r="H4441" t="s">
        <v>10310</v>
      </c>
      <c r="I4441" t="s">
        <v>10326</v>
      </c>
      <c r="L4441">
        <v>2006</v>
      </c>
      <c r="R4441" t="s">
        <v>11038</v>
      </c>
      <c r="S4441" t="s">
        <v>10310</v>
      </c>
      <c r="U4441" t="s">
        <v>11049</v>
      </c>
      <c r="W4441" s="2" t="s">
        <v>11204</v>
      </c>
    </row>
    <row r="4442" spans="1:23" hidden="1" x14ac:dyDescent="0.45">
      <c r="A4442" s="1" t="s">
        <v>4382</v>
      </c>
      <c r="B4442" t="s">
        <v>6392</v>
      </c>
      <c r="D4442" t="s">
        <v>8065</v>
      </c>
      <c r="E4442" t="s">
        <v>9677</v>
      </c>
      <c r="F4442" t="s">
        <v>10299</v>
      </c>
      <c r="G4442">
        <v>15.5</v>
      </c>
      <c r="H4442" t="s">
        <v>10310</v>
      </c>
      <c r="I4442" t="s">
        <v>10326</v>
      </c>
      <c r="L4442">
        <v>1959</v>
      </c>
      <c r="R4442" t="s">
        <v>11038</v>
      </c>
      <c r="S4442" t="s">
        <v>10310</v>
      </c>
      <c r="U4442" t="s">
        <v>11047</v>
      </c>
      <c r="W4442" s="2" t="s">
        <v>11204</v>
      </c>
    </row>
    <row r="4443" spans="1:23" hidden="1" x14ac:dyDescent="0.45">
      <c r="A4443" s="1" t="s">
        <v>4383</v>
      </c>
      <c r="B4443" t="s">
        <v>6374</v>
      </c>
      <c r="D4443" t="s">
        <v>8067</v>
      </c>
      <c r="E4443" t="s">
        <v>9739</v>
      </c>
      <c r="F4443" t="s">
        <v>10299</v>
      </c>
      <c r="G4443">
        <v>0.75900000000000001</v>
      </c>
      <c r="H4443" t="s">
        <v>10310</v>
      </c>
      <c r="I4443" t="s">
        <v>10326</v>
      </c>
      <c r="L4443">
        <v>2008</v>
      </c>
      <c r="R4443" t="s">
        <v>11038</v>
      </c>
      <c r="S4443" t="s">
        <v>10310</v>
      </c>
      <c r="U4443" t="s">
        <v>11048</v>
      </c>
      <c r="W4443" s="2" t="s">
        <v>11204</v>
      </c>
    </row>
    <row r="4444" spans="1:23" hidden="1" x14ac:dyDescent="0.45">
      <c r="A4444" s="1" t="s">
        <v>4384</v>
      </c>
      <c r="B4444" t="s">
        <v>6274</v>
      </c>
      <c r="D4444" t="s">
        <v>8074</v>
      </c>
      <c r="E4444" t="s">
        <v>9763</v>
      </c>
      <c r="F4444" t="s">
        <v>10299</v>
      </c>
      <c r="G4444">
        <v>600</v>
      </c>
      <c r="H4444" t="s">
        <v>10310</v>
      </c>
      <c r="I4444" t="s">
        <v>10326</v>
      </c>
      <c r="L4444">
        <v>1993</v>
      </c>
      <c r="R4444" t="s">
        <v>11038</v>
      </c>
      <c r="S4444" t="s">
        <v>10310</v>
      </c>
      <c r="U4444" t="s">
        <v>11048</v>
      </c>
      <c r="W4444" s="2" t="s">
        <v>11204</v>
      </c>
    </row>
    <row r="4445" spans="1:23" hidden="1" x14ac:dyDescent="0.45">
      <c r="A4445" s="1" t="s">
        <v>4385</v>
      </c>
      <c r="B4445" t="s">
        <v>6385</v>
      </c>
      <c r="D4445" t="s">
        <v>8044</v>
      </c>
      <c r="E4445" t="s">
        <v>9717</v>
      </c>
      <c r="F4445" t="s">
        <v>10299</v>
      </c>
      <c r="G4445">
        <v>3.9</v>
      </c>
      <c r="H4445" t="s">
        <v>10310</v>
      </c>
      <c r="I4445" t="s">
        <v>10326</v>
      </c>
      <c r="L4445">
        <v>2001</v>
      </c>
      <c r="R4445" t="s">
        <v>11038</v>
      </c>
      <c r="S4445" t="s">
        <v>10310</v>
      </c>
      <c r="U4445" t="s">
        <v>11046</v>
      </c>
      <c r="W4445" s="2" t="s">
        <v>11204</v>
      </c>
    </row>
    <row r="4446" spans="1:23" hidden="1" x14ac:dyDescent="0.45">
      <c r="A4446" s="1" t="s">
        <v>4386</v>
      </c>
      <c r="B4446" t="s">
        <v>6298</v>
      </c>
      <c r="D4446" t="s">
        <v>8050</v>
      </c>
      <c r="E4446" t="s">
        <v>9774</v>
      </c>
      <c r="F4446" t="s">
        <v>10299</v>
      </c>
      <c r="G4446">
        <v>0.13500000000000001</v>
      </c>
      <c r="H4446" t="s">
        <v>10310</v>
      </c>
      <c r="I4446" t="s">
        <v>10326</v>
      </c>
      <c r="L4446">
        <v>2008</v>
      </c>
      <c r="R4446" t="s">
        <v>11038</v>
      </c>
      <c r="S4446" t="s">
        <v>10310</v>
      </c>
      <c r="U4446" t="s">
        <v>11050</v>
      </c>
      <c r="W4446" s="2" t="s">
        <v>11204</v>
      </c>
    </row>
    <row r="4447" spans="1:23" hidden="1" x14ac:dyDescent="0.45">
      <c r="A4447" s="1" t="s">
        <v>4387</v>
      </c>
      <c r="B4447" t="s">
        <v>6885</v>
      </c>
      <c r="D4447" t="s">
        <v>8051</v>
      </c>
      <c r="E4447" t="s">
        <v>9838</v>
      </c>
      <c r="F4447" t="s">
        <v>10299</v>
      </c>
      <c r="G4447">
        <v>0.89800000000000002</v>
      </c>
      <c r="H4447" t="s">
        <v>10310</v>
      </c>
      <c r="I4447" t="s">
        <v>10326</v>
      </c>
      <c r="L4447">
        <v>2006</v>
      </c>
      <c r="R4447" t="s">
        <v>11038</v>
      </c>
      <c r="S4447" t="s">
        <v>10310</v>
      </c>
      <c r="U4447" t="s">
        <v>11048</v>
      </c>
      <c r="W4447" s="2" t="s">
        <v>11204</v>
      </c>
    </row>
    <row r="4448" spans="1:23" hidden="1" x14ac:dyDescent="0.45">
      <c r="A4448" s="1" t="s">
        <v>4388</v>
      </c>
      <c r="B4448" t="s">
        <v>6278</v>
      </c>
      <c r="D4448" t="s">
        <v>7777</v>
      </c>
      <c r="E4448" t="s">
        <v>9674</v>
      </c>
      <c r="F4448" t="s">
        <v>10299</v>
      </c>
      <c r="G4448">
        <v>1.79</v>
      </c>
      <c r="H4448" t="s">
        <v>10310</v>
      </c>
      <c r="I4448" t="s">
        <v>10326</v>
      </c>
      <c r="L4448">
        <v>2012</v>
      </c>
      <c r="R4448" t="s">
        <v>11038</v>
      </c>
      <c r="S4448" t="s">
        <v>10310</v>
      </c>
      <c r="U4448" t="s">
        <v>11048</v>
      </c>
      <c r="W4448" s="2" t="s">
        <v>11204</v>
      </c>
    </row>
    <row r="4449" spans="1:23" hidden="1" x14ac:dyDescent="0.45">
      <c r="A4449" s="1" t="s">
        <v>4389</v>
      </c>
      <c r="B4449" t="s">
        <v>6886</v>
      </c>
      <c r="D4449" t="s">
        <v>8047</v>
      </c>
      <c r="E4449" t="s">
        <v>9750</v>
      </c>
      <c r="F4449" t="s">
        <v>10299</v>
      </c>
      <c r="G4449">
        <v>0.9</v>
      </c>
      <c r="H4449" t="s">
        <v>10310</v>
      </c>
      <c r="I4449" t="s">
        <v>10326</v>
      </c>
      <c r="L4449">
        <v>1915</v>
      </c>
      <c r="R4449" t="s">
        <v>11038</v>
      </c>
      <c r="S4449" t="s">
        <v>10310</v>
      </c>
      <c r="U4449" t="s">
        <v>11050</v>
      </c>
      <c r="W4449" s="2" t="s">
        <v>11204</v>
      </c>
    </row>
    <row r="4450" spans="1:23" hidden="1" x14ac:dyDescent="0.45">
      <c r="A4450" s="1" t="s">
        <v>4390</v>
      </c>
      <c r="B4450" t="s">
        <v>6886</v>
      </c>
      <c r="D4450" t="s">
        <v>8047</v>
      </c>
      <c r="E4450" t="s">
        <v>9750</v>
      </c>
      <c r="F4450" t="s">
        <v>10299</v>
      </c>
      <c r="G4450">
        <v>1.7</v>
      </c>
      <c r="H4450" t="s">
        <v>10310</v>
      </c>
      <c r="I4450" t="s">
        <v>10326</v>
      </c>
      <c r="L4450">
        <v>2009</v>
      </c>
      <c r="R4450" t="s">
        <v>11038</v>
      </c>
      <c r="S4450" t="s">
        <v>10310</v>
      </c>
      <c r="U4450" t="s">
        <v>11050</v>
      </c>
      <c r="W4450" s="2" t="s">
        <v>11204</v>
      </c>
    </row>
    <row r="4451" spans="1:23" hidden="1" x14ac:dyDescent="0.45">
      <c r="A4451" s="1" t="s">
        <v>4391</v>
      </c>
      <c r="B4451" t="s">
        <v>6274</v>
      </c>
      <c r="D4451" t="s">
        <v>8040</v>
      </c>
      <c r="E4451" t="s">
        <v>9686</v>
      </c>
      <c r="F4451" t="s">
        <v>10299</v>
      </c>
      <c r="G4451">
        <v>27</v>
      </c>
      <c r="H4451" t="s">
        <v>10310</v>
      </c>
      <c r="I4451" t="s">
        <v>10326</v>
      </c>
      <c r="L4451">
        <v>1940</v>
      </c>
      <c r="R4451" t="s">
        <v>11038</v>
      </c>
      <c r="S4451" t="s">
        <v>10310</v>
      </c>
      <c r="U4451" t="s">
        <v>11047</v>
      </c>
      <c r="W4451" s="2" t="s">
        <v>11204</v>
      </c>
    </row>
    <row r="4452" spans="1:23" hidden="1" x14ac:dyDescent="0.45">
      <c r="A4452" s="1" t="s">
        <v>4392</v>
      </c>
      <c r="B4452" t="s">
        <v>6449</v>
      </c>
      <c r="D4452" t="s">
        <v>7917</v>
      </c>
      <c r="E4452" t="s">
        <v>9672</v>
      </c>
      <c r="F4452" t="s">
        <v>10299</v>
      </c>
      <c r="G4452">
        <v>9.1</v>
      </c>
      <c r="H4452" t="s">
        <v>10310</v>
      </c>
      <c r="I4452" t="s">
        <v>10326</v>
      </c>
      <c r="L4452">
        <v>1921</v>
      </c>
      <c r="R4452" t="s">
        <v>11038</v>
      </c>
      <c r="S4452" t="s">
        <v>10310</v>
      </c>
      <c r="U4452" t="s">
        <v>11047</v>
      </c>
      <c r="W4452" s="2" t="s">
        <v>11204</v>
      </c>
    </row>
    <row r="4453" spans="1:23" hidden="1" x14ac:dyDescent="0.45">
      <c r="A4453" s="1" t="s">
        <v>4393</v>
      </c>
      <c r="B4453" t="s">
        <v>6449</v>
      </c>
      <c r="D4453" t="s">
        <v>7917</v>
      </c>
      <c r="E4453" t="s">
        <v>9672</v>
      </c>
      <c r="F4453" t="s">
        <v>10299</v>
      </c>
      <c r="G4453">
        <v>29</v>
      </c>
      <c r="H4453" t="s">
        <v>10310</v>
      </c>
      <c r="I4453" t="s">
        <v>10326</v>
      </c>
      <c r="L4453">
        <v>1958</v>
      </c>
      <c r="R4453" t="s">
        <v>11038</v>
      </c>
      <c r="S4453" t="s">
        <v>10310</v>
      </c>
      <c r="U4453" t="s">
        <v>11047</v>
      </c>
      <c r="W4453" s="2" t="s">
        <v>11204</v>
      </c>
    </row>
    <row r="4454" spans="1:23" hidden="1" x14ac:dyDescent="0.45">
      <c r="A4454" s="1" t="s">
        <v>4394</v>
      </c>
      <c r="B4454" t="s">
        <v>6449</v>
      </c>
      <c r="D4454" t="s">
        <v>7917</v>
      </c>
      <c r="E4454" t="s">
        <v>9672</v>
      </c>
      <c r="F4454" t="s">
        <v>10299</v>
      </c>
      <c r="G4454">
        <v>22</v>
      </c>
      <c r="H4454" t="s">
        <v>10310</v>
      </c>
      <c r="I4454" t="s">
        <v>10326</v>
      </c>
      <c r="L4454">
        <v>1963</v>
      </c>
      <c r="R4454" t="s">
        <v>11038</v>
      </c>
      <c r="S4454" t="s">
        <v>10310</v>
      </c>
      <c r="U4454" t="s">
        <v>11047</v>
      </c>
      <c r="W4454" s="2" t="s">
        <v>11204</v>
      </c>
    </row>
    <row r="4455" spans="1:23" hidden="1" x14ac:dyDescent="0.45">
      <c r="A4455" s="1" t="s">
        <v>4395</v>
      </c>
      <c r="B4455" t="s">
        <v>6449</v>
      </c>
      <c r="D4455" t="s">
        <v>7917</v>
      </c>
      <c r="E4455" t="s">
        <v>9672</v>
      </c>
      <c r="F4455" t="s">
        <v>10299</v>
      </c>
      <c r="G4455">
        <v>50</v>
      </c>
      <c r="H4455" t="s">
        <v>10310</v>
      </c>
      <c r="I4455" t="s">
        <v>10326</v>
      </c>
      <c r="L4455">
        <v>1973</v>
      </c>
      <c r="R4455" t="s">
        <v>11038</v>
      </c>
      <c r="S4455" t="s">
        <v>10310</v>
      </c>
      <c r="U4455" t="s">
        <v>11047</v>
      </c>
      <c r="W4455" s="2" t="s">
        <v>11204</v>
      </c>
    </row>
    <row r="4456" spans="1:23" hidden="1" x14ac:dyDescent="0.45">
      <c r="A4456" s="1" t="s">
        <v>4396</v>
      </c>
      <c r="B4456" t="s">
        <v>6434</v>
      </c>
      <c r="D4456" t="s">
        <v>8078</v>
      </c>
      <c r="E4456" t="s">
        <v>9751</v>
      </c>
      <c r="F4456" t="s">
        <v>10299</v>
      </c>
      <c r="G4456">
        <v>92</v>
      </c>
      <c r="H4456" t="s">
        <v>10310</v>
      </c>
      <c r="I4456" t="s">
        <v>10326</v>
      </c>
      <c r="L4456">
        <v>1958</v>
      </c>
      <c r="R4456" t="s">
        <v>11038</v>
      </c>
      <c r="S4456" t="s">
        <v>10310</v>
      </c>
      <c r="U4456" t="s">
        <v>11046</v>
      </c>
      <c r="W4456" s="2" t="s">
        <v>11204</v>
      </c>
    </row>
    <row r="4457" spans="1:23" hidden="1" x14ac:dyDescent="0.45">
      <c r="A4457" s="1" t="s">
        <v>4397</v>
      </c>
      <c r="B4457" t="s">
        <v>6346</v>
      </c>
      <c r="D4457" t="s">
        <v>8078</v>
      </c>
      <c r="E4457" t="s">
        <v>9725</v>
      </c>
      <c r="F4457" t="s">
        <v>10299</v>
      </c>
      <c r="G4457">
        <v>2</v>
      </c>
      <c r="H4457" t="s">
        <v>10310</v>
      </c>
      <c r="I4457" t="s">
        <v>10326</v>
      </c>
      <c r="L4457">
        <v>1908</v>
      </c>
      <c r="R4457" t="s">
        <v>11038</v>
      </c>
      <c r="S4457" t="s">
        <v>10310</v>
      </c>
      <c r="U4457" t="s">
        <v>11046</v>
      </c>
      <c r="W4457" s="2" t="s">
        <v>11204</v>
      </c>
    </row>
    <row r="4458" spans="1:23" hidden="1" x14ac:dyDescent="0.45">
      <c r="A4458" s="1" t="s">
        <v>4398</v>
      </c>
      <c r="B4458" t="s">
        <v>6274</v>
      </c>
      <c r="D4458" t="s">
        <v>7986</v>
      </c>
      <c r="E4458" t="s">
        <v>9648</v>
      </c>
      <c r="F4458" t="s">
        <v>10299</v>
      </c>
      <c r="G4458">
        <v>22</v>
      </c>
      <c r="H4458" t="s">
        <v>10310</v>
      </c>
      <c r="I4458" t="s">
        <v>10326</v>
      </c>
      <c r="L4458">
        <v>1963</v>
      </c>
      <c r="R4458" t="s">
        <v>11038</v>
      </c>
      <c r="S4458" t="s">
        <v>10310</v>
      </c>
      <c r="U4458" t="s">
        <v>11047</v>
      </c>
      <c r="W4458" s="2" t="s">
        <v>11204</v>
      </c>
    </row>
    <row r="4459" spans="1:23" hidden="1" x14ac:dyDescent="0.45">
      <c r="A4459" s="1" t="s">
        <v>4399</v>
      </c>
      <c r="B4459" t="s">
        <v>6344</v>
      </c>
      <c r="D4459" t="s">
        <v>8083</v>
      </c>
      <c r="E4459" t="s">
        <v>9760</v>
      </c>
      <c r="F4459" t="s">
        <v>10299</v>
      </c>
      <c r="G4459">
        <v>55</v>
      </c>
      <c r="H4459" t="s">
        <v>10310</v>
      </c>
      <c r="I4459" t="s">
        <v>10326</v>
      </c>
      <c r="L4459">
        <v>1983</v>
      </c>
      <c r="R4459" t="s">
        <v>11038</v>
      </c>
      <c r="S4459" t="s">
        <v>10310</v>
      </c>
      <c r="U4459" t="s">
        <v>11047</v>
      </c>
      <c r="W4459" s="2" t="s">
        <v>11204</v>
      </c>
    </row>
    <row r="4460" spans="1:23" hidden="1" x14ac:dyDescent="0.45">
      <c r="A4460" s="1" t="s">
        <v>4400</v>
      </c>
      <c r="D4460" t="s">
        <v>8080</v>
      </c>
      <c r="E4460" t="s">
        <v>9729</v>
      </c>
      <c r="F4460" t="s">
        <v>10299</v>
      </c>
      <c r="G4460">
        <v>1.9E-2</v>
      </c>
      <c r="H4460" t="s">
        <v>10310</v>
      </c>
      <c r="I4460" t="s">
        <v>10326</v>
      </c>
      <c r="L4460">
        <v>2003</v>
      </c>
      <c r="R4460" t="s">
        <v>11038</v>
      </c>
      <c r="S4460" t="s">
        <v>10310</v>
      </c>
      <c r="U4460" t="s">
        <v>11049</v>
      </c>
      <c r="W4460" s="2" t="s">
        <v>11204</v>
      </c>
    </row>
    <row r="4461" spans="1:23" hidden="1" x14ac:dyDescent="0.45">
      <c r="A4461" s="1" t="s">
        <v>4401</v>
      </c>
      <c r="B4461" t="s">
        <v>6323</v>
      </c>
      <c r="D4461" t="s">
        <v>8053</v>
      </c>
      <c r="E4461" t="s">
        <v>9652</v>
      </c>
      <c r="F4461" t="s">
        <v>10299</v>
      </c>
      <c r="G4461">
        <v>3.2</v>
      </c>
      <c r="H4461" t="s">
        <v>10310</v>
      </c>
      <c r="I4461" t="s">
        <v>10326</v>
      </c>
      <c r="L4461">
        <v>2010</v>
      </c>
      <c r="R4461" t="s">
        <v>11038</v>
      </c>
      <c r="S4461" t="s">
        <v>10310</v>
      </c>
      <c r="U4461" t="s">
        <v>11049</v>
      </c>
      <c r="W4461" s="2" t="s">
        <v>11204</v>
      </c>
    </row>
    <row r="4462" spans="1:23" hidden="1" x14ac:dyDescent="0.45">
      <c r="A4462" s="1" t="s">
        <v>4402</v>
      </c>
      <c r="B4462" t="s">
        <v>6887</v>
      </c>
      <c r="D4462" t="s">
        <v>8083</v>
      </c>
      <c r="E4462" t="s">
        <v>9760</v>
      </c>
      <c r="F4462" t="s">
        <v>10299</v>
      </c>
      <c r="G4462">
        <v>1.2</v>
      </c>
      <c r="H4462" t="s">
        <v>10310</v>
      </c>
      <c r="I4462" t="s">
        <v>10326</v>
      </c>
      <c r="L4462">
        <v>2009</v>
      </c>
      <c r="R4462" t="s">
        <v>11038</v>
      </c>
      <c r="S4462" t="s">
        <v>10310</v>
      </c>
      <c r="U4462" t="s">
        <v>11047</v>
      </c>
      <c r="W4462" s="2" t="s">
        <v>11204</v>
      </c>
    </row>
    <row r="4463" spans="1:23" hidden="1" x14ac:dyDescent="0.45">
      <c r="A4463" s="1" t="s">
        <v>4403</v>
      </c>
      <c r="B4463" t="s">
        <v>6274</v>
      </c>
      <c r="D4463" t="s">
        <v>8070</v>
      </c>
      <c r="E4463" t="s">
        <v>9754</v>
      </c>
      <c r="F4463" t="s">
        <v>10299</v>
      </c>
      <c r="G4463">
        <v>3.3</v>
      </c>
      <c r="H4463" t="s">
        <v>10310</v>
      </c>
      <c r="I4463" t="s">
        <v>10326</v>
      </c>
      <c r="L4463">
        <v>2008</v>
      </c>
      <c r="R4463" t="s">
        <v>11038</v>
      </c>
      <c r="S4463" t="s">
        <v>10310</v>
      </c>
      <c r="U4463" t="s">
        <v>11047</v>
      </c>
      <c r="W4463" s="2" t="s">
        <v>11204</v>
      </c>
    </row>
    <row r="4464" spans="1:23" hidden="1" x14ac:dyDescent="0.45">
      <c r="A4464" s="1" t="s">
        <v>4404</v>
      </c>
      <c r="B4464" t="s">
        <v>6888</v>
      </c>
      <c r="D4464" t="s">
        <v>8030</v>
      </c>
      <c r="E4464" t="s">
        <v>9623</v>
      </c>
      <c r="F4464" t="s">
        <v>10299</v>
      </c>
      <c r="G4464">
        <v>2.84</v>
      </c>
      <c r="H4464" t="s">
        <v>10310</v>
      </c>
      <c r="I4464" t="s">
        <v>10326</v>
      </c>
      <c r="L4464">
        <v>2010</v>
      </c>
      <c r="R4464" t="s">
        <v>11038</v>
      </c>
      <c r="S4464" t="s">
        <v>10310</v>
      </c>
      <c r="U4464" t="s">
        <v>11049</v>
      </c>
      <c r="W4464" s="2" t="s">
        <v>11204</v>
      </c>
    </row>
    <row r="4465" spans="1:23" hidden="1" x14ac:dyDescent="0.45">
      <c r="A4465" s="1" t="s">
        <v>4405</v>
      </c>
      <c r="B4465" t="s">
        <v>6274</v>
      </c>
      <c r="D4465" t="s">
        <v>8062</v>
      </c>
      <c r="E4465" t="s">
        <v>9737</v>
      </c>
      <c r="F4465" t="s">
        <v>10299</v>
      </c>
      <c r="G4465">
        <v>620</v>
      </c>
      <c r="H4465" t="s">
        <v>10310</v>
      </c>
      <c r="I4465" t="s">
        <v>10326</v>
      </c>
      <c r="L4465">
        <v>1981</v>
      </c>
      <c r="R4465" t="s">
        <v>11038</v>
      </c>
      <c r="S4465" t="s">
        <v>10310</v>
      </c>
      <c r="U4465" t="s">
        <v>11049</v>
      </c>
      <c r="W4465" s="2" t="s">
        <v>11204</v>
      </c>
    </row>
    <row r="4466" spans="1:23" hidden="1" x14ac:dyDescent="0.45">
      <c r="A4466" s="1" t="s">
        <v>4406</v>
      </c>
      <c r="B4466" t="s">
        <v>6889</v>
      </c>
      <c r="D4466" t="s">
        <v>8048</v>
      </c>
      <c r="E4466" t="s">
        <v>9673</v>
      </c>
      <c r="F4466" t="s">
        <v>10299</v>
      </c>
      <c r="G4466">
        <v>2.5</v>
      </c>
      <c r="H4466" t="s">
        <v>10310</v>
      </c>
      <c r="I4466" t="s">
        <v>10326</v>
      </c>
      <c r="L4466">
        <v>2012</v>
      </c>
      <c r="R4466" t="s">
        <v>11038</v>
      </c>
      <c r="S4466" t="s">
        <v>10310</v>
      </c>
      <c r="U4466" t="s">
        <v>11050</v>
      </c>
      <c r="W4466" s="2" t="s">
        <v>11204</v>
      </c>
    </row>
    <row r="4467" spans="1:23" hidden="1" x14ac:dyDescent="0.45">
      <c r="A4467" s="1" t="s">
        <v>4407</v>
      </c>
      <c r="B4467" t="s">
        <v>6890</v>
      </c>
      <c r="D4467" t="s">
        <v>8084</v>
      </c>
      <c r="E4467" t="s">
        <v>9816</v>
      </c>
      <c r="F4467" t="s">
        <v>10299</v>
      </c>
      <c r="G4467">
        <v>3.5000000000000003E-2</v>
      </c>
      <c r="H4467" t="s">
        <v>10310</v>
      </c>
      <c r="I4467" t="s">
        <v>10326</v>
      </c>
      <c r="L4467">
        <v>2004</v>
      </c>
      <c r="R4467" t="s">
        <v>11038</v>
      </c>
      <c r="S4467" t="s">
        <v>10310</v>
      </c>
      <c r="U4467" t="s">
        <v>11048</v>
      </c>
      <c r="W4467" s="2" t="s">
        <v>11204</v>
      </c>
    </row>
    <row r="4468" spans="1:23" hidden="1" x14ac:dyDescent="0.45">
      <c r="A4468" s="1" t="s">
        <v>4408</v>
      </c>
      <c r="D4468" t="s">
        <v>8048</v>
      </c>
      <c r="E4468" t="s">
        <v>9673</v>
      </c>
      <c r="F4468" t="s">
        <v>10299</v>
      </c>
      <c r="G4468">
        <v>3.2000000000000001E-2</v>
      </c>
      <c r="H4468" t="s">
        <v>10310</v>
      </c>
      <c r="I4468" t="s">
        <v>10326</v>
      </c>
      <c r="L4468">
        <v>1998</v>
      </c>
      <c r="R4468" t="s">
        <v>11038</v>
      </c>
      <c r="S4468" t="s">
        <v>10310</v>
      </c>
      <c r="U4468" t="s">
        <v>11050</v>
      </c>
      <c r="W4468" s="2" t="s">
        <v>11204</v>
      </c>
    </row>
    <row r="4469" spans="1:23" hidden="1" x14ac:dyDescent="0.45">
      <c r="A4469" s="1" t="s">
        <v>4409</v>
      </c>
      <c r="B4469" t="s">
        <v>6541</v>
      </c>
      <c r="D4469" t="s">
        <v>8086</v>
      </c>
      <c r="E4469" t="s">
        <v>9814</v>
      </c>
      <c r="F4469" t="s">
        <v>10299</v>
      </c>
      <c r="G4469">
        <v>0.7</v>
      </c>
      <c r="H4469" t="s">
        <v>10310</v>
      </c>
      <c r="I4469" t="s">
        <v>10326</v>
      </c>
      <c r="L4469">
        <v>1948</v>
      </c>
      <c r="R4469" t="s">
        <v>11038</v>
      </c>
      <c r="S4469" t="s">
        <v>10310</v>
      </c>
      <c r="U4469" t="s">
        <v>11048</v>
      </c>
      <c r="W4469" s="2" t="s">
        <v>11204</v>
      </c>
    </row>
    <row r="4470" spans="1:23" hidden="1" x14ac:dyDescent="0.45">
      <c r="A4470" s="1" t="s">
        <v>4410</v>
      </c>
      <c r="B4470" t="s">
        <v>6891</v>
      </c>
      <c r="D4470" t="s">
        <v>8036</v>
      </c>
      <c r="E4470" t="s">
        <v>9637</v>
      </c>
      <c r="F4470" t="s">
        <v>10299</v>
      </c>
      <c r="G4470">
        <v>0.8</v>
      </c>
      <c r="H4470" t="s">
        <v>10310</v>
      </c>
      <c r="I4470" t="s">
        <v>10326</v>
      </c>
      <c r="L4470">
        <v>2006</v>
      </c>
      <c r="R4470" t="s">
        <v>11038</v>
      </c>
      <c r="S4470" t="s">
        <v>10310</v>
      </c>
      <c r="U4470" t="s">
        <v>11046</v>
      </c>
      <c r="W4470" s="2" t="s">
        <v>11204</v>
      </c>
    </row>
    <row r="4471" spans="1:23" hidden="1" x14ac:dyDescent="0.45">
      <c r="A4471" s="1" t="s">
        <v>4411</v>
      </c>
      <c r="B4471" t="s">
        <v>6392</v>
      </c>
      <c r="D4471" t="s">
        <v>8081</v>
      </c>
      <c r="E4471" t="s">
        <v>9731</v>
      </c>
      <c r="F4471" t="s">
        <v>10299</v>
      </c>
      <c r="G4471">
        <v>37</v>
      </c>
      <c r="H4471" t="s">
        <v>10310</v>
      </c>
      <c r="I4471" t="s">
        <v>10326</v>
      </c>
      <c r="L4471">
        <v>1967</v>
      </c>
      <c r="R4471" t="s">
        <v>11038</v>
      </c>
      <c r="S4471" t="s">
        <v>10310</v>
      </c>
      <c r="U4471" t="s">
        <v>11047</v>
      </c>
      <c r="W4471" s="2" t="s">
        <v>11204</v>
      </c>
    </row>
    <row r="4472" spans="1:23" hidden="1" x14ac:dyDescent="0.45">
      <c r="A4472" s="1" t="s">
        <v>4412</v>
      </c>
      <c r="B4472" t="s">
        <v>6281</v>
      </c>
      <c r="D4472" t="s">
        <v>8032</v>
      </c>
      <c r="E4472" t="s">
        <v>9775</v>
      </c>
      <c r="F4472" t="s">
        <v>10299</v>
      </c>
      <c r="G4472">
        <v>5.2</v>
      </c>
      <c r="H4472" t="s">
        <v>10310</v>
      </c>
      <c r="I4472" t="s">
        <v>10326</v>
      </c>
      <c r="L4472">
        <v>2011</v>
      </c>
      <c r="R4472" t="s">
        <v>11038</v>
      </c>
      <c r="S4472" t="s">
        <v>10310</v>
      </c>
      <c r="U4472" t="s">
        <v>11048</v>
      </c>
      <c r="W4472" s="2" t="s">
        <v>11204</v>
      </c>
    </row>
    <row r="4473" spans="1:23" hidden="1" x14ac:dyDescent="0.45">
      <c r="A4473" s="1" t="s">
        <v>4413</v>
      </c>
      <c r="D4473" t="s">
        <v>8037</v>
      </c>
      <c r="E4473" t="s">
        <v>9723</v>
      </c>
      <c r="F4473" t="s">
        <v>10299</v>
      </c>
      <c r="G4473">
        <v>0.02</v>
      </c>
      <c r="H4473" t="s">
        <v>10310</v>
      </c>
      <c r="I4473" t="s">
        <v>10326</v>
      </c>
      <c r="L4473">
        <v>1914</v>
      </c>
      <c r="R4473" t="s">
        <v>11038</v>
      </c>
      <c r="S4473" t="s">
        <v>10310</v>
      </c>
      <c r="U4473" t="s">
        <v>11050</v>
      </c>
      <c r="W4473" s="2" t="s">
        <v>11204</v>
      </c>
    </row>
    <row r="4474" spans="1:23" hidden="1" x14ac:dyDescent="0.45">
      <c r="A4474" s="1" t="s">
        <v>4414</v>
      </c>
      <c r="B4474" t="s">
        <v>6892</v>
      </c>
      <c r="D4474" t="s">
        <v>8063</v>
      </c>
      <c r="E4474" t="s">
        <v>9734</v>
      </c>
      <c r="F4474" t="s">
        <v>10299</v>
      </c>
      <c r="G4474">
        <v>9</v>
      </c>
      <c r="H4474" t="s">
        <v>10310</v>
      </c>
      <c r="I4474" t="s">
        <v>10326</v>
      </c>
      <c r="L4474">
        <v>2017</v>
      </c>
      <c r="R4474" t="s">
        <v>11038</v>
      </c>
      <c r="S4474" t="s">
        <v>10310</v>
      </c>
      <c r="U4474" t="s">
        <v>11050</v>
      </c>
      <c r="W4474" s="2" t="s">
        <v>11204</v>
      </c>
    </row>
    <row r="4475" spans="1:23" hidden="1" x14ac:dyDescent="0.45">
      <c r="A4475" s="1" t="s">
        <v>4415</v>
      </c>
      <c r="B4475" t="s">
        <v>6402</v>
      </c>
      <c r="D4475" t="s">
        <v>8083</v>
      </c>
      <c r="E4475" t="s">
        <v>9760</v>
      </c>
      <c r="F4475" t="s">
        <v>10299</v>
      </c>
      <c r="G4475">
        <v>0.3</v>
      </c>
      <c r="H4475" t="s">
        <v>10310</v>
      </c>
      <c r="I4475" t="s">
        <v>10326</v>
      </c>
      <c r="L4475">
        <v>1900</v>
      </c>
      <c r="R4475" t="s">
        <v>11038</v>
      </c>
      <c r="S4475" t="s">
        <v>10310</v>
      </c>
      <c r="U4475" t="s">
        <v>11047</v>
      </c>
      <c r="W4475" s="2" t="s">
        <v>11204</v>
      </c>
    </row>
    <row r="4476" spans="1:23" hidden="1" x14ac:dyDescent="0.45">
      <c r="A4476" s="1" t="s">
        <v>4416</v>
      </c>
      <c r="B4476" t="s">
        <v>6281</v>
      </c>
      <c r="D4476" t="s">
        <v>8060</v>
      </c>
      <c r="E4476" t="s">
        <v>9697</v>
      </c>
      <c r="F4476" t="s">
        <v>10299</v>
      </c>
      <c r="G4476">
        <v>1.96</v>
      </c>
      <c r="H4476" t="s">
        <v>10310</v>
      </c>
      <c r="I4476" t="s">
        <v>10326</v>
      </c>
      <c r="L4476">
        <v>2016</v>
      </c>
      <c r="R4476" t="s">
        <v>11038</v>
      </c>
      <c r="S4476" t="s">
        <v>10310</v>
      </c>
      <c r="U4476" t="s">
        <v>11047</v>
      </c>
      <c r="W4476" s="2" t="s">
        <v>11204</v>
      </c>
    </row>
    <row r="4477" spans="1:23" hidden="1" x14ac:dyDescent="0.45">
      <c r="A4477" s="1" t="s">
        <v>4417</v>
      </c>
      <c r="B4477" t="s">
        <v>6829</v>
      </c>
      <c r="D4477" t="s">
        <v>8039</v>
      </c>
      <c r="E4477" t="s">
        <v>9851</v>
      </c>
      <c r="F4477" t="s">
        <v>10299</v>
      </c>
      <c r="G4477">
        <v>5.35</v>
      </c>
      <c r="H4477" t="s">
        <v>10310</v>
      </c>
      <c r="I4477" t="s">
        <v>10326</v>
      </c>
      <c r="L4477">
        <v>2016</v>
      </c>
      <c r="R4477" t="s">
        <v>11038</v>
      </c>
      <c r="S4477" t="s">
        <v>10310</v>
      </c>
      <c r="U4477" t="s">
        <v>11050</v>
      </c>
      <c r="W4477" s="2" t="s">
        <v>11204</v>
      </c>
    </row>
    <row r="4478" spans="1:23" hidden="1" x14ac:dyDescent="0.45">
      <c r="A4478" s="1" t="s">
        <v>4418</v>
      </c>
      <c r="B4478" t="s">
        <v>6385</v>
      </c>
      <c r="D4478" t="s">
        <v>8044</v>
      </c>
      <c r="E4478" t="s">
        <v>9717</v>
      </c>
      <c r="F4478" t="s">
        <v>10299</v>
      </c>
      <c r="G4478">
        <v>212.4</v>
      </c>
      <c r="H4478" t="s">
        <v>10310</v>
      </c>
      <c r="I4478" t="s">
        <v>10326</v>
      </c>
      <c r="L4478">
        <v>2008</v>
      </c>
      <c r="R4478" t="s">
        <v>11038</v>
      </c>
      <c r="S4478" t="s">
        <v>10310</v>
      </c>
      <c r="U4478" t="s">
        <v>11046</v>
      </c>
      <c r="W4478" s="2" t="s">
        <v>11204</v>
      </c>
    </row>
    <row r="4479" spans="1:23" hidden="1" x14ac:dyDescent="0.45">
      <c r="A4479" s="1" t="s">
        <v>4419</v>
      </c>
      <c r="B4479" t="s">
        <v>6385</v>
      </c>
      <c r="D4479" t="s">
        <v>8044</v>
      </c>
      <c r="E4479" t="s">
        <v>9717</v>
      </c>
      <c r="F4479" t="s">
        <v>10299</v>
      </c>
      <c r="G4479">
        <v>62.5</v>
      </c>
      <c r="H4479" t="s">
        <v>10310</v>
      </c>
      <c r="I4479" t="s">
        <v>10326</v>
      </c>
      <c r="L4479">
        <v>2008</v>
      </c>
      <c r="R4479" t="s">
        <v>11038</v>
      </c>
      <c r="S4479" t="s">
        <v>10310</v>
      </c>
      <c r="U4479" t="s">
        <v>11046</v>
      </c>
      <c r="W4479" s="2" t="s">
        <v>11204</v>
      </c>
    </row>
    <row r="4480" spans="1:23" hidden="1" x14ac:dyDescent="0.45">
      <c r="A4480" s="1" t="s">
        <v>4420</v>
      </c>
      <c r="B4480" t="s">
        <v>6397</v>
      </c>
      <c r="D4480" t="s">
        <v>8037</v>
      </c>
      <c r="E4480" t="s">
        <v>9726</v>
      </c>
      <c r="F4480" t="s">
        <v>10299</v>
      </c>
      <c r="G4480">
        <v>0.1</v>
      </c>
      <c r="H4480" t="s">
        <v>10310</v>
      </c>
      <c r="I4480" t="s">
        <v>10326</v>
      </c>
      <c r="L4480">
        <v>2010</v>
      </c>
      <c r="R4480" t="s">
        <v>11038</v>
      </c>
      <c r="S4480" t="s">
        <v>10310</v>
      </c>
      <c r="U4480" t="s">
        <v>11050</v>
      </c>
      <c r="W4480" s="2" t="s">
        <v>11204</v>
      </c>
    </row>
    <row r="4481" spans="1:23" hidden="1" x14ac:dyDescent="0.45">
      <c r="A4481" s="1" t="s">
        <v>4421</v>
      </c>
      <c r="B4481" t="s">
        <v>6319</v>
      </c>
      <c r="D4481" t="s">
        <v>8032</v>
      </c>
      <c r="E4481" t="s">
        <v>9660</v>
      </c>
      <c r="F4481" t="s">
        <v>10299</v>
      </c>
      <c r="G4481">
        <v>9.5</v>
      </c>
      <c r="H4481" t="s">
        <v>10310</v>
      </c>
      <c r="I4481" t="s">
        <v>10326</v>
      </c>
      <c r="L4481">
        <v>1951</v>
      </c>
      <c r="R4481" t="s">
        <v>11038</v>
      </c>
      <c r="S4481" t="s">
        <v>10310</v>
      </c>
      <c r="U4481" t="s">
        <v>11047</v>
      </c>
      <c r="W4481" s="2" t="s">
        <v>11204</v>
      </c>
    </row>
    <row r="4482" spans="1:23" hidden="1" x14ac:dyDescent="0.45">
      <c r="A4482" s="1" t="s">
        <v>4422</v>
      </c>
      <c r="B4482" t="s">
        <v>6893</v>
      </c>
      <c r="D4482" t="s">
        <v>8025</v>
      </c>
      <c r="E4482" t="s">
        <v>9749</v>
      </c>
      <c r="F4482" t="s">
        <v>10299</v>
      </c>
      <c r="G4482">
        <v>0.55000000000000004</v>
      </c>
      <c r="H4482" t="s">
        <v>10310</v>
      </c>
      <c r="I4482" t="s">
        <v>10326</v>
      </c>
      <c r="L4482">
        <v>2009</v>
      </c>
      <c r="R4482" t="s">
        <v>11038</v>
      </c>
      <c r="S4482" t="s">
        <v>10310</v>
      </c>
      <c r="U4482" t="s">
        <v>11046</v>
      </c>
      <c r="W4482" s="2" t="s">
        <v>11204</v>
      </c>
    </row>
    <row r="4483" spans="1:23" hidden="1" x14ac:dyDescent="0.45">
      <c r="A4483" s="1" t="s">
        <v>4423</v>
      </c>
      <c r="B4483" t="s">
        <v>6341</v>
      </c>
      <c r="D4483" t="s">
        <v>8039</v>
      </c>
      <c r="E4483" t="s">
        <v>9631</v>
      </c>
      <c r="F4483" t="s">
        <v>10299</v>
      </c>
      <c r="G4483">
        <v>1.1499999999999999</v>
      </c>
      <c r="H4483" t="s">
        <v>10310</v>
      </c>
      <c r="I4483" t="s">
        <v>10326</v>
      </c>
      <c r="L4483">
        <v>2008</v>
      </c>
      <c r="R4483" t="s">
        <v>11038</v>
      </c>
      <c r="S4483" t="s">
        <v>10310</v>
      </c>
      <c r="U4483" t="s">
        <v>11049</v>
      </c>
      <c r="W4483" s="2" t="s">
        <v>11204</v>
      </c>
    </row>
    <row r="4484" spans="1:23" hidden="1" x14ac:dyDescent="0.45">
      <c r="A4484" s="1" t="s">
        <v>4423</v>
      </c>
      <c r="B4484" t="s">
        <v>6281</v>
      </c>
      <c r="D4484" t="s">
        <v>8032</v>
      </c>
      <c r="E4484" t="s">
        <v>9660</v>
      </c>
      <c r="F4484" t="s">
        <v>10299</v>
      </c>
      <c r="G4484">
        <v>2.7</v>
      </c>
      <c r="H4484" t="s">
        <v>10310</v>
      </c>
      <c r="I4484" t="s">
        <v>10326</v>
      </c>
      <c r="L4484">
        <v>2017</v>
      </c>
      <c r="R4484" t="s">
        <v>11038</v>
      </c>
      <c r="S4484" t="s">
        <v>10310</v>
      </c>
      <c r="U4484" t="s">
        <v>11047</v>
      </c>
      <c r="W4484" s="2" t="s">
        <v>11204</v>
      </c>
    </row>
    <row r="4485" spans="1:23" hidden="1" x14ac:dyDescent="0.45">
      <c r="A4485" s="1" t="s">
        <v>4424</v>
      </c>
      <c r="B4485" t="s">
        <v>6595</v>
      </c>
      <c r="D4485" t="s">
        <v>8089</v>
      </c>
      <c r="E4485" t="s">
        <v>9843</v>
      </c>
      <c r="F4485" t="s">
        <v>10299</v>
      </c>
      <c r="G4485">
        <v>75</v>
      </c>
      <c r="H4485" t="s">
        <v>10310</v>
      </c>
      <c r="I4485" t="s">
        <v>10326</v>
      </c>
      <c r="L4485">
        <v>1983</v>
      </c>
      <c r="R4485" t="s">
        <v>11038</v>
      </c>
      <c r="S4485" t="s">
        <v>10310</v>
      </c>
      <c r="U4485" t="s">
        <v>11048</v>
      </c>
      <c r="W4485" s="2" t="s">
        <v>11204</v>
      </c>
    </row>
    <row r="4486" spans="1:23" hidden="1" x14ac:dyDescent="0.45">
      <c r="A4486" s="1" t="s">
        <v>4425</v>
      </c>
      <c r="B4486" t="s">
        <v>6595</v>
      </c>
      <c r="D4486" t="s">
        <v>8089</v>
      </c>
      <c r="E4486" t="s">
        <v>9843</v>
      </c>
      <c r="F4486" t="s">
        <v>10299</v>
      </c>
      <c r="G4486">
        <v>4</v>
      </c>
      <c r="H4486" t="s">
        <v>10310</v>
      </c>
      <c r="I4486" t="s">
        <v>10326</v>
      </c>
      <c r="L4486">
        <v>1983</v>
      </c>
      <c r="R4486" t="s">
        <v>11038</v>
      </c>
      <c r="S4486" t="s">
        <v>10310</v>
      </c>
      <c r="U4486" t="s">
        <v>11048</v>
      </c>
      <c r="W4486" s="2" t="s">
        <v>11204</v>
      </c>
    </row>
    <row r="4487" spans="1:23" hidden="1" x14ac:dyDescent="0.45">
      <c r="A4487" s="1" t="s">
        <v>4426</v>
      </c>
      <c r="B4487" t="s">
        <v>6307</v>
      </c>
      <c r="D4487" t="s">
        <v>8031</v>
      </c>
      <c r="E4487" t="s">
        <v>9837</v>
      </c>
      <c r="F4487" t="s">
        <v>10299</v>
      </c>
      <c r="G4487">
        <v>0.7</v>
      </c>
      <c r="H4487" t="s">
        <v>10310</v>
      </c>
      <c r="I4487" t="s">
        <v>10326</v>
      </c>
      <c r="L4487">
        <v>1988</v>
      </c>
      <c r="R4487" t="s">
        <v>11038</v>
      </c>
      <c r="S4487" t="s">
        <v>10310</v>
      </c>
      <c r="U4487" t="s">
        <v>11048</v>
      </c>
      <c r="W4487" s="2" t="s">
        <v>11204</v>
      </c>
    </row>
    <row r="4488" spans="1:23" hidden="1" x14ac:dyDescent="0.45">
      <c r="A4488" s="1" t="s">
        <v>4427</v>
      </c>
      <c r="B4488" t="s">
        <v>6445</v>
      </c>
      <c r="D4488" t="s">
        <v>7777</v>
      </c>
      <c r="E4488" t="s">
        <v>9842</v>
      </c>
      <c r="F4488" t="s">
        <v>10299</v>
      </c>
      <c r="G4488">
        <v>1.1000000000000001</v>
      </c>
      <c r="H4488" t="s">
        <v>10310</v>
      </c>
      <c r="I4488" t="s">
        <v>10326</v>
      </c>
      <c r="L4488">
        <v>1985</v>
      </c>
      <c r="R4488" t="s">
        <v>11038</v>
      </c>
      <c r="S4488" t="s">
        <v>10310</v>
      </c>
      <c r="U4488" t="s">
        <v>11048</v>
      </c>
      <c r="W4488" s="2" t="s">
        <v>11204</v>
      </c>
    </row>
    <row r="4489" spans="1:23" hidden="1" x14ac:dyDescent="0.45">
      <c r="A4489" s="1" t="s">
        <v>4428</v>
      </c>
      <c r="D4489" t="s">
        <v>8031</v>
      </c>
      <c r="E4489" t="s">
        <v>4081</v>
      </c>
      <c r="F4489" t="s">
        <v>10299</v>
      </c>
      <c r="G4489">
        <v>7.4999999999999997E-3</v>
      </c>
      <c r="H4489" t="s">
        <v>10310</v>
      </c>
      <c r="I4489" t="s">
        <v>10326</v>
      </c>
      <c r="L4489">
        <v>2003</v>
      </c>
      <c r="R4489" t="s">
        <v>11038</v>
      </c>
      <c r="S4489" t="s">
        <v>10310</v>
      </c>
      <c r="U4489" t="s">
        <v>11047</v>
      </c>
      <c r="W4489" s="2" t="s">
        <v>11204</v>
      </c>
    </row>
    <row r="4490" spans="1:23" hidden="1" x14ac:dyDescent="0.45">
      <c r="A4490" s="1" t="s">
        <v>4429</v>
      </c>
      <c r="D4490" t="s">
        <v>8063</v>
      </c>
      <c r="E4490" t="s">
        <v>9668</v>
      </c>
      <c r="F4490" t="s">
        <v>10299</v>
      </c>
      <c r="G4490">
        <v>3.5000000000000003E-2</v>
      </c>
      <c r="H4490" t="s">
        <v>10310</v>
      </c>
      <c r="I4490" t="s">
        <v>10326</v>
      </c>
      <c r="L4490">
        <v>2000</v>
      </c>
      <c r="R4490" t="s">
        <v>11038</v>
      </c>
      <c r="S4490" t="s">
        <v>10310</v>
      </c>
      <c r="U4490" t="s">
        <v>11046</v>
      </c>
      <c r="W4490" s="2" t="s">
        <v>11204</v>
      </c>
    </row>
    <row r="4491" spans="1:23" hidden="1" x14ac:dyDescent="0.45">
      <c r="A4491" s="1" t="s">
        <v>4430</v>
      </c>
      <c r="B4491" t="s">
        <v>6894</v>
      </c>
      <c r="D4491" t="s">
        <v>8031</v>
      </c>
      <c r="E4491" t="s">
        <v>9793</v>
      </c>
      <c r="F4491" t="s">
        <v>10299</v>
      </c>
      <c r="G4491">
        <v>7.7</v>
      </c>
      <c r="H4491" t="s">
        <v>10310</v>
      </c>
      <c r="I4491" t="s">
        <v>10326</v>
      </c>
      <c r="L4491">
        <v>2019</v>
      </c>
      <c r="R4491" t="s">
        <v>11038</v>
      </c>
      <c r="S4491" t="s">
        <v>10310</v>
      </c>
      <c r="U4491" t="s">
        <v>11046</v>
      </c>
      <c r="W4491" s="2" t="s">
        <v>11204</v>
      </c>
    </row>
    <row r="4492" spans="1:23" hidden="1" x14ac:dyDescent="0.45">
      <c r="A4492" s="1" t="s">
        <v>4431</v>
      </c>
      <c r="D4492" t="s">
        <v>8038</v>
      </c>
      <c r="E4492" t="s">
        <v>9858</v>
      </c>
      <c r="F4492" t="s">
        <v>10299</v>
      </c>
      <c r="G4492">
        <v>0.09</v>
      </c>
      <c r="H4492" t="s">
        <v>10310</v>
      </c>
      <c r="I4492" t="s">
        <v>10326</v>
      </c>
      <c r="L4492">
        <v>2005</v>
      </c>
      <c r="R4492" t="s">
        <v>11038</v>
      </c>
      <c r="S4492" t="s">
        <v>10310</v>
      </c>
      <c r="U4492" t="s">
        <v>11047</v>
      </c>
      <c r="W4492" s="2" t="s">
        <v>11204</v>
      </c>
    </row>
    <row r="4493" spans="1:23" hidden="1" x14ac:dyDescent="0.45">
      <c r="A4493" s="1" t="s">
        <v>4432</v>
      </c>
      <c r="B4493" t="s">
        <v>6434</v>
      </c>
      <c r="D4493" t="s">
        <v>8048</v>
      </c>
      <c r="E4493" t="s">
        <v>9762</v>
      </c>
      <c r="F4493" t="s">
        <v>10299</v>
      </c>
      <c r="G4493">
        <v>189</v>
      </c>
      <c r="H4493" t="s">
        <v>10310</v>
      </c>
      <c r="I4493" t="s">
        <v>10326</v>
      </c>
      <c r="L4493">
        <v>1915</v>
      </c>
      <c r="R4493" t="s">
        <v>11038</v>
      </c>
      <c r="S4493" t="s">
        <v>10310</v>
      </c>
      <c r="U4493" t="s">
        <v>11046</v>
      </c>
      <c r="W4493" s="2" t="s">
        <v>11204</v>
      </c>
    </row>
    <row r="4494" spans="1:23" hidden="1" x14ac:dyDescent="0.45">
      <c r="A4494" s="1" t="s">
        <v>4433</v>
      </c>
      <c r="B4494" t="s">
        <v>6399</v>
      </c>
      <c r="D4494" t="s">
        <v>8079</v>
      </c>
      <c r="E4494" t="s">
        <v>9728</v>
      </c>
      <c r="F4494" t="s">
        <v>10299</v>
      </c>
      <c r="G4494">
        <v>25</v>
      </c>
      <c r="H4494" t="s">
        <v>10310</v>
      </c>
      <c r="I4494" t="s">
        <v>10326</v>
      </c>
      <c r="L4494">
        <v>1923</v>
      </c>
      <c r="R4494" t="s">
        <v>11038</v>
      </c>
      <c r="S4494" t="s">
        <v>10310</v>
      </c>
      <c r="U4494" t="s">
        <v>11047</v>
      </c>
      <c r="W4494" s="2" t="s">
        <v>11204</v>
      </c>
    </row>
    <row r="4495" spans="1:23" hidden="1" x14ac:dyDescent="0.45">
      <c r="A4495" s="1" t="s">
        <v>4434</v>
      </c>
      <c r="B4495" t="s">
        <v>6399</v>
      </c>
      <c r="D4495" t="s">
        <v>8079</v>
      </c>
      <c r="E4495" t="s">
        <v>9728</v>
      </c>
      <c r="F4495" t="s">
        <v>10299</v>
      </c>
      <c r="G4495">
        <v>29.5</v>
      </c>
      <c r="H4495" t="s">
        <v>10310</v>
      </c>
      <c r="I4495" t="s">
        <v>10326</v>
      </c>
      <c r="L4495">
        <v>1952</v>
      </c>
      <c r="R4495" t="s">
        <v>11038</v>
      </c>
      <c r="S4495" t="s">
        <v>10310</v>
      </c>
      <c r="U4495" t="s">
        <v>11047</v>
      </c>
      <c r="W4495" s="2" t="s">
        <v>11204</v>
      </c>
    </row>
    <row r="4496" spans="1:23" hidden="1" x14ac:dyDescent="0.45">
      <c r="A4496" s="1" t="s">
        <v>4435</v>
      </c>
      <c r="B4496" t="s">
        <v>6399</v>
      </c>
      <c r="D4496" t="s">
        <v>8079</v>
      </c>
      <c r="E4496" t="s">
        <v>9728</v>
      </c>
      <c r="F4496" t="s">
        <v>10299</v>
      </c>
      <c r="G4496">
        <v>22</v>
      </c>
      <c r="H4496" t="s">
        <v>10310</v>
      </c>
      <c r="I4496" t="s">
        <v>10326</v>
      </c>
      <c r="L4496">
        <v>1958</v>
      </c>
      <c r="R4496" t="s">
        <v>11038</v>
      </c>
      <c r="S4496" t="s">
        <v>10310</v>
      </c>
      <c r="U4496" t="s">
        <v>11047</v>
      </c>
      <c r="W4496" s="2" t="s">
        <v>11204</v>
      </c>
    </row>
    <row r="4497" spans="1:23" hidden="1" x14ac:dyDescent="0.45">
      <c r="A4497" s="1" t="s">
        <v>4436</v>
      </c>
      <c r="B4497" t="s">
        <v>6399</v>
      </c>
      <c r="D4497" t="s">
        <v>8079</v>
      </c>
      <c r="E4497" t="s">
        <v>9728</v>
      </c>
      <c r="F4497" t="s">
        <v>10299</v>
      </c>
      <c r="G4497">
        <v>110</v>
      </c>
      <c r="H4497" t="s">
        <v>10310</v>
      </c>
      <c r="I4497" t="s">
        <v>10326</v>
      </c>
      <c r="L4497">
        <v>1968</v>
      </c>
      <c r="R4497" t="s">
        <v>11038</v>
      </c>
      <c r="S4497" t="s">
        <v>10310</v>
      </c>
      <c r="U4497" t="s">
        <v>11047</v>
      </c>
      <c r="W4497" s="2" t="s">
        <v>11204</v>
      </c>
    </row>
    <row r="4498" spans="1:23" hidden="1" x14ac:dyDescent="0.45">
      <c r="A4498" s="1" t="s">
        <v>4437</v>
      </c>
      <c r="B4498" t="s">
        <v>6399</v>
      </c>
      <c r="D4498" t="s">
        <v>8079</v>
      </c>
      <c r="E4498" t="s">
        <v>9728</v>
      </c>
      <c r="F4498" t="s">
        <v>10299</v>
      </c>
      <c r="G4498">
        <v>82.7</v>
      </c>
      <c r="H4498" t="s">
        <v>10310</v>
      </c>
      <c r="I4498" t="s">
        <v>10326</v>
      </c>
      <c r="L4498">
        <v>1982</v>
      </c>
      <c r="R4498" t="s">
        <v>11038</v>
      </c>
      <c r="S4498" t="s">
        <v>10310</v>
      </c>
      <c r="U4498" t="s">
        <v>11047</v>
      </c>
      <c r="W4498" s="2" t="s">
        <v>11204</v>
      </c>
    </row>
    <row r="4499" spans="1:23" hidden="1" x14ac:dyDescent="0.45">
      <c r="A4499" s="1" t="s">
        <v>4438</v>
      </c>
      <c r="B4499" t="s">
        <v>6399</v>
      </c>
      <c r="D4499" t="s">
        <v>8079</v>
      </c>
      <c r="E4499" t="s">
        <v>9728</v>
      </c>
      <c r="F4499" t="s">
        <v>10299</v>
      </c>
      <c r="G4499">
        <v>1.8</v>
      </c>
      <c r="H4499" t="s">
        <v>10310</v>
      </c>
      <c r="I4499" t="s">
        <v>10326</v>
      </c>
      <c r="L4499">
        <v>1994</v>
      </c>
      <c r="R4499" t="s">
        <v>11038</v>
      </c>
      <c r="S4499" t="s">
        <v>10310</v>
      </c>
      <c r="U4499" t="s">
        <v>11047</v>
      </c>
      <c r="W4499" s="2" t="s">
        <v>11204</v>
      </c>
    </row>
    <row r="4500" spans="1:23" hidden="1" x14ac:dyDescent="0.45">
      <c r="A4500" s="1" t="s">
        <v>4439</v>
      </c>
      <c r="B4500" t="s">
        <v>6399</v>
      </c>
      <c r="D4500" t="s">
        <v>8079</v>
      </c>
      <c r="E4500" t="s">
        <v>9728</v>
      </c>
      <c r="F4500" t="s">
        <v>10299</v>
      </c>
      <c r="G4500">
        <v>1.1000000000000001</v>
      </c>
      <c r="H4500" t="s">
        <v>10310</v>
      </c>
      <c r="I4500" t="s">
        <v>10326</v>
      </c>
      <c r="L4500">
        <v>2006</v>
      </c>
      <c r="R4500" t="s">
        <v>11038</v>
      </c>
      <c r="S4500" t="s">
        <v>10310</v>
      </c>
      <c r="U4500" t="s">
        <v>11047</v>
      </c>
      <c r="W4500" s="2" t="s">
        <v>11204</v>
      </c>
    </row>
    <row r="4501" spans="1:23" hidden="1" x14ac:dyDescent="0.45">
      <c r="A4501" s="1" t="s">
        <v>4440</v>
      </c>
      <c r="B4501" t="s">
        <v>6399</v>
      </c>
      <c r="D4501" t="s">
        <v>8079</v>
      </c>
      <c r="E4501" t="s">
        <v>9728</v>
      </c>
      <c r="F4501" t="s">
        <v>10299</v>
      </c>
      <c r="G4501">
        <v>2.15</v>
      </c>
      <c r="H4501" t="s">
        <v>10310</v>
      </c>
      <c r="I4501" t="s">
        <v>10326</v>
      </c>
      <c r="L4501">
        <v>2006</v>
      </c>
      <c r="R4501" t="s">
        <v>11038</v>
      </c>
      <c r="S4501" t="s">
        <v>10310</v>
      </c>
      <c r="U4501" t="s">
        <v>11047</v>
      </c>
      <c r="W4501" s="2" t="s">
        <v>11204</v>
      </c>
    </row>
    <row r="4502" spans="1:23" hidden="1" x14ac:dyDescent="0.45">
      <c r="A4502" s="1" t="s">
        <v>4441</v>
      </c>
      <c r="B4502" t="s">
        <v>6399</v>
      </c>
      <c r="D4502" t="s">
        <v>8079</v>
      </c>
      <c r="E4502" t="s">
        <v>9728</v>
      </c>
      <c r="F4502" t="s">
        <v>10299</v>
      </c>
      <c r="G4502">
        <v>2.8</v>
      </c>
      <c r="H4502" t="s">
        <v>10310</v>
      </c>
      <c r="I4502" t="s">
        <v>10326</v>
      </c>
      <c r="L4502">
        <v>2013</v>
      </c>
      <c r="R4502" t="s">
        <v>11038</v>
      </c>
      <c r="S4502" t="s">
        <v>10310</v>
      </c>
      <c r="U4502" t="s">
        <v>11047</v>
      </c>
      <c r="W4502" s="2" t="s">
        <v>11204</v>
      </c>
    </row>
    <row r="4503" spans="1:23" hidden="1" x14ac:dyDescent="0.45">
      <c r="A4503" s="1" t="s">
        <v>4442</v>
      </c>
      <c r="B4503" t="s">
        <v>6281</v>
      </c>
      <c r="D4503" t="s">
        <v>8044</v>
      </c>
      <c r="E4503" t="s">
        <v>9791</v>
      </c>
      <c r="F4503" t="s">
        <v>10299</v>
      </c>
      <c r="G4503">
        <v>0.99</v>
      </c>
      <c r="H4503" t="s">
        <v>10310</v>
      </c>
      <c r="I4503" t="s">
        <v>10326</v>
      </c>
      <c r="L4503">
        <v>2000</v>
      </c>
      <c r="R4503" t="s">
        <v>11038</v>
      </c>
      <c r="S4503" t="s">
        <v>10310</v>
      </c>
      <c r="U4503" t="s">
        <v>11049</v>
      </c>
      <c r="W4503" s="2" t="s">
        <v>11204</v>
      </c>
    </row>
    <row r="4504" spans="1:23" hidden="1" x14ac:dyDescent="0.45">
      <c r="A4504" s="1" t="s">
        <v>4443</v>
      </c>
      <c r="B4504" t="s">
        <v>6895</v>
      </c>
      <c r="D4504" t="s">
        <v>8067</v>
      </c>
      <c r="E4504" t="s">
        <v>9739</v>
      </c>
      <c r="F4504" t="s">
        <v>10299</v>
      </c>
      <c r="G4504">
        <v>0.09</v>
      </c>
      <c r="H4504" t="s">
        <v>10310</v>
      </c>
      <c r="I4504" t="s">
        <v>10326</v>
      </c>
      <c r="L4504">
        <v>2005</v>
      </c>
      <c r="R4504" t="s">
        <v>11038</v>
      </c>
      <c r="S4504" t="s">
        <v>10310</v>
      </c>
      <c r="U4504" t="s">
        <v>11048</v>
      </c>
      <c r="W4504" s="2" t="s">
        <v>11204</v>
      </c>
    </row>
    <row r="4505" spans="1:23" hidden="1" x14ac:dyDescent="0.45">
      <c r="A4505" s="1" t="s">
        <v>4444</v>
      </c>
      <c r="B4505" t="s">
        <v>6595</v>
      </c>
      <c r="D4505" t="s">
        <v>8041</v>
      </c>
      <c r="E4505" t="s">
        <v>9633</v>
      </c>
      <c r="F4505" t="s">
        <v>10299</v>
      </c>
      <c r="G4505">
        <v>1.5</v>
      </c>
      <c r="H4505" t="s">
        <v>10310</v>
      </c>
      <c r="I4505" t="s">
        <v>10326</v>
      </c>
      <c r="L4505">
        <v>1986</v>
      </c>
      <c r="R4505" t="s">
        <v>11038</v>
      </c>
      <c r="S4505" t="s">
        <v>10310</v>
      </c>
      <c r="U4505" t="s">
        <v>11048</v>
      </c>
      <c r="W4505" s="2" t="s">
        <v>11204</v>
      </c>
    </row>
    <row r="4506" spans="1:23" hidden="1" x14ac:dyDescent="0.45">
      <c r="A4506" s="1" t="s">
        <v>4445</v>
      </c>
      <c r="B4506" t="s">
        <v>6896</v>
      </c>
      <c r="D4506" t="s">
        <v>8071</v>
      </c>
      <c r="E4506" t="s">
        <v>9689</v>
      </c>
      <c r="F4506" t="s">
        <v>10299</v>
      </c>
      <c r="G4506">
        <v>0.89</v>
      </c>
      <c r="H4506" t="s">
        <v>10310</v>
      </c>
      <c r="I4506" t="s">
        <v>10326</v>
      </c>
      <c r="L4506">
        <v>2009</v>
      </c>
      <c r="R4506" t="s">
        <v>11038</v>
      </c>
      <c r="S4506" t="s">
        <v>10310</v>
      </c>
      <c r="U4506" t="s">
        <v>11047</v>
      </c>
      <c r="W4506" s="2" t="s">
        <v>11204</v>
      </c>
    </row>
    <row r="4507" spans="1:23" hidden="1" x14ac:dyDescent="0.45">
      <c r="A4507" s="1" t="s">
        <v>4446</v>
      </c>
      <c r="B4507" t="s">
        <v>6897</v>
      </c>
      <c r="D4507" t="s">
        <v>8038</v>
      </c>
      <c r="E4507" t="s">
        <v>9858</v>
      </c>
      <c r="F4507" t="s">
        <v>10299</v>
      </c>
      <c r="G4507">
        <v>2.5</v>
      </c>
      <c r="H4507" t="s">
        <v>10310</v>
      </c>
      <c r="I4507" t="s">
        <v>10326</v>
      </c>
      <c r="L4507">
        <v>1943</v>
      </c>
      <c r="R4507" t="s">
        <v>11038</v>
      </c>
      <c r="S4507" t="s">
        <v>10310</v>
      </c>
      <c r="U4507" t="s">
        <v>11047</v>
      </c>
      <c r="W4507" s="2" t="s">
        <v>11204</v>
      </c>
    </row>
    <row r="4508" spans="1:23" hidden="1" x14ac:dyDescent="0.45">
      <c r="A4508" s="1" t="s">
        <v>4447</v>
      </c>
      <c r="D4508" t="s">
        <v>8060</v>
      </c>
      <c r="E4508" t="s">
        <v>9664</v>
      </c>
      <c r="F4508" t="s">
        <v>10299</v>
      </c>
      <c r="G4508">
        <v>2.1999999999999999E-2</v>
      </c>
      <c r="H4508" t="s">
        <v>10310</v>
      </c>
      <c r="I4508" t="s">
        <v>10326</v>
      </c>
      <c r="L4508">
        <v>1995</v>
      </c>
      <c r="R4508" t="s">
        <v>11038</v>
      </c>
      <c r="S4508" t="s">
        <v>10310</v>
      </c>
      <c r="U4508" t="s">
        <v>11046</v>
      </c>
      <c r="W4508" s="2" t="s">
        <v>11204</v>
      </c>
    </row>
    <row r="4509" spans="1:23" hidden="1" x14ac:dyDescent="0.45">
      <c r="A4509" s="1" t="s">
        <v>4448</v>
      </c>
      <c r="B4509" t="s">
        <v>6319</v>
      </c>
      <c r="D4509" t="s">
        <v>8032</v>
      </c>
      <c r="E4509" t="s">
        <v>9660</v>
      </c>
      <c r="F4509" t="s">
        <v>10299</v>
      </c>
      <c r="G4509">
        <v>3.4</v>
      </c>
      <c r="H4509" t="s">
        <v>10310</v>
      </c>
      <c r="I4509" t="s">
        <v>10326</v>
      </c>
      <c r="L4509">
        <v>2018</v>
      </c>
      <c r="R4509" t="s">
        <v>11038</v>
      </c>
      <c r="S4509" t="s">
        <v>10310</v>
      </c>
      <c r="U4509" t="s">
        <v>11047</v>
      </c>
      <c r="W4509" s="2" t="s">
        <v>11204</v>
      </c>
    </row>
    <row r="4510" spans="1:23" hidden="1" x14ac:dyDescent="0.45">
      <c r="A4510" s="1" t="s">
        <v>4449</v>
      </c>
      <c r="B4510" t="s">
        <v>6541</v>
      </c>
      <c r="D4510" t="s">
        <v>8087</v>
      </c>
      <c r="E4510" t="s">
        <v>9815</v>
      </c>
      <c r="F4510" t="s">
        <v>10299</v>
      </c>
      <c r="G4510">
        <v>1.5</v>
      </c>
      <c r="H4510" t="s">
        <v>10310</v>
      </c>
      <c r="I4510" t="s">
        <v>10326</v>
      </c>
      <c r="L4510">
        <v>1937</v>
      </c>
      <c r="R4510" t="s">
        <v>11038</v>
      </c>
      <c r="S4510" t="s">
        <v>10310</v>
      </c>
      <c r="U4510" t="s">
        <v>11048</v>
      </c>
      <c r="W4510" s="2" t="s">
        <v>11204</v>
      </c>
    </row>
    <row r="4511" spans="1:23" hidden="1" x14ac:dyDescent="0.45">
      <c r="A4511" s="1" t="s">
        <v>4450</v>
      </c>
      <c r="B4511" t="s">
        <v>6898</v>
      </c>
      <c r="D4511" t="s">
        <v>8030</v>
      </c>
      <c r="E4511" t="s">
        <v>9623</v>
      </c>
      <c r="F4511" t="s">
        <v>10299</v>
      </c>
      <c r="G4511">
        <v>0.99</v>
      </c>
      <c r="H4511" t="s">
        <v>10310</v>
      </c>
      <c r="I4511" t="s">
        <v>10326</v>
      </c>
      <c r="L4511">
        <v>2018</v>
      </c>
      <c r="R4511" t="s">
        <v>11038</v>
      </c>
      <c r="S4511" t="s">
        <v>10310</v>
      </c>
      <c r="U4511" t="s">
        <v>11049</v>
      </c>
      <c r="W4511" s="2" t="s">
        <v>11204</v>
      </c>
    </row>
    <row r="4512" spans="1:23" hidden="1" x14ac:dyDescent="0.45">
      <c r="A4512" s="1" t="s">
        <v>4451</v>
      </c>
      <c r="B4512" t="s">
        <v>6899</v>
      </c>
      <c r="D4512" t="s">
        <v>8032</v>
      </c>
      <c r="E4512" t="s">
        <v>9660</v>
      </c>
      <c r="F4512" t="s">
        <v>10299</v>
      </c>
      <c r="G4512">
        <v>0.22</v>
      </c>
      <c r="H4512" t="s">
        <v>10310</v>
      </c>
      <c r="I4512" t="s">
        <v>10326</v>
      </c>
      <c r="L4512">
        <v>2011</v>
      </c>
      <c r="R4512" t="s">
        <v>11038</v>
      </c>
      <c r="S4512" t="s">
        <v>10310</v>
      </c>
      <c r="U4512" t="s">
        <v>11047</v>
      </c>
      <c r="W4512" s="2" t="s">
        <v>11204</v>
      </c>
    </row>
    <row r="4513" spans="1:23" hidden="1" x14ac:dyDescent="0.45">
      <c r="A4513" s="1" t="s">
        <v>4452</v>
      </c>
      <c r="B4513" t="s">
        <v>6289</v>
      </c>
      <c r="D4513" t="s">
        <v>8061</v>
      </c>
      <c r="E4513" t="s">
        <v>3933</v>
      </c>
      <c r="F4513" t="s">
        <v>10299</v>
      </c>
      <c r="G4513">
        <v>49.6</v>
      </c>
      <c r="H4513" t="s">
        <v>10310</v>
      </c>
      <c r="I4513" t="s">
        <v>10324</v>
      </c>
      <c r="L4513">
        <v>1994</v>
      </c>
      <c r="R4513" t="s">
        <v>11038</v>
      </c>
      <c r="S4513" t="s">
        <v>10310</v>
      </c>
      <c r="U4513" t="s">
        <v>11047</v>
      </c>
      <c r="W4513" s="2" t="s">
        <v>11204</v>
      </c>
    </row>
    <row r="4514" spans="1:23" hidden="1" x14ac:dyDescent="0.45">
      <c r="A4514" s="1" t="s">
        <v>4453</v>
      </c>
      <c r="B4514" t="s">
        <v>6900</v>
      </c>
      <c r="D4514" t="s">
        <v>8053</v>
      </c>
      <c r="E4514" t="s">
        <v>9652</v>
      </c>
      <c r="F4514" t="s">
        <v>10299</v>
      </c>
      <c r="G4514">
        <v>7.4999999999999997E-2</v>
      </c>
      <c r="H4514" t="s">
        <v>10310</v>
      </c>
      <c r="I4514" t="s">
        <v>10326</v>
      </c>
      <c r="L4514">
        <v>2011</v>
      </c>
      <c r="R4514" t="s">
        <v>11038</v>
      </c>
      <c r="S4514" t="s">
        <v>10310</v>
      </c>
      <c r="U4514" t="s">
        <v>11049</v>
      </c>
      <c r="W4514" s="2" t="s">
        <v>11204</v>
      </c>
    </row>
    <row r="4515" spans="1:23" hidden="1" x14ac:dyDescent="0.45">
      <c r="A4515" s="1" t="s">
        <v>4454</v>
      </c>
      <c r="B4515" t="s">
        <v>6546</v>
      </c>
      <c r="D4515" t="s">
        <v>8071</v>
      </c>
      <c r="E4515" t="s">
        <v>9689</v>
      </c>
      <c r="F4515" t="s">
        <v>10299</v>
      </c>
      <c r="G4515">
        <v>2.9</v>
      </c>
      <c r="H4515" t="s">
        <v>10310</v>
      </c>
      <c r="I4515" t="s">
        <v>10326</v>
      </c>
      <c r="L4515">
        <v>2018</v>
      </c>
      <c r="R4515" t="s">
        <v>11038</v>
      </c>
      <c r="S4515" t="s">
        <v>10310</v>
      </c>
      <c r="U4515" t="s">
        <v>11047</v>
      </c>
      <c r="W4515" s="2" t="s">
        <v>11204</v>
      </c>
    </row>
    <row r="4516" spans="1:23" hidden="1" x14ac:dyDescent="0.45">
      <c r="A4516" s="1" t="s">
        <v>4455</v>
      </c>
      <c r="B4516" t="s">
        <v>6642</v>
      </c>
      <c r="D4516" t="s">
        <v>8078</v>
      </c>
      <c r="E4516" t="s">
        <v>9751</v>
      </c>
      <c r="F4516" t="s">
        <v>10299</v>
      </c>
      <c r="G4516">
        <v>41</v>
      </c>
      <c r="H4516" t="s">
        <v>10310</v>
      </c>
      <c r="I4516" t="s">
        <v>10326</v>
      </c>
      <c r="L4516">
        <v>1955</v>
      </c>
      <c r="R4516" t="s">
        <v>11038</v>
      </c>
      <c r="S4516" t="s">
        <v>10310</v>
      </c>
      <c r="U4516" t="s">
        <v>11046</v>
      </c>
      <c r="W4516" s="2" t="s">
        <v>11204</v>
      </c>
    </row>
    <row r="4517" spans="1:23" hidden="1" x14ac:dyDescent="0.45">
      <c r="A4517" s="1" t="s">
        <v>4456</v>
      </c>
      <c r="B4517" t="s">
        <v>6642</v>
      </c>
      <c r="D4517" t="s">
        <v>8078</v>
      </c>
      <c r="E4517" t="s">
        <v>9751</v>
      </c>
      <c r="F4517" t="s">
        <v>10299</v>
      </c>
      <c r="G4517">
        <v>3.5</v>
      </c>
      <c r="H4517" t="s">
        <v>10310</v>
      </c>
      <c r="I4517" t="s">
        <v>10326</v>
      </c>
      <c r="L4517">
        <v>1912</v>
      </c>
      <c r="R4517" t="s">
        <v>11038</v>
      </c>
      <c r="S4517" t="s">
        <v>10310</v>
      </c>
      <c r="U4517" t="s">
        <v>11046</v>
      </c>
      <c r="W4517" s="2" t="s">
        <v>11204</v>
      </c>
    </row>
    <row r="4518" spans="1:23" hidden="1" x14ac:dyDescent="0.45">
      <c r="A4518" s="1" t="s">
        <v>4457</v>
      </c>
      <c r="B4518" t="s">
        <v>6901</v>
      </c>
      <c r="D4518" t="s">
        <v>8048</v>
      </c>
      <c r="E4518" t="s">
        <v>9762</v>
      </c>
      <c r="F4518" t="s">
        <v>10299</v>
      </c>
      <c r="G4518">
        <v>2.9</v>
      </c>
      <c r="H4518" t="s">
        <v>10310</v>
      </c>
      <c r="I4518" t="s">
        <v>10326</v>
      </c>
      <c r="L4518">
        <v>2008</v>
      </c>
      <c r="R4518" t="s">
        <v>11038</v>
      </c>
      <c r="S4518" t="s">
        <v>10310</v>
      </c>
      <c r="U4518" t="s">
        <v>11046</v>
      </c>
      <c r="W4518" s="2" t="s">
        <v>11204</v>
      </c>
    </row>
    <row r="4519" spans="1:23" hidden="1" x14ac:dyDescent="0.45">
      <c r="A4519" s="1" t="s">
        <v>4458</v>
      </c>
      <c r="B4519" t="s">
        <v>6902</v>
      </c>
      <c r="D4519" t="s">
        <v>8044</v>
      </c>
      <c r="E4519" t="s">
        <v>9705</v>
      </c>
      <c r="F4519" t="s">
        <v>10299</v>
      </c>
      <c r="G4519">
        <v>7.4999999999999997E-2</v>
      </c>
      <c r="H4519" t="s">
        <v>10310</v>
      </c>
      <c r="I4519" t="s">
        <v>10326</v>
      </c>
      <c r="L4519">
        <v>2009</v>
      </c>
      <c r="R4519" t="s">
        <v>11038</v>
      </c>
      <c r="S4519" t="s">
        <v>10310</v>
      </c>
      <c r="U4519" t="s">
        <v>11050</v>
      </c>
      <c r="W4519" s="2" t="s">
        <v>11204</v>
      </c>
    </row>
    <row r="4520" spans="1:23" hidden="1" x14ac:dyDescent="0.45">
      <c r="A4520" s="1" t="s">
        <v>4459</v>
      </c>
      <c r="B4520" t="s">
        <v>6294</v>
      </c>
      <c r="D4520" t="s">
        <v>8026</v>
      </c>
      <c r="E4520" t="s">
        <v>9741</v>
      </c>
      <c r="F4520" t="s">
        <v>10299</v>
      </c>
      <c r="G4520">
        <v>1.65</v>
      </c>
      <c r="H4520" t="s">
        <v>10310</v>
      </c>
      <c r="I4520" t="s">
        <v>10326</v>
      </c>
      <c r="L4520">
        <v>2014</v>
      </c>
      <c r="R4520" t="s">
        <v>11038</v>
      </c>
      <c r="S4520" t="s">
        <v>10310</v>
      </c>
      <c r="U4520" t="s">
        <v>11049</v>
      </c>
      <c r="W4520" s="2" t="s">
        <v>11204</v>
      </c>
    </row>
    <row r="4521" spans="1:23" hidden="1" x14ac:dyDescent="0.45">
      <c r="A4521" s="1" t="s">
        <v>4460</v>
      </c>
      <c r="B4521" t="s">
        <v>6836</v>
      </c>
      <c r="D4521" t="s">
        <v>8040</v>
      </c>
      <c r="E4521" t="s">
        <v>9694</v>
      </c>
      <c r="F4521" t="s">
        <v>10299</v>
      </c>
      <c r="G4521">
        <v>20</v>
      </c>
      <c r="H4521" t="s">
        <v>10310</v>
      </c>
      <c r="I4521" t="s">
        <v>10326</v>
      </c>
      <c r="L4521">
        <v>1955</v>
      </c>
      <c r="R4521" t="s">
        <v>11038</v>
      </c>
      <c r="S4521" t="s">
        <v>10310</v>
      </c>
      <c r="U4521" t="s">
        <v>11050</v>
      </c>
      <c r="W4521" s="2" t="s">
        <v>11204</v>
      </c>
    </row>
    <row r="4522" spans="1:23" hidden="1" x14ac:dyDescent="0.45">
      <c r="A4522" s="1" t="s">
        <v>4461</v>
      </c>
      <c r="B4522" t="s">
        <v>6346</v>
      </c>
      <c r="D4522" t="s">
        <v>8078</v>
      </c>
      <c r="E4522" t="s">
        <v>9725</v>
      </c>
      <c r="F4522" t="s">
        <v>10299</v>
      </c>
      <c r="G4522">
        <v>110</v>
      </c>
      <c r="H4522" t="s">
        <v>10310</v>
      </c>
      <c r="I4522" t="s">
        <v>10326</v>
      </c>
      <c r="L4522">
        <v>1984</v>
      </c>
      <c r="R4522" t="s">
        <v>11038</v>
      </c>
      <c r="S4522" t="s">
        <v>10310</v>
      </c>
      <c r="U4522" t="s">
        <v>11046</v>
      </c>
      <c r="W4522" s="2" t="s">
        <v>11204</v>
      </c>
    </row>
    <row r="4523" spans="1:23" hidden="1" x14ac:dyDescent="0.45">
      <c r="A4523" s="1" t="s">
        <v>4462</v>
      </c>
      <c r="B4523" t="s">
        <v>6346</v>
      </c>
      <c r="D4523" t="s">
        <v>8078</v>
      </c>
      <c r="E4523" t="s">
        <v>9725</v>
      </c>
      <c r="F4523" t="s">
        <v>10299</v>
      </c>
      <c r="G4523">
        <v>3.5</v>
      </c>
      <c r="H4523" t="s">
        <v>10310</v>
      </c>
      <c r="I4523" t="s">
        <v>10324</v>
      </c>
      <c r="L4523">
        <v>1985</v>
      </c>
      <c r="R4523" t="s">
        <v>11038</v>
      </c>
      <c r="S4523" t="s">
        <v>10310</v>
      </c>
      <c r="U4523" t="s">
        <v>11046</v>
      </c>
      <c r="V4523" t="s">
        <v>11182</v>
      </c>
      <c r="W4523" s="2" t="s">
        <v>11204</v>
      </c>
    </row>
    <row r="4524" spans="1:23" hidden="1" x14ac:dyDescent="0.45">
      <c r="A4524" s="1" t="s">
        <v>4463</v>
      </c>
      <c r="B4524" t="s">
        <v>6399</v>
      </c>
      <c r="D4524" t="s">
        <v>8079</v>
      </c>
      <c r="E4524" t="s">
        <v>9728</v>
      </c>
      <c r="F4524" t="s">
        <v>10299</v>
      </c>
      <c r="G4524">
        <v>0.2</v>
      </c>
      <c r="H4524" t="s">
        <v>10310</v>
      </c>
      <c r="I4524" t="s">
        <v>10324</v>
      </c>
      <c r="L4524">
        <v>1995</v>
      </c>
      <c r="R4524" t="s">
        <v>11038</v>
      </c>
      <c r="S4524" t="s">
        <v>10310</v>
      </c>
      <c r="U4524" t="s">
        <v>11047</v>
      </c>
      <c r="V4524" t="s">
        <v>11182</v>
      </c>
      <c r="W4524" s="2" t="s">
        <v>11204</v>
      </c>
    </row>
    <row r="4525" spans="1:23" hidden="1" x14ac:dyDescent="0.45">
      <c r="A4525" s="1" t="s">
        <v>4464</v>
      </c>
      <c r="B4525" t="s">
        <v>6311</v>
      </c>
      <c r="D4525" t="s">
        <v>8056</v>
      </c>
      <c r="E4525" t="s">
        <v>9657</v>
      </c>
      <c r="F4525" t="s">
        <v>10299</v>
      </c>
      <c r="G4525">
        <v>6</v>
      </c>
      <c r="H4525" t="s">
        <v>10310</v>
      </c>
      <c r="I4525" t="s">
        <v>10326</v>
      </c>
      <c r="L4525">
        <v>1966</v>
      </c>
      <c r="R4525" t="s">
        <v>11038</v>
      </c>
      <c r="S4525" t="s">
        <v>10310</v>
      </c>
      <c r="U4525" t="s">
        <v>11046</v>
      </c>
      <c r="W4525" s="2" t="s">
        <v>11204</v>
      </c>
    </row>
    <row r="4526" spans="1:23" hidden="1" x14ac:dyDescent="0.45">
      <c r="A4526" s="1" t="s">
        <v>4465</v>
      </c>
      <c r="B4526" t="s">
        <v>6395</v>
      </c>
      <c r="D4526" t="s">
        <v>8039</v>
      </c>
      <c r="E4526" t="s">
        <v>9695</v>
      </c>
      <c r="F4526" t="s">
        <v>10299</v>
      </c>
      <c r="G4526">
        <v>120</v>
      </c>
      <c r="H4526" t="s">
        <v>10310</v>
      </c>
      <c r="I4526" t="s">
        <v>10326</v>
      </c>
      <c r="L4526">
        <v>1973</v>
      </c>
      <c r="R4526" t="s">
        <v>11038</v>
      </c>
      <c r="S4526" t="s">
        <v>10310</v>
      </c>
      <c r="U4526" t="s">
        <v>11046</v>
      </c>
      <c r="W4526" s="2" t="s">
        <v>11204</v>
      </c>
    </row>
    <row r="4527" spans="1:23" hidden="1" x14ac:dyDescent="0.45">
      <c r="A4527" s="1" t="s">
        <v>4466</v>
      </c>
      <c r="B4527" t="s">
        <v>6903</v>
      </c>
      <c r="D4527" t="s">
        <v>8032</v>
      </c>
      <c r="E4527" t="s">
        <v>9809</v>
      </c>
      <c r="F4527" t="s">
        <v>10299</v>
      </c>
      <c r="G4527">
        <v>0.155</v>
      </c>
      <c r="H4527" t="s">
        <v>10310</v>
      </c>
      <c r="I4527" t="s">
        <v>10326</v>
      </c>
      <c r="L4527">
        <v>2011</v>
      </c>
      <c r="R4527" t="s">
        <v>11038</v>
      </c>
      <c r="S4527" t="s">
        <v>10310</v>
      </c>
      <c r="U4527" t="s">
        <v>11046</v>
      </c>
      <c r="W4527" s="2" t="s">
        <v>11204</v>
      </c>
    </row>
    <row r="4528" spans="1:23" hidden="1" x14ac:dyDescent="0.45">
      <c r="A4528" s="1" t="s">
        <v>4467</v>
      </c>
      <c r="B4528" t="s">
        <v>6903</v>
      </c>
      <c r="D4528" t="s">
        <v>8032</v>
      </c>
      <c r="E4528" t="s">
        <v>9809</v>
      </c>
      <c r="F4528" t="s">
        <v>10299</v>
      </c>
      <c r="G4528">
        <v>4.4999999999999998E-2</v>
      </c>
      <c r="H4528" t="s">
        <v>10310</v>
      </c>
      <c r="I4528" t="s">
        <v>10326</v>
      </c>
      <c r="L4528">
        <v>2011</v>
      </c>
      <c r="R4528" t="s">
        <v>11038</v>
      </c>
      <c r="S4528" t="s">
        <v>10310</v>
      </c>
      <c r="U4528" t="s">
        <v>11046</v>
      </c>
      <c r="W4528" s="2" t="s">
        <v>11204</v>
      </c>
    </row>
    <row r="4529" spans="1:23" hidden="1" x14ac:dyDescent="0.45">
      <c r="A4529" s="1" t="s">
        <v>4468</v>
      </c>
      <c r="B4529" t="s">
        <v>6904</v>
      </c>
      <c r="D4529" t="s">
        <v>8061</v>
      </c>
      <c r="E4529" t="s">
        <v>9665</v>
      </c>
      <c r="F4529" t="s">
        <v>10299</v>
      </c>
      <c r="G4529">
        <v>4.16</v>
      </c>
      <c r="H4529" t="s">
        <v>10310</v>
      </c>
      <c r="I4529" t="s">
        <v>10326</v>
      </c>
      <c r="L4529">
        <v>2005</v>
      </c>
      <c r="R4529" t="s">
        <v>11038</v>
      </c>
      <c r="S4529" t="s">
        <v>10310</v>
      </c>
      <c r="U4529" t="s">
        <v>11046</v>
      </c>
      <c r="W4529" s="2" t="s">
        <v>11204</v>
      </c>
    </row>
    <row r="4530" spans="1:23" hidden="1" x14ac:dyDescent="0.45">
      <c r="A4530" s="1" t="s">
        <v>4469</v>
      </c>
      <c r="B4530" t="s">
        <v>6281</v>
      </c>
      <c r="D4530" t="s">
        <v>8071</v>
      </c>
      <c r="E4530" t="s">
        <v>9689</v>
      </c>
      <c r="F4530" t="s">
        <v>10299</v>
      </c>
      <c r="G4530">
        <v>2.2999999999999998</v>
      </c>
      <c r="H4530" t="s">
        <v>10310</v>
      </c>
      <c r="I4530" t="s">
        <v>10326</v>
      </c>
      <c r="L4530">
        <v>2011</v>
      </c>
      <c r="R4530" t="s">
        <v>11038</v>
      </c>
      <c r="S4530" t="s">
        <v>10310</v>
      </c>
      <c r="U4530" t="s">
        <v>11047</v>
      </c>
      <c r="W4530" s="2" t="s">
        <v>11204</v>
      </c>
    </row>
    <row r="4531" spans="1:23" hidden="1" x14ac:dyDescent="0.45">
      <c r="A4531" s="1" t="s">
        <v>4470</v>
      </c>
      <c r="B4531" t="s">
        <v>6905</v>
      </c>
      <c r="D4531" t="s">
        <v>8053</v>
      </c>
      <c r="E4531" t="s">
        <v>9743</v>
      </c>
      <c r="F4531" t="s">
        <v>10299</v>
      </c>
      <c r="G4531">
        <v>3.2</v>
      </c>
      <c r="H4531" t="s">
        <v>10310</v>
      </c>
      <c r="I4531" t="s">
        <v>10326</v>
      </c>
      <c r="L4531">
        <v>2019</v>
      </c>
      <c r="R4531" t="s">
        <v>11038</v>
      </c>
      <c r="S4531" t="s">
        <v>10310</v>
      </c>
      <c r="U4531" t="s">
        <v>11049</v>
      </c>
      <c r="W4531" s="2" t="s">
        <v>11204</v>
      </c>
    </row>
    <row r="4532" spans="1:23" hidden="1" x14ac:dyDescent="0.45">
      <c r="A4532" s="1" t="s">
        <v>4471</v>
      </c>
      <c r="B4532" t="s">
        <v>6274</v>
      </c>
      <c r="D4532" t="s">
        <v>8036</v>
      </c>
      <c r="E4532" t="s">
        <v>4471</v>
      </c>
      <c r="F4532" t="s">
        <v>10299</v>
      </c>
      <c r="G4532">
        <v>430</v>
      </c>
      <c r="H4532" t="s">
        <v>10310</v>
      </c>
      <c r="I4532" t="s">
        <v>10326</v>
      </c>
      <c r="L4532">
        <v>1961</v>
      </c>
      <c r="R4532" t="s">
        <v>11038</v>
      </c>
      <c r="S4532" t="s">
        <v>10310</v>
      </c>
      <c r="U4532" t="s">
        <v>11046</v>
      </c>
      <c r="W4532" s="2" t="s">
        <v>11204</v>
      </c>
    </row>
    <row r="4533" spans="1:23" hidden="1" x14ac:dyDescent="0.45">
      <c r="A4533" s="1" t="s">
        <v>4472</v>
      </c>
      <c r="B4533" t="s">
        <v>6294</v>
      </c>
      <c r="D4533" t="s">
        <v>8058</v>
      </c>
      <c r="E4533" t="s">
        <v>9800</v>
      </c>
      <c r="F4533" t="s">
        <v>10299</v>
      </c>
      <c r="G4533">
        <v>4.8</v>
      </c>
      <c r="H4533" t="s">
        <v>10310</v>
      </c>
      <c r="I4533" t="s">
        <v>10326</v>
      </c>
      <c r="L4533">
        <v>1921</v>
      </c>
      <c r="R4533" t="s">
        <v>11038</v>
      </c>
      <c r="S4533" t="s">
        <v>10310</v>
      </c>
      <c r="U4533" t="s">
        <v>11046</v>
      </c>
      <c r="W4533" s="2" t="s">
        <v>11204</v>
      </c>
    </row>
    <row r="4534" spans="1:23" hidden="1" x14ac:dyDescent="0.45">
      <c r="A4534" s="1" t="s">
        <v>4473</v>
      </c>
      <c r="B4534" t="s">
        <v>6395</v>
      </c>
      <c r="D4534" t="s">
        <v>8039</v>
      </c>
      <c r="E4534" t="s">
        <v>9695</v>
      </c>
      <c r="F4534" t="s">
        <v>10299</v>
      </c>
      <c r="G4534">
        <v>960</v>
      </c>
      <c r="H4534" t="s">
        <v>10310</v>
      </c>
      <c r="I4534" t="s">
        <v>10326</v>
      </c>
      <c r="L4534">
        <v>1968</v>
      </c>
      <c r="R4534" t="s">
        <v>11038</v>
      </c>
      <c r="S4534" t="s">
        <v>10310</v>
      </c>
      <c r="U4534" t="s">
        <v>11046</v>
      </c>
      <c r="W4534" s="2" t="s">
        <v>11204</v>
      </c>
    </row>
    <row r="4535" spans="1:23" hidden="1" x14ac:dyDescent="0.45">
      <c r="A4535" s="1" t="s">
        <v>4474</v>
      </c>
      <c r="D4535" t="s">
        <v>8089</v>
      </c>
      <c r="E4535" t="s">
        <v>9843</v>
      </c>
      <c r="F4535" t="s">
        <v>10299</v>
      </c>
      <c r="G4535">
        <v>4.0000000000000001E-3</v>
      </c>
      <c r="H4535" t="s">
        <v>10310</v>
      </c>
      <c r="I4535" t="s">
        <v>10326</v>
      </c>
      <c r="L4535">
        <v>1998</v>
      </c>
      <c r="R4535" t="s">
        <v>11038</v>
      </c>
      <c r="S4535" t="s">
        <v>10310</v>
      </c>
      <c r="U4535" t="s">
        <v>11048</v>
      </c>
      <c r="W4535" s="2" t="s">
        <v>11204</v>
      </c>
    </row>
    <row r="4536" spans="1:23" hidden="1" x14ac:dyDescent="0.45">
      <c r="A4536" s="1" t="s">
        <v>4475</v>
      </c>
      <c r="B4536" t="s">
        <v>6906</v>
      </c>
      <c r="D4536" t="s">
        <v>8043</v>
      </c>
      <c r="E4536" t="s">
        <v>9783</v>
      </c>
      <c r="F4536" t="s">
        <v>10299</v>
      </c>
      <c r="G4536">
        <v>3.5999999999999997E-2</v>
      </c>
      <c r="H4536" t="s">
        <v>10310</v>
      </c>
      <c r="I4536" t="s">
        <v>10326</v>
      </c>
      <c r="L4536">
        <v>1995</v>
      </c>
      <c r="R4536" t="s">
        <v>11038</v>
      </c>
      <c r="S4536" t="s">
        <v>10310</v>
      </c>
      <c r="U4536" t="s">
        <v>11047</v>
      </c>
      <c r="W4536" s="2" t="s">
        <v>11204</v>
      </c>
    </row>
    <row r="4537" spans="1:23" hidden="1" x14ac:dyDescent="0.45">
      <c r="A4537" s="1" t="s">
        <v>4476</v>
      </c>
      <c r="B4537" t="s">
        <v>6290</v>
      </c>
      <c r="D4537" t="s">
        <v>7917</v>
      </c>
      <c r="E4537" t="s">
        <v>9776</v>
      </c>
      <c r="F4537" t="s">
        <v>10299</v>
      </c>
      <c r="G4537">
        <v>150</v>
      </c>
      <c r="H4537" t="s">
        <v>10310</v>
      </c>
      <c r="I4537" t="s">
        <v>10326</v>
      </c>
      <c r="L4537">
        <v>1989</v>
      </c>
      <c r="R4537" t="s">
        <v>11038</v>
      </c>
      <c r="S4537" t="s">
        <v>10310</v>
      </c>
      <c r="U4537" t="s">
        <v>11050</v>
      </c>
      <c r="W4537" s="2" t="s">
        <v>11204</v>
      </c>
    </row>
    <row r="4538" spans="1:23" hidden="1" x14ac:dyDescent="0.45">
      <c r="A4538" s="1" t="s">
        <v>4477</v>
      </c>
      <c r="B4538" t="s">
        <v>6907</v>
      </c>
      <c r="D4538" t="s">
        <v>8048</v>
      </c>
      <c r="E4538" t="s">
        <v>9642</v>
      </c>
      <c r="F4538" t="s">
        <v>10299</v>
      </c>
      <c r="G4538">
        <v>9.1</v>
      </c>
      <c r="H4538" t="s">
        <v>10310</v>
      </c>
      <c r="I4538" t="s">
        <v>10326</v>
      </c>
      <c r="L4538">
        <v>2013</v>
      </c>
      <c r="R4538" t="s">
        <v>11038</v>
      </c>
      <c r="S4538" t="s">
        <v>10310</v>
      </c>
      <c r="U4538" t="s">
        <v>11049</v>
      </c>
      <c r="W4538" s="2" t="s">
        <v>11204</v>
      </c>
    </row>
    <row r="4539" spans="1:23" hidden="1" x14ac:dyDescent="0.45">
      <c r="A4539" s="1" t="s">
        <v>4478</v>
      </c>
      <c r="B4539" t="s">
        <v>6281</v>
      </c>
      <c r="D4539" t="s">
        <v>8050</v>
      </c>
      <c r="E4539" t="s">
        <v>9740</v>
      </c>
      <c r="F4539" t="s">
        <v>10299</v>
      </c>
      <c r="G4539">
        <v>1.2370000000000001</v>
      </c>
      <c r="H4539" t="s">
        <v>10310</v>
      </c>
      <c r="I4539" t="s">
        <v>10326</v>
      </c>
      <c r="L4539">
        <v>2012</v>
      </c>
      <c r="R4539" t="s">
        <v>11038</v>
      </c>
      <c r="S4539" t="s">
        <v>10310</v>
      </c>
      <c r="U4539" t="s">
        <v>11047</v>
      </c>
      <c r="W4539" s="2" t="s">
        <v>11204</v>
      </c>
    </row>
    <row r="4540" spans="1:23" hidden="1" x14ac:dyDescent="0.45">
      <c r="A4540" s="1" t="s">
        <v>4479</v>
      </c>
      <c r="B4540" t="s">
        <v>6278</v>
      </c>
      <c r="D4540" t="s">
        <v>7777</v>
      </c>
      <c r="E4540" t="s">
        <v>9674</v>
      </c>
      <c r="F4540" t="s">
        <v>10299</v>
      </c>
      <c r="G4540">
        <v>19.3</v>
      </c>
      <c r="H4540" t="s">
        <v>10310</v>
      </c>
      <c r="I4540" t="s">
        <v>10326</v>
      </c>
      <c r="L4540">
        <v>2017</v>
      </c>
      <c r="R4540" t="s">
        <v>11038</v>
      </c>
      <c r="S4540" t="s">
        <v>10310</v>
      </c>
      <c r="U4540" t="s">
        <v>11048</v>
      </c>
      <c r="W4540" s="2" t="s">
        <v>11204</v>
      </c>
    </row>
    <row r="4541" spans="1:23" hidden="1" x14ac:dyDescent="0.45">
      <c r="A4541" s="1" t="s">
        <v>4480</v>
      </c>
      <c r="B4541" t="s">
        <v>6281</v>
      </c>
      <c r="D4541" t="s">
        <v>8028</v>
      </c>
      <c r="E4541" t="s">
        <v>9636</v>
      </c>
      <c r="F4541" t="s">
        <v>10299</v>
      </c>
      <c r="G4541">
        <v>2.6</v>
      </c>
      <c r="H4541" t="s">
        <v>10310</v>
      </c>
      <c r="I4541" t="s">
        <v>10326</v>
      </c>
      <c r="L4541">
        <v>2014</v>
      </c>
      <c r="R4541" t="s">
        <v>11038</v>
      </c>
      <c r="S4541" t="s">
        <v>10310</v>
      </c>
      <c r="U4541" t="s">
        <v>11050</v>
      </c>
      <c r="W4541" s="2" t="s">
        <v>11204</v>
      </c>
    </row>
    <row r="4542" spans="1:23" hidden="1" x14ac:dyDescent="0.45">
      <c r="A4542" s="1" t="s">
        <v>4481</v>
      </c>
      <c r="B4542" t="s">
        <v>6281</v>
      </c>
      <c r="D4542" t="s">
        <v>8057</v>
      </c>
      <c r="E4542" t="s">
        <v>9671</v>
      </c>
      <c r="F4542" t="s">
        <v>10299</v>
      </c>
      <c r="G4542">
        <v>1.1000000000000001</v>
      </c>
      <c r="H4542" t="s">
        <v>10310</v>
      </c>
      <c r="I4542" t="s">
        <v>10326</v>
      </c>
      <c r="L4542">
        <v>1987</v>
      </c>
      <c r="R4542" t="s">
        <v>11038</v>
      </c>
      <c r="S4542" t="s">
        <v>10310</v>
      </c>
      <c r="U4542" t="s">
        <v>11046</v>
      </c>
      <c r="W4542" s="2" t="s">
        <v>11204</v>
      </c>
    </row>
    <row r="4543" spans="1:23" hidden="1" x14ac:dyDescent="0.45">
      <c r="A4543" s="1" t="s">
        <v>4482</v>
      </c>
      <c r="B4543" t="s">
        <v>6908</v>
      </c>
      <c r="D4543" t="s">
        <v>8060</v>
      </c>
      <c r="E4543" t="s">
        <v>9859</v>
      </c>
      <c r="F4543" t="s">
        <v>10299</v>
      </c>
      <c r="G4543">
        <v>6</v>
      </c>
      <c r="H4543" t="s">
        <v>10310</v>
      </c>
      <c r="I4543" t="s">
        <v>10326</v>
      </c>
      <c r="L4543">
        <v>1915</v>
      </c>
      <c r="R4543" t="s">
        <v>11038</v>
      </c>
      <c r="S4543" t="s">
        <v>10310</v>
      </c>
      <c r="U4543" t="s">
        <v>11050</v>
      </c>
      <c r="W4543" s="2" t="s">
        <v>11204</v>
      </c>
    </row>
    <row r="4544" spans="1:23" hidden="1" x14ac:dyDescent="0.45">
      <c r="A4544" s="1" t="s">
        <v>4483</v>
      </c>
      <c r="B4544" t="s">
        <v>6319</v>
      </c>
      <c r="D4544" t="s">
        <v>8031</v>
      </c>
      <c r="E4544" t="s">
        <v>9624</v>
      </c>
      <c r="F4544" t="s">
        <v>10299</v>
      </c>
      <c r="G4544">
        <v>8</v>
      </c>
      <c r="H4544" t="s">
        <v>10310</v>
      </c>
      <c r="I4544" t="s">
        <v>10326</v>
      </c>
      <c r="L4544">
        <v>2005</v>
      </c>
      <c r="R4544" t="s">
        <v>11038</v>
      </c>
      <c r="S4544" t="s">
        <v>10310</v>
      </c>
      <c r="U4544" t="s">
        <v>11047</v>
      </c>
      <c r="W4544" s="2" t="s">
        <v>11204</v>
      </c>
    </row>
    <row r="4545" spans="1:23" hidden="1" x14ac:dyDescent="0.45">
      <c r="A4545" s="1" t="s">
        <v>4484</v>
      </c>
      <c r="B4545" t="s">
        <v>6909</v>
      </c>
      <c r="D4545" t="s">
        <v>8071</v>
      </c>
      <c r="E4545" t="s">
        <v>9689</v>
      </c>
      <c r="F4545" t="s">
        <v>10299</v>
      </c>
      <c r="G4545">
        <v>0.99</v>
      </c>
      <c r="H4545" t="s">
        <v>10310</v>
      </c>
      <c r="I4545" t="s">
        <v>10326</v>
      </c>
      <c r="L4545">
        <v>2018</v>
      </c>
      <c r="R4545" t="s">
        <v>11038</v>
      </c>
      <c r="S4545" t="s">
        <v>10310</v>
      </c>
      <c r="U4545" t="s">
        <v>11047</v>
      </c>
      <c r="W4545" s="2" t="s">
        <v>11204</v>
      </c>
    </row>
    <row r="4546" spans="1:23" hidden="1" x14ac:dyDescent="0.45">
      <c r="A4546" s="1" t="s">
        <v>4485</v>
      </c>
      <c r="B4546" t="s">
        <v>6910</v>
      </c>
      <c r="D4546" t="s">
        <v>8059</v>
      </c>
      <c r="E4546" t="s">
        <v>9663</v>
      </c>
      <c r="F4546" t="s">
        <v>10299</v>
      </c>
      <c r="G4546">
        <v>0.8</v>
      </c>
      <c r="H4546" t="s">
        <v>10310</v>
      </c>
      <c r="I4546" t="s">
        <v>10326</v>
      </c>
      <c r="L4546">
        <v>2007</v>
      </c>
      <c r="R4546" t="s">
        <v>11038</v>
      </c>
      <c r="S4546" t="s">
        <v>10310</v>
      </c>
      <c r="U4546" t="s">
        <v>11046</v>
      </c>
      <c r="W4546" s="2" t="s">
        <v>11204</v>
      </c>
    </row>
    <row r="4547" spans="1:23" hidden="1" x14ac:dyDescent="0.45">
      <c r="A4547" s="1" t="s">
        <v>4486</v>
      </c>
      <c r="B4547" t="s">
        <v>6378</v>
      </c>
      <c r="D4547" t="s">
        <v>8040</v>
      </c>
      <c r="E4547" t="s">
        <v>9632</v>
      </c>
      <c r="F4547" t="s">
        <v>10299</v>
      </c>
      <c r="G4547">
        <v>3.5</v>
      </c>
      <c r="H4547" t="s">
        <v>10310</v>
      </c>
      <c r="I4547" t="s">
        <v>10326</v>
      </c>
      <c r="L4547">
        <v>1996</v>
      </c>
      <c r="R4547" t="s">
        <v>11038</v>
      </c>
      <c r="S4547" t="s">
        <v>10310</v>
      </c>
      <c r="U4547" t="s">
        <v>11049</v>
      </c>
      <c r="W4547" s="2" t="s">
        <v>11204</v>
      </c>
    </row>
    <row r="4548" spans="1:23" hidden="1" x14ac:dyDescent="0.45">
      <c r="A4548" s="1" t="s">
        <v>4487</v>
      </c>
      <c r="D4548" t="s">
        <v>8070</v>
      </c>
      <c r="E4548" t="s">
        <v>3591</v>
      </c>
      <c r="F4548" t="s">
        <v>10299</v>
      </c>
      <c r="G4548">
        <v>1.4999999999999999E-2</v>
      </c>
      <c r="H4548" t="s">
        <v>10310</v>
      </c>
      <c r="I4548" t="s">
        <v>10326</v>
      </c>
      <c r="L4548">
        <v>1990</v>
      </c>
      <c r="R4548" t="s">
        <v>11038</v>
      </c>
      <c r="S4548" t="s">
        <v>10310</v>
      </c>
      <c r="U4548" t="s">
        <v>11046</v>
      </c>
      <c r="W4548" s="2" t="s">
        <v>11204</v>
      </c>
    </row>
    <row r="4549" spans="1:23" hidden="1" x14ac:dyDescent="0.45">
      <c r="A4549" s="1" t="s">
        <v>4488</v>
      </c>
      <c r="B4549" t="s">
        <v>6911</v>
      </c>
      <c r="D4549" t="s">
        <v>8026</v>
      </c>
      <c r="E4549" t="s">
        <v>9619</v>
      </c>
      <c r="F4549" t="s">
        <v>10299</v>
      </c>
      <c r="G4549">
        <v>1.25</v>
      </c>
      <c r="H4549" t="s">
        <v>10310</v>
      </c>
      <c r="I4549" t="s">
        <v>10326</v>
      </c>
      <c r="L4549">
        <v>2006</v>
      </c>
      <c r="R4549" t="s">
        <v>11038</v>
      </c>
      <c r="S4549" t="s">
        <v>10310</v>
      </c>
      <c r="U4549" t="s">
        <v>11047</v>
      </c>
      <c r="W4549" s="2" t="s">
        <v>11204</v>
      </c>
    </row>
    <row r="4550" spans="1:23" hidden="1" x14ac:dyDescent="0.45">
      <c r="A4550" s="1" t="s">
        <v>4489</v>
      </c>
      <c r="B4550" t="s">
        <v>6432</v>
      </c>
      <c r="D4550" t="s">
        <v>7986</v>
      </c>
      <c r="E4550" t="s">
        <v>9744</v>
      </c>
      <c r="F4550" t="s">
        <v>10299</v>
      </c>
      <c r="G4550">
        <v>3.2</v>
      </c>
      <c r="H4550" t="s">
        <v>10310</v>
      </c>
      <c r="I4550" t="s">
        <v>10326</v>
      </c>
      <c r="L4550">
        <v>1952</v>
      </c>
      <c r="R4550" t="s">
        <v>11038</v>
      </c>
      <c r="S4550" t="s">
        <v>10310</v>
      </c>
      <c r="U4550" t="s">
        <v>11048</v>
      </c>
      <c r="W4550" s="2" t="s">
        <v>11204</v>
      </c>
    </row>
    <row r="4551" spans="1:23" hidden="1" x14ac:dyDescent="0.45">
      <c r="A4551" s="1" t="s">
        <v>4490</v>
      </c>
      <c r="B4551" t="s">
        <v>6432</v>
      </c>
      <c r="D4551" t="s">
        <v>7986</v>
      </c>
      <c r="E4551" t="s">
        <v>9744</v>
      </c>
      <c r="F4551" t="s">
        <v>10299</v>
      </c>
      <c r="G4551">
        <v>1.3998999999999999</v>
      </c>
      <c r="H4551" t="s">
        <v>10310</v>
      </c>
      <c r="I4551" t="s">
        <v>10326</v>
      </c>
      <c r="L4551">
        <v>1956</v>
      </c>
      <c r="R4551" t="s">
        <v>11038</v>
      </c>
      <c r="S4551" t="s">
        <v>10310</v>
      </c>
      <c r="U4551" t="s">
        <v>11048</v>
      </c>
      <c r="W4551" s="2" t="s">
        <v>11204</v>
      </c>
    </row>
    <row r="4552" spans="1:23" hidden="1" x14ac:dyDescent="0.45">
      <c r="A4552" s="1" t="s">
        <v>4491</v>
      </c>
      <c r="B4552" t="s">
        <v>6274</v>
      </c>
      <c r="D4552" t="s">
        <v>7986</v>
      </c>
      <c r="E4552" t="s">
        <v>9648</v>
      </c>
      <c r="F4552" t="s">
        <v>10299</v>
      </c>
      <c r="G4552">
        <v>126.6</v>
      </c>
      <c r="H4552" t="s">
        <v>10310</v>
      </c>
      <c r="I4552" t="s">
        <v>10326</v>
      </c>
      <c r="L4552">
        <v>1968</v>
      </c>
      <c r="R4552" t="s">
        <v>11038</v>
      </c>
      <c r="S4552" t="s">
        <v>10310</v>
      </c>
      <c r="U4552" t="s">
        <v>11047</v>
      </c>
      <c r="W4552" s="2" t="s">
        <v>11204</v>
      </c>
    </row>
    <row r="4553" spans="1:23" hidden="1" x14ac:dyDescent="0.45">
      <c r="A4553" s="1" t="s">
        <v>4492</v>
      </c>
      <c r="B4553" t="s">
        <v>6912</v>
      </c>
      <c r="D4553" t="s">
        <v>8051</v>
      </c>
      <c r="E4553" t="s">
        <v>4623</v>
      </c>
      <c r="F4553" t="s">
        <v>10299</v>
      </c>
      <c r="G4553">
        <v>0.18</v>
      </c>
      <c r="H4553" t="s">
        <v>10310</v>
      </c>
      <c r="I4553" t="s">
        <v>10326</v>
      </c>
      <c r="L4553">
        <v>2001</v>
      </c>
      <c r="R4553" t="s">
        <v>11038</v>
      </c>
      <c r="S4553" t="s">
        <v>10310</v>
      </c>
      <c r="U4553" t="s">
        <v>11046</v>
      </c>
      <c r="W4553" s="2" t="s">
        <v>11204</v>
      </c>
    </row>
    <row r="4554" spans="1:23" hidden="1" x14ac:dyDescent="0.45">
      <c r="A4554" s="1" t="s">
        <v>4493</v>
      </c>
      <c r="B4554" t="s">
        <v>6496</v>
      </c>
      <c r="D4554" t="s">
        <v>8050</v>
      </c>
      <c r="E4554" t="s">
        <v>9774</v>
      </c>
      <c r="F4554" t="s">
        <v>10299</v>
      </c>
      <c r="G4554">
        <v>1.26</v>
      </c>
      <c r="H4554" t="s">
        <v>10310</v>
      </c>
      <c r="I4554" t="s">
        <v>10326</v>
      </c>
      <c r="L4554">
        <v>2012</v>
      </c>
      <c r="R4554" t="s">
        <v>11038</v>
      </c>
      <c r="S4554" t="s">
        <v>10310</v>
      </c>
      <c r="U4554" t="s">
        <v>11050</v>
      </c>
      <c r="W4554" s="2" t="s">
        <v>11204</v>
      </c>
    </row>
    <row r="4555" spans="1:23" hidden="1" x14ac:dyDescent="0.45">
      <c r="A4555" s="1" t="s">
        <v>4494</v>
      </c>
      <c r="B4555" t="s">
        <v>6913</v>
      </c>
      <c r="D4555" t="s">
        <v>8056</v>
      </c>
      <c r="E4555" t="s">
        <v>9657</v>
      </c>
      <c r="F4555" t="s">
        <v>10299</v>
      </c>
      <c r="G4555">
        <v>1.24</v>
      </c>
      <c r="H4555" t="s">
        <v>10310</v>
      </c>
      <c r="I4555" t="s">
        <v>10326</v>
      </c>
      <c r="L4555">
        <v>2019</v>
      </c>
      <c r="R4555" t="s">
        <v>11038</v>
      </c>
      <c r="S4555" t="s">
        <v>10310</v>
      </c>
      <c r="U4555" t="s">
        <v>11046</v>
      </c>
      <c r="W4555" s="2" t="s">
        <v>11204</v>
      </c>
    </row>
    <row r="4556" spans="1:23" hidden="1" x14ac:dyDescent="0.45">
      <c r="A4556" s="1" t="s">
        <v>4495</v>
      </c>
      <c r="B4556" t="s">
        <v>6311</v>
      </c>
      <c r="D4556" t="s">
        <v>8059</v>
      </c>
      <c r="E4556" t="s">
        <v>9663</v>
      </c>
      <c r="F4556" t="s">
        <v>10299</v>
      </c>
      <c r="G4556">
        <v>5.4</v>
      </c>
      <c r="H4556" t="s">
        <v>10310</v>
      </c>
      <c r="I4556" t="s">
        <v>10326</v>
      </c>
      <c r="L4556">
        <v>1921</v>
      </c>
      <c r="R4556" t="s">
        <v>11038</v>
      </c>
      <c r="S4556" t="s">
        <v>10310</v>
      </c>
      <c r="U4556" t="s">
        <v>11046</v>
      </c>
      <c r="W4556" s="2" t="s">
        <v>11204</v>
      </c>
    </row>
    <row r="4557" spans="1:23" hidden="1" x14ac:dyDescent="0.45">
      <c r="A4557" s="1" t="s">
        <v>4496</v>
      </c>
      <c r="B4557" t="s">
        <v>6413</v>
      </c>
      <c r="D4557" t="s">
        <v>8071</v>
      </c>
      <c r="E4557" t="s">
        <v>9689</v>
      </c>
      <c r="F4557" t="s">
        <v>10299</v>
      </c>
      <c r="G4557">
        <v>3.2</v>
      </c>
      <c r="H4557" t="s">
        <v>10310</v>
      </c>
      <c r="I4557" t="s">
        <v>10326</v>
      </c>
      <c r="L4557">
        <v>1980</v>
      </c>
      <c r="R4557" t="s">
        <v>11038</v>
      </c>
      <c r="S4557" t="s">
        <v>10310</v>
      </c>
      <c r="U4557" t="s">
        <v>11047</v>
      </c>
      <c r="W4557" s="2" t="s">
        <v>11204</v>
      </c>
    </row>
    <row r="4558" spans="1:23" hidden="1" x14ac:dyDescent="0.45">
      <c r="A4558" s="1" t="s">
        <v>4497</v>
      </c>
      <c r="B4558" t="s">
        <v>6914</v>
      </c>
      <c r="D4558" t="s">
        <v>8055</v>
      </c>
      <c r="E4558" t="s">
        <v>3805</v>
      </c>
      <c r="F4558" t="s">
        <v>10299</v>
      </c>
      <c r="G4558">
        <v>10</v>
      </c>
      <c r="H4558" t="s">
        <v>10310</v>
      </c>
      <c r="I4558" t="s">
        <v>10326</v>
      </c>
      <c r="L4558">
        <v>1917</v>
      </c>
      <c r="R4558" t="s">
        <v>11038</v>
      </c>
      <c r="S4558" t="s">
        <v>10310</v>
      </c>
      <c r="U4558" t="s">
        <v>11046</v>
      </c>
      <c r="W4558" s="2" t="s">
        <v>11204</v>
      </c>
    </row>
    <row r="4559" spans="1:23" hidden="1" x14ac:dyDescent="0.45">
      <c r="A4559" s="1" t="s">
        <v>4498</v>
      </c>
      <c r="B4559" t="s">
        <v>6281</v>
      </c>
      <c r="D4559" t="s">
        <v>8041</v>
      </c>
      <c r="E4559" t="s">
        <v>9687</v>
      </c>
      <c r="F4559" t="s">
        <v>10299</v>
      </c>
      <c r="G4559">
        <v>1.8</v>
      </c>
      <c r="H4559" t="s">
        <v>10310</v>
      </c>
      <c r="I4559" t="s">
        <v>10326</v>
      </c>
      <c r="L4559">
        <v>2010</v>
      </c>
      <c r="R4559" t="s">
        <v>11038</v>
      </c>
      <c r="S4559" t="s">
        <v>10310</v>
      </c>
      <c r="U4559" t="s">
        <v>11047</v>
      </c>
      <c r="W4559" s="2" t="s">
        <v>11204</v>
      </c>
    </row>
    <row r="4560" spans="1:23" hidden="1" x14ac:dyDescent="0.45">
      <c r="A4560" s="1" t="s">
        <v>4499</v>
      </c>
      <c r="B4560" t="s">
        <v>6915</v>
      </c>
      <c r="D4560" t="s">
        <v>8062</v>
      </c>
      <c r="E4560" t="s">
        <v>9667</v>
      </c>
      <c r="F4560" t="s">
        <v>10299</v>
      </c>
      <c r="G4560">
        <v>1.599</v>
      </c>
      <c r="H4560" t="s">
        <v>10310</v>
      </c>
      <c r="I4560" t="s">
        <v>10326</v>
      </c>
      <c r="L4560">
        <v>2011</v>
      </c>
      <c r="R4560" t="s">
        <v>11038</v>
      </c>
      <c r="S4560" t="s">
        <v>10310</v>
      </c>
      <c r="U4560" t="s">
        <v>11046</v>
      </c>
      <c r="W4560" s="2" t="s">
        <v>11204</v>
      </c>
    </row>
    <row r="4561" spans="1:23" hidden="1" x14ac:dyDescent="0.45">
      <c r="A4561" s="1" t="s">
        <v>4500</v>
      </c>
      <c r="B4561" t="s">
        <v>6289</v>
      </c>
      <c r="D4561" t="s">
        <v>8068</v>
      </c>
      <c r="E4561" t="s">
        <v>9745</v>
      </c>
      <c r="F4561" t="s">
        <v>10299</v>
      </c>
      <c r="G4561">
        <v>30.4</v>
      </c>
      <c r="H4561" t="s">
        <v>10310</v>
      </c>
      <c r="I4561" t="s">
        <v>10326</v>
      </c>
      <c r="L4561">
        <v>1963</v>
      </c>
      <c r="R4561" t="s">
        <v>11038</v>
      </c>
      <c r="S4561" t="s">
        <v>10310</v>
      </c>
      <c r="U4561" t="s">
        <v>11048</v>
      </c>
      <c r="W4561" s="2" t="s">
        <v>11204</v>
      </c>
    </row>
    <row r="4562" spans="1:23" hidden="1" x14ac:dyDescent="0.45">
      <c r="A4562" s="1" t="s">
        <v>4501</v>
      </c>
      <c r="B4562" t="s">
        <v>6289</v>
      </c>
      <c r="D4562" t="s">
        <v>8080</v>
      </c>
      <c r="E4562" t="s">
        <v>9825</v>
      </c>
      <c r="F4562" t="s">
        <v>10299</v>
      </c>
      <c r="G4562">
        <v>176</v>
      </c>
      <c r="H4562" t="s">
        <v>10310</v>
      </c>
      <c r="I4562" t="s">
        <v>10326</v>
      </c>
      <c r="L4562">
        <v>1963</v>
      </c>
      <c r="R4562" t="s">
        <v>11038</v>
      </c>
      <c r="S4562" t="s">
        <v>10310</v>
      </c>
      <c r="U4562" t="s">
        <v>11048</v>
      </c>
      <c r="W4562" s="2" t="s">
        <v>11204</v>
      </c>
    </row>
    <row r="4563" spans="1:23" hidden="1" x14ac:dyDescent="0.45">
      <c r="A4563" s="1" t="s">
        <v>4502</v>
      </c>
      <c r="B4563" t="s">
        <v>6289</v>
      </c>
      <c r="D4563" t="s">
        <v>8082</v>
      </c>
      <c r="E4563" t="s">
        <v>9771</v>
      </c>
      <c r="F4563" t="s">
        <v>10299</v>
      </c>
      <c r="G4563">
        <v>8.5</v>
      </c>
      <c r="H4563" t="s">
        <v>10310</v>
      </c>
      <c r="I4563" t="s">
        <v>10326</v>
      </c>
      <c r="L4563">
        <v>1986</v>
      </c>
      <c r="R4563" t="s">
        <v>11038</v>
      </c>
      <c r="S4563" t="s">
        <v>10310</v>
      </c>
      <c r="U4563" t="s">
        <v>11048</v>
      </c>
      <c r="W4563" s="2" t="s">
        <v>11204</v>
      </c>
    </row>
    <row r="4564" spans="1:23" hidden="1" x14ac:dyDescent="0.45">
      <c r="A4564" s="1" t="s">
        <v>4503</v>
      </c>
      <c r="B4564" t="s">
        <v>6319</v>
      </c>
      <c r="D4564" t="s">
        <v>8075</v>
      </c>
      <c r="E4564" t="s">
        <v>9715</v>
      </c>
      <c r="F4564" t="s">
        <v>10299</v>
      </c>
      <c r="G4564">
        <v>64</v>
      </c>
      <c r="H4564" t="s">
        <v>10310</v>
      </c>
      <c r="I4564" t="s">
        <v>10326</v>
      </c>
      <c r="L4564">
        <v>1961</v>
      </c>
      <c r="R4564" t="s">
        <v>11038</v>
      </c>
      <c r="S4564" t="s">
        <v>10310</v>
      </c>
      <c r="U4564" t="s">
        <v>11047</v>
      </c>
      <c r="W4564" s="2" t="s">
        <v>11204</v>
      </c>
    </row>
    <row r="4565" spans="1:23" hidden="1" x14ac:dyDescent="0.45">
      <c r="A4565" s="1" t="s">
        <v>4504</v>
      </c>
      <c r="B4565" t="s">
        <v>6359</v>
      </c>
      <c r="D4565" t="s">
        <v>8074</v>
      </c>
      <c r="E4565" t="s">
        <v>9738</v>
      </c>
      <c r="F4565" t="s">
        <v>10299</v>
      </c>
      <c r="G4565">
        <v>0.95</v>
      </c>
      <c r="H4565" t="s">
        <v>10310</v>
      </c>
      <c r="I4565" t="s">
        <v>10326</v>
      </c>
      <c r="L4565">
        <v>1982</v>
      </c>
      <c r="R4565" t="s">
        <v>11038</v>
      </c>
      <c r="S4565" t="s">
        <v>10310</v>
      </c>
      <c r="U4565" t="s">
        <v>11047</v>
      </c>
      <c r="W4565" s="2" t="s">
        <v>11204</v>
      </c>
    </row>
    <row r="4566" spans="1:23" hidden="1" x14ac:dyDescent="0.45">
      <c r="A4566" s="1" t="s">
        <v>4504</v>
      </c>
      <c r="B4566" t="s">
        <v>6916</v>
      </c>
      <c r="D4566" t="s">
        <v>8061</v>
      </c>
      <c r="E4566" t="s">
        <v>9665</v>
      </c>
      <c r="F4566" t="s">
        <v>10299</v>
      </c>
      <c r="G4566">
        <v>0.36</v>
      </c>
      <c r="H4566" t="s">
        <v>10310</v>
      </c>
      <c r="I4566" t="s">
        <v>10326</v>
      </c>
      <c r="L4566">
        <v>1997</v>
      </c>
      <c r="R4566" t="s">
        <v>11038</v>
      </c>
      <c r="S4566" t="s">
        <v>10310</v>
      </c>
      <c r="U4566" t="s">
        <v>11046</v>
      </c>
      <c r="W4566" s="2" t="s">
        <v>11204</v>
      </c>
    </row>
    <row r="4567" spans="1:23" hidden="1" x14ac:dyDescent="0.45">
      <c r="A4567" s="1" t="s">
        <v>4505</v>
      </c>
      <c r="B4567" t="s">
        <v>6408</v>
      </c>
      <c r="D4567" t="s">
        <v>8062</v>
      </c>
      <c r="E4567" t="s">
        <v>9737</v>
      </c>
      <c r="F4567" t="s">
        <v>10299</v>
      </c>
      <c r="G4567">
        <v>1.7</v>
      </c>
      <c r="H4567" t="s">
        <v>10310</v>
      </c>
      <c r="I4567" t="s">
        <v>10326</v>
      </c>
      <c r="L4567">
        <v>1946</v>
      </c>
      <c r="R4567" t="s">
        <v>11038</v>
      </c>
      <c r="S4567" t="s">
        <v>10310</v>
      </c>
      <c r="U4567" t="s">
        <v>11049</v>
      </c>
      <c r="W4567" s="2" t="s">
        <v>11204</v>
      </c>
    </row>
    <row r="4568" spans="1:23" hidden="1" x14ac:dyDescent="0.45">
      <c r="A4568" s="1" t="s">
        <v>4506</v>
      </c>
      <c r="B4568" t="s">
        <v>6281</v>
      </c>
      <c r="D4568" t="s">
        <v>8036</v>
      </c>
      <c r="E4568" t="s">
        <v>9637</v>
      </c>
      <c r="F4568" t="s">
        <v>10299</v>
      </c>
      <c r="G4568">
        <v>4.2</v>
      </c>
      <c r="H4568" t="s">
        <v>10310</v>
      </c>
      <c r="I4568" t="s">
        <v>10326</v>
      </c>
      <c r="L4568">
        <v>2009</v>
      </c>
      <c r="R4568" t="s">
        <v>11038</v>
      </c>
      <c r="S4568" t="s">
        <v>10310</v>
      </c>
      <c r="U4568" t="s">
        <v>11046</v>
      </c>
      <c r="W4568" s="2" t="s">
        <v>11204</v>
      </c>
    </row>
    <row r="4569" spans="1:23" hidden="1" x14ac:dyDescent="0.45">
      <c r="A4569" s="1" t="s">
        <v>4507</v>
      </c>
      <c r="B4569" t="s">
        <v>6917</v>
      </c>
      <c r="D4569" t="s">
        <v>8034</v>
      </c>
      <c r="E4569" t="s">
        <v>9627</v>
      </c>
      <c r="F4569" t="s">
        <v>10299</v>
      </c>
      <c r="G4569">
        <v>3.3</v>
      </c>
      <c r="H4569" t="s">
        <v>10310</v>
      </c>
      <c r="I4569" t="s">
        <v>10326</v>
      </c>
      <c r="L4569">
        <v>2011</v>
      </c>
      <c r="R4569" t="s">
        <v>11038</v>
      </c>
      <c r="S4569" t="s">
        <v>10310</v>
      </c>
      <c r="U4569" t="s">
        <v>11049</v>
      </c>
      <c r="W4569" s="2" t="s">
        <v>11204</v>
      </c>
    </row>
    <row r="4570" spans="1:23" hidden="1" x14ac:dyDescent="0.45">
      <c r="A4570" s="1" t="s">
        <v>4508</v>
      </c>
      <c r="B4570" t="s">
        <v>6918</v>
      </c>
      <c r="D4570" t="s">
        <v>8034</v>
      </c>
      <c r="E4570" t="s">
        <v>9627</v>
      </c>
      <c r="F4570" t="s">
        <v>10299</v>
      </c>
      <c r="G4570">
        <v>0.1</v>
      </c>
      <c r="H4570" t="s">
        <v>10310</v>
      </c>
      <c r="I4570" t="s">
        <v>10326</v>
      </c>
      <c r="L4570">
        <v>1997</v>
      </c>
      <c r="R4570" t="s">
        <v>11038</v>
      </c>
      <c r="S4570" t="s">
        <v>10310</v>
      </c>
      <c r="U4570" t="s">
        <v>11046</v>
      </c>
      <c r="W4570" s="2" t="s">
        <v>11204</v>
      </c>
    </row>
    <row r="4571" spans="1:23" hidden="1" x14ac:dyDescent="0.45">
      <c r="A4571" s="1" t="s">
        <v>4509</v>
      </c>
      <c r="B4571" t="s">
        <v>6919</v>
      </c>
      <c r="D4571" t="s">
        <v>8031</v>
      </c>
      <c r="E4571" t="s">
        <v>9773</v>
      </c>
      <c r="F4571" t="s">
        <v>10299</v>
      </c>
      <c r="G4571">
        <v>3.7000000000000012E-2</v>
      </c>
      <c r="H4571" t="s">
        <v>10310</v>
      </c>
      <c r="I4571" t="s">
        <v>10326</v>
      </c>
      <c r="L4571">
        <v>2004</v>
      </c>
      <c r="R4571" t="s">
        <v>11038</v>
      </c>
      <c r="S4571" t="s">
        <v>10310</v>
      </c>
      <c r="U4571" t="s">
        <v>11046</v>
      </c>
      <c r="W4571" s="2" t="s">
        <v>11204</v>
      </c>
    </row>
    <row r="4572" spans="1:23" hidden="1" x14ac:dyDescent="0.45">
      <c r="A4572" s="1" t="s">
        <v>4510</v>
      </c>
      <c r="B4572" t="s">
        <v>6294</v>
      </c>
      <c r="D4572" t="s">
        <v>8049</v>
      </c>
      <c r="E4572" t="s">
        <v>9716</v>
      </c>
      <c r="F4572" t="s">
        <v>10299</v>
      </c>
      <c r="G4572">
        <v>2.6</v>
      </c>
      <c r="H4572" t="s">
        <v>10310</v>
      </c>
      <c r="I4572" t="s">
        <v>10326</v>
      </c>
      <c r="L4572">
        <v>1955</v>
      </c>
      <c r="R4572" t="s">
        <v>11038</v>
      </c>
      <c r="S4572" t="s">
        <v>10310</v>
      </c>
      <c r="U4572" t="s">
        <v>11046</v>
      </c>
      <c r="W4572" s="2" t="s">
        <v>11204</v>
      </c>
    </row>
    <row r="4573" spans="1:23" hidden="1" x14ac:dyDescent="0.45">
      <c r="A4573" s="1" t="s">
        <v>4511</v>
      </c>
      <c r="B4573" t="s">
        <v>6920</v>
      </c>
      <c r="D4573" t="s">
        <v>8061</v>
      </c>
      <c r="E4573" t="s">
        <v>9665</v>
      </c>
      <c r="F4573" t="s">
        <v>10299</v>
      </c>
      <c r="G4573">
        <v>1.45</v>
      </c>
      <c r="H4573" t="s">
        <v>10310</v>
      </c>
      <c r="I4573" t="s">
        <v>10326</v>
      </c>
      <c r="L4573">
        <v>2005</v>
      </c>
      <c r="R4573" t="s">
        <v>11038</v>
      </c>
      <c r="S4573" t="s">
        <v>10310</v>
      </c>
      <c r="U4573" t="s">
        <v>11046</v>
      </c>
      <c r="W4573" s="2" t="s">
        <v>11204</v>
      </c>
    </row>
    <row r="4574" spans="1:23" hidden="1" x14ac:dyDescent="0.45">
      <c r="A4574" s="1" t="s">
        <v>4512</v>
      </c>
      <c r="B4574" t="s">
        <v>6307</v>
      </c>
      <c r="D4574" t="s">
        <v>8030</v>
      </c>
      <c r="E4574" t="s">
        <v>9655</v>
      </c>
      <c r="F4574" t="s">
        <v>10299</v>
      </c>
      <c r="G4574">
        <v>0.3</v>
      </c>
      <c r="H4574" t="s">
        <v>10310</v>
      </c>
      <c r="I4574" t="s">
        <v>10326</v>
      </c>
      <c r="L4574">
        <v>1985</v>
      </c>
      <c r="R4574" t="s">
        <v>11038</v>
      </c>
      <c r="S4574" t="s">
        <v>10310</v>
      </c>
      <c r="U4574" t="s">
        <v>11048</v>
      </c>
      <c r="W4574" s="2" t="s">
        <v>11204</v>
      </c>
    </row>
    <row r="4575" spans="1:23" hidden="1" x14ac:dyDescent="0.45">
      <c r="A4575" s="1" t="s">
        <v>4512</v>
      </c>
      <c r="B4575" t="s">
        <v>6921</v>
      </c>
      <c r="D4575" t="s">
        <v>8034</v>
      </c>
      <c r="E4575" t="s">
        <v>9627</v>
      </c>
      <c r="F4575" t="s">
        <v>10299</v>
      </c>
      <c r="G4575">
        <v>4.9800000000000004</v>
      </c>
      <c r="H4575" t="s">
        <v>10310</v>
      </c>
      <c r="I4575" t="s">
        <v>10326</v>
      </c>
      <c r="L4575">
        <v>2017</v>
      </c>
      <c r="R4575" t="s">
        <v>11038</v>
      </c>
      <c r="S4575" t="s">
        <v>10310</v>
      </c>
      <c r="U4575" t="s">
        <v>11046</v>
      </c>
      <c r="W4575" s="2" t="s">
        <v>11204</v>
      </c>
    </row>
    <row r="4576" spans="1:23" hidden="1" x14ac:dyDescent="0.45">
      <c r="A4576" s="1" t="s">
        <v>4513</v>
      </c>
      <c r="B4576" t="s">
        <v>6281</v>
      </c>
      <c r="D4576" t="s">
        <v>8030</v>
      </c>
      <c r="E4576" t="s">
        <v>9623</v>
      </c>
      <c r="F4576" t="s">
        <v>10299</v>
      </c>
      <c r="G4576">
        <v>5.7</v>
      </c>
      <c r="H4576" t="s">
        <v>10310</v>
      </c>
      <c r="I4576" t="s">
        <v>10326</v>
      </c>
      <c r="L4576">
        <v>2016</v>
      </c>
      <c r="R4576" t="s">
        <v>11038</v>
      </c>
      <c r="S4576" t="s">
        <v>10310</v>
      </c>
      <c r="U4576" t="s">
        <v>11049</v>
      </c>
      <c r="W4576" s="2" t="s">
        <v>11204</v>
      </c>
    </row>
    <row r="4577" spans="1:23" hidden="1" x14ac:dyDescent="0.45">
      <c r="A4577" s="1" t="s">
        <v>4514</v>
      </c>
      <c r="B4577" t="s">
        <v>6274</v>
      </c>
      <c r="D4577" t="s">
        <v>8070</v>
      </c>
      <c r="E4577" t="s">
        <v>4102</v>
      </c>
      <c r="F4577" t="s">
        <v>10299</v>
      </c>
      <c r="G4577">
        <v>1.2</v>
      </c>
      <c r="H4577" t="s">
        <v>10310</v>
      </c>
      <c r="I4577" t="s">
        <v>10324</v>
      </c>
      <c r="L4577">
        <v>1969</v>
      </c>
      <c r="R4577" t="s">
        <v>11038</v>
      </c>
      <c r="S4577" t="s">
        <v>10310</v>
      </c>
      <c r="U4577" t="s">
        <v>11048</v>
      </c>
      <c r="V4577" t="s">
        <v>11182</v>
      </c>
      <c r="W4577" s="2" t="s">
        <v>11204</v>
      </c>
    </row>
    <row r="4578" spans="1:23" hidden="1" x14ac:dyDescent="0.45">
      <c r="A4578" s="1" t="s">
        <v>4515</v>
      </c>
      <c r="B4578" t="s">
        <v>6922</v>
      </c>
      <c r="D4578" t="s">
        <v>8041</v>
      </c>
      <c r="E4578" t="s">
        <v>9687</v>
      </c>
      <c r="F4578" t="s">
        <v>10299</v>
      </c>
      <c r="G4578">
        <v>0.93</v>
      </c>
      <c r="H4578" t="s">
        <v>10310</v>
      </c>
      <c r="I4578" t="s">
        <v>10326</v>
      </c>
      <c r="L4578">
        <v>2015</v>
      </c>
      <c r="R4578" t="s">
        <v>11038</v>
      </c>
      <c r="S4578" t="s">
        <v>10310</v>
      </c>
      <c r="U4578" t="s">
        <v>11047</v>
      </c>
      <c r="W4578" s="2" t="s">
        <v>11204</v>
      </c>
    </row>
    <row r="4579" spans="1:23" hidden="1" x14ac:dyDescent="0.45">
      <c r="A4579" s="1" t="s">
        <v>4515</v>
      </c>
      <c r="B4579" t="s">
        <v>6278</v>
      </c>
      <c r="D4579" t="s">
        <v>7777</v>
      </c>
      <c r="E4579" t="s">
        <v>9674</v>
      </c>
      <c r="F4579" t="s">
        <v>10299</v>
      </c>
      <c r="G4579">
        <v>4.7</v>
      </c>
      <c r="H4579" t="s">
        <v>10310</v>
      </c>
      <c r="I4579" t="s">
        <v>10326</v>
      </c>
      <c r="L4579">
        <v>2018</v>
      </c>
      <c r="R4579" t="s">
        <v>11038</v>
      </c>
      <c r="S4579" t="s">
        <v>10310</v>
      </c>
      <c r="U4579" t="s">
        <v>11048</v>
      </c>
      <c r="W4579" s="2" t="s">
        <v>11204</v>
      </c>
    </row>
    <row r="4580" spans="1:23" hidden="1" x14ac:dyDescent="0.45">
      <c r="A4580" s="1" t="s">
        <v>4516</v>
      </c>
      <c r="B4580" t="s">
        <v>6281</v>
      </c>
      <c r="D4580" t="s">
        <v>8033</v>
      </c>
      <c r="E4580" t="s">
        <v>9666</v>
      </c>
      <c r="F4580" t="s">
        <v>10299</v>
      </c>
      <c r="G4580">
        <v>2.9</v>
      </c>
      <c r="H4580" t="s">
        <v>10310</v>
      </c>
      <c r="I4580" t="s">
        <v>10326</v>
      </c>
      <c r="L4580">
        <v>2014</v>
      </c>
      <c r="R4580" t="s">
        <v>11038</v>
      </c>
      <c r="S4580" t="s">
        <v>10310</v>
      </c>
      <c r="U4580" t="s">
        <v>11048</v>
      </c>
      <c r="W4580" s="2" t="s">
        <v>11204</v>
      </c>
    </row>
    <row r="4581" spans="1:23" hidden="1" x14ac:dyDescent="0.45">
      <c r="A4581" s="1" t="s">
        <v>4517</v>
      </c>
      <c r="B4581" t="s">
        <v>6923</v>
      </c>
      <c r="D4581" t="s">
        <v>8070</v>
      </c>
      <c r="E4581" t="s">
        <v>3591</v>
      </c>
      <c r="F4581" t="s">
        <v>10299</v>
      </c>
      <c r="G4581">
        <v>3.26</v>
      </c>
      <c r="H4581" t="s">
        <v>10310</v>
      </c>
      <c r="I4581" t="s">
        <v>10326</v>
      </c>
      <c r="L4581">
        <v>2016</v>
      </c>
      <c r="R4581" t="s">
        <v>11038</v>
      </c>
      <c r="S4581" t="s">
        <v>10310</v>
      </c>
      <c r="U4581" t="s">
        <v>11046</v>
      </c>
      <c r="W4581" s="2" t="s">
        <v>11204</v>
      </c>
    </row>
    <row r="4582" spans="1:23" hidden="1" x14ac:dyDescent="0.45">
      <c r="A4582" s="1" t="s">
        <v>4518</v>
      </c>
      <c r="B4582" t="s">
        <v>6281</v>
      </c>
      <c r="D4582" t="s">
        <v>8053</v>
      </c>
      <c r="E4582" t="s">
        <v>9743</v>
      </c>
      <c r="F4582" t="s">
        <v>10299</v>
      </c>
      <c r="G4582">
        <v>3</v>
      </c>
      <c r="H4582" t="s">
        <v>10310</v>
      </c>
      <c r="I4582" t="s">
        <v>10326</v>
      </c>
      <c r="L4582">
        <v>2016</v>
      </c>
      <c r="R4582" t="s">
        <v>11038</v>
      </c>
      <c r="S4582" t="s">
        <v>10310</v>
      </c>
      <c r="U4582" t="s">
        <v>11049</v>
      </c>
      <c r="W4582" s="2" t="s">
        <v>11204</v>
      </c>
    </row>
    <row r="4583" spans="1:23" hidden="1" x14ac:dyDescent="0.45">
      <c r="A4583" s="1" t="s">
        <v>4519</v>
      </c>
      <c r="B4583" t="s">
        <v>6924</v>
      </c>
      <c r="D4583" t="s">
        <v>8042</v>
      </c>
      <c r="E4583" t="s">
        <v>1588</v>
      </c>
      <c r="F4583" t="s">
        <v>10299</v>
      </c>
      <c r="G4583">
        <v>0.95599999999999996</v>
      </c>
      <c r="H4583" t="s">
        <v>10310</v>
      </c>
      <c r="I4583" t="s">
        <v>10326</v>
      </c>
      <c r="L4583">
        <v>2004</v>
      </c>
      <c r="R4583" t="s">
        <v>11038</v>
      </c>
      <c r="S4583" t="s">
        <v>10310</v>
      </c>
      <c r="U4583" t="s">
        <v>11047</v>
      </c>
      <c r="W4583" s="2" t="s">
        <v>11204</v>
      </c>
    </row>
    <row r="4584" spans="1:23" hidden="1" x14ac:dyDescent="0.45">
      <c r="A4584" s="1" t="s">
        <v>4520</v>
      </c>
      <c r="B4584" t="s">
        <v>6274</v>
      </c>
      <c r="D4584" t="s">
        <v>8070</v>
      </c>
      <c r="E4584" t="s">
        <v>9754</v>
      </c>
      <c r="F4584" t="s">
        <v>10299</v>
      </c>
      <c r="G4584">
        <v>32</v>
      </c>
      <c r="H4584" t="s">
        <v>10310</v>
      </c>
      <c r="I4584" t="s">
        <v>10326</v>
      </c>
      <c r="L4584">
        <v>1964</v>
      </c>
      <c r="R4584" t="s">
        <v>11038</v>
      </c>
      <c r="S4584" t="s">
        <v>10310</v>
      </c>
      <c r="U4584" t="s">
        <v>11047</v>
      </c>
      <c r="W4584" s="2" t="s">
        <v>11204</v>
      </c>
    </row>
    <row r="4585" spans="1:23" hidden="1" x14ac:dyDescent="0.45">
      <c r="A4585" s="1" t="s">
        <v>4521</v>
      </c>
      <c r="B4585" t="s">
        <v>6434</v>
      </c>
      <c r="D4585" t="s">
        <v>8082</v>
      </c>
      <c r="E4585" t="s">
        <v>9756</v>
      </c>
      <c r="F4585" t="s">
        <v>10299</v>
      </c>
      <c r="G4585">
        <v>374</v>
      </c>
      <c r="H4585" t="s">
        <v>10310</v>
      </c>
      <c r="I4585" t="s">
        <v>10326</v>
      </c>
      <c r="L4585">
        <v>2004</v>
      </c>
      <c r="R4585" t="s">
        <v>11038</v>
      </c>
      <c r="S4585" t="s">
        <v>10310</v>
      </c>
      <c r="U4585" t="s">
        <v>11049</v>
      </c>
      <c r="W4585" s="2" t="s">
        <v>11204</v>
      </c>
    </row>
    <row r="4586" spans="1:23" hidden="1" x14ac:dyDescent="0.45">
      <c r="A4586" s="1" t="s">
        <v>4522</v>
      </c>
      <c r="B4586" t="s">
        <v>6925</v>
      </c>
      <c r="D4586" t="s">
        <v>8056</v>
      </c>
      <c r="E4586" t="s">
        <v>9688</v>
      </c>
      <c r="F4586" t="s">
        <v>10299</v>
      </c>
      <c r="G4586">
        <v>7.0000000000000007E-2</v>
      </c>
      <c r="H4586" t="s">
        <v>10310</v>
      </c>
      <c r="I4586" t="s">
        <v>10326</v>
      </c>
      <c r="L4586">
        <v>1913</v>
      </c>
      <c r="R4586" t="s">
        <v>11038</v>
      </c>
      <c r="S4586" t="s">
        <v>10310</v>
      </c>
      <c r="U4586" t="s">
        <v>11047</v>
      </c>
      <c r="W4586" s="2" t="s">
        <v>11204</v>
      </c>
    </row>
    <row r="4587" spans="1:23" hidden="1" x14ac:dyDescent="0.45">
      <c r="A4587" s="1" t="s">
        <v>4523</v>
      </c>
      <c r="B4587" t="s">
        <v>6290</v>
      </c>
      <c r="D4587" t="s">
        <v>8032</v>
      </c>
      <c r="E4587" t="s">
        <v>9834</v>
      </c>
      <c r="F4587" t="s">
        <v>10299</v>
      </c>
      <c r="G4587">
        <v>3.3</v>
      </c>
      <c r="H4587" t="s">
        <v>10310</v>
      </c>
      <c r="I4587" t="s">
        <v>10326</v>
      </c>
      <c r="L4587">
        <v>1949</v>
      </c>
      <c r="R4587" t="s">
        <v>11038</v>
      </c>
      <c r="S4587" t="s">
        <v>10310</v>
      </c>
      <c r="U4587" t="s">
        <v>11050</v>
      </c>
      <c r="W4587" s="2" t="s">
        <v>11204</v>
      </c>
    </row>
    <row r="4588" spans="1:23" hidden="1" x14ac:dyDescent="0.45">
      <c r="A4588" s="1" t="s">
        <v>4524</v>
      </c>
      <c r="B4588" t="s">
        <v>6290</v>
      </c>
      <c r="D4588" t="s">
        <v>8032</v>
      </c>
      <c r="E4588" t="s">
        <v>9834</v>
      </c>
      <c r="F4588" t="s">
        <v>10299</v>
      </c>
      <c r="G4588">
        <v>2.2000000000000002</v>
      </c>
      <c r="H4588" t="s">
        <v>10310</v>
      </c>
      <c r="I4588" t="s">
        <v>10326</v>
      </c>
      <c r="L4588">
        <v>1958</v>
      </c>
      <c r="R4588" t="s">
        <v>11038</v>
      </c>
      <c r="S4588" t="s">
        <v>10310</v>
      </c>
      <c r="U4588" t="s">
        <v>11050</v>
      </c>
      <c r="W4588" s="2" t="s">
        <v>11204</v>
      </c>
    </row>
    <row r="4589" spans="1:23" hidden="1" x14ac:dyDescent="0.45">
      <c r="A4589" s="1" t="s">
        <v>4525</v>
      </c>
      <c r="B4589" t="s">
        <v>6433</v>
      </c>
      <c r="D4589" t="s">
        <v>8061</v>
      </c>
      <c r="E4589" t="s">
        <v>9665</v>
      </c>
      <c r="F4589" t="s">
        <v>10299</v>
      </c>
      <c r="G4589">
        <v>5.55</v>
      </c>
      <c r="H4589" t="s">
        <v>10310</v>
      </c>
      <c r="I4589" t="s">
        <v>10326</v>
      </c>
      <c r="L4589">
        <v>2017</v>
      </c>
      <c r="R4589" t="s">
        <v>11038</v>
      </c>
      <c r="S4589" t="s">
        <v>10310</v>
      </c>
      <c r="U4589" t="s">
        <v>11046</v>
      </c>
      <c r="W4589" s="2" t="s">
        <v>11204</v>
      </c>
    </row>
    <row r="4590" spans="1:23" hidden="1" x14ac:dyDescent="0.45">
      <c r="A4590" s="1" t="s">
        <v>4526</v>
      </c>
      <c r="B4590" t="s">
        <v>6378</v>
      </c>
      <c r="D4590" t="s">
        <v>8063</v>
      </c>
      <c r="E4590" t="s">
        <v>9727</v>
      </c>
      <c r="F4590" t="s">
        <v>10299</v>
      </c>
      <c r="G4590">
        <v>2.8</v>
      </c>
      <c r="H4590" t="s">
        <v>10310</v>
      </c>
      <c r="I4590" t="s">
        <v>10326</v>
      </c>
      <c r="L4590">
        <v>1941</v>
      </c>
      <c r="R4590" t="s">
        <v>11038</v>
      </c>
      <c r="S4590" t="s">
        <v>10310</v>
      </c>
      <c r="U4590" t="s">
        <v>11049</v>
      </c>
      <c r="W4590" s="2" t="s">
        <v>11204</v>
      </c>
    </row>
    <row r="4591" spans="1:23" hidden="1" x14ac:dyDescent="0.45">
      <c r="A4591" s="1" t="s">
        <v>4527</v>
      </c>
      <c r="B4591" t="s">
        <v>6274</v>
      </c>
      <c r="D4591" t="s">
        <v>8048</v>
      </c>
      <c r="E4591" t="s">
        <v>9642</v>
      </c>
      <c r="F4591" t="s">
        <v>10299</v>
      </c>
      <c r="G4591">
        <v>0.5</v>
      </c>
      <c r="H4591" t="s">
        <v>10310</v>
      </c>
      <c r="I4591" t="s">
        <v>10324</v>
      </c>
      <c r="L4591">
        <v>2001</v>
      </c>
      <c r="R4591" t="s">
        <v>11038</v>
      </c>
      <c r="S4591" t="s">
        <v>10310</v>
      </c>
      <c r="U4591" t="s">
        <v>11046</v>
      </c>
      <c r="V4591" t="s">
        <v>11182</v>
      </c>
      <c r="W4591" s="2" t="s">
        <v>11204</v>
      </c>
    </row>
    <row r="4592" spans="1:23" hidden="1" x14ac:dyDescent="0.45">
      <c r="A4592" s="1" t="s">
        <v>4528</v>
      </c>
      <c r="B4592" t="s">
        <v>6926</v>
      </c>
      <c r="D4592" t="s">
        <v>8061</v>
      </c>
      <c r="E4592" t="s">
        <v>9665</v>
      </c>
      <c r="F4592" t="s">
        <v>10299</v>
      </c>
      <c r="G4592">
        <v>4.8</v>
      </c>
      <c r="H4592" t="s">
        <v>10310</v>
      </c>
      <c r="I4592" t="s">
        <v>10326</v>
      </c>
      <c r="L4592">
        <v>2002</v>
      </c>
      <c r="R4592" t="s">
        <v>11038</v>
      </c>
      <c r="S4592" t="s">
        <v>10310</v>
      </c>
      <c r="U4592" t="s">
        <v>11046</v>
      </c>
      <c r="W4592" s="2" t="s">
        <v>11204</v>
      </c>
    </row>
    <row r="4593" spans="1:23" hidden="1" x14ac:dyDescent="0.45">
      <c r="A4593" s="1" t="s">
        <v>4529</v>
      </c>
      <c r="B4593" t="s">
        <v>6274</v>
      </c>
      <c r="D4593" t="s">
        <v>8048</v>
      </c>
      <c r="E4593" t="s">
        <v>9642</v>
      </c>
      <c r="F4593" t="s">
        <v>10299</v>
      </c>
      <c r="G4593">
        <v>224</v>
      </c>
      <c r="H4593" t="s">
        <v>10310</v>
      </c>
      <c r="I4593" t="s">
        <v>10326</v>
      </c>
      <c r="L4593">
        <v>1967</v>
      </c>
      <c r="R4593" t="s">
        <v>11038</v>
      </c>
      <c r="S4593" t="s">
        <v>10310</v>
      </c>
      <c r="U4593" t="s">
        <v>11046</v>
      </c>
      <c r="W4593" s="2" t="s">
        <v>11204</v>
      </c>
    </row>
    <row r="4594" spans="1:23" hidden="1" x14ac:dyDescent="0.45">
      <c r="A4594" s="1" t="s">
        <v>4530</v>
      </c>
      <c r="B4594" t="s">
        <v>6281</v>
      </c>
      <c r="D4594" t="s">
        <v>8036</v>
      </c>
      <c r="E4594" t="s">
        <v>9848</v>
      </c>
      <c r="F4594" t="s">
        <v>10299</v>
      </c>
      <c r="G4594">
        <v>1.46</v>
      </c>
      <c r="H4594" t="s">
        <v>10310</v>
      </c>
      <c r="I4594" t="s">
        <v>10326</v>
      </c>
      <c r="L4594">
        <v>2014</v>
      </c>
      <c r="R4594" t="s">
        <v>11038</v>
      </c>
      <c r="S4594" t="s">
        <v>10310</v>
      </c>
      <c r="U4594" t="s">
        <v>11048</v>
      </c>
      <c r="W4594" s="2" t="s">
        <v>11204</v>
      </c>
    </row>
    <row r="4595" spans="1:23" hidden="1" x14ac:dyDescent="0.45">
      <c r="A4595" s="1" t="s">
        <v>4531</v>
      </c>
      <c r="B4595" t="s">
        <v>6281</v>
      </c>
      <c r="D4595" t="s">
        <v>8065</v>
      </c>
      <c r="E4595" t="s">
        <v>9677</v>
      </c>
      <c r="F4595" t="s">
        <v>10299</v>
      </c>
      <c r="G4595">
        <v>0.99</v>
      </c>
      <c r="H4595" t="s">
        <v>10310</v>
      </c>
      <c r="I4595" t="s">
        <v>10326</v>
      </c>
      <c r="L4595">
        <v>2002</v>
      </c>
      <c r="R4595" t="s">
        <v>11038</v>
      </c>
      <c r="S4595" t="s">
        <v>10310</v>
      </c>
      <c r="U4595" t="s">
        <v>11047</v>
      </c>
      <c r="W4595" s="2" t="s">
        <v>11204</v>
      </c>
    </row>
    <row r="4596" spans="1:23" hidden="1" x14ac:dyDescent="0.45">
      <c r="A4596" s="1" t="s">
        <v>4532</v>
      </c>
      <c r="D4596" t="s">
        <v>8055</v>
      </c>
      <c r="E4596" t="s">
        <v>9702</v>
      </c>
      <c r="F4596" t="s">
        <v>10299</v>
      </c>
      <c r="G4596">
        <v>5.5E-2</v>
      </c>
      <c r="H4596" t="s">
        <v>10310</v>
      </c>
      <c r="I4596" t="s">
        <v>10326</v>
      </c>
      <c r="L4596">
        <v>1930</v>
      </c>
      <c r="R4596" t="s">
        <v>11038</v>
      </c>
      <c r="S4596" t="s">
        <v>10310</v>
      </c>
      <c r="U4596" t="s">
        <v>11047</v>
      </c>
      <c r="W4596" s="2" t="s">
        <v>11204</v>
      </c>
    </row>
    <row r="4597" spans="1:23" hidden="1" x14ac:dyDescent="0.45">
      <c r="A4597" s="1" t="s">
        <v>4533</v>
      </c>
      <c r="B4597" t="s">
        <v>6927</v>
      </c>
      <c r="D4597" t="s">
        <v>8070</v>
      </c>
      <c r="E4597" t="s">
        <v>4102</v>
      </c>
      <c r="F4597" t="s">
        <v>10299</v>
      </c>
      <c r="G4597">
        <v>0.7</v>
      </c>
      <c r="H4597" t="s">
        <v>10310</v>
      </c>
      <c r="I4597" t="s">
        <v>10326</v>
      </c>
      <c r="L4597">
        <v>2010</v>
      </c>
      <c r="R4597" t="s">
        <v>11038</v>
      </c>
      <c r="S4597" t="s">
        <v>10310</v>
      </c>
      <c r="U4597" t="s">
        <v>11048</v>
      </c>
      <c r="W4597" s="2" t="s">
        <v>11204</v>
      </c>
    </row>
    <row r="4598" spans="1:23" hidden="1" x14ac:dyDescent="0.45">
      <c r="A4598" s="1" t="s">
        <v>4534</v>
      </c>
      <c r="B4598" t="s">
        <v>6281</v>
      </c>
      <c r="D4598" t="s">
        <v>8057</v>
      </c>
      <c r="E4598" t="s">
        <v>9797</v>
      </c>
      <c r="F4598" t="s">
        <v>10299</v>
      </c>
      <c r="G4598">
        <v>3.5</v>
      </c>
      <c r="H4598" t="s">
        <v>10310</v>
      </c>
      <c r="I4598" t="s">
        <v>10326</v>
      </c>
      <c r="L4598">
        <v>1981</v>
      </c>
      <c r="R4598" t="s">
        <v>11038</v>
      </c>
      <c r="S4598" t="s">
        <v>10310</v>
      </c>
      <c r="U4598" t="s">
        <v>11049</v>
      </c>
      <c r="W4598" s="2" t="s">
        <v>11204</v>
      </c>
    </row>
    <row r="4599" spans="1:23" hidden="1" x14ac:dyDescent="0.45">
      <c r="A4599" s="1" t="s">
        <v>4535</v>
      </c>
      <c r="B4599" t="s">
        <v>6928</v>
      </c>
      <c r="D4599" t="s">
        <v>8080</v>
      </c>
      <c r="E4599" t="s">
        <v>9801</v>
      </c>
      <c r="F4599" t="s">
        <v>10299</v>
      </c>
      <c r="G4599">
        <v>1.5</v>
      </c>
      <c r="H4599" t="s">
        <v>10310</v>
      </c>
      <c r="I4599" t="s">
        <v>10326</v>
      </c>
      <c r="L4599">
        <v>2005</v>
      </c>
      <c r="R4599" t="s">
        <v>11038</v>
      </c>
      <c r="S4599" t="s">
        <v>10310</v>
      </c>
      <c r="U4599" t="s">
        <v>11049</v>
      </c>
      <c r="W4599" s="2" t="s">
        <v>11204</v>
      </c>
    </row>
    <row r="4600" spans="1:23" hidden="1" x14ac:dyDescent="0.45">
      <c r="A4600" s="1" t="s">
        <v>4536</v>
      </c>
      <c r="B4600" t="s">
        <v>6929</v>
      </c>
      <c r="D4600" t="s">
        <v>8052</v>
      </c>
      <c r="E4600" t="s">
        <v>9650</v>
      </c>
      <c r="F4600" t="s">
        <v>10299</v>
      </c>
      <c r="G4600">
        <v>0.6</v>
      </c>
      <c r="H4600" t="s">
        <v>10310</v>
      </c>
      <c r="I4600" t="s">
        <v>10326</v>
      </c>
      <c r="L4600">
        <v>2006</v>
      </c>
      <c r="R4600" t="s">
        <v>11038</v>
      </c>
      <c r="S4600" t="s">
        <v>10310</v>
      </c>
      <c r="U4600" t="s">
        <v>11047</v>
      </c>
      <c r="W4600" s="2" t="s">
        <v>11204</v>
      </c>
    </row>
    <row r="4601" spans="1:23" hidden="1" x14ac:dyDescent="0.45">
      <c r="A4601" s="1" t="s">
        <v>4537</v>
      </c>
      <c r="B4601" t="s">
        <v>6311</v>
      </c>
      <c r="D4601" t="s">
        <v>8062</v>
      </c>
      <c r="E4601" t="s">
        <v>9823</v>
      </c>
      <c r="F4601" t="s">
        <v>10299</v>
      </c>
      <c r="G4601">
        <v>9.4</v>
      </c>
      <c r="H4601" t="s">
        <v>10310</v>
      </c>
      <c r="I4601" t="s">
        <v>10326</v>
      </c>
      <c r="L4601">
        <v>2006</v>
      </c>
      <c r="R4601" t="s">
        <v>11038</v>
      </c>
      <c r="S4601" t="s">
        <v>10310</v>
      </c>
      <c r="U4601" t="s">
        <v>11046</v>
      </c>
      <c r="W4601" s="2" t="s">
        <v>11204</v>
      </c>
    </row>
    <row r="4602" spans="1:23" hidden="1" x14ac:dyDescent="0.45">
      <c r="A4602" s="1" t="s">
        <v>4538</v>
      </c>
      <c r="B4602" t="s">
        <v>6683</v>
      </c>
      <c r="D4602" t="s">
        <v>8043</v>
      </c>
      <c r="E4602" t="s">
        <v>9822</v>
      </c>
      <c r="F4602" t="s">
        <v>10299</v>
      </c>
      <c r="G4602">
        <v>2.1</v>
      </c>
      <c r="H4602" t="s">
        <v>10310</v>
      </c>
      <c r="I4602" t="s">
        <v>10326</v>
      </c>
      <c r="L4602">
        <v>1931</v>
      </c>
      <c r="R4602" t="s">
        <v>11038</v>
      </c>
      <c r="S4602" t="s">
        <v>10310</v>
      </c>
      <c r="U4602" t="s">
        <v>11047</v>
      </c>
      <c r="W4602" s="2" t="s">
        <v>11204</v>
      </c>
    </row>
    <row r="4603" spans="1:23" hidden="1" x14ac:dyDescent="0.45">
      <c r="A4603" s="1" t="s">
        <v>4538</v>
      </c>
      <c r="B4603" t="s">
        <v>6930</v>
      </c>
      <c r="D4603" t="s">
        <v>8025</v>
      </c>
      <c r="E4603" t="s">
        <v>9618</v>
      </c>
      <c r="F4603" t="s">
        <v>10299</v>
      </c>
      <c r="G4603">
        <v>6.4</v>
      </c>
      <c r="H4603" t="s">
        <v>10310</v>
      </c>
      <c r="I4603" t="s">
        <v>10326</v>
      </c>
      <c r="L4603">
        <v>1963</v>
      </c>
      <c r="R4603" t="s">
        <v>11038</v>
      </c>
      <c r="S4603" t="s">
        <v>10310</v>
      </c>
      <c r="U4603" t="s">
        <v>11046</v>
      </c>
      <c r="W4603" s="2" t="s">
        <v>11204</v>
      </c>
    </row>
    <row r="4604" spans="1:23" hidden="1" x14ac:dyDescent="0.45">
      <c r="A4604" s="1" t="s">
        <v>4539</v>
      </c>
      <c r="B4604" t="s">
        <v>6923</v>
      </c>
      <c r="D4604" t="s">
        <v>8070</v>
      </c>
      <c r="E4604" t="s">
        <v>3591</v>
      </c>
      <c r="F4604" t="s">
        <v>10299</v>
      </c>
      <c r="G4604">
        <v>5.42</v>
      </c>
      <c r="H4604" t="s">
        <v>10310</v>
      </c>
      <c r="I4604" t="s">
        <v>10326</v>
      </c>
      <c r="L4604">
        <v>2016</v>
      </c>
      <c r="R4604" t="s">
        <v>11038</v>
      </c>
      <c r="S4604" t="s">
        <v>10310</v>
      </c>
      <c r="U4604" t="s">
        <v>11046</v>
      </c>
      <c r="W4604" s="2" t="s">
        <v>11204</v>
      </c>
    </row>
    <row r="4605" spans="1:23" hidden="1" x14ac:dyDescent="0.45">
      <c r="A4605" s="1" t="s">
        <v>4540</v>
      </c>
      <c r="B4605" t="s">
        <v>6344</v>
      </c>
      <c r="D4605" t="s">
        <v>8055</v>
      </c>
      <c r="E4605" t="s">
        <v>9824</v>
      </c>
      <c r="F4605" t="s">
        <v>10299</v>
      </c>
      <c r="G4605">
        <v>35</v>
      </c>
      <c r="H4605" t="s">
        <v>10310</v>
      </c>
      <c r="I4605" t="s">
        <v>10326</v>
      </c>
      <c r="L4605">
        <v>1985</v>
      </c>
      <c r="R4605" t="s">
        <v>11038</v>
      </c>
      <c r="S4605" t="s">
        <v>10310</v>
      </c>
      <c r="U4605" t="s">
        <v>11047</v>
      </c>
      <c r="W4605" s="2" t="s">
        <v>11204</v>
      </c>
    </row>
    <row r="4606" spans="1:23" hidden="1" x14ac:dyDescent="0.45">
      <c r="A4606" s="1" t="s">
        <v>4541</v>
      </c>
      <c r="B4606" t="s">
        <v>6319</v>
      </c>
      <c r="D4606" t="s">
        <v>8025</v>
      </c>
      <c r="E4606" t="s">
        <v>9860</v>
      </c>
      <c r="F4606" t="s">
        <v>10299</v>
      </c>
      <c r="G4606">
        <v>1.3</v>
      </c>
      <c r="H4606" t="s">
        <v>10310</v>
      </c>
      <c r="I4606" t="s">
        <v>10326</v>
      </c>
      <c r="L4606">
        <v>1917</v>
      </c>
      <c r="R4606" t="s">
        <v>11038</v>
      </c>
      <c r="S4606" t="s">
        <v>10310</v>
      </c>
      <c r="U4606" t="s">
        <v>11047</v>
      </c>
      <c r="W4606" s="2" t="s">
        <v>11204</v>
      </c>
    </row>
    <row r="4607" spans="1:23" hidden="1" x14ac:dyDescent="0.45">
      <c r="A4607" s="1" t="s">
        <v>4542</v>
      </c>
      <c r="B4607" t="s">
        <v>6408</v>
      </c>
      <c r="D4607" t="s">
        <v>8031</v>
      </c>
      <c r="E4607" t="s">
        <v>9772</v>
      </c>
      <c r="F4607" t="s">
        <v>10299</v>
      </c>
      <c r="G4607">
        <v>1.3998999999999999</v>
      </c>
      <c r="H4607" t="s">
        <v>10310</v>
      </c>
      <c r="I4607" t="s">
        <v>10326</v>
      </c>
      <c r="L4607">
        <v>1921</v>
      </c>
      <c r="R4607" t="s">
        <v>11038</v>
      </c>
      <c r="S4607" t="s">
        <v>10310</v>
      </c>
      <c r="U4607" t="s">
        <v>11049</v>
      </c>
      <c r="W4607" s="2" t="s">
        <v>11204</v>
      </c>
    </row>
    <row r="4608" spans="1:23" hidden="1" x14ac:dyDescent="0.45">
      <c r="A4608" s="1" t="s">
        <v>4543</v>
      </c>
      <c r="B4608" t="s">
        <v>6378</v>
      </c>
      <c r="D4608" t="s">
        <v>8031</v>
      </c>
      <c r="E4608" t="s">
        <v>9772</v>
      </c>
      <c r="F4608" t="s">
        <v>10299</v>
      </c>
      <c r="G4608">
        <v>20</v>
      </c>
      <c r="H4608" t="s">
        <v>10310</v>
      </c>
      <c r="I4608" t="s">
        <v>10326</v>
      </c>
      <c r="L4608">
        <v>1974</v>
      </c>
      <c r="R4608" t="s">
        <v>11038</v>
      </c>
      <c r="S4608" t="s">
        <v>10310</v>
      </c>
      <c r="U4608" t="s">
        <v>11049</v>
      </c>
      <c r="W4608" s="2" t="s">
        <v>11204</v>
      </c>
    </row>
    <row r="4609" spans="1:23" hidden="1" x14ac:dyDescent="0.45">
      <c r="A4609" s="1" t="s">
        <v>4544</v>
      </c>
      <c r="B4609" t="s">
        <v>6402</v>
      </c>
      <c r="D4609" t="s">
        <v>8029</v>
      </c>
      <c r="E4609" t="s">
        <v>9861</v>
      </c>
      <c r="F4609" t="s">
        <v>10299</v>
      </c>
      <c r="G4609">
        <v>1.1000000000000001</v>
      </c>
      <c r="H4609" t="s">
        <v>10310</v>
      </c>
      <c r="I4609" t="s">
        <v>10326</v>
      </c>
      <c r="L4609">
        <v>1989</v>
      </c>
      <c r="R4609" t="s">
        <v>11038</v>
      </c>
      <c r="S4609" t="s">
        <v>10310</v>
      </c>
      <c r="U4609" t="s">
        <v>11047</v>
      </c>
      <c r="W4609" s="2" t="s">
        <v>11204</v>
      </c>
    </row>
    <row r="4610" spans="1:23" hidden="1" x14ac:dyDescent="0.45">
      <c r="A4610" s="1" t="s">
        <v>4545</v>
      </c>
      <c r="B4610" t="s">
        <v>6503</v>
      </c>
      <c r="D4610" t="s">
        <v>8046</v>
      </c>
      <c r="E4610" t="s">
        <v>9640</v>
      </c>
      <c r="F4610" t="s">
        <v>10299</v>
      </c>
      <c r="G4610">
        <v>19.5</v>
      </c>
      <c r="H4610" t="s">
        <v>10310</v>
      </c>
      <c r="I4610" t="s">
        <v>10326</v>
      </c>
      <c r="L4610">
        <v>1939</v>
      </c>
      <c r="R4610" t="s">
        <v>11038</v>
      </c>
      <c r="S4610" t="s">
        <v>10310</v>
      </c>
      <c r="U4610" t="s">
        <v>11047</v>
      </c>
      <c r="W4610" s="2" t="s">
        <v>11204</v>
      </c>
    </row>
    <row r="4611" spans="1:23" hidden="1" x14ac:dyDescent="0.45">
      <c r="A4611" s="1" t="s">
        <v>4546</v>
      </c>
      <c r="B4611" t="s">
        <v>6374</v>
      </c>
      <c r="D4611" t="s">
        <v>8067</v>
      </c>
      <c r="E4611" t="s">
        <v>9739</v>
      </c>
      <c r="F4611" t="s">
        <v>10299</v>
      </c>
      <c r="G4611">
        <v>0.84</v>
      </c>
      <c r="H4611" t="s">
        <v>10310</v>
      </c>
      <c r="I4611" t="s">
        <v>10326</v>
      </c>
      <c r="L4611">
        <v>1995</v>
      </c>
      <c r="R4611" t="s">
        <v>11038</v>
      </c>
      <c r="S4611" t="s">
        <v>10310</v>
      </c>
      <c r="U4611" t="s">
        <v>11048</v>
      </c>
      <c r="W4611" s="2" t="s">
        <v>11204</v>
      </c>
    </row>
    <row r="4612" spans="1:23" hidden="1" x14ac:dyDescent="0.45">
      <c r="A4612" s="1" t="s">
        <v>4547</v>
      </c>
      <c r="B4612" t="s">
        <v>6931</v>
      </c>
      <c r="D4612" t="s">
        <v>8042</v>
      </c>
      <c r="E4612" t="s">
        <v>1588</v>
      </c>
      <c r="F4612" t="s">
        <v>10299</v>
      </c>
      <c r="G4612">
        <v>0.9</v>
      </c>
      <c r="H4612" t="s">
        <v>10310</v>
      </c>
      <c r="I4612" t="s">
        <v>10326</v>
      </c>
      <c r="L4612">
        <v>2004</v>
      </c>
      <c r="R4612" t="s">
        <v>11038</v>
      </c>
      <c r="S4612" t="s">
        <v>10310</v>
      </c>
      <c r="U4612" t="s">
        <v>11047</v>
      </c>
      <c r="W4612" s="2" t="s">
        <v>11204</v>
      </c>
    </row>
    <row r="4613" spans="1:23" hidden="1" x14ac:dyDescent="0.45">
      <c r="A4613" s="1" t="s">
        <v>4548</v>
      </c>
      <c r="B4613" t="s">
        <v>6932</v>
      </c>
      <c r="D4613" t="s">
        <v>8084</v>
      </c>
      <c r="E4613" t="s">
        <v>9816</v>
      </c>
      <c r="F4613" t="s">
        <v>10299</v>
      </c>
      <c r="G4613">
        <v>0.21</v>
      </c>
      <c r="H4613" t="s">
        <v>10310</v>
      </c>
      <c r="I4613" t="s">
        <v>10326</v>
      </c>
      <c r="L4613">
        <v>2008</v>
      </c>
      <c r="R4613" t="s">
        <v>11038</v>
      </c>
      <c r="S4613" t="s">
        <v>10310</v>
      </c>
      <c r="U4613" t="s">
        <v>11048</v>
      </c>
      <c r="W4613" s="2" t="s">
        <v>11204</v>
      </c>
    </row>
    <row r="4614" spans="1:23" hidden="1" x14ac:dyDescent="0.45">
      <c r="A4614" s="1" t="s">
        <v>4549</v>
      </c>
      <c r="B4614" t="s">
        <v>6281</v>
      </c>
      <c r="D4614" t="s">
        <v>8036</v>
      </c>
      <c r="E4614" t="s">
        <v>9628</v>
      </c>
      <c r="F4614" t="s">
        <v>10299</v>
      </c>
      <c r="G4614">
        <v>2.8</v>
      </c>
      <c r="H4614" t="s">
        <v>10310</v>
      </c>
      <c r="I4614" t="s">
        <v>10326</v>
      </c>
      <c r="L4614">
        <v>2012</v>
      </c>
      <c r="R4614" t="s">
        <v>11038</v>
      </c>
      <c r="S4614" t="s">
        <v>10310</v>
      </c>
      <c r="U4614" t="s">
        <v>11048</v>
      </c>
      <c r="W4614" s="2" t="s">
        <v>11204</v>
      </c>
    </row>
    <row r="4615" spans="1:23" hidden="1" x14ac:dyDescent="0.45">
      <c r="A4615" s="1" t="s">
        <v>4550</v>
      </c>
      <c r="B4615" t="s">
        <v>6319</v>
      </c>
      <c r="D4615" t="s">
        <v>8031</v>
      </c>
      <c r="E4615" t="s">
        <v>9624</v>
      </c>
      <c r="F4615" t="s">
        <v>10299</v>
      </c>
      <c r="G4615">
        <v>8</v>
      </c>
      <c r="H4615" t="s">
        <v>10310</v>
      </c>
      <c r="I4615" t="s">
        <v>10326</v>
      </c>
      <c r="L4615">
        <v>2008</v>
      </c>
      <c r="R4615" t="s">
        <v>11038</v>
      </c>
      <c r="S4615" t="s">
        <v>10310</v>
      </c>
      <c r="U4615" t="s">
        <v>11047</v>
      </c>
      <c r="W4615" s="2" t="s">
        <v>11204</v>
      </c>
    </row>
    <row r="4616" spans="1:23" hidden="1" x14ac:dyDescent="0.45">
      <c r="A4616" s="1" t="s">
        <v>4551</v>
      </c>
      <c r="B4616" t="s">
        <v>6281</v>
      </c>
      <c r="D4616" t="s">
        <v>8033</v>
      </c>
      <c r="E4616" t="s">
        <v>9666</v>
      </c>
      <c r="F4616" t="s">
        <v>10299</v>
      </c>
      <c r="G4616">
        <v>1.6</v>
      </c>
      <c r="H4616" t="s">
        <v>10310</v>
      </c>
      <c r="I4616" t="s">
        <v>10326</v>
      </c>
      <c r="L4616">
        <v>2005</v>
      </c>
      <c r="R4616" t="s">
        <v>11038</v>
      </c>
      <c r="S4616" t="s">
        <v>10310</v>
      </c>
      <c r="U4616" t="s">
        <v>11048</v>
      </c>
      <c r="W4616" s="2" t="s">
        <v>11204</v>
      </c>
    </row>
    <row r="4617" spans="1:23" hidden="1" x14ac:dyDescent="0.45">
      <c r="A4617" s="1" t="s">
        <v>4552</v>
      </c>
      <c r="B4617" t="s">
        <v>6281</v>
      </c>
      <c r="D4617" t="s">
        <v>8046</v>
      </c>
      <c r="E4617" t="s">
        <v>9640</v>
      </c>
      <c r="F4617" t="s">
        <v>10299</v>
      </c>
      <c r="G4617">
        <v>5.49</v>
      </c>
      <c r="H4617" t="s">
        <v>10310</v>
      </c>
      <c r="I4617" t="s">
        <v>10326</v>
      </c>
      <c r="L4617">
        <v>2010</v>
      </c>
      <c r="R4617" t="s">
        <v>11038</v>
      </c>
      <c r="S4617" t="s">
        <v>10310</v>
      </c>
      <c r="U4617" t="s">
        <v>11047</v>
      </c>
      <c r="W4617" s="2" t="s">
        <v>11204</v>
      </c>
    </row>
    <row r="4618" spans="1:23" hidden="1" x14ac:dyDescent="0.45">
      <c r="A4618" s="1" t="s">
        <v>4552</v>
      </c>
      <c r="B4618" t="s">
        <v>6933</v>
      </c>
      <c r="D4618" t="s">
        <v>8033</v>
      </c>
      <c r="E4618" t="s">
        <v>9787</v>
      </c>
      <c r="F4618" t="s">
        <v>10299</v>
      </c>
      <c r="G4618">
        <v>9.98</v>
      </c>
      <c r="H4618" t="s">
        <v>10310</v>
      </c>
      <c r="I4618" t="s">
        <v>10326</v>
      </c>
      <c r="L4618">
        <v>2013</v>
      </c>
      <c r="R4618" t="s">
        <v>11038</v>
      </c>
      <c r="S4618" t="s">
        <v>10310</v>
      </c>
      <c r="U4618" t="s">
        <v>11047</v>
      </c>
      <c r="W4618" s="2" t="s">
        <v>11204</v>
      </c>
    </row>
    <row r="4619" spans="1:23" hidden="1" x14ac:dyDescent="0.45">
      <c r="A4619" s="1" t="s">
        <v>4553</v>
      </c>
      <c r="B4619" t="s">
        <v>6290</v>
      </c>
      <c r="D4619" t="s">
        <v>8082</v>
      </c>
      <c r="E4619" t="s">
        <v>4687</v>
      </c>
      <c r="F4619" t="s">
        <v>10299</v>
      </c>
      <c r="G4619">
        <v>184</v>
      </c>
      <c r="H4619" t="s">
        <v>10310</v>
      </c>
      <c r="I4619" t="s">
        <v>10326</v>
      </c>
      <c r="L4619">
        <v>1965</v>
      </c>
      <c r="R4619" t="s">
        <v>11038</v>
      </c>
      <c r="S4619" t="s">
        <v>10310</v>
      </c>
      <c r="U4619" t="s">
        <v>11049</v>
      </c>
      <c r="W4619" s="2" t="s">
        <v>11204</v>
      </c>
    </row>
    <row r="4620" spans="1:23" hidden="1" x14ac:dyDescent="0.45">
      <c r="A4620" s="1" t="s">
        <v>4554</v>
      </c>
      <c r="B4620" t="s">
        <v>6934</v>
      </c>
      <c r="D4620" t="s">
        <v>8080</v>
      </c>
      <c r="E4620" t="s">
        <v>9801</v>
      </c>
      <c r="F4620" t="s">
        <v>10299</v>
      </c>
      <c r="G4620">
        <v>36.5</v>
      </c>
      <c r="H4620" t="s">
        <v>10310</v>
      </c>
      <c r="I4620" t="s">
        <v>10326</v>
      </c>
      <c r="L4620">
        <v>1983</v>
      </c>
      <c r="R4620" t="s">
        <v>11038</v>
      </c>
      <c r="S4620" t="s">
        <v>10310</v>
      </c>
      <c r="U4620" t="s">
        <v>11049</v>
      </c>
      <c r="W4620" s="2" t="s">
        <v>11204</v>
      </c>
    </row>
    <row r="4621" spans="1:23" hidden="1" x14ac:dyDescent="0.45">
      <c r="A4621" s="1" t="s">
        <v>4555</v>
      </c>
      <c r="D4621" t="s">
        <v>8033</v>
      </c>
      <c r="E4621" t="s">
        <v>9787</v>
      </c>
      <c r="F4621" t="s">
        <v>10299</v>
      </c>
      <c r="G4621">
        <v>9.0000000000000011E-3</v>
      </c>
      <c r="H4621" t="s">
        <v>10310</v>
      </c>
      <c r="I4621" t="s">
        <v>10326</v>
      </c>
      <c r="L4621">
        <v>2000</v>
      </c>
      <c r="R4621" t="s">
        <v>11038</v>
      </c>
      <c r="S4621" t="s">
        <v>10310</v>
      </c>
      <c r="U4621" t="s">
        <v>11047</v>
      </c>
      <c r="W4621" s="2" t="s">
        <v>11204</v>
      </c>
    </row>
    <row r="4622" spans="1:23" hidden="1" x14ac:dyDescent="0.45">
      <c r="A4622" s="1" t="s">
        <v>4556</v>
      </c>
      <c r="B4622" t="s">
        <v>6935</v>
      </c>
      <c r="D4622" t="s">
        <v>8026</v>
      </c>
      <c r="E4622" t="s">
        <v>9619</v>
      </c>
      <c r="F4622" t="s">
        <v>10299</v>
      </c>
      <c r="G4622">
        <v>0.1</v>
      </c>
      <c r="H4622" t="s">
        <v>10310</v>
      </c>
      <c r="I4622" t="s">
        <v>10326</v>
      </c>
      <c r="L4622">
        <v>2005</v>
      </c>
      <c r="R4622" t="s">
        <v>11038</v>
      </c>
      <c r="S4622" t="s">
        <v>10310</v>
      </c>
      <c r="U4622" t="s">
        <v>11047</v>
      </c>
      <c r="W4622" s="2" t="s">
        <v>11204</v>
      </c>
    </row>
    <row r="4623" spans="1:23" hidden="1" x14ac:dyDescent="0.45">
      <c r="A4623" s="1" t="s">
        <v>4557</v>
      </c>
      <c r="D4623" t="s">
        <v>8065</v>
      </c>
      <c r="E4623" t="s">
        <v>9677</v>
      </c>
      <c r="F4623" t="s">
        <v>10299</v>
      </c>
      <c r="G4623">
        <v>2.5000000000000001E-2</v>
      </c>
      <c r="H4623" t="s">
        <v>10310</v>
      </c>
      <c r="I4623" t="s">
        <v>10326</v>
      </c>
      <c r="L4623">
        <v>1995</v>
      </c>
      <c r="R4623" t="s">
        <v>11038</v>
      </c>
      <c r="S4623" t="s">
        <v>10310</v>
      </c>
      <c r="U4623" t="s">
        <v>11047</v>
      </c>
      <c r="W4623" s="2" t="s">
        <v>11204</v>
      </c>
    </row>
    <row r="4624" spans="1:23" hidden="1" x14ac:dyDescent="0.45">
      <c r="A4624" s="1" t="s">
        <v>4558</v>
      </c>
      <c r="B4624" t="s">
        <v>6936</v>
      </c>
      <c r="D4624" t="s">
        <v>8048</v>
      </c>
      <c r="E4624" t="s">
        <v>9642</v>
      </c>
      <c r="F4624" t="s">
        <v>10299</v>
      </c>
      <c r="G4624">
        <v>0.4</v>
      </c>
      <c r="H4624" t="s">
        <v>10310</v>
      </c>
      <c r="I4624" t="s">
        <v>10326</v>
      </c>
      <c r="L4624">
        <v>2008</v>
      </c>
      <c r="R4624" t="s">
        <v>11038</v>
      </c>
      <c r="S4624" t="s">
        <v>10310</v>
      </c>
      <c r="U4624" t="s">
        <v>11049</v>
      </c>
      <c r="W4624" s="2" t="s">
        <v>11204</v>
      </c>
    </row>
    <row r="4625" spans="1:23" hidden="1" x14ac:dyDescent="0.45">
      <c r="A4625" s="1" t="s">
        <v>4559</v>
      </c>
      <c r="D4625" t="s">
        <v>8034</v>
      </c>
      <c r="E4625" t="s">
        <v>9820</v>
      </c>
      <c r="F4625" t="s">
        <v>10299</v>
      </c>
      <c r="G4625">
        <v>3.7000000000000012E-2</v>
      </c>
      <c r="H4625" t="s">
        <v>10310</v>
      </c>
      <c r="I4625" t="s">
        <v>10326</v>
      </c>
      <c r="L4625">
        <v>1993</v>
      </c>
      <c r="R4625" t="s">
        <v>11038</v>
      </c>
      <c r="S4625" t="s">
        <v>10310</v>
      </c>
      <c r="U4625" t="s">
        <v>11046</v>
      </c>
      <c r="W4625" s="2" t="s">
        <v>11204</v>
      </c>
    </row>
    <row r="4626" spans="1:23" hidden="1" x14ac:dyDescent="0.45">
      <c r="A4626" s="1" t="s">
        <v>4560</v>
      </c>
      <c r="B4626" t="s">
        <v>6294</v>
      </c>
      <c r="D4626" t="s">
        <v>8076</v>
      </c>
      <c r="E4626" t="s">
        <v>9719</v>
      </c>
      <c r="F4626" t="s">
        <v>10299</v>
      </c>
      <c r="G4626">
        <v>90</v>
      </c>
      <c r="H4626" t="s">
        <v>10310</v>
      </c>
      <c r="I4626" t="s">
        <v>10326</v>
      </c>
      <c r="L4626">
        <v>1967</v>
      </c>
      <c r="R4626" t="s">
        <v>11038</v>
      </c>
      <c r="S4626" t="s">
        <v>10310</v>
      </c>
      <c r="U4626" t="s">
        <v>11049</v>
      </c>
      <c r="W4626" s="2" t="s">
        <v>11204</v>
      </c>
    </row>
    <row r="4627" spans="1:23" hidden="1" x14ac:dyDescent="0.45">
      <c r="A4627" s="1" t="s">
        <v>4561</v>
      </c>
      <c r="B4627" t="s">
        <v>6294</v>
      </c>
      <c r="D4627" t="s">
        <v>8076</v>
      </c>
      <c r="E4627" t="s">
        <v>9719</v>
      </c>
      <c r="F4627" t="s">
        <v>10299</v>
      </c>
      <c r="G4627">
        <v>40</v>
      </c>
      <c r="H4627" t="s">
        <v>10310</v>
      </c>
      <c r="I4627" t="s">
        <v>10326</v>
      </c>
      <c r="L4627">
        <v>1967</v>
      </c>
      <c r="R4627" t="s">
        <v>11038</v>
      </c>
      <c r="S4627" t="s">
        <v>10310</v>
      </c>
      <c r="U4627" t="s">
        <v>11049</v>
      </c>
      <c r="W4627" s="2" t="s">
        <v>11204</v>
      </c>
    </row>
    <row r="4628" spans="1:23" hidden="1" x14ac:dyDescent="0.45">
      <c r="A4628" s="1" t="s">
        <v>4562</v>
      </c>
      <c r="B4628" t="s">
        <v>6937</v>
      </c>
      <c r="D4628" t="s">
        <v>8061</v>
      </c>
      <c r="E4628" t="s">
        <v>9665</v>
      </c>
      <c r="F4628" t="s">
        <v>10299</v>
      </c>
      <c r="G4628">
        <v>0.49</v>
      </c>
      <c r="H4628" t="s">
        <v>10310</v>
      </c>
      <c r="I4628" t="s">
        <v>10326</v>
      </c>
      <c r="L4628">
        <v>2007</v>
      </c>
      <c r="R4628" t="s">
        <v>11038</v>
      </c>
      <c r="S4628" t="s">
        <v>10310</v>
      </c>
      <c r="U4628" t="s">
        <v>11046</v>
      </c>
      <c r="W4628" s="2" t="s">
        <v>11204</v>
      </c>
    </row>
    <row r="4629" spans="1:23" hidden="1" x14ac:dyDescent="0.45">
      <c r="A4629" s="1" t="s">
        <v>4563</v>
      </c>
      <c r="B4629" t="s">
        <v>6938</v>
      </c>
      <c r="D4629" t="s">
        <v>8041</v>
      </c>
      <c r="E4629" t="s">
        <v>9687</v>
      </c>
      <c r="F4629" t="s">
        <v>10299</v>
      </c>
      <c r="G4629">
        <v>0.35</v>
      </c>
      <c r="H4629" t="s">
        <v>10310</v>
      </c>
      <c r="I4629" t="s">
        <v>10326</v>
      </c>
      <c r="L4629">
        <v>2003</v>
      </c>
      <c r="R4629" t="s">
        <v>11038</v>
      </c>
      <c r="S4629" t="s">
        <v>10310</v>
      </c>
      <c r="U4629" t="s">
        <v>11047</v>
      </c>
      <c r="W4629" s="2" t="s">
        <v>11204</v>
      </c>
    </row>
    <row r="4630" spans="1:23" hidden="1" x14ac:dyDescent="0.45">
      <c r="A4630" s="1" t="s">
        <v>4564</v>
      </c>
      <c r="B4630" t="s">
        <v>6294</v>
      </c>
      <c r="D4630" t="s">
        <v>8049</v>
      </c>
      <c r="E4630" t="s">
        <v>9716</v>
      </c>
      <c r="F4630" t="s">
        <v>10299</v>
      </c>
      <c r="G4630">
        <v>4.8899999999999997</v>
      </c>
      <c r="H4630" t="s">
        <v>10310</v>
      </c>
      <c r="I4630" t="s">
        <v>10326</v>
      </c>
      <c r="L4630">
        <v>1954</v>
      </c>
      <c r="R4630" t="s">
        <v>11038</v>
      </c>
      <c r="S4630" t="s">
        <v>10310</v>
      </c>
      <c r="U4630" t="s">
        <v>11046</v>
      </c>
      <c r="W4630" s="2" t="s">
        <v>11204</v>
      </c>
    </row>
    <row r="4631" spans="1:23" hidden="1" x14ac:dyDescent="0.45">
      <c r="A4631" s="1" t="s">
        <v>4565</v>
      </c>
      <c r="B4631" t="s">
        <v>6939</v>
      </c>
      <c r="D4631" t="s">
        <v>8043</v>
      </c>
      <c r="E4631" t="s">
        <v>9635</v>
      </c>
      <c r="F4631" t="s">
        <v>10299</v>
      </c>
      <c r="G4631">
        <v>1.1000000000000001</v>
      </c>
      <c r="H4631" t="s">
        <v>10310</v>
      </c>
      <c r="I4631" t="s">
        <v>10326</v>
      </c>
      <c r="L4631">
        <v>2014</v>
      </c>
      <c r="R4631" t="s">
        <v>11038</v>
      </c>
      <c r="S4631" t="s">
        <v>10310</v>
      </c>
      <c r="U4631" t="s">
        <v>11046</v>
      </c>
      <c r="W4631" s="2" t="s">
        <v>11204</v>
      </c>
    </row>
    <row r="4632" spans="1:23" hidden="1" x14ac:dyDescent="0.45">
      <c r="A4632" s="1" t="s">
        <v>4566</v>
      </c>
      <c r="B4632" t="s">
        <v>6940</v>
      </c>
      <c r="D4632" t="s">
        <v>8028</v>
      </c>
      <c r="E4632" t="s">
        <v>9653</v>
      </c>
      <c r="F4632" t="s">
        <v>10299</v>
      </c>
      <c r="G4632">
        <v>7.74</v>
      </c>
      <c r="H4632" t="s">
        <v>10310</v>
      </c>
      <c r="I4632" t="s">
        <v>10326</v>
      </c>
      <c r="L4632">
        <v>2019</v>
      </c>
      <c r="R4632" t="s">
        <v>11038</v>
      </c>
      <c r="S4632" t="s">
        <v>10310</v>
      </c>
      <c r="U4632" t="s">
        <v>11047</v>
      </c>
      <c r="W4632" s="2" t="s">
        <v>11204</v>
      </c>
    </row>
    <row r="4633" spans="1:23" hidden="1" x14ac:dyDescent="0.45">
      <c r="A4633" s="1" t="s">
        <v>4567</v>
      </c>
      <c r="B4633" t="s">
        <v>6941</v>
      </c>
      <c r="D4633" t="s">
        <v>8034</v>
      </c>
      <c r="E4633" t="s">
        <v>9627</v>
      </c>
      <c r="F4633" t="s">
        <v>10299</v>
      </c>
      <c r="G4633">
        <v>3.8</v>
      </c>
      <c r="H4633" t="s">
        <v>10310</v>
      </c>
      <c r="I4633" t="s">
        <v>10326</v>
      </c>
      <c r="L4633">
        <v>1939</v>
      </c>
      <c r="R4633" t="s">
        <v>11038</v>
      </c>
      <c r="S4633" t="s">
        <v>10310</v>
      </c>
      <c r="U4633" t="s">
        <v>11046</v>
      </c>
      <c r="W4633" s="2" t="s">
        <v>11204</v>
      </c>
    </row>
    <row r="4634" spans="1:23" hidden="1" x14ac:dyDescent="0.45">
      <c r="A4634" s="1" t="s">
        <v>4568</v>
      </c>
      <c r="B4634" t="s">
        <v>6942</v>
      </c>
      <c r="D4634" t="s">
        <v>8028</v>
      </c>
      <c r="E4634" t="s">
        <v>9653</v>
      </c>
      <c r="F4634" t="s">
        <v>10299</v>
      </c>
      <c r="G4634">
        <v>0.98</v>
      </c>
      <c r="H4634" t="s">
        <v>10310</v>
      </c>
      <c r="I4634" t="s">
        <v>10326</v>
      </c>
      <c r="L4634">
        <v>2010</v>
      </c>
      <c r="R4634" t="s">
        <v>11038</v>
      </c>
      <c r="S4634" t="s">
        <v>10310</v>
      </c>
      <c r="U4634" t="s">
        <v>11047</v>
      </c>
      <c r="W4634" s="2" t="s">
        <v>11204</v>
      </c>
    </row>
    <row r="4635" spans="1:23" hidden="1" x14ac:dyDescent="0.45">
      <c r="A4635" s="1" t="s">
        <v>4569</v>
      </c>
      <c r="B4635" t="s">
        <v>6806</v>
      </c>
      <c r="D4635" t="s">
        <v>8053</v>
      </c>
      <c r="E4635" t="s">
        <v>9724</v>
      </c>
      <c r="F4635" t="s">
        <v>10299</v>
      </c>
      <c r="G4635">
        <v>9.1999999999999993</v>
      </c>
      <c r="H4635" t="s">
        <v>10310</v>
      </c>
      <c r="I4635" t="s">
        <v>10326</v>
      </c>
      <c r="L4635">
        <v>2015</v>
      </c>
      <c r="R4635" t="s">
        <v>11038</v>
      </c>
      <c r="S4635" t="s">
        <v>10310</v>
      </c>
      <c r="U4635" t="s">
        <v>11048</v>
      </c>
      <c r="W4635" s="2" t="s">
        <v>11204</v>
      </c>
    </row>
    <row r="4636" spans="1:23" hidden="1" x14ac:dyDescent="0.45">
      <c r="A4636" s="1" t="s">
        <v>4570</v>
      </c>
      <c r="B4636" t="s">
        <v>6943</v>
      </c>
      <c r="D4636" t="s">
        <v>8037</v>
      </c>
      <c r="E4636" t="s">
        <v>9629</v>
      </c>
      <c r="F4636" t="s">
        <v>10299</v>
      </c>
      <c r="G4636">
        <v>0.92</v>
      </c>
      <c r="H4636" t="s">
        <v>10310</v>
      </c>
      <c r="I4636" t="s">
        <v>10326</v>
      </c>
      <c r="L4636">
        <v>2006</v>
      </c>
      <c r="R4636" t="s">
        <v>11038</v>
      </c>
      <c r="S4636" t="s">
        <v>10310</v>
      </c>
      <c r="U4636" t="s">
        <v>11047</v>
      </c>
      <c r="W4636" s="2" t="s">
        <v>11204</v>
      </c>
    </row>
    <row r="4637" spans="1:23" hidden="1" x14ac:dyDescent="0.45">
      <c r="A4637" s="1" t="s">
        <v>4571</v>
      </c>
      <c r="B4637" t="s">
        <v>6342</v>
      </c>
      <c r="D4637" t="s">
        <v>8081</v>
      </c>
      <c r="E4637" t="s">
        <v>9731</v>
      </c>
      <c r="F4637" t="s">
        <v>10299</v>
      </c>
      <c r="G4637">
        <v>4.2770000000000001</v>
      </c>
      <c r="H4637" t="s">
        <v>10310</v>
      </c>
      <c r="I4637" t="s">
        <v>10326</v>
      </c>
      <c r="L4637">
        <v>1942</v>
      </c>
      <c r="R4637" t="s">
        <v>11038</v>
      </c>
      <c r="S4637" t="s">
        <v>10310</v>
      </c>
      <c r="U4637" t="s">
        <v>11047</v>
      </c>
      <c r="W4637" s="2" t="s">
        <v>11204</v>
      </c>
    </row>
    <row r="4638" spans="1:23" hidden="1" x14ac:dyDescent="0.45">
      <c r="A4638" s="1" t="s">
        <v>4572</v>
      </c>
      <c r="B4638" t="s">
        <v>6642</v>
      </c>
      <c r="D4638" t="s">
        <v>8080</v>
      </c>
      <c r="E4638" t="s">
        <v>9812</v>
      </c>
      <c r="F4638" t="s">
        <v>10299</v>
      </c>
      <c r="G4638">
        <v>1</v>
      </c>
      <c r="H4638" t="s">
        <v>10310</v>
      </c>
      <c r="I4638" t="s">
        <v>10326</v>
      </c>
      <c r="L4638">
        <v>2010</v>
      </c>
      <c r="R4638" t="s">
        <v>11038</v>
      </c>
      <c r="S4638" t="s">
        <v>10310</v>
      </c>
      <c r="U4638" t="s">
        <v>11048</v>
      </c>
      <c r="W4638" s="2" t="s">
        <v>11204</v>
      </c>
    </row>
    <row r="4639" spans="1:23" hidden="1" x14ac:dyDescent="0.45">
      <c r="A4639" s="1" t="s">
        <v>4573</v>
      </c>
      <c r="B4639" t="s">
        <v>6281</v>
      </c>
      <c r="D4639" t="s">
        <v>8033</v>
      </c>
      <c r="E4639" t="s">
        <v>9818</v>
      </c>
      <c r="F4639" t="s">
        <v>10299</v>
      </c>
      <c r="G4639">
        <v>1.93</v>
      </c>
      <c r="H4639" t="s">
        <v>10310</v>
      </c>
      <c r="I4639" t="s">
        <v>10326</v>
      </c>
      <c r="L4639">
        <v>2014</v>
      </c>
      <c r="R4639" t="s">
        <v>11038</v>
      </c>
      <c r="S4639" t="s">
        <v>10310</v>
      </c>
      <c r="U4639" t="s">
        <v>11047</v>
      </c>
      <c r="W4639" s="2" t="s">
        <v>11204</v>
      </c>
    </row>
    <row r="4640" spans="1:23" hidden="1" x14ac:dyDescent="0.45">
      <c r="A4640" s="1" t="s">
        <v>4574</v>
      </c>
      <c r="B4640" t="s">
        <v>6290</v>
      </c>
      <c r="D4640" t="s">
        <v>8049</v>
      </c>
      <c r="E4640" t="s">
        <v>9742</v>
      </c>
      <c r="F4640" t="s">
        <v>10299</v>
      </c>
      <c r="G4640">
        <v>344</v>
      </c>
      <c r="H4640" t="s">
        <v>10310</v>
      </c>
      <c r="I4640" t="s">
        <v>10326</v>
      </c>
      <c r="L4640">
        <v>1915</v>
      </c>
      <c r="R4640" t="s">
        <v>11038</v>
      </c>
      <c r="S4640" t="s">
        <v>10310</v>
      </c>
      <c r="U4640" t="s">
        <v>11050</v>
      </c>
      <c r="W4640" s="2" t="s">
        <v>11204</v>
      </c>
    </row>
    <row r="4641" spans="1:23" hidden="1" x14ac:dyDescent="0.45">
      <c r="A4641" s="1" t="s">
        <v>4575</v>
      </c>
      <c r="B4641" t="s">
        <v>6944</v>
      </c>
      <c r="D4641" t="s">
        <v>8030</v>
      </c>
      <c r="E4641" t="s">
        <v>9623</v>
      </c>
      <c r="F4641" t="s">
        <v>10299</v>
      </c>
      <c r="G4641">
        <v>9.5</v>
      </c>
      <c r="H4641" t="s">
        <v>10310</v>
      </c>
      <c r="I4641" t="s">
        <v>10326</v>
      </c>
      <c r="L4641">
        <v>2018</v>
      </c>
      <c r="R4641" t="s">
        <v>11038</v>
      </c>
      <c r="S4641" t="s">
        <v>10310</v>
      </c>
      <c r="U4641" t="s">
        <v>11049</v>
      </c>
      <c r="W4641" s="2" t="s">
        <v>11204</v>
      </c>
    </row>
    <row r="4642" spans="1:23" hidden="1" x14ac:dyDescent="0.45">
      <c r="A4642" s="1" t="s">
        <v>4576</v>
      </c>
      <c r="B4642" t="s">
        <v>6388</v>
      </c>
      <c r="D4642" t="s">
        <v>8066</v>
      </c>
      <c r="E4642" t="s">
        <v>9678</v>
      </c>
      <c r="F4642" t="s">
        <v>10299</v>
      </c>
      <c r="G4642">
        <v>3.5</v>
      </c>
      <c r="H4642" t="s">
        <v>10310</v>
      </c>
      <c r="I4642" t="s">
        <v>10326</v>
      </c>
      <c r="L4642">
        <v>1942</v>
      </c>
      <c r="R4642" t="s">
        <v>11038</v>
      </c>
      <c r="S4642" t="s">
        <v>10310</v>
      </c>
      <c r="U4642" t="s">
        <v>11048</v>
      </c>
      <c r="W4642" s="2" t="s">
        <v>11204</v>
      </c>
    </row>
    <row r="4643" spans="1:23" hidden="1" x14ac:dyDescent="0.45">
      <c r="A4643" s="1" t="s">
        <v>4577</v>
      </c>
      <c r="B4643" t="s">
        <v>6568</v>
      </c>
      <c r="D4643" t="s">
        <v>8080</v>
      </c>
      <c r="E4643" t="s">
        <v>9729</v>
      </c>
      <c r="F4643" t="s">
        <v>10299</v>
      </c>
      <c r="G4643">
        <v>3.8</v>
      </c>
      <c r="H4643" t="s">
        <v>10310</v>
      </c>
      <c r="I4643" t="s">
        <v>10326</v>
      </c>
      <c r="L4643">
        <v>2008</v>
      </c>
      <c r="R4643" t="s">
        <v>11038</v>
      </c>
      <c r="S4643" t="s">
        <v>10310</v>
      </c>
      <c r="U4643" t="s">
        <v>11049</v>
      </c>
      <c r="W4643" s="2" t="s">
        <v>11204</v>
      </c>
    </row>
    <row r="4644" spans="1:23" hidden="1" x14ac:dyDescent="0.45">
      <c r="A4644" s="1" t="s">
        <v>4578</v>
      </c>
      <c r="B4644" t="s">
        <v>6402</v>
      </c>
      <c r="D4644" t="s">
        <v>8037</v>
      </c>
      <c r="E4644" t="s">
        <v>9862</v>
      </c>
      <c r="F4644" t="s">
        <v>10299</v>
      </c>
      <c r="G4644">
        <v>0.78500000000000003</v>
      </c>
      <c r="H4644" t="s">
        <v>10310</v>
      </c>
      <c r="I4644" t="s">
        <v>10326</v>
      </c>
      <c r="L4644">
        <v>1914</v>
      </c>
      <c r="R4644" t="s">
        <v>11038</v>
      </c>
      <c r="S4644" t="s">
        <v>10310</v>
      </c>
      <c r="U4644" t="s">
        <v>11047</v>
      </c>
      <c r="W4644" s="2" t="s">
        <v>11204</v>
      </c>
    </row>
    <row r="4645" spans="1:23" hidden="1" x14ac:dyDescent="0.45">
      <c r="A4645" s="1" t="s">
        <v>4579</v>
      </c>
      <c r="B4645" t="s">
        <v>6945</v>
      </c>
      <c r="D4645" t="s">
        <v>8061</v>
      </c>
      <c r="E4645" t="s">
        <v>9665</v>
      </c>
      <c r="F4645" t="s">
        <v>10299</v>
      </c>
      <c r="G4645">
        <v>0.27</v>
      </c>
      <c r="H4645" t="s">
        <v>10310</v>
      </c>
      <c r="I4645" t="s">
        <v>10326</v>
      </c>
      <c r="L4645">
        <v>2003</v>
      </c>
      <c r="R4645" t="s">
        <v>11038</v>
      </c>
      <c r="S4645" t="s">
        <v>10310</v>
      </c>
      <c r="U4645" t="s">
        <v>11046</v>
      </c>
      <c r="W4645" s="2" t="s">
        <v>11204</v>
      </c>
    </row>
    <row r="4646" spans="1:23" hidden="1" x14ac:dyDescent="0.45">
      <c r="A4646" s="1" t="s">
        <v>4580</v>
      </c>
      <c r="B4646" t="s">
        <v>6290</v>
      </c>
      <c r="D4646" t="s">
        <v>8040</v>
      </c>
      <c r="E4646" t="s">
        <v>3764</v>
      </c>
      <c r="F4646" t="s">
        <v>10299</v>
      </c>
      <c r="G4646">
        <v>0.6</v>
      </c>
      <c r="H4646" t="s">
        <v>10310</v>
      </c>
      <c r="I4646" t="s">
        <v>10326</v>
      </c>
      <c r="L4646">
        <v>1985</v>
      </c>
      <c r="R4646" t="s">
        <v>11038</v>
      </c>
      <c r="S4646" t="s">
        <v>10310</v>
      </c>
      <c r="U4646" t="s">
        <v>11050</v>
      </c>
      <c r="W4646" s="2" t="s">
        <v>11204</v>
      </c>
    </row>
    <row r="4647" spans="1:23" hidden="1" x14ac:dyDescent="0.45">
      <c r="A4647" s="1" t="s">
        <v>4581</v>
      </c>
      <c r="B4647" t="s">
        <v>6319</v>
      </c>
      <c r="D4647" t="s">
        <v>8031</v>
      </c>
      <c r="E4647" t="s">
        <v>9624</v>
      </c>
      <c r="F4647" t="s">
        <v>10299</v>
      </c>
      <c r="G4647">
        <v>0.46</v>
      </c>
      <c r="H4647" t="s">
        <v>10310</v>
      </c>
      <c r="I4647" t="s">
        <v>10326</v>
      </c>
      <c r="L4647">
        <v>1934</v>
      </c>
      <c r="R4647" t="s">
        <v>11038</v>
      </c>
      <c r="S4647" t="s">
        <v>10310</v>
      </c>
      <c r="U4647" t="s">
        <v>11047</v>
      </c>
      <c r="W4647" s="2" t="s">
        <v>11204</v>
      </c>
    </row>
    <row r="4648" spans="1:23" hidden="1" x14ac:dyDescent="0.45">
      <c r="A4648" s="1" t="s">
        <v>4582</v>
      </c>
      <c r="B4648" t="s">
        <v>6946</v>
      </c>
      <c r="D4648" t="s">
        <v>8050</v>
      </c>
      <c r="E4648" t="s">
        <v>9740</v>
      </c>
      <c r="F4648" t="s">
        <v>10299</v>
      </c>
      <c r="G4648">
        <v>0.32</v>
      </c>
      <c r="H4648" t="s">
        <v>10310</v>
      </c>
      <c r="I4648" t="s">
        <v>10326</v>
      </c>
      <c r="L4648">
        <v>2008</v>
      </c>
      <c r="R4648" t="s">
        <v>11038</v>
      </c>
      <c r="S4648" t="s">
        <v>10310</v>
      </c>
      <c r="U4648" t="s">
        <v>11047</v>
      </c>
      <c r="W4648" s="2" t="s">
        <v>11204</v>
      </c>
    </row>
    <row r="4649" spans="1:23" hidden="1" x14ac:dyDescent="0.45">
      <c r="A4649" s="1" t="s">
        <v>4583</v>
      </c>
      <c r="B4649" t="s">
        <v>6278</v>
      </c>
      <c r="D4649" t="s">
        <v>8056</v>
      </c>
      <c r="E4649" t="s">
        <v>9752</v>
      </c>
      <c r="F4649" t="s">
        <v>10299</v>
      </c>
      <c r="G4649">
        <v>8.56</v>
      </c>
      <c r="H4649" t="s">
        <v>10310</v>
      </c>
      <c r="I4649" t="s">
        <v>10326</v>
      </c>
      <c r="L4649">
        <v>2019</v>
      </c>
      <c r="R4649" t="s">
        <v>11038</v>
      </c>
      <c r="S4649" t="s">
        <v>10310</v>
      </c>
      <c r="U4649" t="s">
        <v>11048</v>
      </c>
      <c r="W4649" s="2" t="s">
        <v>11204</v>
      </c>
    </row>
    <row r="4650" spans="1:23" hidden="1" x14ac:dyDescent="0.45">
      <c r="A4650" s="1" t="s">
        <v>4584</v>
      </c>
      <c r="B4650" t="s">
        <v>6947</v>
      </c>
      <c r="D4650" t="s">
        <v>8049</v>
      </c>
      <c r="E4650" t="s">
        <v>9708</v>
      </c>
      <c r="F4650" t="s">
        <v>10299</v>
      </c>
      <c r="G4650">
        <v>5.5</v>
      </c>
      <c r="H4650" t="s">
        <v>10310</v>
      </c>
      <c r="I4650" t="s">
        <v>10326</v>
      </c>
      <c r="L4650">
        <v>2008</v>
      </c>
      <c r="R4650" t="s">
        <v>11038</v>
      </c>
      <c r="S4650" t="s">
        <v>10310</v>
      </c>
      <c r="U4650" t="s">
        <v>11046</v>
      </c>
      <c r="W4650" s="2" t="s">
        <v>11204</v>
      </c>
    </row>
    <row r="4651" spans="1:23" hidden="1" x14ac:dyDescent="0.45">
      <c r="A4651" s="1" t="s">
        <v>4585</v>
      </c>
      <c r="B4651" t="s">
        <v>6392</v>
      </c>
      <c r="D4651" t="s">
        <v>8030</v>
      </c>
      <c r="E4651" t="s">
        <v>9768</v>
      </c>
      <c r="F4651" t="s">
        <v>10299</v>
      </c>
      <c r="G4651">
        <v>10</v>
      </c>
      <c r="H4651" t="s">
        <v>10310</v>
      </c>
      <c r="I4651" t="s">
        <v>10324</v>
      </c>
      <c r="L4651">
        <v>1973</v>
      </c>
      <c r="R4651" t="s">
        <v>11038</v>
      </c>
      <c r="S4651" t="s">
        <v>10310</v>
      </c>
      <c r="U4651" t="s">
        <v>11047</v>
      </c>
      <c r="V4651" t="s">
        <v>11182</v>
      </c>
      <c r="W4651" s="2" t="s">
        <v>11204</v>
      </c>
    </row>
    <row r="4652" spans="1:23" hidden="1" x14ac:dyDescent="0.45">
      <c r="A4652" s="1" t="s">
        <v>4586</v>
      </c>
      <c r="B4652" t="s">
        <v>6948</v>
      </c>
      <c r="D4652" t="s">
        <v>8026</v>
      </c>
      <c r="E4652" t="s">
        <v>9619</v>
      </c>
      <c r="F4652" t="s">
        <v>10299</v>
      </c>
      <c r="G4652">
        <v>0.65</v>
      </c>
      <c r="H4652" t="s">
        <v>10310</v>
      </c>
      <c r="I4652" t="s">
        <v>10326</v>
      </c>
      <c r="L4652">
        <v>2000</v>
      </c>
      <c r="R4652" t="s">
        <v>11038</v>
      </c>
      <c r="S4652" t="s">
        <v>10310</v>
      </c>
      <c r="U4652" t="s">
        <v>11047</v>
      </c>
      <c r="W4652" s="2" t="s">
        <v>11204</v>
      </c>
    </row>
    <row r="4653" spans="1:23" hidden="1" x14ac:dyDescent="0.45">
      <c r="A4653" s="1" t="s">
        <v>4587</v>
      </c>
      <c r="B4653" t="s">
        <v>6434</v>
      </c>
      <c r="D4653" t="s">
        <v>8061</v>
      </c>
      <c r="E4653" t="s">
        <v>9665</v>
      </c>
      <c r="F4653" t="s">
        <v>10299</v>
      </c>
      <c r="G4653">
        <v>4.8499999999999996</v>
      </c>
      <c r="H4653" t="s">
        <v>10310</v>
      </c>
      <c r="I4653" t="s">
        <v>10326</v>
      </c>
      <c r="L4653">
        <v>2012</v>
      </c>
      <c r="R4653" t="s">
        <v>11038</v>
      </c>
      <c r="S4653" t="s">
        <v>10310</v>
      </c>
      <c r="U4653" t="s">
        <v>11046</v>
      </c>
      <c r="W4653" s="2" t="s">
        <v>11204</v>
      </c>
    </row>
    <row r="4654" spans="1:23" hidden="1" x14ac:dyDescent="0.45">
      <c r="A4654" s="1" t="s">
        <v>4588</v>
      </c>
      <c r="B4654" t="s">
        <v>6281</v>
      </c>
      <c r="D4654" t="s">
        <v>8048</v>
      </c>
      <c r="E4654" t="s">
        <v>9642</v>
      </c>
      <c r="F4654" t="s">
        <v>10299</v>
      </c>
      <c r="G4654">
        <v>2.77</v>
      </c>
      <c r="H4654" t="s">
        <v>10310</v>
      </c>
      <c r="I4654" t="s">
        <v>10326</v>
      </c>
      <c r="L4654">
        <v>2015</v>
      </c>
      <c r="R4654" t="s">
        <v>11038</v>
      </c>
      <c r="S4654" t="s">
        <v>10310</v>
      </c>
      <c r="U4654" t="s">
        <v>11046</v>
      </c>
      <c r="W4654" s="2" t="s">
        <v>11204</v>
      </c>
    </row>
    <row r="4655" spans="1:23" hidden="1" x14ac:dyDescent="0.45">
      <c r="A4655" s="1" t="s">
        <v>4589</v>
      </c>
      <c r="B4655" t="s">
        <v>6274</v>
      </c>
      <c r="D4655" t="s">
        <v>8061</v>
      </c>
      <c r="E4655" t="s">
        <v>9665</v>
      </c>
      <c r="F4655" t="s">
        <v>10299</v>
      </c>
      <c r="G4655">
        <v>0.56000000000000005</v>
      </c>
      <c r="H4655" t="s">
        <v>10310</v>
      </c>
      <c r="I4655" t="s">
        <v>10324</v>
      </c>
      <c r="L4655">
        <v>2004</v>
      </c>
      <c r="R4655" t="s">
        <v>11038</v>
      </c>
      <c r="S4655" t="s">
        <v>10310</v>
      </c>
      <c r="U4655" t="s">
        <v>11046</v>
      </c>
      <c r="V4655" t="s">
        <v>11182</v>
      </c>
      <c r="W4655" s="2" t="s">
        <v>11204</v>
      </c>
    </row>
    <row r="4656" spans="1:23" hidden="1" x14ac:dyDescent="0.45">
      <c r="A4656" s="1" t="s">
        <v>4590</v>
      </c>
      <c r="B4656" t="s">
        <v>6949</v>
      </c>
      <c r="D4656" t="s">
        <v>7917</v>
      </c>
      <c r="E4656" t="s">
        <v>9672</v>
      </c>
      <c r="F4656" t="s">
        <v>10299</v>
      </c>
      <c r="G4656">
        <v>0.3</v>
      </c>
      <c r="H4656" t="s">
        <v>10310</v>
      </c>
      <c r="I4656" t="s">
        <v>10324</v>
      </c>
      <c r="L4656">
        <v>1996</v>
      </c>
      <c r="R4656" t="s">
        <v>11038</v>
      </c>
      <c r="S4656" t="s">
        <v>10310</v>
      </c>
      <c r="U4656" t="s">
        <v>11047</v>
      </c>
      <c r="V4656" t="s">
        <v>11182</v>
      </c>
      <c r="W4656" s="2" t="s">
        <v>11204</v>
      </c>
    </row>
    <row r="4657" spans="1:23" hidden="1" x14ac:dyDescent="0.45">
      <c r="A4657" s="1" t="s">
        <v>4591</v>
      </c>
      <c r="B4657" t="s">
        <v>6319</v>
      </c>
      <c r="D4657" t="s">
        <v>8031</v>
      </c>
      <c r="E4657" t="s">
        <v>9624</v>
      </c>
      <c r="F4657" t="s">
        <v>10299</v>
      </c>
      <c r="G4657">
        <v>3</v>
      </c>
      <c r="H4657" t="s">
        <v>10310</v>
      </c>
      <c r="I4657" t="s">
        <v>10326</v>
      </c>
      <c r="L4657">
        <v>1987</v>
      </c>
      <c r="R4657" t="s">
        <v>11038</v>
      </c>
      <c r="S4657" t="s">
        <v>10310</v>
      </c>
      <c r="U4657" t="s">
        <v>11047</v>
      </c>
      <c r="W4657" s="2" t="s">
        <v>11204</v>
      </c>
    </row>
    <row r="4658" spans="1:23" hidden="1" x14ac:dyDescent="0.45">
      <c r="A4658" s="1" t="s">
        <v>4592</v>
      </c>
      <c r="B4658" t="s">
        <v>6319</v>
      </c>
      <c r="D4658" t="s">
        <v>8032</v>
      </c>
      <c r="E4658" t="s">
        <v>9660</v>
      </c>
      <c r="F4658" t="s">
        <v>10299</v>
      </c>
      <c r="G4658">
        <v>3.9</v>
      </c>
      <c r="H4658" t="s">
        <v>10310</v>
      </c>
      <c r="I4658" t="s">
        <v>10326</v>
      </c>
      <c r="L4658">
        <v>2003</v>
      </c>
      <c r="R4658" t="s">
        <v>11038</v>
      </c>
      <c r="S4658" t="s">
        <v>10310</v>
      </c>
      <c r="U4658" t="s">
        <v>11047</v>
      </c>
      <c r="W4658" s="2" t="s">
        <v>11204</v>
      </c>
    </row>
    <row r="4659" spans="1:23" hidden="1" x14ac:dyDescent="0.45">
      <c r="A4659" s="1" t="s">
        <v>4593</v>
      </c>
      <c r="B4659" t="s">
        <v>6950</v>
      </c>
      <c r="D4659" t="s">
        <v>8037</v>
      </c>
      <c r="E4659" t="s">
        <v>9629</v>
      </c>
      <c r="F4659" t="s">
        <v>10299</v>
      </c>
      <c r="G4659">
        <v>2.0699999999999998</v>
      </c>
      <c r="H4659" t="s">
        <v>10310</v>
      </c>
      <c r="I4659" t="s">
        <v>10326</v>
      </c>
      <c r="L4659">
        <v>2001</v>
      </c>
      <c r="R4659" t="s">
        <v>11038</v>
      </c>
      <c r="S4659" t="s">
        <v>10310</v>
      </c>
      <c r="U4659" t="s">
        <v>11047</v>
      </c>
      <c r="W4659" s="2" t="s">
        <v>11204</v>
      </c>
    </row>
    <row r="4660" spans="1:23" hidden="1" x14ac:dyDescent="0.45">
      <c r="A4660" s="1" t="s">
        <v>4594</v>
      </c>
      <c r="B4660" t="s">
        <v>6951</v>
      </c>
      <c r="D4660" t="s">
        <v>8036</v>
      </c>
      <c r="E4660" t="s">
        <v>9807</v>
      </c>
      <c r="F4660" t="s">
        <v>10299</v>
      </c>
      <c r="G4660">
        <v>0.75</v>
      </c>
      <c r="H4660" t="s">
        <v>10310</v>
      </c>
      <c r="I4660" t="s">
        <v>10326</v>
      </c>
      <c r="L4660">
        <v>2008</v>
      </c>
      <c r="R4660" t="s">
        <v>11038</v>
      </c>
      <c r="S4660" t="s">
        <v>10310</v>
      </c>
      <c r="U4660" t="s">
        <v>11046</v>
      </c>
      <c r="W4660" s="2" t="s">
        <v>11204</v>
      </c>
    </row>
    <row r="4661" spans="1:23" hidden="1" x14ac:dyDescent="0.45">
      <c r="A4661" s="1" t="s">
        <v>4595</v>
      </c>
      <c r="B4661" t="s">
        <v>6952</v>
      </c>
      <c r="D4661" t="s">
        <v>8061</v>
      </c>
      <c r="E4661" t="s">
        <v>9665</v>
      </c>
      <c r="F4661" t="s">
        <v>10299</v>
      </c>
      <c r="G4661">
        <v>3</v>
      </c>
      <c r="H4661" t="s">
        <v>10310</v>
      </c>
      <c r="I4661" t="s">
        <v>10326</v>
      </c>
      <c r="L4661">
        <v>2009</v>
      </c>
      <c r="R4661" t="s">
        <v>11038</v>
      </c>
      <c r="S4661" t="s">
        <v>10310</v>
      </c>
      <c r="U4661" t="s">
        <v>11046</v>
      </c>
      <c r="W4661" s="2" t="s">
        <v>11204</v>
      </c>
    </row>
    <row r="4662" spans="1:23" hidden="1" x14ac:dyDescent="0.45">
      <c r="A4662" s="1" t="s">
        <v>4596</v>
      </c>
      <c r="B4662" t="s">
        <v>6434</v>
      </c>
      <c r="D4662" t="s">
        <v>8048</v>
      </c>
      <c r="E4662" t="s">
        <v>9762</v>
      </c>
      <c r="F4662" t="s">
        <v>10299</v>
      </c>
      <c r="G4662">
        <v>204</v>
      </c>
      <c r="H4662" t="s">
        <v>10310</v>
      </c>
      <c r="I4662" t="s">
        <v>10326</v>
      </c>
      <c r="L4662">
        <v>1971</v>
      </c>
      <c r="R4662" t="s">
        <v>11038</v>
      </c>
      <c r="S4662" t="s">
        <v>10310</v>
      </c>
      <c r="U4662" t="s">
        <v>11046</v>
      </c>
      <c r="W4662" s="2" t="s">
        <v>11204</v>
      </c>
    </row>
    <row r="4663" spans="1:23" hidden="1" x14ac:dyDescent="0.45">
      <c r="A4663" s="1" t="s">
        <v>4597</v>
      </c>
      <c r="B4663" t="s">
        <v>6378</v>
      </c>
      <c r="D4663" t="s">
        <v>8061</v>
      </c>
      <c r="E4663" t="s">
        <v>9679</v>
      </c>
      <c r="F4663" t="s">
        <v>10299</v>
      </c>
      <c r="G4663">
        <v>45</v>
      </c>
      <c r="H4663" t="s">
        <v>10310</v>
      </c>
      <c r="I4663" t="s">
        <v>10326</v>
      </c>
      <c r="L4663">
        <v>1976</v>
      </c>
      <c r="R4663" t="s">
        <v>11038</v>
      </c>
      <c r="S4663" t="s">
        <v>10310</v>
      </c>
      <c r="U4663" t="s">
        <v>11049</v>
      </c>
      <c r="W4663" s="2" t="s">
        <v>11204</v>
      </c>
    </row>
    <row r="4664" spans="1:23" hidden="1" x14ac:dyDescent="0.45">
      <c r="A4664" s="1" t="s">
        <v>4598</v>
      </c>
      <c r="B4664" t="s">
        <v>6953</v>
      </c>
      <c r="D4664" t="s">
        <v>8042</v>
      </c>
      <c r="E4664" t="s">
        <v>1588</v>
      </c>
      <c r="F4664" t="s">
        <v>10299</v>
      </c>
      <c r="G4664">
        <v>4.55</v>
      </c>
      <c r="H4664" t="s">
        <v>10310</v>
      </c>
      <c r="I4664" t="s">
        <v>10326</v>
      </c>
      <c r="L4664">
        <v>2018</v>
      </c>
      <c r="R4664" t="s">
        <v>11038</v>
      </c>
      <c r="S4664" t="s">
        <v>10310</v>
      </c>
      <c r="U4664" t="s">
        <v>11047</v>
      </c>
      <c r="W4664" s="2" t="s">
        <v>11204</v>
      </c>
    </row>
    <row r="4665" spans="1:23" hidden="1" x14ac:dyDescent="0.45">
      <c r="A4665" s="1" t="s">
        <v>4599</v>
      </c>
      <c r="B4665" t="s">
        <v>6954</v>
      </c>
      <c r="D4665" t="s">
        <v>8081</v>
      </c>
      <c r="E4665" t="s">
        <v>9731</v>
      </c>
      <c r="F4665" t="s">
        <v>10299</v>
      </c>
      <c r="G4665">
        <v>2.8</v>
      </c>
      <c r="H4665" t="s">
        <v>10310</v>
      </c>
      <c r="I4665" t="s">
        <v>10326</v>
      </c>
      <c r="L4665">
        <v>2013</v>
      </c>
      <c r="R4665" t="s">
        <v>11038</v>
      </c>
      <c r="S4665" t="s">
        <v>10310</v>
      </c>
      <c r="U4665" t="s">
        <v>11047</v>
      </c>
      <c r="W4665" s="2" t="s">
        <v>11204</v>
      </c>
    </row>
    <row r="4666" spans="1:23" hidden="1" x14ac:dyDescent="0.45">
      <c r="A4666" s="1" t="s">
        <v>4600</v>
      </c>
      <c r="B4666" t="s">
        <v>6955</v>
      </c>
      <c r="D4666" t="s">
        <v>8026</v>
      </c>
      <c r="E4666" t="s">
        <v>9721</v>
      </c>
      <c r="F4666" t="s">
        <v>10299</v>
      </c>
      <c r="G4666">
        <v>0.24</v>
      </c>
      <c r="H4666" t="s">
        <v>10310</v>
      </c>
      <c r="I4666" t="s">
        <v>10326</v>
      </c>
      <c r="L4666">
        <v>2004</v>
      </c>
      <c r="R4666" t="s">
        <v>11038</v>
      </c>
      <c r="S4666" t="s">
        <v>10310</v>
      </c>
      <c r="U4666" t="s">
        <v>11050</v>
      </c>
      <c r="W4666" s="2" t="s">
        <v>11204</v>
      </c>
    </row>
    <row r="4667" spans="1:23" hidden="1" x14ac:dyDescent="0.45">
      <c r="A4667" s="1" t="s">
        <v>4601</v>
      </c>
      <c r="B4667" t="s">
        <v>6859</v>
      </c>
      <c r="D4667" t="s">
        <v>8032</v>
      </c>
      <c r="E4667" t="s">
        <v>9863</v>
      </c>
      <c r="F4667" t="s">
        <v>10299</v>
      </c>
      <c r="G4667">
        <v>0.42499999999999999</v>
      </c>
      <c r="H4667" t="s">
        <v>10310</v>
      </c>
      <c r="I4667" t="s">
        <v>10326</v>
      </c>
      <c r="L4667">
        <v>1951</v>
      </c>
      <c r="R4667" t="s">
        <v>11038</v>
      </c>
      <c r="S4667" t="s">
        <v>10310</v>
      </c>
      <c r="U4667" t="s">
        <v>11046</v>
      </c>
      <c r="W4667" s="2" t="s">
        <v>11204</v>
      </c>
    </row>
    <row r="4668" spans="1:23" hidden="1" x14ac:dyDescent="0.45">
      <c r="A4668" s="1" t="s">
        <v>4602</v>
      </c>
      <c r="B4668" t="s">
        <v>6804</v>
      </c>
      <c r="D4668" t="s">
        <v>8064</v>
      </c>
      <c r="E4668" t="s">
        <v>9847</v>
      </c>
      <c r="F4668" t="s">
        <v>10299</v>
      </c>
      <c r="G4668">
        <v>0.4</v>
      </c>
      <c r="H4668" t="s">
        <v>10310</v>
      </c>
      <c r="I4668" t="s">
        <v>10326</v>
      </c>
      <c r="L4668">
        <v>1980</v>
      </c>
      <c r="R4668" t="s">
        <v>11038</v>
      </c>
      <c r="S4668" t="s">
        <v>10310</v>
      </c>
      <c r="U4668" t="s">
        <v>11050</v>
      </c>
      <c r="W4668" s="2" t="s">
        <v>11204</v>
      </c>
    </row>
    <row r="4669" spans="1:23" hidden="1" x14ac:dyDescent="0.45">
      <c r="A4669" s="1" t="s">
        <v>4603</v>
      </c>
      <c r="B4669" t="s">
        <v>6956</v>
      </c>
      <c r="D4669" t="s">
        <v>8063</v>
      </c>
      <c r="E4669" t="s">
        <v>9734</v>
      </c>
      <c r="F4669" t="s">
        <v>10299</v>
      </c>
      <c r="G4669">
        <v>4.9000000000000004</v>
      </c>
      <c r="H4669" t="s">
        <v>10310</v>
      </c>
      <c r="I4669" t="s">
        <v>10326</v>
      </c>
      <c r="L4669">
        <v>2010</v>
      </c>
      <c r="R4669" t="s">
        <v>11038</v>
      </c>
      <c r="S4669" t="s">
        <v>10310</v>
      </c>
      <c r="U4669" t="s">
        <v>11050</v>
      </c>
      <c r="W4669" s="2" t="s">
        <v>11204</v>
      </c>
    </row>
    <row r="4670" spans="1:23" hidden="1" x14ac:dyDescent="0.45">
      <c r="A4670" s="1" t="s">
        <v>4604</v>
      </c>
      <c r="B4670" t="s">
        <v>6957</v>
      </c>
      <c r="D4670" t="s">
        <v>8042</v>
      </c>
      <c r="E4670" t="s">
        <v>9780</v>
      </c>
      <c r="F4670" t="s">
        <v>10299</v>
      </c>
      <c r="G4670">
        <v>1.65</v>
      </c>
      <c r="H4670" t="s">
        <v>10310</v>
      </c>
      <c r="I4670" t="s">
        <v>10326</v>
      </c>
      <c r="L4670">
        <v>2009</v>
      </c>
      <c r="R4670" t="s">
        <v>11038</v>
      </c>
      <c r="S4670" t="s">
        <v>10310</v>
      </c>
      <c r="U4670" t="s">
        <v>11049</v>
      </c>
      <c r="W4670" s="2" t="s">
        <v>11204</v>
      </c>
    </row>
    <row r="4671" spans="1:23" hidden="1" x14ac:dyDescent="0.45">
      <c r="A4671" s="1" t="s">
        <v>4605</v>
      </c>
      <c r="B4671" t="s">
        <v>6274</v>
      </c>
      <c r="D4671" t="s">
        <v>8070</v>
      </c>
      <c r="E4671" t="s">
        <v>9754</v>
      </c>
      <c r="F4671" t="s">
        <v>10299</v>
      </c>
      <c r="G4671">
        <v>40</v>
      </c>
      <c r="H4671" t="s">
        <v>10310</v>
      </c>
      <c r="I4671" t="s">
        <v>10326</v>
      </c>
      <c r="L4671">
        <v>1971</v>
      </c>
      <c r="R4671" t="s">
        <v>11038</v>
      </c>
      <c r="S4671" t="s">
        <v>10310</v>
      </c>
      <c r="U4671" t="s">
        <v>11047</v>
      </c>
      <c r="W4671" s="2" t="s">
        <v>11204</v>
      </c>
    </row>
    <row r="4672" spans="1:23" hidden="1" x14ac:dyDescent="0.45">
      <c r="A4672" s="1" t="s">
        <v>4606</v>
      </c>
      <c r="B4672" t="s">
        <v>6348</v>
      </c>
      <c r="D4672" t="s">
        <v>8082</v>
      </c>
      <c r="E4672" t="s">
        <v>9864</v>
      </c>
      <c r="F4672" t="s">
        <v>10299</v>
      </c>
      <c r="G4672">
        <v>1.2</v>
      </c>
      <c r="H4672" t="s">
        <v>10310</v>
      </c>
      <c r="I4672" t="s">
        <v>10326</v>
      </c>
      <c r="L4672">
        <v>1983</v>
      </c>
      <c r="R4672" t="s">
        <v>11038</v>
      </c>
      <c r="S4672" t="s">
        <v>10310</v>
      </c>
      <c r="U4672" t="s">
        <v>11050</v>
      </c>
      <c r="W4672" s="2" t="s">
        <v>11204</v>
      </c>
    </row>
    <row r="4673" spans="1:23" hidden="1" x14ac:dyDescent="0.45">
      <c r="A4673" s="1" t="s">
        <v>4607</v>
      </c>
      <c r="B4673" t="s">
        <v>6839</v>
      </c>
      <c r="D4673" t="s">
        <v>7917</v>
      </c>
      <c r="E4673" t="s">
        <v>9786</v>
      </c>
      <c r="F4673" t="s">
        <v>10299</v>
      </c>
      <c r="G4673">
        <v>2.8</v>
      </c>
      <c r="H4673" t="s">
        <v>10310</v>
      </c>
      <c r="I4673" t="s">
        <v>10326</v>
      </c>
      <c r="L4673">
        <v>1984</v>
      </c>
      <c r="R4673" t="s">
        <v>11038</v>
      </c>
      <c r="S4673" t="s">
        <v>10310</v>
      </c>
      <c r="U4673" t="s">
        <v>11050</v>
      </c>
      <c r="W4673" s="2" t="s">
        <v>11204</v>
      </c>
    </row>
    <row r="4674" spans="1:23" hidden="1" x14ac:dyDescent="0.45">
      <c r="A4674" s="1" t="s">
        <v>4608</v>
      </c>
      <c r="B4674" t="s">
        <v>6734</v>
      </c>
      <c r="D4674" t="s">
        <v>8058</v>
      </c>
      <c r="E4674" t="s">
        <v>9662</v>
      </c>
      <c r="F4674" t="s">
        <v>10299</v>
      </c>
      <c r="G4674">
        <v>1.464</v>
      </c>
      <c r="H4674" t="s">
        <v>10310</v>
      </c>
      <c r="I4674" t="s">
        <v>10326</v>
      </c>
      <c r="L4674">
        <v>2014</v>
      </c>
      <c r="R4674" t="s">
        <v>11038</v>
      </c>
      <c r="S4674" t="s">
        <v>10310</v>
      </c>
      <c r="U4674" t="s">
        <v>11046</v>
      </c>
      <c r="W4674" s="2" t="s">
        <v>11204</v>
      </c>
    </row>
    <row r="4675" spans="1:23" hidden="1" x14ac:dyDescent="0.45">
      <c r="A4675" s="1" t="s">
        <v>4609</v>
      </c>
      <c r="B4675" t="s">
        <v>6378</v>
      </c>
      <c r="D4675" t="s">
        <v>8029</v>
      </c>
      <c r="E4675" t="s">
        <v>9661</v>
      </c>
      <c r="F4675" t="s">
        <v>10299</v>
      </c>
      <c r="G4675">
        <v>2.8</v>
      </c>
      <c r="H4675" t="s">
        <v>10310</v>
      </c>
      <c r="I4675" t="s">
        <v>10326</v>
      </c>
      <c r="L4675">
        <v>1999</v>
      </c>
      <c r="R4675" t="s">
        <v>11038</v>
      </c>
      <c r="S4675" t="s">
        <v>10310</v>
      </c>
      <c r="U4675" t="s">
        <v>11049</v>
      </c>
      <c r="W4675" s="2" t="s">
        <v>11204</v>
      </c>
    </row>
    <row r="4676" spans="1:23" hidden="1" x14ac:dyDescent="0.45">
      <c r="A4676" s="1" t="s">
        <v>4610</v>
      </c>
      <c r="B4676" t="s">
        <v>6319</v>
      </c>
      <c r="D4676" t="s">
        <v>8075</v>
      </c>
      <c r="E4676" t="s">
        <v>9715</v>
      </c>
      <c r="F4676" t="s">
        <v>10299</v>
      </c>
      <c r="G4676">
        <v>5.49</v>
      </c>
      <c r="H4676" t="s">
        <v>10310</v>
      </c>
      <c r="I4676" t="s">
        <v>10326</v>
      </c>
      <c r="L4676">
        <v>2012</v>
      </c>
      <c r="R4676" t="s">
        <v>11038</v>
      </c>
      <c r="S4676" t="s">
        <v>10310</v>
      </c>
      <c r="U4676" t="s">
        <v>11047</v>
      </c>
      <c r="W4676" s="2" t="s">
        <v>11204</v>
      </c>
    </row>
    <row r="4677" spans="1:23" hidden="1" x14ac:dyDescent="0.45">
      <c r="A4677" s="1" t="s">
        <v>4611</v>
      </c>
      <c r="B4677" t="s">
        <v>6336</v>
      </c>
      <c r="D4677" t="s">
        <v>8082</v>
      </c>
      <c r="E4677" t="s">
        <v>9756</v>
      </c>
      <c r="F4677" t="s">
        <v>10299</v>
      </c>
      <c r="G4677">
        <v>1.2</v>
      </c>
      <c r="H4677" t="s">
        <v>10310</v>
      </c>
      <c r="I4677" t="s">
        <v>10324</v>
      </c>
      <c r="L4677">
        <v>1987</v>
      </c>
      <c r="R4677" t="s">
        <v>11038</v>
      </c>
      <c r="S4677" t="s">
        <v>10310</v>
      </c>
      <c r="U4677" t="s">
        <v>11049</v>
      </c>
      <c r="V4677" t="s">
        <v>11182</v>
      </c>
      <c r="W4677" s="2" t="s">
        <v>11204</v>
      </c>
    </row>
    <row r="4678" spans="1:23" hidden="1" x14ac:dyDescent="0.45">
      <c r="A4678" s="1" t="s">
        <v>4612</v>
      </c>
      <c r="B4678" t="s">
        <v>6958</v>
      </c>
      <c r="D4678" t="s">
        <v>8063</v>
      </c>
      <c r="E4678" t="s">
        <v>9784</v>
      </c>
      <c r="F4678" t="s">
        <v>10299</v>
      </c>
      <c r="G4678">
        <v>26</v>
      </c>
      <c r="H4678" t="s">
        <v>10310</v>
      </c>
      <c r="I4678" t="s">
        <v>10326</v>
      </c>
      <c r="L4678">
        <v>1973</v>
      </c>
      <c r="R4678" t="s">
        <v>11038</v>
      </c>
      <c r="S4678" t="s">
        <v>10310</v>
      </c>
      <c r="U4678" t="s">
        <v>11046</v>
      </c>
      <c r="W4678" s="2" t="s">
        <v>11204</v>
      </c>
    </row>
    <row r="4679" spans="1:23" hidden="1" x14ac:dyDescent="0.45">
      <c r="A4679" s="1" t="s">
        <v>4613</v>
      </c>
      <c r="B4679" t="s">
        <v>6959</v>
      </c>
      <c r="D4679" t="s">
        <v>8060</v>
      </c>
      <c r="E4679" t="s">
        <v>9859</v>
      </c>
      <c r="F4679" t="s">
        <v>10299</v>
      </c>
      <c r="G4679">
        <v>0.04</v>
      </c>
      <c r="H4679" t="s">
        <v>10310</v>
      </c>
      <c r="I4679" t="s">
        <v>10326</v>
      </c>
      <c r="L4679">
        <v>2009</v>
      </c>
      <c r="R4679" t="s">
        <v>11038</v>
      </c>
      <c r="S4679" t="s">
        <v>10310</v>
      </c>
      <c r="U4679" t="s">
        <v>11050</v>
      </c>
      <c r="W4679" s="2" t="s">
        <v>11204</v>
      </c>
    </row>
    <row r="4680" spans="1:23" hidden="1" x14ac:dyDescent="0.45">
      <c r="A4680" s="1" t="s">
        <v>4614</v>
      </c>
      <c r="B4680" t="s">
        <v>6392</v>
      </c>
      <c r="D4680" t="s">
        <v>8052</v>
      </c>
      <c r="E4680" t="s">
        <v>9650</v>
      </c>
      <c r="F4680" t="s">
        <v>10299</v>
      </c>
      <c r="G4680">
        <v>1.2</v>
      </c>
      <c r="H4680" t="s">
        <v>10310</v>
      </c>
      <c r="I4680" t="s">
        <v>10326</v>
      </c>
      <c r="L4680">
        <v>1952</v>
      </c>
      <c r="R4680" t="s">
        <v>11038</v>
      </c>
      <c r="S4680" t="s">
        <v>10310</v>
      </c>
      <c r="U4680" t="s">
        <v>11047</v>
      </c>
      <c r="W4680" s="2" t="s">
        <v>11204</v>
      </c>
    </row>
    <row r="4681" spans="1:23" hidden="1" x14ac:dyDescent="0.45">
      <c r="A4681" s="1" t="s">
        <v>4614</v>
      </c>
      <c r="B4681" t="s">
        <v>6960</v>
      </c>
      <c r="D4681" t="s">
        <v>8043</v>
      </c>
      <c r="E4681" t="s">
        <v>9635</v>
      </c>
      <c r="F4681" t="s">
        <v>10299</v>
      </c>
      <c r="G4681">
        <v>1.52</v>
      </c>
      <c r="H4681" t="s">
        <v>10310</v>
      </c>
      <c r="I4681" t="s">
        <v>10326</v>
      </c>
      <c r="L4681">
        <v>2011</v>
      </c>
      <c r="R4681" t="s">
        <v>11038</v>
      </c>
      <c r="S4681" t="s">
        <v>10310</v>
      </c>
      <c r="U4681" t="s">
        <v>11046</v>
      </c>
      <c r="W4681" s="2" t="s">
        <v>11204</v>
      </c>
    </row>
    <row r="4682" spans="1:23" hidden="1" x14ac:dyDescent="0.45">
      <c r="A4682" s="1" t="s">
        <v>4615</v>
      </c>
      <c r="B4682" t="s">
        <v>6881</v>
      </c>
      <c r="D4682" t="s">
        <v>8070</v>
      </c>
      <c r="E4682" t="s">
        <v>4102</v>
      </c>
      <c r="F4682" t="s">
        <v>10299</v>
      </c>
      <c r="G4682">
        <v>1.1000000000000001</v>
      </c>
      <c r="H4682" t="s">
        <v>10310</v>
      </c>
      <c r="I4682" t="s">
        <v>10326</v>
      </c>
      <c r="L4682">
        <v>2007</v>
      </c>
      <c r="R4682" t="s">
        <v>11038</v>
      </c>
      <c r="S4682" t="s">
        <v>10310</v>
      </c>
      <c r="U4682" t="s">
        <v>11048</v>
      </c>
      <c r="W4682" s="2" t="s">
        <v>11204</v>
      </c>
    </row>
    <row r="4683" spans="1:23" hidden="1" x14ac:dyDescent="0.45">
      <c r="A4683" s="1" t="s">
        <v>4615</v>
      </c>
      <c r="B4683" t="s">
        <v>6961</v>
      </c>
      <c r="D4683" t="s">
        <v>8078</v>
      </c>
      <c r="E4683" t="s">
        <v>9725</v>
      </c>
      <c r="F4683" t="s">
        <v>10299</v>
      </c>
      <c r="G4683">
        <v>9.9000000000000005E-2</v>
      </c>
      <c r="H4683" t="s">
        <v>10310</v>
      </c>
      <c r="I4683" t="s">
        <v>10326</v>
      </c>
      <c r="L4683">
        <v>2008</v>
      </c>
      <c r="R4683" t="s">
        <v>11038</v>
      </c>
      <c r="S4683" t="s">
        <v>10310</v>
      </c>
      <c r="U4683" t="s">
        <v>11046</v>
      </c>
      <c r="W4683" s="2" t="s">
        <v>11204</v>
      </c>
    </row>
    <row r="4684" spans="1:23" hidden="1" x14ac:dyDescent="0.45">
      <c r="A4684" s="1" t="s">
        <v>4616</v>
      </c>
      <c r="B4684" t="s">
        <v>6962</v>
      </c>
      <c r="D4684" t="s">
        <v>8034</v>
      </c>
      <c r="E4684" t="s">
        <v>9627</v>
      </c>
      <c r="F4684" t="s">
        <v>10299</v>
      </c>
      <c r="G4684">
        <v>4.1399999999999997</v>
      </c>
      <c r="H4684" t="s">
        <v>10310</v>
      </c>
      <c r="I4684" t="s">
        <v>10326</v>
      </c>
      <c r="L4684">
        <v>2008</v>
      </c>
      <c r="R4684" t="s">
        <v>11038</v>
      </c>
      <c r="S4684" t="s">
        <v>10310</v>
      </c>
      <c r="U4684" t="s">
        <v>11046</v>
      </c>
      <c r="W4684" s="2" t="s">
        <v>11204</v>
      </c>
    </row>
    <row r="4685" spans="1:23" hidden="1" x14ac:dyDescent="0.45">
      <c r="A4685" s="1" t="s">
        <v>4616</v>
      </c>
      <c r="B4685" t="s">
        <v>6963</v>
      </c>
      <c r="D4685" t="s">
        <v>8026</v>
      </c>
      <c r="E4685" t="s">
        <v>9619</v>
      </c>
      <c r="F4685" t="s">
        <v>10299</v>
      </c>
      <c r="G4685">
        <v>5.4</v>
      </c>
      <c r="H4685" t="s">
        <v>10310</v>
      </c>
      <c r="I4685" t="s">
        <v>10326</v>
      </c>
      <c r="L4685">
        <v>2013</v>
      </c>
      <c r="R4685" t="s">
        <v>11038</v>
      </c>
      <c r="S4685" t="s">
        <v>10310</v>
      </c>
      <c r="U4685" t="s">
        <v>11047</v>
      </c>
      <c r="W4685" s="2" t="s">
        <v>11204</v>
      </c>
    </row>
    <row r="4686" spans="1:23" hidden="1" x14ac:dyDescent="0.45">
      <c r="A4686" s="1" t="s">
        <v>4617</v>
      </c>
      <c r="B4686" t="s">
        <v>6964</v>
      </c>
      <c r="D4686" t="s">
        <v>8080</v>
      </c>
      <c r="E4686" t="s">
        <v>9801</v>
      </c>
      <c r="F4686" t="s">
        <v>10299</v>
      </c>
      <c r="G4686">
        <v>1.25</v>
      </c>
      <c r="H4686" t="s">
        <v>10310</v>
      </c>
      <c r="I4686" t="s">
        <v>10326</v>
      </c>
      <c r="L4686">
        <v>2011</v>
      </c>
      <c r="R4686" t="s">
        <v>11038</v>
      </c>
      <c r="S4686" t="s">
        <v>10310</v>
      </c>
      <c r="U4686" t="s">
        <v>11049</v>
      </c>
      <c r="W4686" s="2" t="s">
        <v>11204</v>
      </c>
    </row>
    <row r="4687" spans="1:23" hidden="1" x14ac:dyDescent="0.45">
      <c r="A4687" s="1" t="s">
        <v>4618</v>
      </c>
      <c r="B4687" t="s">
        <v>6965</v>
      </c>
      <c r="D4687" t="s">
        <v>8042</v>
      </c>
      <c r="E4687" t="s">
        <v>1588</v>
      </c>
      <c r="F4687" t="s">
        <v>10299</v>
      </c>
      <c r="G4687">
        <v>1.1000000000000001</v>
      </c>
      <c r="H4687" t="s">
        <v>10310</v>
      </c>
      <c r="I4687" t="s">
        <v>10326</v>
      </c>
      <c r="L4687">
        <v>2001</v>
      </c>
      <c r="R4687" t="s">
        <v>11038</v>
      </c>
      <c r="S4687" t="s">
        <v>10310</v>
      </c>
      <c r="U4687" t="s">
        <v>11047</v>
      </c>
      <c r="W4687" s="2" t="s">
        <v>11204</v>
      </c>
    </row>
    <row r="4688" spans="1:23" hidden="1" x14ac:dyDescent="0.45">
      <c r="A4688" s="1" t="s">
        <v>4619</v>
      </c>
      <c r="B4688" t="s">
        <v>6966</v>
      </c>
      <c r="D4688" t="s">
        <v>8037</v>
      </c>
      <c r="E4688" t="s">
        <v>9629</v>
      </c>
      <c r="F4688" t="s">
        <v>10299</v>
      </c>
      <c r="G4688">
        <v>0.22700000000000001</v>
      </c>
      <c r="H4688" t="s">
        <v>10310</v>
      </c>
      <c r="I4688" t="s">
        <v>10326</v>
      </c>
      <c r="L4688">
        <v>2008</v>
      </c>
      <c r="R4688" t="s">
        <v>11038</v>
      </c>
      <c r="S4688" t="s">
        <v>10310</v>
      </c>
      <c r="U4688" t="s">
        <v>11047</v>
      </c>
      <c r="W4688" s="2" t="s">
        <v>11204</v>
      </c>
    </row>
    <row r="4689" spans="1:23" hidden="1" x14ac:dyDescent="0.45">
      <c r="A4689" s="1" t="s">
        <v>4620</v>
      </c>
      <c r="B4689" t="s">
        <v>6967</v>
      </c>
      <c r="D4689" t="s">
        <v>8049</v>
      </c>
      <c r="E4689" t="s">
        <v>9769</v>
      </c>
      <c r="F4689" t="s">
        <v>10299</v>
      </c>
      <c r="G4689">
        <v>4.4000000000000004</v>
      </c>
      <c r="H4689" t="s">
        <v>10310</v>
      </c>
      <c r="I4689" t="s">
        <v>10326</v>
      </c>
      <c r="L4689">
        <v>2003</v>
      </c>
      <c r="R4689" t="s">
        <v>11038</v>
      </c>
      <c r="S4689" t="s">
        <v>10310</v>
      </c>
      <c r="U4689" t="s">
        <v>11046</v>
      </c>
      <c r="W4689" s="2" t="s">
        <v>11204</v>
      </c>
    </row>
    <row r="4690" spans="1:23" hidden="1" x14ac:dyDescent="0.45">
      <c r="A4690" s="1" t="s">
        <v>4621</v>
      </c>
      <c r="B4690" t="s">
        <v>6968</v>
      </c>
      <c r="D4690" t="s">
        <v>8068</v>
      </c>
      <c r="E4690" t="s">
        <v>9682</v>
      </c>
      <c r="F4690" t="s">
        <v>10299</v>
      </c>
      <c r="G4690">
        <v>5.4</v>
      </c>
      <c r="H4690" t="s">
        <v>10310</v>
      </c>
      <c r="I4690" t="s">
        <v>10326</v>
      </c>
      <c r="L4690">
        <v>2005</v>
      </c>
      <c r="R4690" t="s">
        <v>11038</v>
      </c>
      <c r="S4690" t="s">
        <v>10310</v>
      </c>
      <c r="U4690" t="s">
        <v>11049</v>
      </c>
      <c r="W4690" s="2" t="s">
        <v>11204</v>
      </c>
    </row>
    <row r="4691" spans="1:23" hidden="1" x14ac:dyDescent="0.45">
      <c r="A4691" s="1" t="s">
        <v>4622</v>
      </c>
      <c r="B4691" t="s">
        <v>6969</v>
      </c>
      <c r="D4691" t="s">
        <v>8030</v>
      </c>
      <c r="E4691" t="s">
        <v>9623</v>
      </c>
      <c r="F4691" t="s">
        <v>10299</v>
      </c>
      <c r="G4691">
        <v>7.4999999999999997E-2</v>
      </c>
      <c r="H4691" t="s">
        <v>10310</v>
      </c>
      <c r="I4691" t="s">
        <v>10326</v>
      </c>
      <c r="L4691">
        <v>1933</v>
      </c>
      <c r="R4691" t="s">
        <v>11038</v>
      </c>
      <c r="S4691" t="s">
        <v>10310</v>
      </c>
      <c r="U4691" t="s">
        <v>11049</v>
      </c>
      <c r="W4691" s="2" t="s">
        <v>11204</v>
      </c>
    </row>
    <row r="4692" spans="1:23" hidden="1" x14ac:dyDescent="0.45">
      <c r="A4692" s="1" t="s">
        <v>4623</v>
      </c>
      <c r="B4692" t="s">
        <v>6274</v>
      </c>
      <c r="D4692" t="s">
        <v>8051</v>
      </c>
      <c r="E4692" t="s">
        <v>4623</v>
      </c>
      <c r="F4692" t="s">
        <v>10299</v>
      </c>
      <c r="G4692">
        <v>300</v>
      </c>
      <c r="H4692" t="s">
        <v>10310</v>
      </c>
      <c r="I4692" t="s">
        <v>10326</v>
      </c>
      <c r="L4692">
        <v>1964</v>
      </c>
      <c r="R4692" t="s">
        <v>11038</v>
      </c>
      <c r="S4692" t="s">
        <v>10310</v>
      </c>
      <c r="U4692" t="s">
        <v>11046</v>
      </c>
      <c r="W4692" s="2" t="s">
        <v>11204</v>
      </c>
    </row>
    <row r="4693" spans="1:23" hidden="1" x14ac:dyDescent="0.45">
      <c r="A4693" s="1" t="s">
        <v>4624</v>
      </c>
      <c r="B4693" t="s">
        <v>6716</v>
      </c>
      <c r="D4693" t="s">
        <v>8042</v>
      </c>
      <c r="E4693" t="s">
        <v>9865</v>
      </c>
      <c r="F4693" t="s">
        <v>10299</v>
      </c>
      <c r="G4693">
        <v>7.1</v>
      </c>
      <c r="H4693" t="s">
        <v>10310</v>
      </c>
      <c r="I4693" t="s">
        <v>10326</v>
      </c>
      <c r="L4693">
        <v>1983</v>
      </c>
      <c r="R4693" t="s">
        <v>11038</v>
      </c>
      <c r="S4693" t="s">
        <v>10310</v>
      </c>
      <c r="U4693" t="s">
        <v>11050</v>
      </c>
      <c r="W4693" s="2" t="s">
        <v>11204</v>
      </c>
    </row>
    <row r="4694" spans="1:23" hidden="1" x14ac:dyDescent="0.45">
      <c r="A4694" s="1" t="s">
        <v>4625</v>
      </c>
      <c r="B4694" t="s">
        <v>6970</v>
      </c>
      <c r="D4694" t="s">
        <v>8039</v>
      </c>
      <c r="E4694" t="s">
        <v>9695</v>
      </c>
      <c r="F4694" t="s">
        <v>10299</v>
      </c>
      <c r="G4694">
        <v>1.4</v>
      </c>
      <c r="H4694" t="s">
        <v>10310</v>
      </c>
      <c r="I4694" t="s">
        <v>10326</v>
      </c>
      <c r="L4694">
        <v>2005</v>
      </c>
      <c r="R4694" t="s">
        <v>11038</v>
      </c>
      <c r="S4694" t="s">
        <v>10310</v>
      </c>
      <c r="U4694" t="s">
        <v>11046</v>
      </c>
      <c r="W4694" s="2" t="s">
        <v>11204</v>
      </c>
    </row>
    <row r="4695" spans="1:23" hidden="1" x14ac:dyDescent="0.45">
      <c r="A4695" s="1" t="s">
        <v>4626</v>
      </c>
      <c r="B4695" t="s">
        <v>6308</v>
      </c>
      <c r="D4695" t="s">
        <v>8041</v>
      </c>
      <c r="E4695" t="s">
        <v>9633</v>
      </c>
      <c r="F4695" t="s">
        <v>10299</v>
      </c>
      <c r="G4695">
        <v>5</v>
      </c>
      <c r="H4695" t="s">
        <v>10310</v>
      </c>
      <c r="I4695" t="s">
        <v>10326</v>
      </c>
      <c r="L4695">
        <v>2009</v>
      </c>
      <c r="R4695" t="s">
        <v>11038</v>
      </c>
      <c r="S4695" t="s">
        <v>10310</v>
      </c>
      <c r="U4695" t="s">
        <v>11048</v>
      </c>
      <c r="W4695" s="2" t="s">
        <v>11204</v>
      </c>
    </row>
    <row r="4696" spans="1:23" hidden="1" x14ac:dyDescent="0.45">
      <c r="A4696" s="1" t="s">
        <v>4627</v>
      </c>
      <c r="D4696" t="s">
        <v>8027</v>
      </c>
      <c r="E4696" t="s">
        <v>9620</v>
      </c>
      <c r="F4696" t="s">
        <v>10299</v>
      </c>
      <c r="G4696">
        <v>0.2</v>
      </c>
      <c r="H4696" t="s">
        <v>10310</v>
      </c>
      <c r="I4696" t="s">
        <v>10326</v>
      </c>
      <c r="L4696">
        <v>1995</v>
      </c>
      <c r="R4696" t="s">
        <v>11038</v>
      </c>
      <c r="S4696" t="s">
        <v>10310</v>
      </c>
      <c r="U4696" t="s">
        <v>11046</v>
      </c>
      <c r="W4696" s="2" t="s">
        <v>11204</v>
      </c>
    </row>
    <row r="4697" spans="1:23" hidden="1" x14ac:dyDescent="0.45">
      <c r="A4697" s="1" t="s">
        <v>4628</v>
      </c>
      <c r="B4697" t="s">
        <v>6271</v>
      </c>
      <c r="D4697" t="s">
        <v>8041</v>
      </c>
      <c r="E4697" t="s">
        <v>9764</v>
      </c>
      <c r="F4697" t="s">
        <v>10299</v>
      </c>
      <c r="G4697">
        <v>33.5</v>
      </c>
      <c r="H4697" t="s">
        <v>10310</v>
      </c>
      <c r="I4697" t="s">
        <v>10326</v>
      </c>
      <c r="L4697">
        <v>1919</v>
      </c>
      <c r="R4697" t="s">
        <v>11038</v>
      </c>
      <c r="S4697" t="s">
        <v>10310</v>
      </c>
      <c r="U4697" t="s">
        <v>11046</v>
      </c>
      <c r="W4697" s="2" t="s">
        <v>11204</v>
      </c>
    </row>
    <row r="4698" spans="1:23" hidden="1" x14ac:dyDescent="0.45">
      <c r="A4698" s="1" t="s">
        <v>4629</v>
      </c>
      <c r="B4698" t="s">
        <v>6286</v>
      </c>
      <c r="D4698" t="s">
        <v>8028</v>
      </c>
      <c r="E4698" t="s">
        <v>9636</v>
      </c>
      <c r="F4698" t="s">
        <v>10299</v>
      </c>
      <c r="G4698">
        <v>12.5</v>
      </c>
      <c r="H4698" t="s">
        <v>10310</v>
      </c>
      <c r="I4698" t="s">
        <v>10326</v>
      </c>
      <c r="L4698">
        <v>1958</v>
      </c>
      <c r="R4698" t="s">
        <v>11038</v>
      </c>
      <c r="S4698" t="s">
        <v>10310</v>
      </c>
      <c r="U4698" t="s">
        <v>11050</v>
      </c>
      <c r="W4698" s="2" t="s">
        <v>11204</v>
      </c>
    </row>
    <row r="4699" spans="1:23" hidden="1" x14ac:dyDescent="0.45">
      <c r="A4699" s="1" t="s">
        <v>4630</v>
      </c>
      <c r="B4699" t="s">
        <v>6971</v>
      </c>
      <c r="D4699" t="s">
        <v>8041</v>
      </c>
      <c r="E4699" t="s">
        <v>9687</v>
      </c>
      <c r="F4699" t="s">
        <v>10299</v>
      </c>
      <c r="G4699">
        <v>4.9420000000000002</v>
      </c>
      <c r="H4699" t="s">
        <v>10310</v>
      </c>
      <c r="I4699" t="s">
        <v>10326</v>
      </c>
      <c r="L4699">
        <v>2013</v>
      </c>
      <c r="R4699" t="s">
        <v>11038</v>
      </c>
      <c r="S4699" t="s">
        <v>10310</v>
      </c>
      <c r="U4699" t="s">
        <v>11047</v>
      </c>
      <c r="W4699" s="2" t="s">
        <v>11204</v>
      </c>
    </row>
    <row r="4700" spans="1:23" hidden="1" x14ac:dyDescent="0.45">
      <c r="A4700" s="1" t="s">
        <v>4631</v>
      </c>
      <c r="B4700" t="s">
        <v>6972</v>
      </c>
      <c r="D4700" t="s">
        <v>8065</v>
      </c>
      <c r="E4700" t="s">
        <v>9677</v>
      </c>
      <c r="F4700" t="s">
        <v>10299</v>
      </c>
      <c r="G4700">
        <v>1</v>
      </c>
      <c r="H4700" t="s">
        <v>10310</v>
      </c>
      <c r="I4700" t="s">
        <v>10326</v>
      </c>
      <c r="L4700">
        <v>2012</v>
      </c>
      <c r="R4700" t="s">
        <v>11038</v>
      </c>
      <c r="S4700" t="s">
        <v>10310</v>
      </c>
      <c r="U4700" t="s">
        <v>11047</v>
      </c>
      <c r="W4700" s="2" t="s">
        <v>11204</v>
      </c>
    </row>
    <row r="4701" spans="1:23" hidden="1" x14ac:dyDescent="0.45">
      <c r="A4701" s="1" t="s">
        <v>4632</v>
      </c>
      <c r="B4701" t="s">
        <v>6973</v>
      </c>
      <c r="D4701" t="s">
        <v>8034</v>
      </c>
      <c r="E4701" t="s">
        <v>9627</v>
      </c>
      <c r="F4701" t="s">
        <v>10299</v>
      </c>
      <c r="G4701">
        <v>0.15</v>
      </c>
      <c r="H4701" t="s">
        <v>10310</v>
      </c>
      <c r="I4701" t="s">
        <v>10326</v>
      </c>
      <c r="L4701">
        <v>2000</v>
      </c>
      <c r="R4701" t="s">
        <v>11038</v>
      </c>
      <c r="S4701" t="s">
        <v>10310</v>
      </c>
      <c r="U4701" t="s">
        <v>11046</v>
      </c>
      <c r="W4701" s="2" t="s">
        <v>11204</v>
      </c>
    </row>
    <row r="4702" spans="1:23" hidden="1" x14ac:dyDescent="0.45">
      <c r="A4702" s="1" t="s">
        <v>4633</v>
      </c>
      <c r="D4702" t="s">
        <v>8044</v>
      </c>
      <c r="E4702" t="s">
        <v>9638</v>
      </c>
      <c r="F4702" t="s">
        <v>10299</v>
      </c>
      <c r="G4702">
        <v>6.0000000000000001E-3</v>
      </c>
      <c r="H4702" t="s">
        <v>10310</v>
      </c>
      <c r="I4702" t="s">
        <v>10326</v>
      </c>
      <c r="L4702">
        <v>2004</v>
      </c>
      <c r="R4702" t="s">
        <v>11038</v>
      </c>
      <c r="S4702" t="s">
        <v>10310</v>
      </c>
      <c r="U4702" t="s">
        <v>11047</v>
      </c>
      <c r="W4702" s="2" t="s">
        <v>11204</v>
      </c>
    </row>
    <row r="4703" spans="1:23" hidden="1" x14ac:dyDescent="0.45">
      <c r="A4703" s="1" t="s">
        <v>4634</v>
      </c>
      <c r="B4703" t="s">
        <v>6682</v>
      </c>
      <c r="D4703" t="s">
        <v>8083</v>
      </c>
      <c r="E4703" t="s">
        <v>9760</v>
      </c>
      <c r="F4703" t="s">
        <v>10299</v>
      </c>
      <c r="G4703">
        <v>1.59</v>
      </c>
      <c r="H4703" t="s">
        <v>10310</v>
      </c>
      <c r="I4703" t="s">
        <v>10326</v>
      </c>
      <c r="L4703">
        <v>1939</v>
      </c>
      <c r="R4703" t="s">
        <v>11038</v>
      </c>
      <c r="S4703" t="s">
        <v>10310</v>
      </c>
      <c r="U4703" t="s">
        <v>11047</v>
      </c>
      <c r="W4703" s="2" t="s">
        <v>11204</v>
      </c>
    </row>
    <row r="4704" spans="1:23" hidden="1" x14ac:dyDescent="0.45">
      <c r="A4704" s="1" t="s">
        <v>4635</v>
      </c>
      <c r="B4704" t="s">
        <v>6974</v>
      </c>
      <c r="D4704" t="s">
        <v>8030</v>
      </c>
      <c r="E4704" t="s">
        <v>9623</v>
      </c>
      <c r="F4704" t="s">
        <v>10299</v>
      </c>
      <c r="G4704">
        <v>7.1</v>
      </c>
      <c r="H4704" t="s">
        <v>10310</v>
      </c>
      <c r="I4704" t="s">
        <v>10326</v>
      </c>
      <c r="L4704">
        <v>2017</v>
      </c>
      <c r="R4704" t="s">
        <v>11038</v>
      </c>
      <c r="S4704" t="s">
        <v>10310</v>
      </c>
      <c r="U4704" t="s">
        <v>11049</v>
      </c>
      <c r="W4704" s="2" t="s">
        <v>11204</v>
      </c>
    </row>
    <row r="4705" spans="1:23" hidden="1" x14ac:dyDescent="0.45">
      <c r="A4705" s="1" t="s">
        <v>4636</v>
      </c>
      <c r="B4705" t="s">
        <v>6410</v>
      </c>
      <c r="D4705" t="s">
        <v>8025</v>
      </c>
      <c r="E4705" t="s">
        <v>9618</v>
      </c>
      <c r="F4705" t="s">
        <v>10299</v>
      </c>
      <c r="G4705">
        <v>36</v>
      </c>
      <c r="H4705" t="s">
        <v>10310</v>
      </c>
      <c r="I4705" t="s">
        <v>10326</v>
      </c>
      <c r="L4705">
        <v>1962</v>
      </c>
      <c r="R4705" t="s">
        <v>11038</v>
      </c>
      <c r="S4705" t="s">
        <v>10310</v>
      </c>
      <c r="U4705" t="s">
        <v>11046</v>
      </c>
      <c r="W4705" s="2" t="s">
        <v>11204</v>
      </c>
    </row>
    <row r="4706" spans="1:23" hidden="1" x14ac:dyDescent="0.45">
      <c r="A4706" s="1" t="s">
        <v>4637</v>
      </c>
      <c r="B4706" t="s">
        <v>6294</v>
      </c>
      <c r="D4706" t="s">
        <v>8071</v>
      </c>
      <c r="E4706" t="s">
        <v>9806</v>
      </c>
      <c r="F4706" t="s">
        <v>10299</v>
      </c>
      <c r="G4706">
        <v>10.5</v>
      </c>
      <c r="H4706" t="s">
        <v>10310</v>
      </c>
      <c r="I4706" t="s">
        <v>10326</v>
      </c>
      <c r="L4706">
        <v>1960</v>
      </c>
      <c r="R4706" t="s">
        <v>11038</v>
      </c>
      <c r="S4706" t="s">
        <v>10310</v>
      </c>
      <c r="U4706" t="s">
        <v>11050</v>
      </c>
      <c r="W4706" s="2" t="s">
        <v>11204</v>
      </c>
    </row>
    <row r="4707" spans="1:23" hidden="1" x14ac:dyDescent="0.45">
      <c r="A4707" s="1" t="s">
        <v>4638</v>
      </c>
      <c r="B4707" t="s">
        <v>6975</v>
      </c>
      <c r="D4707" t="s">
        <v>8083</v>
      </c>
      <c r="E4707" t="s">
        <v>9760</v>
      </c>
      <c r="F4707" t="s">
        <v>10299</v>
      </c>
      <c r="G4707">
        <v>0.09</v>
      </c>
      <c r="H4707" t="s">
        <v>10310</v>
      </c>
      <c r="I4707" t="s">
        <v>10326</v>
      </c>
      <c r="L4707">
        <v>2005</v>
      </c>
      <c r="R4707" t="s">
        <v>11038</v>
      </c>
      <c r="S4707" t="s">
        <v>10310</v>
      </c>
      <c r="U4707" t="s">
        <v>11047</v>
      </c>
      <c r="W4707" s="2" t="s">
        <v>11204</v>
      </c>
    </row>
    <row r="4708" spans="1:23" hidden="1" x14ac:dyDescent="0.45">
      <c r="A4708" s="1" t="s">
        <v>4639</v>
      </c>
      <c r="B4708" t="s">
        <v>6976</v>
      </c>
      <c r="D4708" t="s">
        <v>8070</v>
      </c>
      <c r="E4708" t="s">
        <v>9754</v>
      </c>
      <c r="F4708" t="s">
        <v>10299</v>
      </c>
      <c r="G4708">
        <v>0.9</v>
      </c>
      <c r="H4708" t="s">
        <v>10310</v>
      </c>
      <c r="I4708" t="s">
        <v>10326</v>
      </c>
      <c r="L4708">
        <v>2015</v>
      </c>
      <c r="R4708" t="s">
        <v>11038</v>
      </c>
      <c r="S4708" t="s">
        <v>10310</v>
      </c>
      <c r="U4708" t="s">
        <v>11047</v>
      </c>
      <c r="W4708" s="2" t="s">
        <v>11204</v>
      </c>
    </row>
    <row r="4709" spans="1:23" hidden="1" x14ac:dyDescent="0.45">
      <c r="A4709" s="1" t="s">
        <v>4640</v>
      </c>
      <c r="B4709" t="s">
        <v>6281</v>
      </c>
      <c r="D4709" t="s">
        <v>8043</v>
      </c>
      <c r="E4709" t="s">
        <v>9635</v>
      </c>
      <c r="F4709" t="s">
        <v>10299</v>
      </c>
      <c r="G4709">
        <v>3.3</v>
      </c>
      <c r="H4709" t="s">
        <v>10310</v>
      </c>
      <c r="I4709" t="s">
        <v>10326</v>
      </c>
      <c r="L4709">
        <v>2012</v>
      </c>
      <c r="R4709" t="s">
        <v>11038</v>
      </c>
      <c r="S4709" t="s">
        <v>10310</v>
      </c>
      <c r="U4709" t="s">
        <v>11046</v>
      </c>
      <c r="W4709" s="2" t="s">
        <v>11204</v>
      </c>
    </row>
    <row r="4710" spans="1:23" hidden="1" x14ac:dyDescent="0.45">
      <c r="A4710" s="1" t="s">
        <v>4641</v>
      </c>
      <c r="D4710" t="s">
        <v>8042</v>
      </c>
      <c r="E4710" t="s">
        <v>1588</v>
      </c>
      <c r="F4710" t="s">
        <v>10299</v>
      </c>
      <c r="G4710">
        <v>9.9000000000000005E-2</v>
      </c>
      <c r="H4710" t="s">
        <v>10310</v>
      </c>
      <c r="I4710" t="s">
        <v>10326</v>
      </c>
      <c r="L4710">
        <v>2003</v>
      </c>
      <c r="R4710" t="s">
        <v>11038</v>
      </c>
      <c r="S4710" t="s">
        <v>10310</v>
      </c>
      <c r="U4710" t="s">
        <v>11047</v>
      </c>
      <c r="W4710" s="2" t="s">
        <v>11204</v>
      </c>
    </row>
    <row r="4711" spans="1:23" hidden="1" x14ac:dyDescent="0.45">
      <c r="A4711" s="1" t="s">
        <v>4642</v>
      </c>
      <c r="B4711" t="s">
        <v>6977</v>
      </c>
      <c r="D4711" t="s">
        <v>8075</v>
      </c>
      <c r="E4711" t="s">
        <v>9715</v>
      </c>
      <c r="F4711" t="s">
        <v>10299</v>
      </c>
      <c r="G4711">
        <v>4.9000000000000004</v>
      </c>
      <c r="H4711" t="s">
        <v>10310</v>
      </c>
      <c r="I4711" t="s">
        <v>10326</v>
      </c>
      <c r="L4711">
        <v>2007</v>
      </c>
      <c r="R4711" t="s">
        <v>11038</v>
      </c>
      <c r="S4711" t="s">
        <v>10310</v>
      </c>
      <c r="U4711" t="s">
        <v>11047</v>
      </c>
      <c r="W4711" s="2" t="s">
        <v>11204</v>
      </c>
    </row>
    <row r="4712" spans="1:23" hidden="1" x14ac:dyDescent="0.45">
      <c r="A4712" s="1" t="s">
        <v>4642</v>
      </c>
      <c r="B4712" t="s">
        <v>6978</v>
      </c>
      <c r="D4712" t="s">
        <v>8037</v>
      </c>
      <c r="E4712" t="s">
        <v>9629</v>
      </c>
      <c r="F4712" t="s">
        <v>10299</v>
      </c>
      <c r="G4712">
        <v>0.39</v>
      </c>
      <c r="H4712" t="s">
        <v>10310</v>
      </c>
      <c r="I4712" t="s">
        <v>10326</v>
      </c>
      <c r="L4712">
        <v>2008</v>
      </c>
      <c r="R4712" t="s">
        <v>11038</v>
      </c>
      <c r="S4712" t="s">
        <v>10310</v>
      </c>
      <c r="U4712" t="s">
        <v>11047</v>
      </c>
      <c r="W4712" s="2" t="s">
        <v>11204</v>
      </c>
    </row>
    <row r="4713" spans="1:23" hidden="1" x14ac:dyDescent="0.45">
      <c r="A4713" s="1" t="s">
        <v>4643</v>
      </c>
      <c r="B4713" t="s">
        <v>6290</v>
      </c>
      <c r="D4713" t="s">
        <v>8065</v>
      </c>
      <c r="E4713" t="s">
        <v>9704</v>
      </c>
      <c r="F4713" t="s">
        <v>10299</v>
      </c>
      <c r="G4713">
        <v>65</v>
      </c>
      <c r="H4713" t="s">
        <v>10310</v>
      </c>
      <c r="I4713" t="s">
        <v>10326</v>
      </c>
      <c r="L4713">
        <v>1973</v>
      </c>
      <c r="R4713" t="s">
        <v>11038</v>
      </c>
      <c r="S4713" t="s">
        <v>10310</v>
      </c>
      <c r="U4713" t="s">
        <v>11050</v>
      </c>
      <c r="W4713" s="2" t="s">
        <v>11204</v>
      </c>
    </row>
    <row r="4714" spans="1:23" hidden="1" x14ac:dyDescent="0.45">
      <c r="A4714" s="1" t="s">
        <v>4644</v>
      </c>
      <c r="B4714" t="s">
        <v>6281</v>
      </c>
      <c r="D4714" t="s">
        <v>8048</v>
      </c>
      <c r="E4714" t="s">
        <v>9642</v>
      </c>
      <c r="F4714" t="s">
        <v>10299</v>
      </c>
      <c r="G4714">
        <v>4.9000000000000004</v>
      </c>
      <c r="H4714" t="s">
        <v>10310</v>
      </c>
      <c r="I4714" t="s">
        <v>10326</v>
      </c>
      <c r="L4714">
        <v>2008</v>
      </c>
      <c r="R4714" t="s">
        <v>11038</v>
      </c>
      <c r="S4714" t="s">
        <v>10310</v>
      </c>
      <c r="U4714" t="s">
        <v>11049</v>
      </c>
      <c r="W4714" s="2" t="s">
        <v>11204</v>
      </c>
    </row>
    <row r="4715" spans="1:23" hidden="1" x14ac:dyDescent="0.45">
      <c r="A4715" s="1" t="s">
        <v>4645</v>
      </c>
      <c r="B4715" t="s">
        <v>6979</v>
      </c>
      <c r="D4715" t="s">
        <v>8034</v>
      </c>
      <c r="E4715" t="s">
        <v>9627</v>
      </c>
      <c r="F4715" t="s">
        <v>10299</v>
      </c>
      <c r="G4715">
        <v>3.3</v>
      </c>
      <c r="H4715" t="s">
        <v>10310</v>
      </c>
      <c r="I4715" t="s">
        <v>10326</v>
      </c>
      <c r="L4715">
        <v>2006</v>
      </c>
      <c r="R4715" t="s">
        <v>11038</v>
      </c>
      <c r="S4715" t="s">
        <v>10310</v>
      </c>
      <c r="U4715" t="s">
        <v>11046</v>
      </c>
      <c r="W4715" s="2" t="s">
        <v>11204</v>
      </c>
    </row>
    <row r="4716" spans="1:23" hidden="1" x14ac:dyDescent="0.45">
      <c r="A4716" s="1" t="s">
        <v>4646</v>
      </c>
      <c r="B4716" t="s">
        <v>6980</v>
      </c>
      <c r="D4716" t="s">
        <v>8060</v>
      </c>
      <c r="E4716" t="s">
        <v>9676</v>
      </c>
      <c r="F4716" t="s">
        <v>10299</v>
      </c>
      <c r="G4716">
        <v>0.3</v>
      </c>
      <c r="H4716" t="s">
        <v>10310</v>
      </c>
      <c r="I4716" t="s">
        <v>10326</v>
      </c>
      <c r="L4716">
        <v>2003</v>
      </c>
      <c r="R4716" t="s">
        <v>11038</v>
      </c>
      <c r="S4716" t="s">
        <v>10310</v>
      </c>
      <c r="U4716" t="s">
        <v>11048</v>
      </c>
      <c r="W4716" s="2" t="s">
        <v>11204</v>
      </c>
    </row>
    <row r="4717" spans="1:23" hidden="1" x14ac:dyDescent="0.45">
      <c r="A4717" s="1" t="s">
        <v>4647</v>
      </c>
      <c r="B4717" t="s">
        <v>6393</v>
      </c>
      <c r="D4717" t="s">
        <v>8040</v>
      </c>
      <c r="E4717" t="s">
        <v>9736</v>
      </c>
      <c r="F4717" t="s">
        <v>10299</v>
      </c>
      <c r="G4717">
        <v>15.2</v>
      </c>
      <c r="H4717" t="s">
        <v>10310</v>
      </c>
      <c r="I4717" t="s">
        <v>10326</v>
      </c>
      <c r="L4717">
        <v>1969</v>
      </c>
      <c r="R4717" t="s">
        <v>11038</v>
      </c>
      <c r="S4717" t="s">
        <v>10310</v>
      </c>
      <c r="U4717" t="s">
        <v>11046</v>
      </c>
      <c r="W4717" s="2" t="s">
        <v>11204</v>
      </c>
    </row>
    <row r="4718" spans="1:23" hidden="1" x14ac:dyDescent="0.45">
      <c r="A4718" s="1" t="s">
        <v>4648</v>
      </c>
      <c r="B4718" t="s">
        <v>6323</v>
      </c>
      <c r="D4718" t="s">
        <v>7917</v>
      </c>
      <c r="E4718" t="s">
        <v>9672</v>
      </c>
      <c r="F4718" t="s">
        <v>10299</v>
      </c>
      <c r="G4718">
        <v>28</v>
      </c>
      <c r="H4718" t="s">
        <v>10310</v>
      </c>
      <c r="I4718" t="s">
        <v>10326</v>
      </c>
      <c r="L4718">
        <v>1953</v>
      </c>
      <c r="R4718" t="s">
        <v>11038</v>
      </c>
      <c r="S4718" t="s">
        <v>10310</v>
      </c>
      <c r="U4718" t="s">
        <v>11047</v>
      </c>
      <c r="W4718" s="2" t="s">
        <v>11204</v>
      </c>
    </row>
    <row r="4719" spans="1:23" hidden="1" x14ac:dyDescent="0.45">
      <c r="A4719" s="1" t="s">
        <v>4649</v>
      </c>
      <c r="B4719" t="s">
        <v>6981</v>
      </c>
      <c r="D4719" t="s">
        <v>8037</v>
      </c>
      <c r="E4719" t="s">
        <v>9629</v>
      </c>
      <c r="F4719" t="s">
        <v>10299</v>
      </c>
      <c r="G4719">
        <v>0.69099999999999995</v>
      </c>
      <c r="H4719" t="s">
        <v>10310</v>
      </c>
      <c r="I4719" t="s">
        <v>10326</v>
      </c>
      <c r="L4719">
        <v>1999</v>
      </c>
      <c r="R4719" t="s">
        <v>11038</v>
      </c>
      <c r="S4719" t="s">
        <v>10310</v>
      </c>
      <c r="U4719" t="s">
        <v>11047</v>
      </c>
      <c r="W4719" s="2" t="s">
        <v>11204</v>
      </c>
    </row>
    <row r="4720" spans="1:23" hidden="1" x14ac:dyDescent="0.45">
      <c r="A4720" s="1" t="s">
        <v>4650</v>
      </c>
      <c r="B4720" t="s">
        <v>6982</v>
      </c>
      <c r="D4720" t="s">
        <v>8061</v>
      </c>
      <c r="E4720" t="s">
        <v>9665</v>
      </c>
      <c r="F4720" t="s">
        <v>10299</v>
      </c>
      <c r="G4720">
        <v>0.57999999999999996</v>
      </c>
      <c r="H4720" t="s">
        <v>10310</v>
      </c>
      <c r="I4720" t="s">
        <v>10326</v>
      </c>
      <c r="L4720">
        <v>2009</v>
      </c>
      <c r="R4720" t="s">
        <v>11038</v>
      </c>
      <c r="S4720" t="s">
        <v>10310</v>
      </c>
      <c r="U4720" t="s">
        <v>11046</v>
      </c>
      <c r="W4720" s="2" t="s">
        <v>11204</v>
      </c>
    </row>
    <row r="4721" spans="1:23" hidden="1" x14ac:dyDescent="0.45">
      <c r="A4721" s="1" t="s">
        <v>4651</v>
      </c>
      <c r="B4721" t="s">
        <v>6336</v>
      </c>
      <c r="D4721" t="s">
        <v>8068</v>
      </c>
      <c r="E4721" t="s">
        <v>9682</v>
      </c>
      <c r="F4721" t="s">
        <v>10299</v>
      </c>
      <c r="G4721">
        <v>50</v>
      </c>
      <c r="H4721" t="s">
        <v>10310</v>
      </c>
      <c r="I4721" t="s">
        <v>10324</v>
      </c>
      <c r="L4721">
        <v>1975</v>
      </c>
      <c r="R4721" t="s">
        <v>11038</v>
      </c>
      <c r="S4721" t="s">
        <v>10310</v>
      </c>
      <c r="U4721" t="s">
        <v>11049</v>
      </c>
      <c r="W4721" s="2" t="s">
        <v>11204</v>
      </c>
    </row>
    <row r="4722" spans="1:23" hidden="1" x14ac:dyDescent="0.45">
      <c r="A4722" s="1" t="s">
        <v>4652</v>
      </c>
      <c r="B4722" t="s">
        <v>6983</v>
      </c>
      <c r="D4722" t="s">
        <v>8043</v>
      </c>
      <c r="E4722" t="s">
        <v>9635</v>
      </c>
      <c r="F4722" t="s">
        <v>10299</v>
      </c>
      <c r="G4722">
        <v>4.3</v>
      </c>
      <c r="H4722" t="s">
        <v>10310</v>
      </c>
      <c r="I4722" t="s">
        <v>10326</v>
      </c>
      <c r="L4722">
        <v>2010</v>
      </c>
      <c r="R4722" t="s">
        <v>11038</v>
      </c>
      <c r="S4722" t="s">
        <v>10310</v>
      </c>
      <c r="U4722" t="s">
        <v>11046</v>
      </c>
      <c r="W4722" s="2" t="s">
        <v>11204</v>
      </c>
    </row>
    <row r="4723" spans="1:23" hidden="1" x14ac:dyDescent="0.45">
      <c r="A4723" s="1" t="s">
        <v>4653</v>
      </c>
      <c r="B4723" t="s">
        <v>6984</v>
      </c>
      <c r="D4723" t="s">
        <v>8043</v>
      </c>
      <c r="E4723" t="s">
        <v>9635</v>
      </c>
      <c r="F4723" t="s">
        <v>10299</v>
      </c>
      <c r="G4723">
        <v>0.56000000000000005</v>
      </c>
      <c r="H4723" t="s">
        <v>10310</v>
      </c>
      <c r="I4723" t="s">
        <v>10326</v>
      </c>
      <c r="L4723">
        <v>2010</v>
      </c>
      <c r="R4723" t="s">
        <v>11038</v>
      </c>
      <c r="S4723" t="s">
        <v>10310</v>
      </c>
      <c r="U4723" t="s">
        <v>11046</v>
      </c>
      <c r="W4723" s="2" t="s">
        <v>11204</v>
      </c>
    </row>
    <row r="4724" spans="1:23" hidden="1" x14ac:dyDescent="0.45">
      <c r="A4724" s="1" t="s">
        <v>4654</v>
      </c>
      <c r="B4724" t="s">
        <v>6336</v>
      </c>
      <c r="D4724" t="s">
        <v>7777</v>
      </c>
      <c r="E4724" t="s">
        <v>9866</v>
      </c>
      <c r="F4724" t="s">
        <v>10299</v>
      </c>
      <c r="G4724">
        <v>1.75</v>
      </c>
      <c r="H4724" t="s">
        <v>10310</v>
      </c>
      <c r="I4724" t="s">
        <v>10326</v>
      </c>
      <c r="L4724">
        <v>1942</v>
      </c>
      <c r="R4724" t="s">
        <v>11038</v>
      </c>
      <c r="S4724" t="s">
        <v>10310</v>
      </c>
      <c r="U4724" t="s">
        <v>11050</v>
      </c>
      <c r="W4724" s="2" t="s">
        <v>11204</v>
      </c>
    </row>
    <row r="4725" spans="1:23" hidden="1" x14ac:dyDescent="0.45">
      <c r="A4725" s="1" t="s">
        <v>4655</v>
      </c>
      <c r="B4725" t="s">
        <v>6985</v>
      </c>
      <c r="D4725" t="s">
        <v>8080</v>
      </c>
      <c r="E4725" t="s">
        <v>9801</v>
      </c>
      <c r="F4725" t="s">
        <v>10299</v>
      </c>
      <c r="G4725">
        <v>10</v>
      </c>
      <c r="H4725" t="s">
        <v>10310</v>
      </c>
      <c r="I4725" t="s">
        <v>10326</v>
      </c>
      <c r="L4725">
        <v>1966</v>
      </c>
      <c r="R4725" t="s">
        <v>11038</v>
      </c>
      <c r="S4725" t="s">
        <v>10310</v>
      </c>
      <c r="U4725" t="s">
        <v>11049</v>
      </c>
      <c r="W4725" s="2" t="s">
        <v>11204</v>
      </c>
    </row>
    <row r="4726" spans="1:23" hidden="1" x14ac:dyDescent="0.45">
      <c r="A4726" s="1" t="s">
        <v>4656</v>
      </c>
      <c r="B4726" t="s">
        <v>6768</v>
      </c>
      <c r="D4726" t="s">
        <v>8070</v>
      </c>
      <c r="E4726" t="s">
        <v>4102</v>
      </c>
      <c r="F4726" t="s">
        <v>10299</v>
      </c>
      <c r="G4726">
        <v>4.2699999999999996</v>
      </c>
      <c r="H4726" t="s">
        <v>10310</v>
      </c>
      <c r="I4726" t="s">
        <v>10326</v>
      </c>
      <c r="L4726">
        <v>2012</v>
      </c>
      <c r="R4726" t="s">
        <v>11038</v>
      </c>
      <c r="S4726" t="s">
        <v>10310</v>
      </c>
      <c r="U4726" t="s">
        <v>11048</v>
      </c>
      <c r="W4726" s="2" t="s">
        <v>11204</v>
      </c>
    </row>
    <row r="4727" spans="1:23" hidden="1" x14ac:dyDescent="0.45">
      <c r="A4727" s="1" t="s">
        <v>4657</v>
      </c>
      <c r="B4727" t="s">
        <v>6986</v>
      </c>
      <c r="D4727" t="s">
        <v>8061</v>
      </c>
      <c r="E4727" t="s">
        <v>9665</v>
      </c>
      <c r="F4727" t="s">
        <v>10299</v>
      </c>
      <c r="G4727">
        <v>0.23</v>
      </c>
      <c r="H4727" t="s">
        <v>10310</v>
      </c>
      <c r="I4727" t="s">
        <v>10326</v>
      </c>
      <c r="L4727">
        <v>2002</v>
      </c>
      <c r="R4727" t="s">
        <v>11038</v>
      </c>
      <c r="S4727" t="s">
        <v>10310</v>
      </c>
      <c r="U4727" t="s">
        <v>11046</v>
      </c>
      <c r="W4727" s="2" t="s">
        <v>11204</v>
      </c>
    </row>
    <row r="4728" spans="1:23" hidden="1" x14ac:dyDescent="0.45">
      <c r="A4728" s="1" t="s">
        <v>4658</v>
      </c>
      <c r="D4728" t="s">
        <v>8061</v>
      </c>
      <c r="E4728" t="s">
        <v>9665</v>
      </c>
      <c r="F4728" t="s">
        <v>10299</v>
      </c>
      <c r="G4728">
        <v>1.7999999999999999E-2</v>
      </c>
      <c r="H4728" t="s">
        <v>10310</v>
      </c>
      <c r="I4728" t="s">
        <v>10326</v>
      </c>
      <c r="L4728">
        <v>2003</v>
      </c>
      <c r="R4728" t="s">
        <v>11038</v>
      </c>
      <c r="S4728" t="s">
        <v>10310</v>
      </c>
      <c r="U4728" t="s">
        <v>11046</v>
      </c>
      <c r="W4728" s="2" t="s">
        <v>11204</v>
      </c>
    </row>
    <row r="4729" spans="1:23" hidden="1" x14ac:dyDescent="0.45">
      <c r="A4729" s="1" t="s">
        <v>4659</v>
      </c>
      <c r="B4729" t="s">
        <v>6987</v>
      </c>
      <c r="D4729" t="s">
        <v>8080</v>
      </c>
      <c r="E4729" t="s">
        <v>9825</v>
      </c>
      <c r="F4729" t="s">
        <v>10299</v>
      </c>
      <c r="G4729">
        <v>0.5</v>
      </c>
      <c r="H4729" t="s">
        <v>10310</v>
      </c>
      <c r="I4729" t="s">
        <v>10326</v>
      </c>
      <c r="L4729">
        <v>2016</v>
      </c>
      <c r="R4729" t="s">
        <v>11038</v>
      </c>
      <c r="S4729" t="s">
        <v>10310</v>
      </c>
      <c r="U4729" t="s">
        <v>11048</v>
      </c>
      <c r="W4729" s="2" t="s">
        <v>11204</v>
      </c>
    </row>
    <row r="4730" spans="1:23" hidden="1" x14ac:dyDescent="0.45">
      <c r="A4730" s="1" t="s">
        <v>4660</v>
      </c>
      <c r="B4730" t="s">
        <v>6734</v>
      </c>
      <c r="D4730" t="s">
        <v>8058</v>
      </c>
      <c r="E4730" t="s">
        <v>9662</v>
      </c>
      <c r="F4730" t="s">
        <v>10299</v>
      </c>
      <c r="G4730">
        <v>1.639</v>
      </c>
      <c r="H4730" t="s">
        <v>10310</v>
      </c>
      <c r="I4730" t="s">
        <v>10326</v>
      </c>
      <c r="L4730">
        <v>2014</v>
      </c>
      <c r="R4730" t="s">
        <v>11038</v>
      </c>
      <c r="S4730" t="s">
        <v>10310</v>
      </c>
      <c r="U4730" t="s">
        <v>11046</v>
      </c>
      <c r="W4730" s="2" t="s">
        <v>11204</v>
      </c>
    </row>
    <row r="4731" spans="1:23" hidden="1" x14ac:dyDescent="0.45">
      <c r="A4731" s="1" t="s">
        <v>4661</v>
      </c>
      <c r="B4731" t="s">
        <v>6988</v>
      </c>
      <c r="D4731" t="s">
        <v>8052</v>
      </c>
      <c r="E4731" t="s">
        <v>9650</v>
      </c>
      <c r="F4731" t="s">
        <v>10299</v>
      </c>
      <c r="G4731">
        <v>0.5</v>
      </c>
      <c r="H4731" t="s">
        <v>10310</v>
      </c>
      <c r="I4731" t="s">
        <v>10326</v>
      </c>
      <c r="L4731">
        <v>2012</v>
      </c>
      <c r="R4731" t="s">
        <v>11038</v>
      </c>
      <c r="S4731" t="s">
        <v>10310</v>
      </c>
      <c r="U4731" t="s">
        <v>11047</v>
      </c>
      <c r="W4731" s="2" t="s">
        <v>11204</v>
      </c>
    </row>
    <row r="4732" spans="1:23" hidden="1" x14ac:dyDescent="0.45">
      <c r="A4732" s="1" t="s">
        <v>4662</v>
      </c>
      <c r="B4732" t="s">
        <v>6274</v>
      </c>
      <c r="D4732" t="s">
        <v>8048</v>
      </c>
      <c r="E4732" t="s">
        <v>9642</v>
      </c>
      <c r="F4732" t="s">
        <v>10299</v>
      </c>
      <c r="G4732">
        <v>5.5</v>
      </c>
      <c r="H4732" t="s">
        <v>10310</v>
      </c>
      <c r="I4732" t="s">
        <v>10326</v>
      </c>
      <c r="L4732">
        <v>2004</v>
      </c>
      <c r="R4732" t="s">
        <v>11038</v>
      </c>
      <c r="S4732" t="s">
        <v>10310</v>
      </c>
      <c r="U4732" t="s">
        <v>11046</v>
      </c>
      <c r="W4732" s="2" t="s">
        <v>11204</v>
      </c>
    </row>
    <row r="4733" spans="1:23" hidden="1" x14ac:dyDescent="0.45">
      <c r="A4733" s="1" t="s">
        <v>4663</v>
      </c>
      <c r="D4733" t="s">
        <v>8064</v>
      </c>
      <c r="E4733" t="s">
        <v>9849</v>
      </c>
      <c r="F4733" t="s">
        <v>10299</v>
      </c>
      <c r="G4733">
        <v>0</v>
      </c>
      <c r="H4733" t="s">
        <v>10310</v>
      </c>
      <c r="I4733" t="s">
        <v>10326</v>
      </c>
      <c r="L4733">
        <v>1998</v>
      </c>
      <c r="R4733" t="s">
        <v>11038</v>
      </c>
      <c r="S4733" t="s">
        <v>10310</v>
      </c>
      <c r="U4733" t="s">
        <v>11050</v>
      </c>
      <c r="W4733" s="2" t="s">
        <v>11204</v>
      </c>
    </row>
    <row r="4734" spans="1:23" hidden="1" x14ac:dyDescent="0.45">
      <c r="A4734" s="1" t="s">
        <v>4664</v>
      </c>
      <c r="B4734" t="s">
        <v>6289</v>
      </c>
      <c r="D4734" t="s">
        <v>8045</v>
      </c>
      <c r="E4734" t="s">
        <v>9639</v>
      </c>
      <c r="F4734" t="s">
        <v>10299</v>
      </c>
      <c r="G4734">
        <v>7.6</v>
      </c>
      <c r="H4734" t="s">
        <v>10310</v>
      </c>
      <c r="I4734" t="s">
        <v>10326</v>
      </c>
      <c r="L4734">
        <v>1976</v>
      </c>
      <c r="R4734" t="s">
        <v>11038</v>
      </c>
      <c r="S4734" t="s">
        <v>10310</v>
      </c>
      <c r="U4734" t="s">
        <v>11047</v>
      </c>
      <c r="W4734" s="2" t="s">
        <v>11204</v>
      </c>
    </row>
    <row r="4735" spans="1:23" hidden="1" x14ac:dyDescent="0.45">
      <c r="A4735" s="1" t="s">
        <v>4665</v>
      </c>
      <c r="B4735" t="s">
        <v>6278</v>
      </c>
      <c r="D4735" t="s">
        <v>8056</v>
      </c>
      <c r="E4735" t="s">
        <v>9752</v>
      </c>
      <c r="F4735" t="s">
        <v>10299</v>
      </c>
      <c r="G4735">
        <v>8.58</v>
      </c>
      <c r="H4735" t="s">
        <v>10310</v>
      </c>
      <c r="I4735" t="s">
        <v>10326</v>
      </c>
      <c r="L4735">
        <v>2015</v>
      </c>
      <c r="R4735" t="s">
        <v>11038</v>
      </c>
      <c r="S4735" t="s">
        <v>10310</v>
      </c>
      <c r="U4735" t="s">
        <v>11048</v>
      </c>
      <c r="W4735" s="2" t="s">
        <v>11204</v>
      </c>
    </row>
    <row r="4736" spans="1:23" hidden="1" x14ac:dyDescent="0.45">
      <c r="A4736" s="1" t="s">
        <v>4666</v>
      </c>
      <c r="B4736" t="s">
        <v>6524</v>
      </c>
      <c r="D4736" t="s">
        <v>8036</v>
      </c>
      <c r="E4736" t="s">
        <v>4123</v>
      </c>
      <c r="F4736" t="s">
        <v>10299</v>
      </c>
      <c r="G4736">
        <v>0.82</v>
      </c>
      <c r="H4736" t="s">
        <v>10310</v>
      </c>
      <c r="I4736" t="s">
        <v>10326</v>
      </c>
      <c r="L4736">
        <v>2009</v>
      </c>
      <c r="R4736" t="s">
        <v>11038</v>
      </c>
      <c r="S4736" t="s">
        <v>10310</v>
      </c>
      <c r="U4736" t="s">
        <v>11050</v>
      </c>
      <c r="W4736" s="2" t="s">
        <v>11204</v>
      </c>
    </row>
    <row r="4737" spans="1:23" hidden="1" x14ac:dyDescent="0.45">
      <c r="A4737" s="1" t="s">
        <v>4667</v>
      </c>
      <c r="B4737" t="s">
        <v>6274</v>
      </c>
      <c r="D4737" t="s">
        <v>8040</v>
      </c>
      <c r="E4737" t="s">
        <v>9686</v>
      </c>
      <c r="F4737" t="s">
        <v>10299</v>
      </c>
      <c r="G4737">
        <v>3.1</v>
      </c>
      <c r="H4737" t="s">
        <v>10310</v>
      </c>
      <c r="I4737" t="s">
        <v>10326</v>
      </c>
      <c r="L4737">
        <v>1901</v>
      </c>
      <c r="R4737" t="s">
        <v>11038</v>
      </c>
      <c r="S4737" t="s">
        <v>10310</v>
      </c>
      <c r="U4737" t="s">
        <v>11047</v>
      </c>
      <c r="W4737" s="2" t="s">
        <v>11204</v>
      </c>
    </row>
    <row r="4738" spans="1:23" hidden="1" x14ac:dyDescent="0.45">
      <c r="A4738" s="1" t="s">
        <v>4668</v>
      </c>
      <c r="B4738" t="s">
        <v>6323</v>
      </c>
      <c r="D4738" t="s">
        <v>8045</v>
      </c>
      <c r="E4738" t="s">
        <v>9646</v>
      </c>
      <c r="F4738" t="s">
        <v>10299</v>
      </c>
      <c r="G4738">
        <v>5</v>
      </c>
      <c r="H4738" t="s">
        <v>10310</v>
      </c>
      <c r="I4738" t="s">
        <v>10326</v>
      </c>
      <c r="L4738">
        <v>1938</v>
      </c>
      <c r="R4738" t="s">
        <v>11038</v>
      </c>
      <c r="S4738" t="s">
        <v>10310</v>
      </c>
      <c r="U4738" t="s">
        <v>11047</v>
      </c>
      <c r="W4738" s="2" t="s">
        <v>11204</v>
      </c>
    </row>
    <row r="4739" spans="1:23" hidden="1" x14ac:dyDescent="0.45">
      <c r="A4739" s="1" t="s">
        <v>4669</v>
      </c>
      <c r="D4739" t="s">
        <v>8074</v>
      </c>
      <c r="E4739" t="s">
        <v>9839</v>
      </c>
      <c r="F4739" t="s">
        <v>10299</v>
      </c>
      <c r="G4739">
        <v>1.4999999999999999E-2</v>
      </c>
      <c r="H4739" t="s">
        <v>10310</v>
      </c>
      <c r="I4739" t="s">
        <v>10326</v>
      </c>
      <c r="L4739">
        <v>1990</v>
      </c>
      <c r="R4739" t="s">
        <v>11038</v>
      </c>
      <c r="S4739" t="s">
        <v>10310</v>
      </c>
      <c r="U4739" t="s">
        <v>11048</v>
      </c>
      <c r="W4739" s="2" t="s">
        <v>11204</v>
      </c>
    </row>
    <row r="4740" spans="1:23" hidden="1" x14ac:dyDescent="0.45">
      <c r="A4740" s="1" t="s">
        <v>4670</v>
      </c>
      <c r="B4740" t="s">
        <v>6735</v>
      </c>
      <c r="D4740" t="s">
        <v>8041</v>
      </c>
      <c r="E4740" t="s">
        <v>3517</v>
      </c>
      <c r="F4740" t="s">
        <v>10299</v>
      </c>
      <c r="G4740">
        <v>2.6</v>
      </c>
      <c r="H4740" t="s">
        <v>10310</v>
      </c>
      <c r="I4740" t="s">
        <v>10326</v>
      </c>
      <c r="L4740">
        <v>1962</v>
      </c>
      <c r="R4740" t="s">
        <v>11038</v>
      </c>
      <c r="S4740" t="s">
        <v>10310</v>
      </c>
      <c r="U4740" t="s">
        <v>11048</v>
      </c>
      <c r="W4740" s="2" t="s">
        <v>11204</v>
      </c>
    </row>
    <row r="4741" spans="1:23" hidden="1" x14ac:dyDescent="0.45">
      <c r="A4741" s="1" t="s">
        <v>4671</v>
      </c>
      <c r="B4741" t="s">
        <v>6274</v>
      </c>
      <c r="D4741" t="s">
        <v>8033</v>
      </c>
      <c r="E4741" t="s">
        <v>9666</v>
      </c>
      <c r="F4741" t="s">
        <v>10299</v>
      </c>
      <c r="G4741">
        <v>175</v>
      </c>
      <c r="H4741" t="s">
        <v>10310</v>
      </c>
      <c r="I4741" t="s">
        <v>10326</v>
      </c>
      <c r="L4741">
        <v>1961</v>
      </c>
      <c r="R4741" t="s">
        <v>11038</v>
      </c>
      <c r="S4741" t="s">
        <v>10310</v>
      </c>
      <c r="U4741" t="s">
        <v>11048</v>
      </c>
      <c r="W4741" s="2" t="s">
        <v>11204</v>
      </c>
    </row>
    <row r="4742" spans="1:23" hidden="1" x14ac:dyDescent="0.45">
      <c r="A4742" s="1" t="s">
        <v>4672</v>
      </c>
      <c r="B4742" t="s">
        <v>6359</v>
      </c>
      <c r="D4742" t="s">
        <v>8029</v>
      </c>
      <c r="E4742" t="s">
        <v>9661</v>
      </c>
      <c r="F4742" t="s">
        <v>10299</v>
      </c>
      <c r="G4742">
        <v>6.45</v>
      </c>
      <c r="H4742" t="s">
        <v>10310</v>
      </c>
      <c r="I4742" t="s">
        <v>10326</v>
      </c>
      <c r="L4742">
        <v>1941</v>
      </c>
      <c r="R4742" t="s">
        <v>11038</v>
      </c>
      <c r="S4742" t="s">
        <v>10310</v>
      </c>
      <c r="U4742" t="s">
        <v>11047</v>
      </c>
      <c r="W4742" s="2" t="s">
        <v>11204</v>
      </c>
    </row>
    <row r="4743" spans="1:23" hidden="1" x14ac:dyDescent="0.45">
      <c r="A4743" s="1" t="s">
        <v>4673</v>
      </c>
      <c r="B4743" t="s">
        <v>6407</v>
      </c>
      <c r="D4743" t="s">
        <v>8044</v>
      </c>
      <c r="E4743" t="s">
        <v>9658</v>
      </c>
      <c r="F4743" t="s">
        <v>10299</v>
      </c>
      <c r="G4743">
        <v>16</v>
      </c>
      <c r="H4743" t="s">
        <v>10310</v>
      </c>
      <c r="I4743" t="s">
        <v>10326</v>
      </c>
      <c r="L4743">
        <v>1956</v>
      </c>
      <c r="R4743" t="s">
        <v>11038</v>
      </c>
      <c r="S4743" t="s">
        <v>10310</v>
      </c>
      <c r="U4743" t="s">
        <v>11047</v>
      </c>
      <c r="W4743" s="2" t="s">
        <v>11204</v>
      </c>
    </row>
    <row r="4744" spans="1:23" hidden="1" x14ac:dyDescent="0.45">
      <c r="A4744" s="1" t="s">
        <v>4674</v>
      </c>
      <c r="B4744" t="s">
        <v>6290</v>
      </c>
      <c r="D4744" t="s">
        <v>8085</v>
      </c>
      <c r="E4744" t="s">
        <v>9808</v>
      </c>
      <c r="F4744" t="s">
        <v>10299</v>
      </c>
      <c r="G4744">
        <v>140</v>
      </c>
      <c r="H4744" t="s">
        <v>10310</v>
      </c>
      <c r="I4744" t="s">
        <v>10326</v>
      </c>
      <c r="L4744">
        <v>1959</v>
      </c>
      <c r="R4744" t="s">
        <v>11038</v>
      </c>
      <c r="S4744" t="s">
        <v>10310</v>
      </c>
      <c r="U4744" t="s">
        <v>11050</v>
      </c>
      <c r="W4744" s="2" t="s">
        <v>11204</v>
      </c>
    </row>
    <row r="4745" spans="1:23" hidden="1" x14ac:dyDescent="0.45">
      <c r="A4745" s="1" t="s">
        <v>4675</v>
      </c>
      <c r="B4745" t="s">
        <v>6348</v>
      </c>
      <c r="D4745" t="s">
        <v>7917</v>
      </c>
      <c r="E4745" t="s">
        <v>9776</v>
      </c>
      <c r="F4745" t="s">
        <v>10299</v>
      </c>
      <c r="G4745">
        <v>0.43</v>
      </c>
      <c r="H4745" t="s">
        <v>10310</v>
      </c>
      <c r="I4745" t="s">
        <v>10326</v>
      </c>
      <c r="L4745">
        <v>1984</v>
      </c>
      <c r="R4745" t="s">
        <v>11038</v>
      </c>
      <c r="S4745" t="s">
        <v>10310</v>
      </c>
      <c r="U4745" t="s">
        <v>11050</v>
      </c>
      <c r="W4745" s="2" t="s">
        <v>11204</v>
      </c>
    </row>
    <row r="4746" spans="1:23" hidden="1" x14ac:dyDescent="0.45">
      <c r="A4746" s="1" t="s">
        <v>4676</v>
      </c>
      <c r="B4746" t="s">
        <v>6989</v>
      </c>
      <c r="D4746" t="s">
        <v>8044</v>
      </c>
      <c r="E4746" t="s">
        <v>9832</v>
      </c>
      <c r="F4746" t="s">
        <v>10299</v>
      </c>
      <c r="G4746">
        <v>1.2350000000000001</v>
      </c>
      <c r="H4746" t="s">
        <v>10310</v>
      </c>
      <c r="I4746" t="s">
        <v>10326</v>
      </c>
      <c r="L4746">
        <v>2012</v>
      </c>
      <c r="R4746" t="s">
        <v>11038</v>
      </c>
      <c r="S4746" t="s">
        <v>10310</v>
      </c>
      <c r="U4746" t="s">
        <v>11047</v>
      </c>
      <c r="W4746" s="2" t="s">
        <v>11204</v>
      </c>
    </row>
    <row r="4747" spans="1:23" hidden="1" x14ac:dyDescent="0.45">
      <c r="A4747" s="1" t="s">
        <v>4677</v>
      </c>
      <c r="B4747" t="s">
        <v>6990</v>
      </c>
      <c r="D4747" t="s">
        <v>8031</v>
      </c>
      <c r="E4747" t="s">
        <v>9624</v>
      </c>
      <c r="F4747" t="s">
        <v>10299</v>
      </c>
      <c r="G4747">
        <v>2</v>
      </c>
      <c r="H4747" t="s">
        <v>10310</v>
      </c>
      <c r="I4747" t="s">
        <v>10326</v>
      </c>
      <c r="L4747">
        <v>2008</v>
      </c>
      <c r="R4747" t="s">
        <v>11038</v>
      </c>
      <c r="S4747" t="s">
        <v>10310</v>
      </c>
      <c r="U4747" t="s">
        <v>11047</v>
      </c>
      <c r="W4747" s="2" t="s">
        <v>11204</v>
      </c>
    </row>
    <row r="4748" spans="1:23" hidden="1" x14ac:dyDescent="0.45">
      <c r="A4748" s="1" t="s">
        <v>4678</v>
      </c>
      <c r="B4748" t="s">
        <v>6290</v>
      </c>
      <c r="D4748" t="s">
        <v>8070</v>
      </c>
      <c r="E4748" t="s">
        <v>9759</v>
      </c>
      <c r="F4748" t="s">
        <v>10299</v>
      </c>
      <c r="G4748">
        <v>99.5</v>
      </c>
      <c r="H4748" t="s">
        <v>10310</v>
      </c>
      <c r="I4748" t="s">
        <v>10326</v>
      </c>
      <c r="L4748">
        <v>2005</v>
      </c>
      <c r="R4748" t="s">
        <v>11038</v>
      </c>
      <c r="S4748" t="s">
        <v>10310</v>
      </c>
      <c r="U4748" t="s">
        <v>11047</v>
      </c>
      <c r="W4748" s="2" t="s">
        <v>11204</v>
      </c>
    </row>
    <row r="4749" spans="1:23" hidden="1" x14ac:dyDescent="0.45">
      <c r="A4749" s="1" t="s">
        <v>4679</v>
      </c>
      <c r="B4749" t="s">
        <v>6991</v>
      </c>
      <c r="D4749" t="s">
        <v>8080</v>
      </c>
      <c r="E4749" t="s">
        <v>9801</v>
      </c>
      <c r="F4749" t="s">
        <v>10299</v>
      </c>
      <c r="G4749">
        <v>1.95</v>
      </c>
      <c r="H4749" t="s">
        <v>10310</v>
      </c>
      <c r="I4749" t="s">
        <v>10326</v>
      </c>
      <c r="L4749">
        <v>2010</v>
      </c>
      <c r="R4749" t="s">
        <v>11038</v>
      </c>
      <c r="S4749" t="s">
        <v>10310</v>
      </c>
      <c r="U4749" t="s">
        <v>11049</v>
      </c>
      <c r="W4749" s="2" t="s">
        <v>11204</v>
      </c>
    </row>
    <row r="4750" spans="1:23" hidden="1" x14ac:dyDescent="0.45">
      <c r="A4750" s="1" t="s">
        <v>4680</v>
      </c>
      <c r="B4750" t="s">
        <v>6281</v>
      </c>
      <c r="D4750" t="s">
        <v>8048</v>
      </c>
      <c r="E4750" t="s">
        <v>9642</v>
      </c>
      <c r="F4750" t="s">
        <v>10299</v>
      </c>
      <c r="G4750">
        <v>2</v>
      </c>
      <c r="H4750" t="s">
        <v>10310</v>
      </c>
      <c r="I4750" t="s">
        <v>10326</v>
      </c>
      <c r="L4750">
        <v>2007</v>
      </c>
      <c r="R4750" t="s">
        <v>11038</v>
      </c>
      <c r="S4750" t="s">
        <v>10310</v>
      </c>
      <c r="U4750" t="s">
        <v>11049</v>
      </c>
      <c r="W4750" s="2" t="s">
        <v>11204</v>
      </c>
    </row>
    <row r="4751" spans="1:23" hidden="1" x14ac:dyDescent="0.45">
      <c r="A4751" s="1" t="s">
        <v>4681</v>
      </c>
      <c r="D4751" t="s">
        <v>8061</v>
      </c>
      <c r="E4751" t="s">
        <v>9665</v>
      </c>
      <c r="F4751" t="s">
        <v>10299</v>
      </c>
      <c r="G4751">
        <v>0.08</v>
      </c>
      <c r="H4751" t="s">
        <v>10310</v>
      </c>
      <c r="I4751" t="s">
        <v>10326</v>
      </c>
      <c r="L4751">
        <v>2004</v>
      </c>
      <c r="R4751" t="s">
        <v>11038</v>
      </c>
      <c r="S4751" t="s">
        <v>10310</v>
      </c>
      <c r="U4751" t="s">
        <v>11046</v>
      </c>
      <c r="W4751" s="2" t="s">
        <v>11204</v>
      </c>
    </row>
    <row r="4752" spans="1:23" hidden="1" x14ac:dyDescent="0.45">
      <c r="A4752" s="1" t="s">
        <v>4682</v>
      </c>
      <c r="B4752" t="s">
        <v>6294</v>
      </c>
      <c r="D4752" t="s">
        <v>8026</v>
      </c>
      <c r="E4752" t="s">
        <v>9741</v>
      </c>
      <c r="F4752" t="s">
        <v>10299</v>
      </c>
      <c r="G4752">
        <v>95</v>
      </c>
      <c r="H4752" t="s">
        <v>10310</v>
      </c>
      <c r="I4752" t="s">
        <v>10326</v>
      </c>
      <c r="L4752">
        <v>1951</v>
      </c>
      <c r="R4752" t="s">
        <v>11038</v>
      </c>
      <c r="S4752" t="s">
        <v>10310</v>
      </c>
      <c r="U4752" t="s">
        <v>11050</v>
      </c>
      <c r="W4752" s="2" t="s">
        <v>11204</v>
      </c>
    </row>
    <row r="4753" spans="1:23" hidden="1" x14ac:dyDescent="0.45">
      <c r="A4753" s="1" t="s">
        <v>4683</v>
      </c>
      <c r="B4753" t="s">
        <v>6992</v>
      </c>
      <c r="D4753" t="s">
        <v>8037</v>
      </c>
      <c r="E4753" t="s">
        <v>9629</v>
      </c>
      <c r="F4753" t="s">
        <v>10299</v>
      </c>
      <c r="G4753">
        <v>1.341</v>
      </c>
      <c r="H4753" t="s">
        <v>10310</v>
      </c>
      <c r="I4753" t="s">
        <v>10326</v>
      </c>
      <c r="L4753">
        <v>2002</v>
      </c>
      <c r="R4753" t="s">
        <v>11038</v>
      </c>
      <c r="S4753" t="s">
        <v>10310</v>
      </c>
      <c r="U4753" t="s">
        <v>11047</v>
      </c>
      <c r="W4753" s="2" t="s">
        <v>11204</v>
      </c>
    </row>
    <row r="4754" spans="1:23" hidden="1" x14ac:dyDescent="0.45">
      <c r="A4754" s="1" t="s">
        <v>4684</v>
      </c>
      <c r="B4754" t="s">
        <v>6993</v>
      </c>
      <c r="D4754" t="s">
        <v>8070</v>
      </c>
      <c r="E4754" t="s">
        <v>4102</v>
      </c>
      <c r="F4754" t="s">
        <v>10299</v>
      </c>
      <c r="G4754">
        <v>2.4</v>
      </c>
      <c r="H4754" t="s">
        <v>10310</v>
      </c>
      <c r="I4754" t="s">
        <v>10326</v>
      </c>
      <c r="L4754">
        <v>2011</v>
      </c>
      <c r="R4754" t="s">
        <v>11038</v>
      </c>
      <c r="S4754" t="s">
        <v>10310</v>
      </c>
      <c r="U4754" t="s">
        <v>11048</v>
      </c>
      <c r="W4754" s="2" t="s">
        <v>11204</v>
      </c>
    </row>
    <row r="4755" spans="1:23" hidden="1" x14ac:dyDescent="0.45">
      <c r="A4755" s="1" t="s">
        <v>4685</v>
      </c>
      <c r="B4755" t="s">
        <v>6994</v>
      </c>
      <c r="D4755" t="s">
        <v>8034</v>
      </c>
      <c r="E4755" t="s">
        <v>9627</v>
      </c>
      <c r="F4755" t="s">
        <v>10299</v>
      </c>
      <c r="G4755">
        <v>5.31</v>
      </c>
      <c r="H4755" t="s">
        <v>10310</v>
      </c>
      <c r="I4755" t="s">
        <v>10326</v>
      </c>
      <c r="L4755">
        <v>2013</v>
      </c>
      <c r="R4755" t="s">
        <v>11038</v>
      </c>
      <c r="S4755" t="s">
        <v>10310</v>
      </c>
      <c r="U4755" t="s">
        <v>11046</v>
      </c>
      <c r="W4755" s="2" t="s">
        <v>11204</v>
      </c>
    </row>
    <row r="4756" spans="1:23" hidden="1" x14ac:dyDescent="0.45">
      <c r="A4756" s="1" t="s">
        <v>4686</v>
      </c>
      <c r="B4756" t="s">
        <v>6716</v>
      </c>
      <c r="D4756" t="s">
        <v>8053</v>
      </c>
      <c r="E4756" t="s">
        <v>9835</v>
      </c>
      <c r="F4756" t="s">
        <v>10299</v>
      </c>
      <c r="G4756">
        <v>3.6</v>
      </c>
      <c r="H4756" t="s">
        <v>10310</v>
      </c>
      <c r="I4756" t="s">
        <v>10326</v>
      </c>
      <c r="L4756">
        <v>2016</v>
      </c>
      <c r="R4756" t="s">
        <v>11038</v>
      </c>
      <c r="S4756" t="s">
        <v>10310</v>
      </c>
      <c r="U4756" t="s">
        <v>11050</v>
      </c>
      <c r="W4756" s="2" t="s">
        <v>11204</v>
      </c>
    </row>
    <row r="4757" spans="1:23" hidden="1" x14ac:dyDescent="0.45">
      <c r="A4757" s="1" t="s">
        <v>4687</v>
      </c>
      <c r="B4757" t="s">
        <v>6995</v>
      </c>
      <c r="D4757" t="s">
        <v>8082</v>
      </c>
      <c r="E4757" t="s">
        <v>4687</v>
      </c>
      <c r="F4757" t="s">
        <v>10299</v>
      </c>
      <c r="G4757">
        <v>3.2</v>
      </c>
      <c r="H4757" t="s">
        <v>10310</v>
      </c>
      <c r="I4757" t="s">
        <v>10326</v>
      </c>
      <c r="L4757">
        <v>1914</v>
      </c>
      <c r="R4757" t="s">
        <v>11038</v>
      </c>
      <c r="S4757" t="s">
        <v>10310</v>
      </c>
      <c r="U4757" t="s">
        <v>11049</v>
      </c>
      <c r="W4757" s="2" t="s">
        <v>11204</v>
      </c>
    </row>
    <row r="4758" spans="1:23" hidden="1" x14ac:dyDescent="0.45">
      <c r="A4758" s="1" t="s">
        <v>4688</v>
      </c>
      <c r="B4758" t="s">
        <v>6996</v>
      </c>
      <c r="D4758" t="s">
        <v>8056</v>
      </c>
      <c r="E4758" t="s">
        <v>3440</v>
      </c>
      <c r="F4758" t="s">
        <v>10299</v>
      </c>
      <c r="G4758">
        <v>0.25</v>
      </c>
      <c r="H4758" t="s">
        <v>10310</v>
      </c>
      <c r="I4758" t="s">
        <v>10326</v>
      </c>
      <c r="L4758">
        <v>1912</v>
      </c>
      <c r="R4758" t="s">
        <v>11038</v>
      </c>
      <c r="S4758" t="s">
        <v>10310</v>
      </c>
      <c r="U4758" t="s">
        <v>11046</v>
      </c>
      <c r="W4758" s="2" t="s">
        <v>11204</v>
      </c>
    </row>
    <row r="4759" spans="1:23" hidden="1" x14ac:dyDescent="0.45">
      <c r="A4759" s="1" t="s">
        <v>4689</v>
      </c>
      <c r="B4759" t="s">
        <v>6997</v>
      </c>
      <c r="D4759" t="s">
        <v>8090</v>
      </c>
      <c r="E4759" t="s">
        <v>9867</v>
      </c>
      <c r="F4759" t="s">
        <v>10299</v>
      </c>
      <c r="G4759">
        <v>0.99</v>
      </c>
      <c r="H4759" t="s">
        <v>10310</v>
      </c>
      <c r="I4759" t="s">
        <v>10326</v>
      </c>
      <c r="L4759">
        <v>2006</v>
      </c>
      <c r="R4759" t="s">
        <v>11038</v>
      </c>
      <c r="S4759" t="s">
        <v>10310</v>
      </c>
      <c r="U4759" t="s">
        <v>11047</v>
      </c>
      <c r="W4759" s="2" t="s">
        <v>11204</v>
      </c>
    </row>
    <row r="4760" spans="1:23" hidden="1" x14ac:dyDescent="0.45">
      <c r="A4760" s="1" t="s">
        <v>4690</v>
      </c>
      <c r="B4760" t="s">
        <v>6470</v>
      </c>
      <c r="D4760" t="s">
        <v>8036</v>
      </c>
      <c r="E4760" t="s">
        <v>4471</v>
      </c>
      <c r="F4760" t="s">
        <v>10299</v>
      </c>
      <c r="G4760">
        <v>21</v>
      </c>
      <c r="H4760" t="s">
        <v>10310</v>
      </c>
      <c r="I4760" t="s">
        <v>10326</v>
      </c>
      <c r="L4760">
        <v>1953</v>
      </c>
      <c r="R4760" t="s">
        <v>11038</v>
      </c>
      <c r="S4760" t="s">
        <v>10310</v>
      </c>
      <c r="U4760" t="s">
        <v>11046</v>
      </c>
      <c r="W4760" s="2" t="s">
        <v>11204</v>
      </c>
    </row>
    <row r="4761" spans="1:23" hidden="1" x14ac:dyDescent="0.45">
      <c r="A4761" s="1" t="s">
        <v>4691</v>
      </c>
      <c r="B4761" t="s">
        <v>6319</v>
      </c>
      <c r="D4761" t="s">
        <v>8075</v>
      </c>
      <c r="E4761" t="s">
        <v>9715</v>
      </c>
      <c r="F4761" t="s">
        <v>10299</v>
      </c>
      <c r="G4761">
        <v>32</v>
      </c>
      <c r="H4761" t="s">
        <v>10310</v>
      </c>
      <c r="I4761" t="s">
        <v>10326</v>
      </c>
      <c r="L4761">
        <v>1977</v>
      </c>
      <c r="R4761" t="s">
        <v>11038</v>
      </c>
      <c r="S4761" t="s">
        <v>10310</v>
      </c>
      <c r="U4761" t="s">
        <v>11047</v>
      </c>
      <c r="W4761" s="2" t="s">
        <v>11204</v>
      </c>
    </row>
    <row r="4762" spans="1:23" hidden="1" x14ac:dyDescent="0.45">
      <c r="A4762" s="1" t="s">
        <v>4692</v>
      </c>
      <c r="B4762" t="s">
        <v>6311</v>
      </c>
      <c r="D4762" t="s">
        <v>8034</v>
      </c>
      <c r="E4762" t="s">
        <v>9747</v>
      </c>
      <c r="F4762" t="s">
        <v>10299</v>
      </c>
      <c r="G4762">
        <v>18.399999999999999</v>
      </c>
      <c r="H4762" t="s">
        <v>10310</v>
      </c>
      <c r="I4762" t="s">
        <v>10326</v>
      </c>
      <c r="L4762">
        <v>1983</v>
      </c>
      <c r="R4762" t="s">
        <v>11038</v>
      </c>
      <c r="S4762" t="s">
        <v>10310</v>
      </c>
      <c r="U4762" t="s">
        <v>11046</v>
      </c>
      <c r="W4762" s="2" t="s">
        <v>11204</v>
      </c>
    </row>
    <row r="4763" spans="1:23" hidden="1" x14ac:dyDescent="0.45">
      <c r="A4763" s="1" t="s">
        <v>4693</v>
      </c>
      <c r="B4763" t="s">
        <v>6311</v>
      </c>
      <c r="D4763" t="s">
        <v>8034</v>
      </c>
      <c r="E4763" t="s">
        <v>9747</v>
      </c>
      <c r="F4763" t="s">
        <v>10299</v>
      </c>
      <c r="G4763">
        <v>5.8</v>
      </c>
      <c r="H4763" t="s">
        <v>10310</v>
      </c>
      <c r="I4763" t="s">
        <v>10326</v>
      </c>
      <c r="L4763">
        <v>1983</v>
      </c>
      <c r="R4763" t="s">
        <v>11038</v>
      </c>
      <c r="S4763" t="s">
        <v>10310</v>
      </c>
      <c r="U4763" t="s">
        <v>11046</v>
      </c>
      <c r="W4763" s="2" t="s">
        <v>11204</v>
      </c>
    </row>
    <row r="4764" spans="1:23" hidden="1" x14ac:dyDescent="0.45">
      <c r="A4764" s="1" t="s">
        <v>4694</v>
      </c>
      <c r="B4764" t="s">
        <v>6348</v>
      </c>
      <c r="D4764" t="s">
        <v>8028</v>
      </c>
      <c r="E4764" t="s">
        <v>9690</v>
      </c>
      <c r="F4764" t="s">
        <v>10299</v>
      </c>
      <c r="G4764">
        <v>1.8</v>
      </c>
      <c r="H4764" t="s">
        <v>10310</v>
      </c>
      <c r="I4764" t="s">
        <v>10326</v>
      </c>
      <c r="L4764">
        <v>1986</v>
      </c>
      <c r="R4764" t="s">
        <v>11038</v>
      </c>
      <c r="S4764" t="s">
        <v>10310</v>
      </c>
      <c r="U4764" t="s">
        <v>11050</v>
      </c>
      <c r="W4764" s="2" t="s">
        <v>11204</v>
      </c>
    </row>
    <row r="4765" spans="1:23" hidden="1" x14ac:dyDescent="0.45">
      <c r="A4765" s="1" t="s">
        <v>4694</v>
      </c>
      <c r="B4765" t="s">
        <v>6312</v>
      </c>
      <c r="D4765" t="s">
        <v>8028</v>
      </c>
      <c r="E4765" t="s">
        <v>9621</v>
      </c>
      <c r="F4765" t="s">
        <v>10299</v>
      </c>
      <c r="G4765">
        <v>2.2000000000000002</v>
      </c>
      <c r="H4765" t="s">
        <v>10310</v>
      </c>
      <c r="I4765" t="s">
        <v>10326</v>
      </c>
      <c r="L4765">
        <v>2012</v>
      </c>
      <c r="R4765" t="s">
        <v>11038</v>
      </c>
      <c r="S4765" t="s">
        <v>10310</v>
      </c>
      <c r="U4765" t="s">
        <v>11046</v>
      </c>
      <c r="W4765" s="2" t="s">
        <v>11204</v>
      </c>
    </row>
    <row r="4766" spans="1:23" hidden="1" x14ac:dyDescent="0.45">
      <c r="A4766" s="1" t="s">
        <v>4695</v>
      </c>
      <c r="B4766" t="s">
        <v>6395</v>
      </c>
      <c r="D4766" t="s">
        <v>8028</v>
      </c>
      <c r="E4766" t="s">
        <v>9868</v>
      </c>
      <c r="F4766" t="s">
        <v>10299</v>
      </c>
      <c r="G4766">
        <v>150</v>
      </c>
      <c r="H4766" t="s">
        <v>10310</v>
      </c>
      <c r="I4766" t="s">
        <v>10326</v>
      </c>
      <c r="L4766">
        <v>1971</v>
      </c>
      <c r="R4766" t="s">
        <v>11038</v>
      </c>
      <c r="S4766" t="s">
        <v>10310</v>
      </c>
      <c r="U4766" t="s">
        <v>11046</v>
      </c>
      <c r="W4766" s="2" t="s">
        <v>11204</v>
      </c>
    </row>
    <row r="4767" spans="1:23" hidden="1" x14ac:dyDescent="0.45">
      <c r="A4767" s="1" t="s">
        <v>4696</v>
      </c>
      <c r="B4767" t="s">
        <v>6998</v>
      </c>
      <c r="D4767" t="s">
        <v>8071</v>
      </c>
      <c r="E4767" t="s">
        <v>9689</v>
      </c>
      <c r="F4767" t="s">
        <v>10299</v>
      </c>
      <c r="G4767">
        <v>2.8</v>
      </c>
      <c r="H4767" t="s">
        <v>10310</v>
      </c>
      <c r="I4767" t="s">
        <v>10326</v>
      </c>
      <c r="L4767">
        <v>2009</v>
      </c>
      <c r="R4767" t="s">
        <v>11038</v>
      </c>
      <c r="S4767" t="s">
        <v>10310</v>
      </c>
      <c r="U4767" t="s">
        <v>11047</v>
      </c>
      <c r="W4767" s="2" t="s">
        <v>11204</v>
      </c>
    </row>
    <row r="4768" spans="1:23" hidden="1" x14ac:dyDescent="0.45">
      <c r="A4768" s="1" t="s">
        <v>4697</v>
      </c>
      <c r="B4768" t="s">
        <v>6998</v>
      </c>
      <c r="D4768" t="s">
        <v>8071</v>
      </c>
      <c r="E4768" t="s">
        <v>9689</v>
      </c>
      <c r="F4768" t="s">
        <v>10299</v>
      </c>
      <c r="G4768">
        <v>3.5</v>
      </c>
      <c r="H4768" t="s">
        <v>10310</v>
      </c>
      <c r="I4768" t="s">
        <v>10326</v>
      </c>
      <c r="L4768">
        <v>2008</v>
      </c>
      <c r="R4768" t="s">
        <v>11038</v>
      </c>
      <c r="S4768" t="s">
        <v>10310</v>
      </c>
      <c r="U4768" t="s">
        <v>11047</v>
      </c>
      <c r="W4768" s="2" t="s">
        <v>11204</v>
      </c>
    </row>
    <row r="4769" spans="1:23" hidden="1" x14ac:dyDescent="0.45">
      <c r="A4769" s="1" t="s">
        <v>4698</v>
      </c>
      <c r="B4769" t="s">
        <v>6294</v>
      </c>
      <c r="D4769" t="s">
        <v>8078</v>
      </c>
      <c r="E4769" t="s">
        <v>9751</v>
      </c>
      <c r="F4769" t="s">
        <v>10299</v>
      </c>
      <c r="G4769">
        <v>22.2</v>
      </c>
      <c r="H4769" t="s">
        <v>10310</v>
      </c>
      <c r="I4769" t="s">
        <v>10326</v>
      </c>
      <c r="L4769">
        <v>1915</v>
      </c>
      <c r="R4769" t="s">
        <v>11038</v>
      </c>
      <c r="S4769" t="s">
        <v>10310</v>
      </c>
      <c r="U4769" t="s">
        <v>11046</v>
      </c>
      <c r="W4769" s="2" t="s">
        <v>11204</v>
      </c>
    </row>
    <row r="4770" spans="1:23" hidden="1" x14ac:dyDescent="0.45">
      <c r="A4770" s="1" t="s">
        <v>4699</v>
      </c>
      <c r="B4770" t="s">
        <v>6999</v>
      </c>
      <c r="D4770" t="s">
        <v>8037</v>
      </c>
      <c r="E4770" t="s">
        <v>9629</v>
      </c>
      <c r="F4770" t="s">
        <v>10299</v>
      </c>
      <c r="G4770">
        <v>0.1303</v>
      </c>
      <c r="H4770" t="s">
        <v>10310</v>
      </c>
      <c r="I4770" t="s">
        <v>10326</v>
      </c>
      <c r="L4770">
        <v>2001</v>
      </c>
      <c r="R4770" t="s">
        <v>11038</v>
      </c>
      <c r="S4770" t="s">
        <v>10310</v>
      </c>
      <c r="U4770" t="s">
        <v>11047</v>
      </c>
      <c r="W4770" s="2" t="s">
        <v>11204</v>
      </c>
    </row>
    <row r="4771" spans="1:23" hidden="1" x14ac:dyDescent="0.45">
      <c r="A4771" s="1" t="s">
        <v>4700</v>
      </c>
      <c r="B4771" t="s">
        <v>6281</v>
      </c>
      <c r="D4771" t="s">
        <v>8048</v>
      </c>
      <c r="E4771" t="s">
        <v>9642</v>
      </c>
      <c r="F4771" t="s">
        <v>10299</v>
      </c>
      <c r="G4771">
        <v>5.25</v>
      </c>
      <c r="H4771" t="s">
        <v>10310</v>
      </c>
      <c r="I4771" t="s">
        <v>10326</v>
      </c>
      <c r="L4771">
        <v>2008</v>
      </c>
      <c r="R4771" t="s">
        <v>11038</v>
      </c>
      <c r="S4771" t="s">
        <v>10310</v>
      </c>
      <c r="U4771" t="s">
        <v>11049</v>
      </c>
      <c r="W4771" s="2" t="s">
        <v>11204</v>
      </c>
    </row>
    <row r="4772" spans="1:23" hidden="1" x14ac:dyDescent="0.45">
      <c r="A4772" s="1" t="s">
        <v>4701</v>
      </c>
      <c r="B4772" t="s">
        <v>7000</v>
      </c>
      <c r="D4772" t="s">
        <v>8053</v>
      </c>
      <c r="E4772" t="s">
        <v>9652</v>
      </c>
      <c r="F4772" t="s">
        <v>10299</v>
      </c>
      <c r="G4772">
        <v>90</v>
      </c>
      <c r="H4772" t="s">
        <v>10310</v>
      </c>
      <c r="I4772" t="s">
        <v>10326</v>
      </c>
      <c r="L4772">
        <v>1983</v>
      </c>
      <c r="R4772" t="s">
        <v>11038</v>
      </c>
      <c r="S4772" t="s">
        <v>10310</v>
      </c>
      <c r="U4772" t="s">
        <v>11049</v>
      </c>
      <c r="W4772" s="2" t="s">
        <v>11204</v>
      </c>
    </row>
    <row r="4773" spans="1:23" hidden="1" x14ac:dyDescent="0.45">
      <c r="A4773" s="1" t="s">
        <v>4702</v>
      </c>
      <c r="B4773" t="s">
        <v>7000</v>
      </c>
      <c r="D4773" t="s">
        <v>8053</v>
      </c>
      <c r="E4773" t="s">
        <v>9652</v>
      </c>
      <c r="F4773" t="s">
        <v>10299</v>
      </c>
      <c r="G4773">
        <v>4</v>
      </c>
      <c r="H4773" t="s">
        <v>10310</v>
      </c>
      <c r="I4773" t="s">
        <v>10326</v>
      </c>
      <c r="L4773">
        <v>1943</v>
      </c>
      <c r="R4773" t="s">
        <v>11038</v>
      </c>
      <c r="S4773" t="s">
        <v>10310</v>
      </c>
      <c r="U4773" t="s">
        <v>11049</v>
      </c>
      <c r="W4773" s="2" t="s">
        <v>11204</v>
      </c>
    </row>
    <row r="4774" spans="1:23" hidden="1" x14ac:dyDescent="0.45">
      <c r="A4774" s="1" t="s">
        <v>4703</v>
      </c>
      <c r="B4774" t="s">
        <v>6271</v>
      </c>
      <c r="D4774" t="s">
        <v>8028</v>
      </c>
      <c r="E4774" t="s">
        <v>9636</v>
      </c>
      <c r="F4774" t="s">
        <v>10299</v>
      </c>
      <c r="G4774">
        <v>1.44</v>
      </c>
      <c r="H4774" t="s">
        <v>10310</v>
      </c>
      <c r="I4774" t="s">
        <v>10326</v>
      </c>
      <c r="L4774">
        <v>1912</v>
      </c>
      <c r="R4774" t="s">
        <v>11038</v>
      </c>
      <c r="S4774" t="s">
        <v>10310</v>
      </c>
      <c r="U4774" t="s">
        <v>11050</v>
      </c>
      <c r="W4774" s="2" t="s">
        <v>11204</v>
      </c>
    </row>
    <row r="4775" spans="1:23" hidden="1" x14ac:dyDescent="0.45">
      <c r="A4775" s="1" t="s">
        <v>4704</v>
      </c>
      <c r="B4775" t="s">
        <v>6378</v>
      </c>
      <c r="D4775" t="s">
        <v>8072</v>
      </c>
      <c r="E4775" t="s">
        <v>9700</v>
      </c>
      <c r="F4775" t="s">
        <v>10299</v>
      </c>
      <c r="G4775">
        <v>15</v>
      </c>
      <c r="H4775" t="s">
        <v>10310</v>
      </c>
      <c r="I4775" t="s">
        <v>10326</v>
      </c>
      <c r="L4775">
        <v>1994</v>
      </c>
      <c r="R4775" t="s">
        <v>11038</v>
      </c>
      <c r="S4775" t="s">
        <v>10310</v>
      </c>
      <c r="U4775" t="s">
        <v>11049</v>
      </c>
      <c r="W4775" s="2" t="s">
        <v>11204</v>
      </c>
    </row>
    <row r="4776" spans="1:23" hidden="1" x14ac:dyDescent="0.45">
      <c r="A4776" s="1" t="s">
        <v>4705</v>
      </c>
      <c r="B4776" t="s">
        <v>7001</v>
      </c>
      <c r="D4776" t="s">
        <v>8037</v>
      </c>
      <c r="E4776" t="s">
        <v>9629</v>
      </c>
      <c r="F4776" t="s">
        <v>10299</v>
      </c>
      <c r="G4776">
        <v>1.49</v>
      </c>
      <c r="H4776" t="s">
        <v>10310</v>
      </c>
      <c r="I4776" t="s">
        <v>10326</v>
      </c>
      <c r="L4776">
        <v>2001</v>
      </c>
      <c r="R4776" t="s">
        <v>11038</v>
      </c>
      <c r="S4776" t="s">
        <v>10310</v>
      </c>
      <c r="U4776" t="s">
        <v>11047</v>
      </c>
      <c r="W4776" s="2" t="s">
        <v>11204</v>
      </c>
    </row>
    <row r="4777" spans="1:23" hidden="1" x14ac:dyDescent="0.45">
      <c r="A4777" s="1" t="s">
        <v>4706</v>
      </c>
      <c r="B4777" t="s">
        <v>7002</v>
      </c>
      <c r="D4777" t="s">
        <v>8037</v>
      </c>
      <c r="E4777" t="s">
        <v>9629</v>
      </c>
      <c r="F4777" t="s">
        <v>10299</v>
      </c>
      <c r="G4777">
        <v>3.5</v>
      </c>
      <c r="H4777" t="s">
        <v>10310</v>
      </c>
      <c r="I4777" t="s">
        <v>10326</v>
      </c>
      <c r="L4777">
        <v>2011</v>
      </c>
      <c r="R4777" t="s">
        <v>11038</v>
      </c>
      <c r="S4777" t="s">
        <v>10310</v>
      </c>
      <c r="U4777" t="s">
        <v>11047</v>
      </c>
      <c r="W4777" s="2" t="s">
        <v>11204</v>
      </c>
    </row>
    <row r="4778" spans="1:23" hidden="1" x14ac:dyDescent="0.45">
      <c r="A4778" s="1" t="s">
        <v>4707</v>
      </c>
      <c r="B4778" t="s">
        <v>6503</v>
      </c>
      <c r="D4778" t="s">
        <v>8090</v>
      </c>
      <c r="E4778" t="s">
        <v>9867</v>
      </c>
      <c r="F4778" t="s">
        <v>10299</v>
      </c>
      <c r="G4778">
        <v>0.22700000000000001</v>
      </c>
      <c r="H4778" t="s">
        <v>10310</v>
      </c>
      <c r="I4778" t="s">
        <v>10326</v>
      </c>
      <c r="L4778">
        <v>2007</v>
      </c>
      <c r="R4778" t="s">
        <v>11038</v>
      </c>
      <c r="S4778" t="s">
        <v>10310</v>
      </c>
      <c r="U4778" t="s">
        <v>11047</v>
      </c>
      <c r="W4778" s="2" t="s">
        <v>11204</v>
      </c>
    </row>
    <row r="4779" spans="1:23" hidden="1" x14ac:dyDescent="0.45">
      <c r="A4779" s="1" t="s">
        <v>4708</v>
      </c>
      <c r="B4779" t="s">
        <v>6323</v>
      </c>
      <c r="D4779" t="s">
        <v>7917</v>
      </c>
      <c r="E4779" t="s">
        <v>9672</v>
      </c>
      <c r="F4779" t="s">
        <v>10299</v>
      </c>
      <c r="G4779">
        <v>85</v>
      </c>
      <c r="H4779" t="s">
        <v>10310</v>
      </c>
      <c r="I4779" t="s">
        <v>10326</v>
      </c>
      <c r="L4779">
        <v>1970</v>
      </c>
      <c r="R4779" t="s">
        <v>11038</v>
      </c>
      <c r="S4779" t="s">
        <v>10310</v>
      </c>
      <c r="U4779" t="s">
        <v>11047</v>
      </c>
      <c r="W4779" s="2" t="s">
        <v>11204</v>
      </c>
    </row>
    <row r="4780" spans="1:23" hidden="1" x14ac:dyDescent="0.45">
      <c r="A4780" s="1" t="s">
        <v>4709</v>
      </c>
      <c r="B4780" t="s">
        <v>6323</v>
      </c>
      <c r="D4780" t="s">
        <v>7917</v>
      </c>
      <c r="E4780" t="s">
        <v>9672</v>
      </c>
      <c r="F4780" t="s">
        <v>10299</v>
      </c>
      <c r="G4780">
        <v>42</v>
      </c>
      <c r="H4780" t="s">
        <v>10310</v>
      </c>
      <c r="I4780" t="s">
        <v>10326</v>
      </c>
      <c r="L4780">
        <v>1973</v>
      </c>
      <c r="R4780" t="s">
        <v>11038</v>
      </c>
      <c r="S4780" t="s">
        <v>10310</v>
      </c>
      <c r="U4780" t="s">
        <v>11047</v>
      </c>
      <c r="W4780" s="2" t="s">
        <v>11204</v>
      </c>
    </row>
    <row r="4781" spans="1:23" hidden="1" x14ac:dyDescent="0.45">
      <c r="A4781" s="1" t="s">
        <v>4710</v>
      </c>
      <c r="B4781" t="s">
        <v>6289</v>
      </c>
      <c r="D4781" t="s">
        <v>8045</v>
      </c>
      <c r="E4781" t="s">
        <v>9639</v>
      </c>
      <c r="F4781" t="s">
        <v>10299</v>
      </c>
      <c r="G4781">
        <v>12</v>
      </c>
      <c r="H4781" t="s">
        <v>10310</v>
      </c>
      <c r="I4781" t="s">
        <v>10326</v>
      </c>
      <c r="L4781">
        <v>1971</v>
      </c>
      <c r="R4781" t="s">
        <v>11038</v>
      </c>
      <c r="S4781" t="s">
        <v>10310</v>
      </c>
      <c r="U4781" t="s">
        <v>11047</v>
      </c>
      <c r="W4781" s="2" t="s">
        <v>11204</v>
      </c>
    </row>
    <row r="4782" spans="1:23" hidden="1" x14ac:dyDescent="0.45">
      <c r="A4782" s="1" t="s">
        <v>4711</v>
      </c>
      <c r="D4782" t="s">
        <v>8058</v>
      </c>
      <c r="E4782" t="s">
        <v>9662</v>
      </c>
      <c r="F4782" t="s">
        <v>10299</v>
      </c>
      <c r="G4782">
        <v>0.25</v>
      </c>
      <c r="H4782" t="s">
        <v>10310</v>
      </c>
      <c r="I4782" t="s">
        <v>10326</v>
      </c>
      <c r="L4782">
        <v>2004</v>
      </c>
      <c r="R4782" t="s">
        <v>11038</v>
      </c>
      <c r="S4782" t="s">
        <v>10310</v>
      </c>
      <c r="U4782" t="s">
        <v>11046</v>
      </c>
      <c r="W4782" s="2" t="s">
        <v>11204</v>
      </c>
    </row>
    <row r="4783" spans="1:23" hidden="1" x14ac:dyDescent="0.45">
      <c r="A4783" s="1" t="s">
        <v>4712</v>
      </c>
      <c r="B4783" t="s">
        <v>6348</v>
      </c>
      <c r="D4783" t="s">
        <v>7917</v>
      </c>
      <c r="E4783" t="s">
        <v>9776</v>
      </c>
      <c r="F4783" t="s">
        <v>10299</v>
      </c>
      <c r="G4783">
        <v>4.0999999999999996</v>
      </c>
      <c r="H4783" t="s">
        <v>10310</v>
      </c>
      <c r="I4783" t="s">
        <v>10326</v>
      </c>
      <c r="L4783">
        <v>1924</v>
      </c>
      <c r="R4783" t="s">
        <v>11038</v>
      </c>
      <c r="S4783" t="s">
        <v>10310</v>
      </c>
      <c r="U4783" t="s">
        <v>11050</v>
      </c>
      <c r="W4783" s="2" t="s">
        <v>11204</v>
      </c>
    </row>
    <row r="4784" spans="1:23" hidden="1" x14ac:dyDescent="0.45">
      <c r="A4784" s="1" t="s">
        <v>4713</v>
      </c>
      <c r="D4784" t="s">
        <v>8091</v>
      </c>
      <c r="E4784" t="s">
        <v>9869</v>
      </c>
      <c r="F4784" t="s">
        <v>10299</v>
      </c>
      <c r="G4784">
        <v>5.5</v>
      </c>
      <c r="H4784" t="s">
        <v>10312</v>
      </c>
      <c r="L4784">
        <v>2008</v>
      </c>
      <c r="R4784" t="s">
        <v>11037</v>
      </c>
      <c r="S4784" t="s">
        <v>10312</v>
      </c>
      <c r="U4784" t="s">
        <v>11050</v>
      </c>
      <c r="W4784" s="2" t="s">
        <v>11205</v>
      </c>
    </row>
    <row r="4785" spans="1:23" hidden="1" x14ac:dyDescent="0.45">
      <c r="A4785" s="1" t="s">
        <v>4714</v>
      </c>
      <c r="D4785" t="s">
        <v>8092</v>
      </c>
      <c r="E4785" t="s">
        <v>9669</v>
      </c>
      <c r="F4785" t="s">
        <v>10299</v>
      </c>
      <c r="G4785">
        <v>11.5</v>
      </c>
      <c r="H4785" t="s">
        <v>10318</v>
      </c>
      <c r="L4785">
        <v>1978</v>
      </c>
      <c r="R4785" t="s">
        <v>11037</v>
      </c>
      <c r="S4785" t="s">
        <v>10318</v>
      </c>
      <c r="U4785" t="s">
        <v>11049</v>
      </c>
      <c r="W4785" s="2" t="s">
        <v>11205</v>
      </c>
    </row>
    <row r="4786" spans="1:23" hidden="1" x14ac:dyDescent="0.45">
      <c r="A4786" s="1" t="s">
        <v>4715</v>
      </c>
      <c r="D4786" t="s">
        <v>8093</v>
      </c>
      <c r="E4786" t="s">
        <v>9725</v>
      </c>
      <c r="F4786" t="s">
        <v>10299</v>
      </c>
      <c r="G4786">
        <v>3</v>
      </c>
      <c r="H4786" t="s">
        <v>10312</v>
      </c>
      <c r="L4786">
        <v>2012</v>
      </c>
      <c r="R4786" t="s">
        <v>11037</v>
      </c>
      <c r="S4786" t="s">
        <v>10312</v>
      </c>
      <c r="U4786" t="s">
        <v>11046</v>
      </c>
      <c r="W4786" s="2" t="s">
        <v>11205</v>
      </c>
    </row>
    <row r="4787" spans="1:23" hidden="1" x14ac:dyDescent="0.45">
      <c r="A4787" s="1" t="s">
        <v>4716</v>
      </c>
      <c r="D4787" t="s">
        <v>8094</v>
      </c>
      <c r="E4787" t="s">
        <v>9870</v>
      </c>
      <c r="F4787" t="s">
        <v>10299</v>
      </c>
      <c r="G4787">
        <v>0.8</v>
      </c>
      <c r="H4787" t="s">
        <v>10307</v>
      </c>
      <c r="L4787">
        <v>2001</v>
      </c>
      <c r="R4787" t="s">
        <v>11037</v>
      </c>
      <c r="S4787" t="s">
        <v>10307</v>
      </c>
      <c r="U4787" t="s">
        <v>11046</v>
      </c>
      <c r="W4787" s="2" t="s">
        <v>11205</v>
      </c>
    </row>
    <row r="4788" spans="1:23" hidden="1" x14ac:dyDescent="0.45">
      <c r="A4788" s="1" t="s">
        <v>4717</v>
      </c>
      <c r="D4788" t="s">
        <v>8095</v>
      </c>
      <c r="E4788" t="s">
        <v>9632</v>
      </c>
      <c r="F4788" t="s">
        <v>10299</v>
      </c>
      <c r="G4788">
        <v>27</v>
      </c>
      <c r="H4788" t="s">
        <v>10312</v>
      </c>
      <c r="L4788">
        <v>1999</v>
      </c>
      <c r="R4788" t="s">
        <v>11037</v>
      </c>
      <c r="S4788" t="s">
        <v>10312</v>
      </c>
      <c r="U4788" t="s">
        <v>11049</v>
      </c>
      <c r="W4788" s="2" t="s">
        <v>11205</v>
      </c>
    </row>
    <row r="4789" spans="1:23" hidden="1" x14ac:dyDescent="0.45">
      <c r="A4789" s="1" t="s">
        <v>4718</v>
      </c>
      <c r="D4789" t="s">
        <v>8096</v>
      </c>
      <c r="E4789" t="s">
        <v>9655</v>
      </c>
      <c r="F4789" t="s">
        <v>10299</v>
      </c>
      <c r="G4789">
        <v>39.299999999999997</v>
      </c>
      <c r="H4789" t="s">
        <v>10318</v>
      </c>
      <c r="L4789">
        <v>2012</v>
      </c>
      <c r="R4789" t="s">
        <v>11037</v>
      </c>
      <c r="S4789" t="s">
        <v>10318</v>
      </c>
      <c r="U4789" t="s">
        <v>11048</v>
      </c>
      <c r="W4789" s="2" t="s">
        <v>11205</v>
      </c>
    </row>
    <row r="4790" spans="1:23" hidden="1" x14ac:dyDescent="0.45">
      <c r="A4790" s="1" t="s">
        <v>4719</v>
      </c>
      <c r="D4790" t="s">
        <v>8093</v>
      </c>
      <c r="E4790" t="s">
        <v>9725</v>
      </c>
      <c r="F4790" t="s">
        <v>10299</v>
      </c>
      <c r="G4790">
        <v>5</v>
      </c>
      <c r="H4790" t="s">
        <v>10312</v>
      </c>
      <c r="L4790">
        <v>2012</v>
      </c>
      <c r="R4790" t="s">
        <v>11037</v>
      </c>
      <c r="S4790" t="s">
        <v>10312</v>
      </c>
      <c r="U4790" t="s">
        <v>11046</v>
      </c>
      <c r="W4790" s="2" t="s">
        <v>11205</v>
      </c>
    </row>
    <row r="4791" spans="1:23" hidden="1" x14ac:dyDescent="0.45">
      <c r="A4791" s="1" t="s">
        <v>4720</v>
      </c>
      <c r="D4791" t="s">
        <v>8091</v>
      </c>
      <c r="E4791" t="s">
        <v>9869</v>
      </c>
      <c r="F4791" t="s">
        <v>10299</v>
      </c>
      <c r="G4791">
        <v>1.1000000000000001</v>
      </c>
      <c r="H4791" t="s">
        <v>10312</v>
      </c>
      <c r="L4791">
        <v>1984</v>
      </c>
      <c r="R4791" t="s">
        <v>11037</v>
      </c>
      <c r="S4791" t="s">
        <v>10312</v>
      </c>
      <c r="U4791" t="s">
        <v>11050</v>
      </c>
      <c r="W4791" s="2" t="s">
        <v>11205</v>
      </c>
    </row>
    <row r="4792" spans="1:23" hidden="1" x14ac:dyDescent="0.45">
      <c r="A4792" s="1" t="s">
        <v>4721</v>
      </c>
      <c r="D4792" t="s">
        <v>8097</v>
      </c>
      <c r="E4792" t="s">
        <v>9653</v>
      </c>
      <c r="F4792" t="s">
        <v>10299</v>
      </c>
      <c r="G4792">
        <v>4.8</v>
      </c>
      <c r="H4792" t="s">
        <v>10312</v>
      </c>
      <c r="L4792">
        <v>2009</v>
      </c>
      <c r="R4792" t="s">
        <v>11037</v>
      </c>
      <c r="S4792" t="s">
        <v>10312</v>
      </c>
      <c r="U4792" t="s">
        <v>11047</v>
      </c>
      <c r="W4792" s="2" t="s">
        <v>11205</v>
      </c>
    </row>
    <row r="4793" spans="1:23" hidden="1" x14ac:dyDescent="0.45">
      <c r="A4793" s="1" t="s">
        <v>4722</v>
      </c>
      <c r="D4793" t="s">
        <v>8098</v>
      </c>
      <c r="E4793" t="s">
        <v>9789</v>
      </c>
      <c r="F4793" t="s">
        <v>10299</v>
      </c>
      <c r="G4793">
        <v>26.9</v>
      </c>
      <c r="H4793" t="s">
        <v>10312</v>
      </c>
      <c r="L4793">
        <v>1985</v>
      </c>
      <c r="R4793" t="s">
        <v>11037</v>
      </c>
      <c r="S4793" t="s">
        <v>10312</v>
      </c>
      <c r="U4793" t="s">
        <v>11050</v>
      </c>
      <c r="W4793" s="2" t="s">
        <v>11205</v>
      </c>
    </row>
    <row r="4794" spans="1:23" hidden="1" x14ac:dyDescent="0.45">
      <c r="A4794" s="1" t="s">
        <v>4723</v>
      </c>
      <c r="D4794" t="s">
        <v>8099</v>
      </c>
      <c r="E4794" t="s">
        <v>9871</v>
      </c>
      <c r="F4794" t="s">
        <v>10299</v>
      </c>
      <c r="L4794">
        <v>2006</v>
      </c>
      <c r="U4794" t="s">
        <v>11050</v>
      </c>
      <c r="V4794" t="s">
        <v>11183</v>
      </c>
      <c r="W4794" s="2" t="s">
        <v>11205</v>
      </c>
    </row>
    <row r="4795" spans="1:23" hidden="1" x14ac:dyDescent="0.45">
      <c r="A4795" s="1" t="s">
        <v>4724</v>
      </c>
      <c r="D4795" t="s">
        <v>8100</v>
      </c>
      <c r="E4795" t="s">
        <v>9872</v>
      </c>
      <c r="F4795" t="s">
        <v>10299</v>
      </c>
      <c r="G4795">
        <v>10.4</v>
      </c>
      <c r="H4795" t="s">
        <v>10307</v>
      </c>
      <c r="L4795">
        <v>2003</v>
      </c>
      <c r="R4795" t="s">
        <v>11037</v>
      </c>
      <c r="S4795" t="s">
        <v>10307</v>
      </c>
      <c r="U4795" t="s">
        <v>11049</v>
      </c>
      <c r="W4795" s="2" t="s">
        <v>11205</v>
      </c>
    </row>
    <row r="4796" spans="1:23" hidden="1" x14ac:dyDescent="0.45">
      <c r="A4796" s="1" t="s">
        <v>4725</v>
      </c>
      <c r="D4796" t="s">
        <v>8100</v>
      </c>
      <c r="E4796" t="s">
        <v>9872</v>
      </c>
      <c r="F4796" t="s">
        <v>10299</v>
      </c>
      <c r="G4796">
        <v>0.15</v>
      </c>
      <c r="H4796" t="s">
        <v>10307</v>
      </c>
      <c r="L4796">
        <v>2003</v>
      </c>
      <c r="R4796" t="s">
        <v>11037</v>
      </c>
      <c r="S4796" t="s">
        <v>10307</v>
      </c>
      <c r="U4796" t="s">
        <v>11049</v>
      </c>
      <c r="W4796" s="2" t="s">
        <v>11205</v>
      </c>
    </row>
    <row r="4797" spans="1:23" hidden="1" x14ac:dyDescent="0.45">
      <c r="A4797" s="1" t="s">
        <v>4726</v>
      </c>
      <c r="D4797" t="s">
        <v>8101</v>
      </c>
      <c r="E4797" t="s">
        <v>9664</v>
      </c>
      <c r="F4797" t="s">
        <v>10299</v>
      </c>
      <c r="G4797">
        <v>35</v>
      </c>
      <c r="H4797" t="s">
        <v>10307</v>
      </c>
      <c r="L4797">
        <v>1985</v>
      </c>
      <c r="R4797" t="s">
        <v>11037</v>
      </c>
      <c r="S4797" t="s">
        <v>10307</v>
      </c>
      <c r="U4797" t="s">
        <v>11046</v>
      </c>
      <c r="W4797" s="2" t="s">
        <v>11205</v>
      </c>
    </row>
    <row r="4798" spans="1:23" hidden="1" x14ac:dyDescent="0.45">
      <c r="A4798" s="1" t="s">
        <v>4727</v>
      </c>
      <c r="D4798" t="s">
        <v>8102</v>
      </c>
      <c r="E4798" t="s">
        <v>3517</v>
      </c>
      <c r="F4798" t="s">
        <v>10299</v>
      </c>
      <c r="G4798">
        <v>248</v>
      </c>
      <c r="H4798" t="s">
        <v>10307</v>
      </c>
      <c r="L4798">
        <v>2007</v>
      </c>
      <c r="R4798" t="s">
        <v>11037</v>
      </c>
      <c r="S4798" t="s">
        <v>10307</v>
      </c>
      <c r="U4798" t="s">
        <v>11048</v>
      </c>
      <c r="W4798" s="2" t="s">
        <v>11205</v>
      </c>
    </row>
    <row r="4799" spans="1:23" hidden="1" x14ac:dyDescent="0.45">
      <c r="A4799" s="1" t="s">
        <v>4728</v>
      </c>
      <c r="D4799" t="s">
        <v>8103</v>
      </c>
      <c r="E4799" t="s">
        <v>9623</v>
      </c>
      <c r="F4799" t="s">
        <v>10299</v>
      </c>
      <c r="G4799">
        <v>179</v>
      </c>
      <c r="H4799" t="s">
        <v>10307</v>
      </c>
      <c r="L4799">
        <v>2010</v>
      </c>
      <c r="R4799" t="s">
        <v>11037</v>
      </c>
      <c r="S4799" t="s">
        <v>10307</v>
      </c>
      <c r="U4799" t="s">
        <v>11049</v>
      </c>
      <c r="V4799" t="s">
        <v>11184</v>
      </c>
      <c r="W4799" s="2" t="s">
        <v>11205</v>
      </c>
    </row>
    <row r="4800" spans="1:23" hidden="1" x14ac:dyDescent="0.45">
      <c r="A4800" s="1" t="s">
        <v>4729</v>
      </c>
      <c r="D4800" t="s">
        <v>8104</v>
      </c>
      <c r="E4800" t="s">
        <v>9703</v>
      </c>
      <c r="F4800" t="s">
        <v>10299</v>
      </c>
      <c r="G4800">
        <v>11.5</v>
      </c>
      <c r="H4800" t="s">
        <v>10313</v>
      </c>
      <c r="L4800">
        <v>2012</v>
      </c>
      <c r="R4800" t="s">
        <v>11037</v>
      </c>
      <c r="S4800" t="s">
        <v>10313</v>
      </c>
      <c r="U4800" t="s">
        <v>11047</v>
      </c>
      <c r="W4800" s="2" t="s">
        <v>11205</v>
      </c>
    </row>
    <row r="4801" spans="1:23" hidden="1" x14ac:dyDescent="0.45">
      <c r="A4801" s="1" t="s">
        <v>4730</v>
      </c>
      <c r="D4801" t="s">
        <v>8105</v>
      </c>
      <c r="E4801" t="s">
        <v>9873</v>
      </c>
      <c r="F4801" t="s">
        <v>10299</v>
      </c>
      <c r="G4801">
        <v>150</v>
      </c>
      <c r="H4801" t="s">
        <v>10307</v>
      </c>
      <c r="L4801">
        <v>2008</v>
      </c>
      <c r="R4801" t="s">
        <v>11037</v>
      </c>
      <c r="S4801" t="s">
        <v>10307</v>
      </c>
      <c r="U4801" t="s">
        <v>11047</v>
      </c>
      <c r="V4801" t="s">
        <v>11185</v>
      </c>
      <c r="W4801" s="2" t="s">
        <v>11205</v>
      </c>
    </row>
    <row r="4802" spans="1:23" hidden="1" x14ac:dyDescent="0.45">
      <c r="A4802" s="1" t="s">
        <v>4731</v>
      </c>
      <c r="D4802" t="s">
        <v>8106</v>
      </c>
      <c r="E4802" t="s">
        <v>9874</v>
      </c>
      <c r="F4802" t="s">
        <v>10299</v>
      </c>
      <c r="G4802">
        <v>14.3</v>
      </c>
      <c r="H4802" t="s">
        <v>10312</v>
      </c>
      <c r="L4802">
        <v>2010</v>
      </c>
      <c r="R4802" t="s">
        <v>11037</v>
      </c>
      <c r="S4802" t="s">
        <v>10312</v>
      </c>
      <c r="U4802" t="s">
        <v>11046</v>
      </c>
      <c r="W4802" s="2" t="s">
        <v>11205</v>
      </c>
    </row>
    <row r="4803" spans="1:23" hidden="1" x14ac:dyDescent="0.45">
      <c r="A4803" s="1" t="s">
        <v>4732</v>
      </c>
      <c r="D4803" t="s">
        <v>8096</v>
      </c>
      <c r="E4803" t="s">
        <v>9655</v>
      </c>
      <c r="F4803" t="s">
        <v>10299</v>
      </c>
      <c r="G4803">
        <v>0.3</v>
      </c>
      <c r="H4803" t="s">
        <v>10312</v>
      </c>
      <c r="L4803">
        <v>2007</v>
      </c>
      <c r="R4803" t="s">
        <v>11037</v>
      </c>
      <c r="S4803" t="s">
        <v>10312</v>
      </c>
      <c r="U4803" t="s">
        <v>11048</v>
      </c>
      <c r="W4803" s="2" t="s">
        <v>11205</v>
      </c>
    </row>
    <row r="4804" spans="1:23" hidden="1" x14ac:dyDescent="0.45">
      <c r="A4804" s="1" t="s">
        <v>4733</v>
      </c>
      <c r="D4804" t="s">
        <v>8107</v>
      </c>
      <c r="E4804" t="s">
        <v>9791</v>
      </c>
      <c r="F4804" t="s">
        <v>10299</v>
      </c>
      <c r="G4804">
        <v>1</v>
      </c>
      <c r="L4804">
        <v>2007</v>
      </c>
      <c r="U4804" t="s">
        <v>11049</v>
      </c>
      <c r="V4804" t="s">
        <v>11183</v>
      </c>
      <c r="W4804" s="2" t="s">
        <v>11205</v>
      </c>
    </row>
    <row r="4805" spans="1:23" hidden="1" x14ac:dyDescent="0.45">
      <c r="A4805" s="1" t="s">
        <v>4734</v>
      </c>
      <c r="D4805" t="s">
        <v>8108</v>
      </c>
      <c r="E4805" t="s">
        <v>9760</v>
      </c>
      <c r="F4805" t="s">
        <v>10299</v>
      </c>
      <c r="G4805">
        <v>24.8</v>
      </c>
      <c r="H4805" t="s">
        <v>10318</v>
      </c>
      <c r="L4805">
        <v>1981</v>
      </c>
      <c r="R4805" t="s">
        <v>11037</v>
      </c>
      <c r="S4805" t="s">
        <v>10318</v>
      </c>
      <c r="U4805" t="s">
        <v>11047</v>
      </c>
      <c r="W4805" s="2" t="s">
        <v>11205</v>
      </c>
    </row>
    <row r="4806" spans="1:23" hidden="1" x14ac:dyDescent="0.45">
      <c r="A4806" s="1" t="s">
        <v>4735</v>
      </c>
      <c r="D4806" t="s">
        <v>8109</v>
      </c>
      <c r="E4806" t="s">
        <v>9867</v>
      </c>
      <c r="F4806" t="s">
        <v>10299</v>
      </c>
      <c r="G4806">
        <v>22</v>
      </c>
      <c r="H4806" t="s">
        <v>10318</v>
      </c>
      <c r="L4806">
        <v>1998</v>
      </c>
      <c r="R4806" t="s">
        <v>11037</v>
      </c>
      <c r="S4806" t="s">
        <v>10318</v>
      </c>
      <c r="U4806" t="s">
        <v>11047</v>
      </c>
      <c r="W4806" s="2" t="s">
        <v>11205</v>
      </c>
    </row>
    <row r="4807" spans="1:23" hidden="1" x14ac:dyDescent="0.45">
      <c r="A4807" s="1" t="s">
        <v>4736</v>
      </c>
      <c r="D4807" t="s">
        <v>8109</v>
      </c>
      <c r="E4807" t="s">
        <v>9867</v>
      </c>
      <c r="F4807" t="s">
        <v>10299</v>
      </c>
      <c r="G4807">
        <v>150</v>
      </c>
      <c r="H4807" t="s">
        <v>10307</v>
      </c>
      <c r="L4807">
        <v>2008</v>
      </c>
      <c r="R4807" t="s">
        <v>11037</v>
      </c>
      <c r="S4807" t="s">
        <v>10307</v>
      </c>
      <c r="U4807" t="s">
        <v>11047</v>
      </c>
      <c r="V4807" t="s">
        <v>11186</v>
      </c>
      <c r="W4807" s="2" t="s">
        <v>11205</v>
      </c>
    </row>
    <row r="4808" spans="1:23" hidden="1" x14ac:dyDescent="0.45">
      <c r="A4808" s="1" t="s">
        <v>4737</v>
      </c>
      <c r="D4808" t="s">
        <v>8110</v>
      </c>
      <c r="E4808" t="s">
        <v>9875</v>
      </c>
      <c r="F4808" t="s">
        <v>10299</v>
      </c>
      <c r="G4808">
        <v>6.6</v>
      </c>
      <c r="H4808" t="s">
        <v>10312</v>
      </c>
      <c r="L4808">
        <v>2011</v>
      </c>
      <c r="R4808" t="s">
        <v>11037</v>
      </c>
      <c r="S4808" t="s">
        <v>10312</v>
      </c>
      <c r="U4808" t="s">
        <v>11050</v>
      </c>
      <c r="W4808" s="2" t="s">
        <v>11205</v>
      </c>
    </row>
    <row r="4809" spans="1:23" hidden="1" x14ac:dyDescent="0.45">
      <c r="A4809" s="1" t="s">
        <v>4738</v>
      </c>
      <c r="D4809" t="s">
        <v>8111</v>
      </c>
      <c r="E4809" t="s">
        <v>3805</v>
      </c>
      <c r="F4809" t="s">
        <v>10299</v>
      </c>
      <c r="G4809">
        <v>14</v>
      </c>
      <c r="H4809" t="s">
        <v>10318</v>
      </c>
      <c r="L4809">
        <v>1981</v>
      </c>
      <c r="R4809" t="s">
        <v>11037</v>
      </c>
      <c r="S4809" t="s">
        <v>10318</v>
      </c>
      <c r="U4809" t="s">
        <v>11046</v>
      </c>
      <c r="W4809" s="2" t="s">
        <v>11205</v>
      </c>
    </row>
    <row r="4810" spans="1:23" hidden="1" x14ac:dyDescent="0.45">
      <c r="A4810" s="1" t="s">
        <v>4739</v>
      </c>
      <c r="F4810" t="s">
        <v>10300</v>
      </c>
      <c r="G4810">
        <v>106</v>
      </c>
      <c r="H4810" t="s">
        <v>10309</v>
      </c>
      <c r="K4810" t="s">
        <v>10332</v>
      </c>
      <c r="M4810" t="s">
        <v>10336</v>
      </c>
      <c r="N4810">
        <v>59.266044999999998</v>
      </c>
      <c r="P4810">
        <v>15.179402</v>
      </c>
      <c r="Q4810" t="s">
        <v>10869</v>
      </c>
      <c r="R4810" t="s">
        <v>11038</v>
      </c>
      <c r="S4810" t="s">
        <v>10317</v>
      </c>
      <c r="T4810" t="s">
        <v>10309</v>
      </c>
      <c r="U4810" t="s">
        <v>11051</v>
      </c>
      <c r="W4810" t="s">
        <v>11206</v>
      </c>
    </row>
    <row r="4811" spans="1:23" hidden="1" x14ac:dyDescent="0.45">
      <c r="A4811" s="1" t="s">
        <v>4740</v>
      </c>
      <c r="F4811" t="s">
        <v>10300</v>
      </c>
      <c r="G4811">
        <v>243</v>
      </c>
      <c r="H4811" t="s">
        <v>10308</v>
      </c>
      <c r="I4811" t="s">
        <v>10323</v>
      </c>
      <c r="N4811">
        <v>59.587936999999997</v>
      </c>
      <c r="P4811">
        <v>16.512505999999998</v>
      </c>
      <c r="Q4811" t="s">
        <v>10870</v>
      </c>
      <c r="R4811" t="s">
        <v>11037</v>
      </c>
      <c r="S4811" t="s">
        <v>10308</v>
      </c>
      <c r="U4811" t="s">
        <v>11051</v>
      </c>
      <c r="W4811" t="s">
        <v>11206</v>
      </c>
    </row>
    <row r="4812" spans="1:23" hidden="1" x14ac:dyDescent="0.45">
      <c r="A4812" s="1" t="s">
        <v>4741</v>
      </c>
      <c r="F4812" t="s">
        <v>10300</v>
      </c>
      <c r="G4812">
        <v>192</v>
      </c>
      <c r="H4812" t="s">
        <v>10313</v>
      </c>
      <c r="K4812" t="s">
        <v>10332</v>
      </c>
      <c r="M4812" t="s">
        <v>10336</v>
      </c>
      <c r="N4812">
        <v>59.587936999999997</v>
      </c>
      <c r="P4812">
        <v>16.512505999999998</v>
      </c>
      <c r="R4812" t="s">
        <v>11037</v>
      </c>
      <c r="S4812" t="s">
        <v>10313</v>
      </c>
      <c r="U4812" t="s">
        <v>11051</v>
      </c>
      <c r="W4812" t="s">
        <v>11206</v>
      </c>
    </row>
    <row r="4813" spans="1:23" hidden="1" x14ac:dyDescent="0.45">
      <c r="A4813" s="1" t="s">
        <v>4742</v>
      </c>
      <c r="F4813" t="s">
        <v>10300</v>
      </c>
      <c r="G4813">
        <v>100</v>
      </c>
      <c r="H4813" t="s">
        <v>10310</v>
      </c>
      <c r="I4813" t="s">
        <v>10326</v>
      </c>
      <c r="N4813">
        <v>65.403606000000011</v>
      </c>
      <c r="P4813">
        <v>18.673154</v>
      </c>
      <c r="Q4813" t="s">
        <v>10871</v>
      </c>
      <c r="R4813" t="s">
        <v>11038</v>
      </c>
      <c r="S4813" t="s">
        <v>10310</v>
      </c>
      <c r="U4813" t="s">
        <v>11052</v>
      </c>
      <c r="W4813" t="s">
        <v>11206</v>
      </c>
    </row>
    <row r="4814" spans="1:23" hidden="1" x14ac:dyDescent="0.45">
      <c r="A4814" s="1" t="s">
        <v>4743</v>
      </c>
      <c r="F4814" t="s">
        <v>10300</v>
      </c>
      <c r="G4814">
        <v>984</v>
      </c>
      <c r="H4814" t="s">
        <v>10311</v>
      </c>
      <c r="I4814" t="s">
        <v>10323</v>
      </c>
      <c r="N4814">
        <v>60.403993000000007</v>
      </c>
      <c r="P4814">
        <v>18.174347000000001</v>
      </c>
      <c r="Q4814" t="s">
        <v>10872</v>
      </c>
      <c r="R4814" t="s">
        <v>10311</v>
      </c>
      <c r="U4814" t="s">
        <v>11051</v>
      </c>
      <c r="W4814" t="s">
        <v>11206</v>
      </c>
    </row>
    <row r="4815" spans="1:23" hidden="1" x14ac:dyDescent="0.45">
      <c r="A4815" s="1" t="s">
        <v>4744</v>
      </c>
      <c r="F4815" t="s">
        <v>10300</v>
      </c>
      <c r="G4815">
        <v>1120</v>
      </c>
      <c r="H4815" t="s">
        <v>10311</v>
      </c>
      <c r="I4815" t="s">
        <v>10323</v>
      </c>
      <c r="N4815">
        <v>60.403993000000007</v>
      </c>
      <c r="P4815">
        <v>18.174347000000001</v>
      </c>
      <c r="Q4815" t="s">
        <v>10873</v>
      </c>
      <c r="R4815" t="s">
        <v>10311</v>
      </c>
      <c r="U4815" t="s">
        <v>11051</v>
      </c>
      <c r="W4815" t="s">
        <v>11206</v>
      </c>
    </row>
    <row r="4816" spans="1:23" hidden="1" x14ac:dyDescent="0.45">
      <c r="A4816" s="1" t="s">
        <v>4745</v>
      </c>
      <c r="F4816" t="s">
        <v>10300</v>
      </c>
      <c r="G4816">
        <v>1187</v>
      </c>
      <c r="H4816" t="s">
        <v>10311</v>
      </c>
      <c r="I4816" t="s">
        <v>10323</v>
      </c>
      <c r="N4816">
        <v>60.403993000000007</v>
      </c>
      <c r="P4816">
        <v>18.174347000000001</v>
      </c>
      <c r="Q4816" t="s">
        <v>10874</v>
      </c>
      <c r="R4816" t="s">
        <v>10311</v>
      </c>
      <c r="U4816" t="s">
        <v>11051</v>
      </c>
      <c r="W4816" t="s">
        <v>11206</v>
      </c>
    </row>
    <row r="4817" spans="1:23" hidden="1" x14ac:dyDescent="0.45">
      <c r="A4817" s="1" t="s">
        <v>4746</v>
      </c>
      <c r="F4817" t="s">
        <v>10300</v>
      </c>
      <c r="G4817">
        <v>120</v>
      </c>
      <c r="H4817" t="s">
        <v>10309</v>
      </c>
      <c r="K4817" t="s">
        <v>10332</v>
      </c>
      <c r="M4817" t="s">
        <v>10336</v>
      </c>
      <c r="N4817">
        <v>59.852307999999987</v>
      </c>
      <c r="P4817">
        <v>17.678173000000001</v>
      </c>
      <c r="Q4817" t="s">
        <v>10875</v>
      </c>
      <c r="R4817" t="s">
        <v>11038</v>
      </c>
      <c r="S4817" t="s">
        <v>10317</v>
      </c>
      <c r="T4817" t="s">
        <v>10309</v>
      </c>
      <c r="U4817" t="s">
        <v>11051</v>
      </c>
      <c r="W4817" t="s">
        <v>11206</v>
      </c>
    </row>
    <row r="4818" spans="1:23" hidden="1" x14ac:dyDescent="0.45">
      <c r="A4818" s="1" t="s">
        <v>4747</v>
      </c>
      <c r="F4818" t="s">
        <v>10300</v>
      </c>
      <c r="G4818">
        <v>113</v>
      </c>
      <c r="H4818" t="s">
        <v>10310</v>
      </c>
      <c r="I4818" t="s">
        <v>10326</v>
      </c>
      <c r="N4818">
        <v>65.127296999999999</v>
      </c>
      <c r="P4818">
        <v>19.467366999999999</v>
      </c>
      <c r="Q4818" t="s">
        <v>10876</v>
      </c>
      <c r="R4818" t="s">
        <v>11038</v>
      </c>
      <c r="S4818" t="s">
        <v>10310</v>
      </c>
      <c r="U4818" t="s">
        <v>11052</v>
      </c>
      <c r="W4818" t="s">
        <v>11206</v>
      </c>
    </row>
    <row r="4819" spans="1:23" hidden="1" x14ac:dyDescent="0.45">
      <c r="A4819" s="1" t="s">
        <v>4748</v>
      </c>
      <c r="F4819" t="s">
        <v>10300</v>
      </c>
      <c r="G4819">
        <v>101</v>
      </c>
      <c r="H4819" t="s">
        <v>10310</v>
      </c>
      <c r="I4819" t="s">
        <v>10326</v>
      </c>
      <c r="N4819">
        <v>65.127296999999999</v>
      </c>
      <c r="P4819">
        <v>19.467366999999999</v>
      </c>
      <c r="Q4819" t="s">
        <v>10876</v>
      </c>
      <c r="R4819" t="s">
        <v>11038</v>
      </c>
      <c r="S4819" t="s">
        <v>10310</v>
      </c>
      <c r="U4819" t="s">
        <v>11052</v>
      </c>
      <c r="W4819" t="s">
        <v>11206</v>
      </c>
    </row>
    <row r="4820" spans="1:23" hidden="1" x14ac:dyDescent="0.45">
      <c r="A4820" s="1" t="s">
        <v>4749</v>
      </c>
      <c r="F4820" t="s">
        <v>10300</v>
      </c>
      <c r="G4820">
        <v>120</v>
      </c>
      <c r="H4820" t="s">
        <v>10310</v>
      </c>
      <c r="I4820" t="s">
        <v>10326</v>
      </c>
      <c r="N4820">
        <v>66.885308999999992</v>
      </c>
      <c r="P4820">
        <v>19.818398999999999</v>
      </c>
      <c r="Q4820" t="s">
        <v>10877</v>
      </c>
      <c r="R4820" t="s">
        <v>11038</v>
      </c>
      <c r="S4820" t="s">
        <v>10310</v>
      </c>
      <c r="U4820" t="s">
        <v>11052</v>
      </c>
      <c r="W4820" t="s">
        <v>11206</v>
      </c>
    </row>
    <row r="4821" spans="1:23" hidden="1" x14ac:dyDescent="0.45">
      <c r="A4821" s="1" t="s">
        <v>4750</v>
      </c>
      <c r="F4821" t="s">
        <v>10300</v>
      </c>
      <c r="G4821">
        <v>120</v>
      </c>
      <c r="H4821" t="s">
        <v>10310</v>
      </c>
      <c r="I4821" t="s">
        <v>10326</v>
      </c>
      <c r="N4821">
        <v>66.885308999999992</v>
      </c>
      <c r="P4821">
        <v>19.818398999999999</v>
      </c>
      <c r="Q4821" t="s">
        <v>10877</v>
      </c>
      <c r="R4821" t="s">
        <v>11038</v>
      </c>
      <c r="S4821" t="s">
        <v>10310</v>
      </c>
      <c r="U4821" t="s">
        <v>11052</v>
      </c>
      <c r="W4821" t="s">
        <v>11206</v>
      </c>
    </row>
    <row r="4822" spans="1:23" hidden="1" x14ac:dyDescent="0.45">
      <c r="A4822" s="1" t="s">
        <v>4751</v>
      </c>
      <c r="F4822" t="s">
        <v>10300</v>
      </c>
      <c r="G4822">
        <v>175</v>
      </c>
      <c r="H4822" t="s">
        <v>10310</v>
      </c>
      <c r="I4822" t="s">
        <v>10326</v>
      </c>
      <c r="N4822">
        <v>66.885308999999992</v>
      </c>
      <c r="P4822">
        <v>19.818398999999999</v>
      </c>
      <c r="Q4822" t="s">
        <v>10877</v>
      </c>
      <c r="R4822" t="s">
        <v>11038</v>
      </c>
      <c r="S4822" t="s">
        <v>10310</v>
      </c>
      <c r="U4822" t="s">
        <v>11052</v>
      </c>
      <c r="W4822" t="s">
        <v>11206</v>
      </c>
    </row>
    <row r="4823" spans="1:23" hidden="1" x14ac:dyDescent="0.45">
      <c r="A4823" s="1" t="s">
        <v>4752</v>
      </c>
      <c r="F4823" t="s">
        <v>10300</v>
      </c>
      <c r="G4823">
        <v>440</v>
      </c>
      <c r="H4823" t="s">
        <v>10310</v>
      </c>
      <c r="I4823" t="s">
        <v>10326</v>
      </c>
      <c r="N4823">
        <v>66.885308999999992</v>
      </c>
      <c r="P4823">
        <v>19.818398999999999</v>
      </c>
      <c r="Q4823" t="s">
        <v>10877</v>
      </c>
      <c r="R4823" t="s">
        <v>11038</v>
      </c>
      <c r="S4823" t="s">
        <v>10310</v>
      </c>
      <c r="U4823" t="s">
        <v>11052</v>
      </c>
      <c r="W4823" t="s">
        <v>11206</v>
      </c>
    </row>
    <row r="4824" spans="1:23" hidden="1" x14ac:dyDescent="0.45">
      <c r="A4824" s="1" t="s">
        <v>4753</v>
      </c>
      <c r="F4824" t="s">
        <v>10300</v>
      </c>
      <c r="G4824">
        <v>334</v>
      </c>
      <c r="H4824" t="s">
        <v>10308</v>
      </c>
      <c r="I4824" t="s">
        <v>10323</v>
      </c>
      <c r="N4824">
        <v>56.152251</v>
      </c>
      <c r="P4824">
        <v>14.833831</v>
      </c>
      <c r="Q4824" t="s">
        <v>10878</v>
      </c>
      <c r="R4824" t="s">
        <v>11037</v>
      </c>
      <c r="S4824" t="s">
        <v>10308</v>
      </c>
      <c r="U4824" t="s">
        <v>11053</v>
      </c>
      <c r="W4824" t="s">
        <v>11206</v>
      </c>
    </row>
    <row r="4825" spans="1:23" hidden="1" x14ac:dyDescent="0.45">
      <c r="A4825" s="1" t="s">
        <v>4754</v>
      </c>
      <c r="F4825" t="s">
        <v>10300</v>
      </c>
      <c r="G4825">
        <v>334</v>
      </c>
      <c r="H4825" t="s">
        <v>10308</v>
      </c>
      <c r="I4825" t="s">
        <v>10323</v>
      </c>
      <c r="N4825">
        <v>56.152251</v>
      </c>
      <c r="P4825">
        <v>14.833831</v>
      </c>
      <c r="Q4825" t="s">
        <v>10878</v>
      </c>
      <c r="R4825" t="s">
        <v>11037</v>
      </c>
      <c r="S4825" t="s">
        <v>10308</v>
      </c>
      <c r="U4825" t="s">
        <v>11053</v>
      </c>
      <c r="W4825" t="s">
        <v>11206</v>
      </c>
    </row>
    <row r="4826" spans="1:23" hidden="1" x14ac:dyDescent="0.45">
      <c r="A4826" s="1" t="s">
        <v>4755</v>
      </c>
      <c r="F4826" t="s">
        <v>10300</v>
      </c>
      <c r="G4826">
        <v>328</v>
      </c>
      <c r="H4826" t="s">
        <v>10308</v>
      </c>
      <c r="I4826" t="s">
        <v>10323</v>
      </c>
      <c r="N4826">
        <v>56.152251</v>
      </c>
      <c r="P4826">
        <v>14.833831</v>
      </c>
      <c r="Q4826" t="s">
        <v>10878</v>
      </c>
      <c r="R4826" t="s">
        <v>11037</v>
      </c>
      <c r="S4826" t="s">
        <v>10308</v>
      </c>
      <c r="U4826" t="s">
        <v>11053</v>
      </c>
      <c r="W4826" t="s">
        <v>11206</v>
      </c>
    </row>
    <row r="4827" spans="1:23" hidden="1" x14ac:dyDescent="0.45">
      <c r="A4827" s="1" t="s">
        <v>4756</v>
      </c>
      <c r="F4827" t="s">
        <v>10300</v>
      </c>
      <c r="G4827">
        <v>145</v>
      </c>
      <c r="H4827" t="s">
        <v>10310</v>
      </c>
      <c r="I4827" t="s">
        <v>10326</v>
      </c>
      <c r="N4827">
        <v>66.503202999999999</v>
      </c>
      <c r="P4827">
        <v>20.380167</v>
      </c>
      <c r="Q4827" t="s">
        <v>10879</v>
      </c>
      <c r="R4827" t="s">
        <v>11038</v>
      </c>
      <c r="S4827" t="s">
        <v>10310</v>
      </c>
      <c r="U4827" t="s">
        <v>11052</v>
      </c>
      <c r="W4827" t="s">
        <v>11206</v>
      </c>
    </row>
    <row r="4828" spans="1:23" hidden="1" x14ac:dyDescent="0.45">
      <c r="A4828" s="1" t="s">
        <v>4757</v>
      </c>
      <c r="F4828" t="s">
        <v>10300</v>
      </c>
      <c r="G4828">
        <v>145</v>
      </c>
      <c r="H4828" t="s">
        <v>10310</v>
      </c>
      <c r="I4828" t="s">
        <v>10326</v>
      </c>
      <c r="N4828">
        <v>66.503202999999999</v>
      </c>
      <c r="P4828">
        <v>20.380167</v>
      </c>
      <c r="Q4828" t="s">
        <v>10879</v>
      </c>
      <c r="R4828" t="s">
        <v>11038</v>
      </c>
      <c r="S4828" t="s">
        <v>10310</v>
      </c>
      <c r="U4828" t="s">
        <v>11052</v>
      </c>
      <c r="W4828" t="s">
        <v>11206</v>
      </c>
    </row>
    <row r="4829" spans="1:23" hidden="1" x14ac:dyDescent="0.45">
      <c r="A4829" s="1" t="s">
        <v>4758</v>
      </c>
      <c r="F4829" t="s">
        <v>10300</v>
      </c>
      <c r="G4829">
        <v>145</v>
      </c>
      <c r="H4829" t="s">
        <v>10310</v>
      </c>
      <c r="I4829" t="s">
        <v>10326</v>
      </c>
      <c r="N4829">
        <v>66.503202999999999</v>
      </c>
      <c r="P4829">
        <v>20.380167</v>
      </c>
      <c r="Q4829" t="s">
        <v>10879</v>
      </c>
      <c r="R4829" t="s">
        <v>11038</v>
      </c>
      <c r="S4829" t="s">
        <v>10310</v>
      </c>
      <c r="U4829" t="s">
        <v>11052</v>
      </c>
      <c r="W4829" t="s">
        <v>11206</v>
      </c>
    </row>
    <row r="4830" spans="1:23" hidden="1" x14ac:dyDescent="0.45">
      <c r="A4830" s="1" t="s">
        <v>4759</v>
      </c>
      <c r="F4830" t="s">
        <v>10300</v>
      </c>
      <c r="G4830">
        <v>175</v>
      </c>
      <c r="H4830" t="s">
        <v>10310</v>
      </c>
      <c r="I4830" t="s">
        <v>10326</v>
      </c>
      <c r="N4830">
        <v>66.809390000000008</v>
      </c>
      <c r="P4830">
        <v>19.896293</v>
      </c>
      <c r="Q4830" t="s">
        <v>10880</v>
      </c>
      <c r="R4830" t="s">
        <v>11038</v>
      </c>
      <c r="S4830" t="s">
        <v>10310</v>
      </c>
      <c r="U4830" t="s">
        <v>11052</v>
      </c>
      <c r="W4830" t="s">
        <v>11206</v>
      </c>
    </row>
    <row r="4831" spans="1:23" hidden="1" x14ac:dyDescent="0.45">
      <c r="A4831" s="1" t="s">
        <v>4760</v>
      </c>
      <c r="F4831" t="s">
        <v>10300</v>
      </c>
      <c r="G4831">
        <v>150</v>
      </c>
      <c r="H4831" t="s">
        <v>10310</v>
      </c>
      <c r="I4831" t="s">
        <v>10326</v>
      </c>
      <c r="N4831">
        <v>66.691226</v>
      </c>
      <c r="P4831">
        <v>20.345341000000001</v>
      </c>
      <c r="Q4831" t="s">
        <v>10881</v>
      </c>
      <c r="R4831" t="s">
        <v>11038</v>
      </c>
      <c r="S4831" t="s">
        <v>10310</v>
      </c>
      <c r="U4831" t="s">
        <v>11052</v>
      </c>
      <c r="W4831" t="s">
        <v>11206</v>
      </c>
    </row>
    <row r="4832" spans="1:23" hidden="1" x14ac:dyDescent="0.45">
      <c r="A4832" s="1" t="s">
        <v>4761</v>
      </c>
      <c r="F4832" t="s">
        <v>10300</v>
      </c>
      <c r="G4832">
        <v>150</v>
      </c>
      <c r="H4832" t="s">
        <v>10310</v>
      </c>
      <c r="I4832" t="s">
        <v>10326</v>
      </c>
      <c r="N4832">
        <v>66.691226</v>
      </c>
      <c r="P4832">
        <v>20.345341000000001</v>
      </c>
      <c r="Q4832" t="s">
        <v>10881</v>
      </c>
      <c r="R4832" t="s">
        <v>11038</v>
      </c>
      <c r="S4832" t="s">
        <v>10310</v>
      </c>
      <c r="U4832" t="s">
        <v>11052</v>
      </c>
      <c r="W4832" t="s">
        <v>11206</v>
      </c>
    </row>
    <row r="4833" spans="1:23" hidden="1" x14ac:dyDescent="0.45">
      <c r="A4833" s="1" t="s">
        <v>4762</v>
      </c>
      <c r="F4833" t="s">
        <v>10300</v>
      </c>
      <c r="G4833">
        <v>150</v>
      </c>
      <c r="H4833" t="s">
        <v>10310</v>
      </c>
      <c r="I4833" t="s">
        <v>10326</v>
      </c>
      <c r="N4833">
        <v>66.691226</v>
      </c>
      <c r="P4833">
        <v>20.345341000000001</v>
      </c>
      <c r="Q4833" t="s">
        <v>10881</v>
      </c>
      <c r="R4833" t="s">
        <v>11038</v>
      </c>
      <c r="S4833" t="s">
        <v>10310</v>
      </c>
      <c r="U4833" t="s">
        <v>11052</v>
      </c>
      <c r="W4833" t="s">
        <v>11206</v>
      </c>
    </row>
    <row r="4834" spans="1:23" hidden="1" x14ac:dyDescent="0.45">
      <c r="A4834" s="1" t="s">
        <v>4763</v>
      </c>
      <c r="F4834" t="s">
        <v>10300</v>
      </c>
      <c r="G4834">
        <v>448</v>
      </c>
      <c r="H4834" t="s">
        <v>10307</v>
      </c>
      <c r="I4834" t="s">
        <v>10321</v>
      </c>
      <c r="N4834">
        <v>55.625625999999997</v>
      </c>
      <c r="P4834">
        <v>13.040265</v>
      </c>
      <c r="Q4834" t="s">
        <v>10882</v>
      </c>
      <c r="R4834" t="s">
        <v>11037</v>
      </c>
      <c r="S4834" t="s">
        <v>10307</v>
      </c>
      <c r="U4834" t="s">
        <v>11053</v>
      </c>
      <c r="W4834" t="s">
        <v>11206</v>
      </c>
    </row>
    <row r="4835" spans="1:23" hidden="1" x14ac:dyDescent="0.45">
      <c r="A4835" s="1" t="s">
        <v>4764</v>
      </c>
      <c r="F4835" t="s">
        <v>10300</v>
      </c>
      <c r="G4835">
        <v>473</v>
      </c>
      <c r="H4835" t="s">
        <v>10311</v>
      </c>
      <c r="I4835" t="s">
        <v>10323</v>
      </c>
      <c r="N4835">
        <v>57.417124000000001</v>
      </c>
      <c r="P4835">
        <v>16.673074</v>
      </c>
      <c r="Q4835" t="s">
        <v>10883</v>
      </c>
      <c r="R4835" t="s">
        <v>10311</v>
      </c>
      <c r="U4835" t="s">
        <v>11051</v>
      </c>
      <c r="W4835" t="s">
        <v>11206</v>
      </c>
    </row>
    <row r="4836" spans="1:23" hidden="1" x14ac:dyDescent="0.45">
      <c r="A4836" s="1" t="s">
        <v>4765</v>
      </c>
      <c r="F4836" t="s">
        <v>10300</v>
      </c>
      <c r="G4836">
        <v>638</v>
      </c>
      <c r="H4836" t="s">
        <v>10311</v>
      </c>
      <c r="I4836" t="s">
        <v>10323</v>
      </c>
      <c r="N4836">
        <v>57.417124000000001</v>
      </c>
      <c r="P4836">
        <v>16.673074</v>
      </c>
      <c r="R4836" t="s">
        <v>10311</v>
      </c>
      <c r="U4836" t="s">
        <v>11051</v>
      </c>
      <c r="W4836" t="s">
        <v>11206</v>
      </c>
    </row>
    <row r="4837" spans="1:23" hidden="1" x14ac:dyDescent="0.45">
      <c r="A4837" s="1" t="s">
        <v>4766</v>
      </c>
      <c r="F4837" t="s">
        <v>10300</v>
      </c>
      <c r="G4837">
        <v>1400</v>
      </c>
      <c r="H4837" t="s">
        <v>10311</v>
      </c>
      <c r="I4837" t="s">
        <v>10323</v>
      </c>
      <c r="N4837">
        <v>57.417124000000001</v>
      </c>
      <c r="P4837">
        <v>16.673074</v>
      </c>
      <c r="Q4837" t="s">
        <v>10884</v>
      </c>
      <c r="R4837" t="s">
        <v>10311</v>
      </c>
      <c r="U4837" t="s">
        <v>11051</v>
      </c>
      <c r="W4837" t="s">
        <v>11206</v>
      </c>
    </row>
    <row r="4838" spans="1:23" hidden="1" x14ac:dyDescent="0.45">
      <c r="A4838" s="1" t="s">
        <v>4767</v>
      </c>
      <c r="F4838" t="s">
        <v>10300</v>
      </c>
      <c r="G4838">
        <v>235</v>
      </c>
      <c r="H4838" t="s">
        <v>10310</v>
      </c>
      <c r="I4838" t="s">
        <v>10326</v>
      </c>
      <c r="N4838">
        <v>66.954281000000009</v>
      </c>
      <c r="P4838">
        <v>19.796075999999999</v>
      </c>
      <c r="Q4838" t="s">
        <v>10885</v>
      </c>
      <c r="R4838" t="s">
        <v>11038</v>
      </c>
      <c r="S4838" t="s">
        <v>10310</v>
      </c>
      <c r="U4838" t="s">
        <v>11052</v>
      </c>
      <c r="W4838" t="s">
        <v>11206</v>
      </c>
    </row>
    <row r="4839" spans="1:23" hidden="1" x14ac:dyDescent="0.45">
      <c r="A4839" s="1" t="s">
        <v>4768</v>
      </c>
      <c r="F4839" t="s">
        <v>10300</v>
      </c>
      <c r="G4839">
        <v>220</v>
      </c>
      <c r="H4839" t="s">
        <v>10310</v>
      </c>
      <c r="I4839" t="s">
        <v>10326</v>
      </c>
      <c r="N4839">
        <v>66.954281000000009</v>
      </c>
      <c r="P4839">
        <v>19.796075999999999</v>
      </c>
      <c r="Q4839" t="s">
        <v>10885</v>
      </c>
      <c r="R4839" t="s">
        <v>11038</v>
      </c>
      <c r="S4839" t="s">
        <v>10310</v>
      </c>
      <c r="U4839" t="s">
        <v>11052</v>
      </c>
      <c r="W4839" t="s">
        <v>11206</v>
      </c>
    </row>
    <row r="4840" spans="1:23" hidden="1" x14ac:dyDescent="0.45">
      <c r="A4840" s="1" t="s">
        <v>4769</v>
      </c>
      <c r="F4840" t="s">
        <v>10300</v>
      </c>
      <c r="G4840">
        <v>107</v>
      </c>
      <c r="H4840" t="s">
        <v>10310</v>
      </c>
      <c r="I4840" t="s">
        <v>10326</v>
      </c>
      <c r="N4840">
        <v>66.428961000000001</v>
      </c>
      <c r="P4840">
        <v>20.653796</v>
      </c>
      <c r="Q4840" t="s">
        <v>10886</v>
      </c>
      <c r="R4840" t="s">
        <v>11038</v>
      </c>
      <c r="S4840" t="s">
        <v>10310</v>
      </c>
      <c r="U4840" t="s">
        <v>11052</v>
      </c>
      <c r="W4840" t="s">
        <v>11206</v>
      </c>
    </row>
    <row r="4841" spans="1:23" hidden="1" x14ac:dyDescent="0.45">
      <c r="A4841" s="1" t="s">
        <v>4770</v>
      </c>
      <c r="F4841" t="s">
        <v>10300</v>
      </c>
      <c r="G4841">
        <v>865</v>
      </c>
      <c r="H4841" t="s">
        <v>10311</v>
      </c>
      <c r="I4841" t="s">
        <v>10323</v>
      </c>
      <c r="N4841">
        <v>57.258986999999998</v>
      </c>
      <c r="P4841">
        <v>12.110433</v>
      </c>
      <c r="Q4841" t="s">
        <v>10887</v>
      </c>
      <c r="R4841" t="s">
        <v>10311</v>
      </c>
      <c r="U4841" t="s">
        <v>11051</v>
      </c>
      <c r="W4841" t="s">
        <v>11206</v>
      </c>
    </row>
    <row r="4842" spans="1:23" hidden="1" x14ac:dyDescent="0.45">
      <c r="A4842" s="1" t="s">
        <v>4771</v>
      </c>
      <c r="F4842" t="s">
        <v>10300</v>
      </c>
      <c r="G4842">
        <v>865</v>
      </c>
      <c r="H4842" t="s">
        <v>10311</v>
      </c>
      <c r="I4842" t="s">
        <v>10323</v>
      </c>
      <c r="N4842">
        <v>57.258986999999998</v>
      </c>
      <c r="P4842">
        <v>12.110433</v>
      </c>
      <c r="Q4842" t="s">
        <v>10888</v>
      </c>
      <c r="R4842" t="s">
        <v>10311</v>
      </c>
      <c r="U4842" t="s">
        <v>11051</v>
      </c>
      <c r="W4842" t="s">
        <v>11206</v>
      </c>
    </row>
    <row r="4843" spans="1:23" hidden="1" x14ac:dyDescent="0.45">
      <c r="A4843" s="1" t="s">
        <v>4772</v>
      </c>
      <c r="F4843" t="s">
        <v>10300</v>
      </c>
      <c r="G4843">
        <v>1062</v>
      </c>
      <c r="H4843" t="s">
        <v>10311</v>
      </c>
      <c r="I4843" t="s">
        <v>10323</v>
      </c>
      <c r="N4843">
        <v>57.258986999999998</v>
      </c>
      <c r="P4843">
        <v>12.110433</v>
      </c>
      <c r="Q4843" t="s">
        <v>10889</v>
      </c>
      <c r="R4843" t="s">
        <v>10311</v>
      </c>
      <c r="U4843" t="s">
        <v>11051</v>
      </c>
      <c r="W4843" t="s">
        <v>11206</v>
      </c>
    </row>
    <row r="4844" spans="1:23" hidden="1" x14ac:dyDescent="0.45">
      <c r="A4844" s="1" t="s">
        <v>4773</v>
      </c>
      <c r="F4844" t="s">
        <v>10300</v>
      </c>
      <c r="G4844">
        <v>938</v>
      </c>
      <c r="H4844" t="s">
        <v>10311</v>
      </c>
      <c r="I4844" t="s">
        <v>10323</v>
      </c>
      <c r="N4844">
        <v>57.258986999999998</v>
      </c>
      <c r="P4844">
        <v>12.110433</v>
      </c>
      <c r="Q4844" t="s">
        <v>10890</v>
      </c>
      <c r="R4844" t="s">
        <v>10311</v>
      </c>
      <c r="U4844" t="s">
        <v>11051</v>
      </c>
      <c r="W4844" t="s">
        <v>11206</v>
      </c>
    </row>
    <row r="4845" spans="1:23" hidden="1" x14ac:dyDescent="0.45">
      <c r="A4845" s="1" t="s">
        <v>4774</v>
      </c>
      <c r="F4845" t="s">
        <v>10300</v>
      </c>
      <c r="G4845">
        <v>320</v>
      </c>
      <c r="H4845" t="s">
        <v>10310</v>
      </c>
      <c r="I4845" t="s">
        <v>10326</v>
      </c>
      <c r="N4845">
        <v>67.729795999999993</v>
      </c>
      <c r="P4845">
        <v>17.484940000000002</v>
      </c>
      <c r="Q4845" t="s">
        <v>10891</v>
      </c>
      <c r="R4845" t="s">
        <v>11038</v>
      </c>
      <c r="S4845" t="s">
        <v>10310</v>
      </c>
      <c r="U4845" t="s">
        <v>11052</v>
      </c>
      <c r="W4845" t="s">
        <v>11206</v>
      </c>
    </row>
    <row r="4846" spans="1:23" hidden="1" x14ac:dyDescent="0.45">
      <c r="A4846" s="1" t="s">
        <v>4775</v>
      </c>
      <c r="F4846" t="s">
        <v>10300</v>
      </c>
      <c r="G4846">
        <v>260</v>
      </c>
      <c r="H4846" t="s">
        <v>10307</v>
      </c>
      <c r="I4846" t="s">
        <v>10321</v>
      </c>
      <c r="K4846" t="s">
        <v>10332</v>
      </c>
      <c r="M4846" t="s">
        <v>10336</v>
      </c>
      <c r="N4846">
        <v>57.692831000000012</v>
      </c>
      <c r="P4846">
        <v>11.890257</v>
      </c>
      <c r="Q4846" t="s">
        <v>10892</v>
      </c>
      <c r="R4846" t="s">
        <v>11037</v>
      </c>
      <c r="S4846" t="s">
        <v>10307</v>
      </c>
      <c r="U4846" t="s">
        <v>11051</v>
      </c>
      <c r="W4846" t="s">
        <v>11206</v>
      </c>
    </row>
    <row r="4847" spans="1:23" hidden="1" x14ac:dyDescent="0.45">
      <c r="A4847" s="1" t="s">
        <v>4776</v>
      </c>
      <c r="F4847" t="s">
        <v>10300</v>
      </c>
      <c r="G4847">
        <v>225</v>
      </c>
      <c r="H4847" t="s">
        <v>10310</v>
      </c>
      <c r="I4847" t="s">
        <v>10326</v>
      </c>
      <c r="N4847">
        <v>66.976845999999995</v>
      </c>
      <c r="P4847">
        <v>18.573706000000001</v>
      </c>
      <c r="Q4847" t="s">
        <v>10893</v>
      </c>
      <c r="R4847" t="s">
        <v>11038</v>
      </c>
      <c r="S4847" t="s">
        <v>10310</v>
      </c>
      <c r="U4847" t="s">
        <v>11052</v>
      </c>
      <c r="W4847" t="s">
        <v>11206</v>
      </c>
    </row>
    <row r="4848" spans="1:23" hidden="1" x14ac:dyDescent="0.45">
      <c r="A4848" s="1" t="s">
        <v>4777</v>
      </c>
      <c r="F4848" t="s">
        <v>10300</v>
      </c>
      <c r="G4848">
        <v>130</v>
      </c>
      <c r="H4848" t="s">
        <v>10310</v>
      </c>
      <c r="I4848" t="s">
        <v>10326</v>
      </c>
      <c r="N4848">
        <v>64.945752999999996</v>
      </c>
      <c r="P4848">
        <v>15.827496</v>
      </c>
      <c r="Q4848" t="s">
        <v>10894</v>
      </c>
      <c r="R4848" t="s">
        <v>11038</v>
      </c>
      <c r="S4848" t="s">
        <v>10310</v>
      </c>
      <c r="U4848" t="s">
        <v>11054</v>
      </c>
      <c r="W4848" t="s">
        <v>11206</v>
      </c>
    </row>
    <row r="4849" spans="1:23" hidden="1" x14ac:dyDescent="0.45">
      <c r="A4849" s="1" t="s">
        <v>4778</v>
      </c>
      <c r="F4849" t="s">
        <v>10300</v>
      </c>
      <c r="G4849">
        <v>260</v>
      </c>
      <c r="H4849" t="s">
        <v>10308</v>
      </c>
      <c r="I4849" t="s">
        <v>10323</v>
      </c>
      <c r="N4849">
        <v>58.086598000000002</v>
      </c>
      <c r="P4849">
        <v>11.844533</v>
      </c>
      <c r="Q4849" t="s">
        <v>10895</v>
      </c>
      <c r="R4849" t="s">
        <v>11037</v>
      </c>
      <c r="S4849" t="s">
        <v>10308</v>
      </c>
      <c r="U4849" t="s">
        <v>11051</v>
      </c>
      <c r="W4849" t="s">
        <v>11206</v>
      </c>
    </row>
    <row r="4850" spans="1:23" hidden="1" x14ac:dyDescent="0.45">
      <c r="A4850" s="1" t="s">
        <v>4779</v>
      </c>
      <c r="F4850" t="s">
        <v>10300</v>
      </c>
      <c r="G4850">
        <v>260</v>
      </c>
      <c r="H4850" t="s">
        <v>10308</v>
      </c>
      <c r="I4850" t="s">
        <v>10323</v>
      </c>
      <c r="N4850">
        <v>58.086598000000002</v>
      </c>
      <c r="P4850">
        <v>11.844533</v>
      </c>
      <c r="Q4850" t="s">
        <v>10896</v>
      </c>
      <c r="R4850" t="s">
        <v>11037</v>
      </c>
      <c r="S4850" t="s">
        <v>10308</v>
      </c>
      <c r="U4850" t="s">
        <v>11051</v>
      </c>
      <c r="W4850" t="s">
        <v>11206</v>
      </c>
    </row>
    <row r="4851" spans="1:23" hidden="1" x14ac:dyDescent="0.45">
      <c r="A4851" s="1" t="s">
        <v>4780</v>
      </c>
      <c r="F4851" t="s">
        <v>10300</v>
      </c>
      <c r="G4851">
        <v>135</v>
      </c>
      <c r="H4851" t="s">
        <v>10310</v>
      </c>
      <c r="I4851" t="s">
        <v>10326</v>
      </c>
      <c r="N4851">
        <v>63.851979999999998</v>
      </c>
      <c r="P4851">
        <v>20.051344</v>
      </c>
      <c r="Q4851" t="s">
        <v>10897</v>
      </c>
      <c r="R4851" t="s">
        <v>11038</v>
      </c>
      <c r="S4851" t="s">
        <v>10310</v>
      </c>
      <c r="U4851" t="s">
        <v>11054</v>
      </c>
      <c r="W4851" t="s">
        <v>11206</v>
      </c>
    </row>
    <row r="4852" spans="1:23" hidden="1" x14ac:dyDescent="0.45">
      <c r="A4852" s="1" t="s">
        <v>4781</v>
      </c>
      <c r="F4852" t="s">
        <v>10300</v>
      </c>
      <c r="G4852">
        <v>135</v>
      </c>
      <c r="H4852" t="s">
        <v>10310</v>
      </c>
      <c r="I4852" t="s">
        <v>10326</v>
      </c>
      <c r="N4852">
        <v>63.851979999999998</v>
      </c>
      <c r="P4852">
        <v>20.051344</v>
      </c>
      <c r="Q4852" t="s">
        <v>10897</v>
      </c>
      <c r="R4852" t="s">
        <v>11038</v>
      </c>
      <c r="S4852" t="s">
        <v>10310</v>
      </c>
      <c r="U4852" t="s">
        <v>11054</v>
      </c>
      <c r="W4852" t="s">
        <v>11206</v>
      </c>
    </row>
    <row r="4853" spans="1:23" hidden="1" x14ac:dyDescent="0.45">
      <c r="A4853" s="1" t="s">
        <v>4782</v>
      </c>
      <c r="F4853" t="s">
        <v>10300</v>
      </c>
      <c r="G4853">
        <v>135</v>
      </c>
      <c r="H4853" t="s">
        <v>10310</v>
      </c>
      <c r="I4853" t="s">
        <v>10326</v>
      </c>
      <c r="N4853">
        <v>63.851979999999998</v>
      </c>
      <c r="P4853">
        <v>20.051344</v>
      </c>
      <c r="Q4853" t="s">
        <v>10897</v>
      </c>
      <c r="R4853" t="s">
        <v>11038</v>
      </c>
      <c r="S4853" t="s">
        <v>10310</v>
      </c>
      <c r="U4853" t="s">
        <v>11054</v>
      </c>
      <c r="W4853" t="s">
        <v>11206</v>
      </c>
    </row>
    <row r="4854" spans="1:23" hidden="1" x14ac:dyDescent="0.45">
      <c r="A4854" s="1" t="s">
        <v>4783</v>
      </c>
      <c r="F4854" t="s">
        <v>10300</v>
      </c>
      <c r="G4854">
        <v>170</v>
      </c>
      <c r="H4854" t="s">
        <v>10310</v>
      </c>
      <c r="I4854" t="s">
        <v>10326</v>
      </c>
      <c r="N4854">
        <v>63.851979999999998</v>
      </c>
      <c r="P4854">
        <v>20.051344</v>
      </c>
      <c r="Q4854" t="s">
        <v>10897</v>
      </c>
      <c r="R4854" t="s">
        <v>11038</v>
      </c>
      <c r="S4854" t="s">
        <v>10310</v>
      </c>
      <c r="U4854" t="s">
        <v>11054</v>
      </c>
      <c r="W4854" t="s">
        <v>11206</v>
      </c>
    </row>
    <row r="4855" spans="1:23" hidden="1" x14ac:dyDescent="0.45">
      <c r="A4855" s="1" t="s">
        <v>4784</v>
      </c>
      <c r="F4855" t="s">
        <v>10300</v>
      </c>
      <c r="G4855">
        <v>100</v>
      </c>
      <c r="H4855" t="s">
        <v>10310</v>
      </c>
      <c r="I4855" t="s">
        <v>10326</v>
      </c>
      <c r="N4855">
        <v>61.381644999999992</v>
      </c>
      <c r="P4855">
        <v>13.731379</v>
      </c>
      <c r="Q4855" t="s">
        <v>10898</v>
      </c>
      <c r="R4855" t="s">
        <v>11038</v>
      </c>
      <c r="S4855" t="s">
        <v>10310</v>
      </c>
      <c r="U4855" t="s">
        <v>11051</v>
      </c>
      <c r="W4855" t="s">
        <v>11206</v>
      </c>
    </row>
    <row r="4856" spans="1:23" hidden="1" x14ac:dyDescent="0.45">
      <c r="A4856" s="1" t="s">
        <v>4785</v>
      </c>
      <c r="F4856" t="s">
        <v>10300</v>
      </c>
      <c r="G4856">
        <v>100</v>
      </c>
      <c r="H4856" t="s">
        <v>10310</v>
      </c>
      <c r="I4856" t="s">
        <v>10326</v>
      </c>
      <c r="N4856">
        <v>61.381644999999992</v>
      </c>
      <c r="P4856">
        <v>13.731379</v>
      </c>
      <c r="Q4856" t="s">
        <v>10898</v>
      </c>
      <c r="R4856" t="s">
        <v>11038</v>
      </c>
      <c r="S4856" t="s">
        <v>10310</v>
      </c>
      <c r="U4856" t="s">
        <v>11051</v>
      </c>
      <c r="W4856" t="s">
        <v>11206</v>
      </c>
    </row>
    <row r="4857" spans="1:23" hidden="1" x14ac:dyDescent="0.45">
      <c r="A4857" s="1" t="s">
        <v>4786</v>
      </c>
      <c r="F4857" t="s">
        <v>10300</v>
      </c>
      <c r="G4857">
        <v>130</v>
      </c>
      <c r="H4857" t="s">
        <v>10310</v>
      </c>
      <c r="I4857" t="s">
        <v>10326</v>
      </c>
      <c r="N4857">
        <v>61.381644999999992</v>
      </c>
      <c r="P4857">
        <v>13.731379</v>
      </c>
      <c r="Q4857" t="s">
        <v>10898</v>
      </c>
      <c r="R4857" t="s">
        <v>11038</v>
      </c>
      <c r="S4857" t="s">
        <v>10310</v>
      </c>
      <c r="U4857" t="s">
        <v>11051</v>
      </c>
      <c r="W4857" t="s">
        <v>11206</v>
      </c>
    </row>
    <row r="4858" spans="1:23" hidden="1" x14ac:dyDescent="0.45">
      <c r="A4858" s="1" t="s">
        <v>4787</v>
      </c>
      <c r="F4858" t="s">
        <v>10300</v>
      </c>
      <c r="G4858">
        <v>190</v>
      </c>
      <c r="H4858" t="s">
        <v>10313</v>
      </c>
      <c r="K4858" t="s">
        <v>10332</v>
      </c>
      <c r="M4858" t="s">
        <v>10336</v>
      </c>
      <c r="N4858">
        <v>59.352713000000001</v>
      </c>
      <c r="P4858">
        <v>18.103411999999999</v>
      </c>
      <c r="Q4858" t="s">
        <v>10899</v>
      </c>
      <c r="R4858" t="s">
        <v>11037</v>
      </c>
      <c r="S4858" t="s">
        <v>10313</v>
      </c>
      <c r="U4858" t="s">
        <v>11051</v>
      </c>
      <c r="W4858" t="s">
        <v>11206</v>
      </c>
    </row>
    <row r="4859" spans="1:23" hidden="1" x14ac:dyDescent="0.45">
      <c r="A4859" s="1" t="s">
        <v>4788</v>
      </c>
      <c r="F4859" t="s">
        <v>10300</v>
      </c>
      <c r="G4859">
        <v>130</v>
      </c>
      <c r="H4859" t="s">
        <v>10314</v>
      </c>
      <c r="I4859" t="s">
        <v>10323</v>
      </c>
      <c r="K4859" t="s">
        <v>10332</v>
      </c>
      <c r="M4859" t="s">
        <v>10336</v>
      </c>
      <c r="N4859">
        <v>59.352713000000001</v>
      </c>
      <c r="P4859">
        <v>18.103411999999999</v>
      </c>
      <c r="Q4859" t="s">
        <v>10899</v>
      </c>
      <c r="R4859" t="s">
        <v>11037</v>
      </c>
      <c r="S4859" t="s">
        <v>10314</v>
      </c>
      <c r="U4859" t="s">
        <v>11051</v>
      </c>
      <c r="W4859" t="s">
        <v>11206</v>
      </c>
    </row>
    <row r="4860" spans="1:23" hidden="1" x14ac:dyDescent="0.45">
      <c r="A4860" s="1" t="s">
        <v>4789</v>
      </c>
      <c r="F4860" t="s">
        <v>10300</v>
      </c>
      <c r="G4860">
        <v>165</v>
      </c>
      <c r="H4860" t="s">
        <v>10310</v>
      </c>
      <c r="I4860" t="s">
        <v>10326</v>
      </c>
      <c r="N4860">
        <v>67.493431999999999</v>
      </c>
      <c r="P4860">
        <v>18.353511999999998</v>
      </c>
      <c r="Q4860" t="s">
        <v>10900</v>
      </c>
      <c r="R4860" t="s">
        <v>11038</v>
      </c>
      <c r="S4860" t="s">
        <v>10310</v>
      </c>
      <c r="U4860" t="s">
        <v>11052</v>
      </c>
      <c r="W4860" t="s">
        <v>11206</v>
      </c>
    </row>
    <row r="4861" spans="1:23" hidden="1" x14ac:dyDescent="0.45">
      <c r="A4861" s="1" t="s">
        <v>4790</v>
      </c>
      <c r="F4861" t="s">
        <v>10300</v>
      </c>
      <c r="G4861">
        <v>165</v>
      </c>
      <c r="H4861" t="s">
        <v>10310</v>
      </c>
      <c r="I4861" t="s">
        <v>10326</v>
      </c>
      <c r="N4861">
        <v>67.493431999999999</v>
      </c>
      <c r="P4861">
        <v>18.353511999999998</v>
      </c>
      <c r="Q4861" t="s">
        <v>10900</v>
      </c>
      <c r="R4861" t="s">
        <v>11038</v>
      </c>
      <c r="S4861" t="s">
        <v>10310</v>
      </c>
      <c r="U4861" t="s">
        <v>11052</v>
      </c>
      <c r="W4861" t="s">
        <v>11206</v>
      </c>
    </row>
    <row r="4862" spans="1:23" hidden="1" x14ac:dyDescent="0.45">
      <c r="A4862" s="1" t="s">
        <v>4791</v>
      </c>
      <c r="F4862" t="s">
        <v>10301</v>
      </c>
      <c r="G4862">
        <v>2.3199999999999998</v>
      </c>
      <c r="H4862" t="s">
        <v>10310</v>
      </c>
      <c r="L4862">
        <v>1976</v>
      </c>
      <c r="N4862">
        <v>49.096910000000001</v>
      </c>
      <c r="P4862">
        <v>19.44735</v>
      </c>
      <c r="R4862" t="s">
        <v>11038</v>
      </c>
      <c r="S4862" t="s">
        <v>10310</v>
      </c>
      <c r="W4862" t="s">
        <v>11207</v>
      </c>
    </row>
    <row r="4863" spans="1:23" hidden="1" x14ac:dyDescent="0.45">
      <c r="A4863" s="1" t="s">
        <v>4792</v>
      </c>
      <c r="F4863" t="s">
        <v>10301</v>
      </c>
      <c r="G4863">
        <v>2.3199999999999998</v>
      </c>
      <c r="H4863" t="s">
        <v>10310</v>
      </c>
      <c r="L4863">
        <v>1976</v>
      </c>
      <c r="N4863">
        <v>49.096910000000001</v>
      </c>
      <c r="P4863">
        <v>19.44735</v>
      </c>
      <c r="R4863" t="s">
        <v>11038</v>
      </c>
      <c r="S4863" t="s">
        <v>10310</v>
      </c>
      <c r="W4863" t="s">
        <v>11207</v>
      </c>
    </row>
    <row r="4864" spans="1:23" hidden="1" x14ac:dyDescent="0.45">
      <c r="A4864" s="1" t="s">
        <v>4793</v>
      </c>
      <c r="F4864" t="s">
        <v>10301</v>
      </c>
      <c r="G4864">
        <v>505</v>
      </c>
      <c r="H4864" t="s">
        <v>10311</v>
      </c>
      <c r="I4864" t="s">
        <v>10323</v>
      </c>
      <c r="L4864">
        <v>1985</v>
      </c>
      <c r="N4864">
        <v>48.491399999999999</v>
      </c>
      <c r="P4864">
        <v>17.677340000000001</v>
      </c>
      <c r="Q4864" t="s">
        <v>10901</v>
      </c>
      <c r="R4864" t="s">
        <v>10311</v>
      </c>
      <c r="W4864" t="s">
        <v>11207</v>
      </c>
    </row>
    <row r="4865" spans="1:23" hidden="1" x14ac:dyDescent="0.45">
      <c r="A4865" s="1" t="s">
        <v>4794</v>
      </c>
      <c r="F4865" t="s">
        <v>10301</v>
      </c>
      <c r="G4865">
        <v>505</v>
      </c>
      <c r="H4865" t="s">
        <v>10311</v>
      </c>
      <c r="I4865" t="s">
        <v>10323</v>
      </c>
      <c r="L4865">
        <v>1985</v>
      </c>
      <c r="N4865">
        <v>48.491399999999999</v>
      </c>
      <c r="P4865">
        <v>17.677340000000001</v>
      </c>
      <c r="Q4865" t="s">
        <v>10901</v>
      </c>
      <c r="R4865" t="s">
        <v>10311</v>
      </c>
      <c r="W4865" t="s">
        <v>11207</v>
      </c>
    </row>
    <row r="4866" spans="1:23" hidden="1" x14ac:dyDescent="0.45">
      <c r="A4866" s="1" t="s">
        <v>4795</v>
      </c>
      <c r="F4866" t="s">
        <v>10301</v>
      </c>
      <c r="G4866">
        <v>122.4</v>
      </c>
      <c r="H4866" t="s">
        <v>10310</v>
      </c>
      <c r="I4866" t="s">
        <v>10324</v>
      </c>
      <c r="L4866">
        <v>1982</v>
      </c>
      <c r="N4866">
        <v>49.009099999999997</v>
      </c>
      <c r="P4866">
        <v>19.912030000000001</v>
      </c>
      <c r="Q4866" t="s">
        <v>10902</v>
      </c>
      <c r="R4866" t="s">
        <v>11038</v>
      </c>
      <c r="S4866" t="s">
        <v>10310</v>
      </c>
      <c r="W4866" t="s">
        <v>11207</v>
      </c>
    </row>
    <row r="4867" spans="1:23" hidden="1" x14ac:dyDescent="0.45">
      <c r="A4867" s="1" t="s">
        <v>4796</v>
      </c>
      <c r="F4867" t="s">
        <v>10301</v>
      </c>
      <c r="G4867">
        <v>122.4</v>
      </c>
      <c r="H4867" t="s">
        <v>10310</v>
      </c>
      <c r="I4867" t="s">
        <v>10324</v>
      </c>
      <c r="L4867">
        <v>1982</v>
      </c>
      <c r="N4867">
        <v>49.009099999999997</v>
      </c>
      <c r="P4867">
        <v>19.912030000000001</v>
      </c>
      <c r="Q4867" t="s">
        <v>10902</v>
      </c>
      <c r="R4867" t="s">
        <v>11038</v>
      </c>
      <c r="S4867" t="s">
        <v>10310</v>
      </c>
      <c r="W4867" t="s">
        <v>11207</v>
      </c>
    </row>
    <row r="4868" spans="1:23" hidden="1" x14ac:dyDescent="0.45">
      <c r="A4868" s="1" t="s">
        <v>4797</v>
      </c>
      <c r="F4868" t="s">
        <v>10301</v>
      </c>
      <c r="G4868">
        <v>122.4</v>
      </c>
      <c r="H4868" t="s">
        <v>10310</v>
      </c>
      <c r="I4868" t="s">
        <v>10324</v>
      </c>
      <c r="L4868">
        <v>1982</v>
      </c>
      <c r="N4868">
        <v>49.009099999999997</v>
      </c>
      <c r="P4868">
        <v>19.912030000000001</v>
      </c>
      <c r="Q4868" t="s">
        <v>10902</v>
      </c>
      <c r="R4868" t="s">
        <v>11038</v>
      </c>
      <c r="S4868" t="s">
        <v>10310</v>
      </c>
      <c r="W4868" t="s">
        <v>11207</v>
      </c>
    </row>
    <row r="4869" spans="1:23" hidden="1" x14ac:dyDescent="0.45">
      <c r="A4869" s="1" t="s">
        <v>4798</v>
      </c>
      <c r="F4869" t="s">
        <v>10301</v>
      </c>
      <c r="G4869">
        <v>122.4</v>
      </c>
      <c r="H4869" t="s">
        <v>10310</v>
      </c>
      <c r="I4869" t="s">
        <v>10324</v>
      </c>
      <c r="L4869">
        <v>1982</v>
      </c>
      <c r="N4869">
        <v>49.009099999999997</v>
      </c>
      <c r="P4869">
        <v>19.912030000000001</v>
      </c>
      <c r="Q4869" t="s">
        <v>10902</v>
      </c>
      <c r="R4869" t="s">
        <v>11038</v>
      </c>
      <c r="S4869" t="s">
        <v>10310</v>
      </c>
      <c r="W4869" t="s">
        <v>11207</v>
      </c>
    </row>
    <row r="4870" spans="1:23" hidden="1" x14ac:dyDescent="0.45">
      <c r="A4870" s="1" t="s">
        <v>4799</v>
      </c>
      <c r="F4870" t="s">
        <v>10301</v>
      </c>
      <c r="G4870">
        <v>122.4</v>
      </c>
      <c r="H4870" t="s">
        <v>10310</v>
      </c>
      <c r="I4870" t="s">
        <v>10324</v>
      </c>
      <c r="L4870">
        <v>1982</v>
      </c>
      <c r="N4870">
        <v>49.009099999999997</v>
      </c>
      <c r="P4870">
        <v>19.912030000000001</v>
      </c>
      <c r="Q4870" t="s">
        <v>10902</v>
      </c>
      <c r="R4870" t="s">
        <v>11038</v>
      </c>
      <c r="S4870" t="s">
        <v>10310</v>
      </c>
      <c r="W4870" t="s">
        <v>11207</v>
      </c>
    </row>
    <row r="4871" spans="1:23" hidden="1" x14ac:dyDescent="0.45">
      <c r="A4871" s="1" t="s">
        <v>4800</v>
      </c>
      <c r="F4871" t="s">
        <v>10301</v>
      </c>
      <c r="G4871">
        <v>122.4</v>
      </c>
      <c r="H4871" t="s">
        <v>10310</v>
      </c>
      <c r="I4871" t="s">
        <v>10324</v>
      </c>
      <c r="L4871">
        <v>1982</v>
      </c>
      <c r="N4871">
        <v>49.009099999999997</v>
      </c>
      <c r="P4871">
        <v>19.912030000000001</v>
      </c>
      <c r="Q4871" t="s">
        <v>10902</v>
      </c>
      <c r="R4871" t="s">
        <v>11038</v>
      </c>
      <c r="S4871" t="s">
        <v>10310</v>
      </c>
      <c r="W4871" t="s">
        <v>11207</v>
      </c>
    </row>
    <row r="4872" spans="1:23" hidden="1" x14ac:dyDescent="0.45">
      <c r="A4872" s="1" t="s">
        <v>4801</v>
      </c>
      <c r="F4872" t="s">
        <v>10301</v>
      </c>
      <c r="G4872">
        <v>0.76</v>
      </c>
      <c r="H4872" t="s">
        <v>10310</v>
      </c>
      <c r="L4872">
        <v>1982</v>
      </c>
      <c r="R4872" t="s">
        <v>11038</v>
      </c>
      <c r="S4872" t="s">
        <v>10310</v>
      </c>
      <c r="W4872" t="s">
        <v>11207</v>
      </c>
    </row>
    <row r="4873" spans="1:23" hidden="1" x14ac:dyDescent="0.45">
      <c r="A4873" s="1" t="s">
        <v>4802</v>
      </c>
      <c r="F4873" t="s">
        <v>10301</v>
      </c>
      <c r="G4873">
        <v>1.87</v>
      </c>
      <c r="H4873" t="s">
        <v>10310</v>
      </c>
      <c r="N4873">
        <v>47.991700000000002</v>
      </c>
      <c r="P4873">
        <v>17.3522</v>
      </c>
      <c r="R4873" t="s">
        <v>11038</v>
      </c>
      <c r="S4873" t="s">
        <v>10310</v>
      </c>
      <c r="W4873" t="s">
        <v>11208</v>
      </c>
    </row>
    <row r="4874" spans="1:23" hidden="1" x14ac:dyDescent="0.45">
      <c r="A4874" s="1" t="s">
        <v>4803</v>
      </c>
      <c r="F4874" t="s">
        <v>10301</v>
      </c>
      <c r="G4874">
        <v>2</v>
      </c>
      <c r="H4874" t="s">
        <v>10310</v>
      </c>
      <c r="I4874" t="s">
        <v>10325</v>
      </c>
      <c r="L4874">
        <v>1994</v>
      </c>
      <c r="N4874">
        <v>48.805909999999997</v>
      </c>
      <c r="P4874">
        <v>20.38578</v>
      </c>
      <c r="R4874" t="s">
        <v>11038</v>
      </c>
      <c r="S4874" t="s">
        <v>10310</v>
      </c>
      <c r="W4874" t="s">
        <v>11207</v>
      </c>
    </row>
    <row r="4875" spans="1:23" hidden="1" x14ac:dyDescent="0.45">
      <c r="A4875" s="1" t="s">
        <v>4804</v>
      </c>
      <c r="F4875" t="s">
        <v>10301</v>
      </c>
      <c r="G4875">
        <v>0.253</v>
      </c>
      <c r="H4875" t="s">
        <v>10310</v>
      </c>
      <c r="L4875">
        <v>2014</v>
      </c>
      <c r="N4875">
        <v>48.805909999999997</v>
      </c>
      <c r="P4875">
        <v>20.38578</v>
      </c>
      <c r="R4875" t="s">
        <v>11038</v>
      </c>
      <c r="S4875" t="s">
        <v>10310</v>
      </c>
      <c r="W4875" t="s">
        <v>11207</v>
      </c>
    </row>
    <row r="4876" spans="1:23" hidden="1" x14ac:dyDescent="0.45">
      <c r="A4876" s="1" t="s">
        <v>4805</v>
      </c>
      <c r="F4876" t="s">
        <v>10301</v>
      </c>
      <c r="G4876">
        <v>12</v>
      </c>
      <c r="H4876" t="s">
        <v>10310</v>
      </c>
      <c r="I4876" t="s">
        <v>10324</v>
      </c>
      <c r="L4876">
        <v>1954</v>
      </c>
      <c r="N4876">
        <v>48.805909999999997</v>
      </c>
      <c r="P4876">
        <v>20.38578</v>
      </c>
      <c r="R4876" t="s">
        <v>11038</v>
      </c>
      <c r="S4876" t="s">
        <v>10310</v>
      </c>
      <c r="W4876" t="s">
        <v>11207</v>
      </c>
    </row>
    <row r="4877" spans="1:23" hidden="1" x14ac:dyDescent="0.45">
      <c r="A4877" s="1" t="s">
        <v>4806</v>
      </c>
      <c r="F4877" t="s">
        <v>10301</v>
      </c>
      <c r="G4877">
        <v>12</v>
      </c>
      <c r="H4877" t="s">
        <v>10310</v>
      </c>
      <c r="I4877" t="s">
        <v>10324</v>
      </c>
      <c r="L4877">
        <v>1954</v>
      </c>
      <c r="N4877">
        <v>48.805909999999997</v>
      </c>
      <c r="P4877">
        <v>20.38578</v>
      </c>
      <c r="R4877" t="s">
        <v>11038</v>
      </c>
      <c r="S4877" t="s">
        <v>10310</v>
      </c>
      <c r="W4877" t="s">
        <v>11207</v>
      </c>
    </row>
    <row r="4878" spans="1:23" hidden="1" x14ac:dyDescent="0.45">
      <c r="A4878" s="1" t="s">
        <v>4807</v>
      </c>
      <c r="F4878" t="s">
        <v>10301</v>
      </c>
      <c r="G4878">
        <v>6.2</v>
      </c>
      <c r="H4878" t="s">
        <v>10310</v>
      </c>
      <c r="L4878">
        <v>1966</v>
      </c>
      <c r="N4878">
        <v>49.000680000000003</v>
      </c>
      <c r="P4878">
        <v>21.69717</v>
      </c>
      <c r="R4878" t="s">
        <v>11038</v>
      </c>
      <c r="S4878" t="s">
        <v>10310</v>
      </c>
      <c r="W4878" t="s">
        <v>11207</v>
      </c>
    </row>
    <row r="4879" spans="1:23" hidden="1" x14ac:dyDescent="0.45">
      <c r="A4879" s="1" t="s">
        <v>4808</v>
      </c>
      <c r="F4879" t="s">
        <v>10301</v>
      </c>
      <c r="G4879">
        <v>6.2</v>
      </c>
      <c r="H4879" t="s">
        <v>10310</v>
      </c>
      <c r="L4879">
        <v>1966</v>
      </c>
      <c r="N4879">
        <v>49.000680000000003</v>
      </c>
      <c r="P4879">
        <v>21.69717</v>
      </c>
      <c r="R4879" t="s">
        <v>11038</v>
      </c>
      <c r="S4879" t="s">
        <v>10310</v>
      </c>
      <c r="W4879" t="s">
        <v>11207</v>
      </c>
    </row>
    <row r="4880" spans="1:23" hidden="1" x14ac:dyDescent="0.45">
      <c r="A4880" s="1" t="s">
        <v>4809</v>
      </c>
      <c r="F4880" t="s">
        <v>10301</v>
      </c>
      <c r="G4880">
        <v>8.25</v>
      </c>
      <c r="H4880" t="s">
        <v>10310</v>
      </c>
      <c r="I4880" t="s">
        <v>10325</v>
      </c>
      <c r="L4880">
        <v>1949</v>
      </c>
      <c r="N4880">
        <v>48.963189999999997</v>
      </c>
      <c r="P4880">
        <v>18.145099999999999</v>
      </c>
      <c r="R4880" t="s">
        <v>11038</v>
      </c>
      <c r="S4880" t="s">
        <v>10310</v>
      </c>
      <c r="W4880" t="s">
        <v>11207</v>
      </c>
    </row>
    <row r="4881" spans="1:23" hidden="1" x14ac:dyDescent="0.45">
      <c r="A4881" s="1" t="s">
        <v>4810</v>
      </c>
      <c r="F4881" t="s">
        <v>10301</v>
      </c>
      <c r="G4881">
        <v>8.25</v>
      </c>
      <c r="H4881" t="s">
        <v>10310</v>
      </c>
      <c r="I4881" t="s">
        <v>10325</v>
      </c>
      <c r="L4881">
        <v>1949</v>
      </c>
      <c r="N4881">
        <v>48.963189999999997</v>
      </c>
      <c r="P4881">
        <v>18.145099999999999</v>
      </c>
      <c r="R4881" t="s">
        <v>11038</v>
      </c>
      <c r="S4881" t="s">
        <v>10310</v>
      </c>
      <c r="W4881" t="s">
        <v>11207</v>
      </c>
    </row>
    <row r="4882" spans="1:23" hidden="1" x14ac:dyDescent="0.45">
      <c r="A4882" s="1" t="s">
        <v>4811</v>
      </c>
      <c r="F4882" t="s">
        <v>10301</v>
      </c>
      <c r="G4882">
        <v>720</v>
      </c>
      <c r="H4882" t="s">
        <v>10310</v>
      </c>
      <c r="I4882" t="s">
        <v>10326</v>
      </c>
      <c r="L4882">
        <v>1992</v>
      </c>
      <c r="N4882">
        <v>47.880040000000001</v>
      </c>
      <c r="P4882">
        <v>17.538409999999999</v>
      </c>
      <c r="Q4882" t="s">
        <v>10903</v>
      </c>
      <c r="R4882" t="s">
        <v>11038</v>
      </c>
      <c r="S4882" t="s">
        <v>10310</v>
      </c>
      <c r="W4882" t="s">
        <v>11208</v>
      </c>
    </row>
    <row r="4883" spans="1:23" hidden="1" x14ac:dyDescent="0.45">
      <c r="A4883" s="1" t="s">
        <v>4812</v>
      </c>
      <c r="F4883" t="s">
        <v>10301</v>
      </c>
      <c r="G4883">
        <v>12.75</v>
      </c>
      <c r="H4883" t="s">
        <v>10310</v>
      </c>
      <c r="I4883" t="s">
        <v>10325</v>
      </c>
      <c r="L4883">
        <v>1955</v>
      </c>
      <c r="N4883">
        <v>48.66046</v>
      </c>
      <c r="P4883">
        <v>17.855029999999999</v>
      </c>
      <c r="R4883" t="s">
        <v>11038</v>
      </c>
      <c r="S4883" t="s">
        <v>10310</v>
      </c>
      <c r="W4883" t="s">
        <v>11207</v>
      </c>
    </row>
    <row r="4884" spans="1:23" hidden="1" x14ac:dyDescent="0.45">
      <c r="A4884" s="1" t="s">
        <v>4813</v>
      </c>
      <c r="F4884" t="s">
        <v>10301</v>
      </c>
      <c r="G4884">
        <v>12.75</v>
      </c>
      <c r="H4884" t="s">
        <v>10310</v>
      </c>
      <c r="I4884" t="s">
        <v>10325</v>
      </c>
      <c r="L4884">
        <v>1955</v>
      </c>
      <c r="N4884">
        <v>48.66046</v>
      </c>
      <c r="P4884">
        <v>17.855029999999999</v>
      </c>
      <c r="R4884" t="s">
        <v>11038</v>
      </c>
      <c r="S4884" t="s">
        <v>10310</v>
      </c>
      <c r="W4884" t="s">
        <v>11207</v>
      </c>
    </row>
    <row r="4885" spans="1:23" hidden="1" x14ac:dyDescent="0.45">
      <c r="A4885" s="1" t="s">
        <v>4814</v>
      </c>
      <c r="F4885" t="s">
        <v>10301</v>
      </c>
      <c r="G4885">
        <v>10.5</v>
      </c>
      <c r="H4885" t="s">
        <v>10310</v>
      </c>
      <c r="I4885" t="s">
        <v>10325</v>
      </c>
      <c r="L4885">
        <v>1964</v>
      </c>
      <c r="N4885">
        <v>49.257370000000002</v>
      </c>
      <c r="P4885">
        <v>18.68102</v>
      </c>
      <c r="R4885" t="s">
        <v>11038</v>
      </c>
      <c r="S4885" t="s">
        <v>10310</v>
      </c>
      <c r="W4885" t="s">
        <v>11207</v>
      </c>
    </row>
    <row r="4886" spans="1:23" hidden="1" x14ac:dyDescent="0.45">
      <c r="A4886" s="1" t="s">
        <v>4815</v>
      </c>
      <c r="F4886" t="s">
        <v>10301</v>
      </c>
      <c r="G4886">
        <v>10.5</v>
      </c>
      <c r="H4886" t="s">
        <v>10310</v>
      </c>
      <c r="I4886" t="s">
        <v>10325</v>
      </c>
      <c r="L4886">
        <v>1964</v>
      </c>
      <c r="N4886">
        <v>49.257370000000002</v>
      </c>
      <c r="P4886">
        <v>18.68102</v>
      </c>
      <c r="R4886" t="s">
        <v>11038</v>
      </c>
      <c r="S4886" t="s">
        <v>10310</v>
      </c>
      <c r="W4886" t="s">
        <v>11207</v>
      </c>
    </row>
    <row r="4887" spans="1:23" hidden="1" x14ac:dyDescent="0.45">
      <c r="A4887" s="1" t="s">
        <v>4816</v>
      </c>
      <c r="F4887" t="s">
        <v>10301</v>
      </c>
      <c r="G4887">
        <v>10.5</v>
      </c>
      <c r="H4887" t="s">
        <v>10310</v>
      </c>
      <c r="I4887" t="s">
        <v>10325</v>
      </c>
      <c r="L4887">
        <v>1964</v>
      </c>
      <c r="N4887">
        <v>49.257370000000002</v>
      </c>
      <c r="P4887">
        <v>18.68102</v>
      </c>
      <c r="R4887" t="s">
        <v>11038</v>
      </c>
      <c r="S4887" t="s">
        <v>10310</v>
      </c>
      <c r="W4887" t="s">
        <v>11207</v>
      </c>
    </row>
    <row r="4888" spans="1:23" hidden="1" x14ac:dyDescent="0.45">
      <c r="A4888" s="1" t="s">
        <v>4817</v>
      </c>
      <c r="F4888" t="s">
        <v>10301</v>
      </c>
      <c r="G4888">
        <v>7.5</v>
      </c>
      <c r="H4888" t="s">
        <v>10310</v>
      </c>
      <c r="I4888" t="s">
        <v>10325</v>
      </c>
      <c r="L4888">
        <v>1946</v>
      </c>
      <c r="N4888">
        <v>49.005670000000002</v>
      </c>
      <c r="P4888">
        <v>18.234940000000002</v>
      </c>
      <c r="R4888" t="s">
        <v>11038</v>
      </c>
      <c r="S4888" t="s">
        <v>10310</v>
      </c>
      <c r="W4888" t="s">
        <v>11207</v>
      </c>
    </row>
    <row r="4889" spans="1:23" hidden="1" x14ac:dyDescent="0.45">
      <c r="A4889" s="1" t="s">
        <v>4818</v>
      </c>
      <c r="F4889" t="s">
        <v>10301</v>
      </c>
      <c r="G4889">
        <v>7.5</v>
      </c>
      <c r="H4889" t="s">
        <v>10310</v>
      </c>
      <c r="I4889" t="s">
        <v>10325</v>
      </c>
      <c r="L4889">
        <v>1946</v>
      </c>
      <c r="N4889">
        <v>49.005670000000002</v>
      </c>
      <c r="P4889">
        <v>18.234940000000002</v>
      </c>
      <c r="R4889" t="s">
        <v>11038</v>
      </c>
      <c r="S4889" t="s">
        <v>10310</v>
      </c>
      <c r="W4889" t="s">
        <v>11207</v>
      </c>
    </row>
    <row r="4890" spans="1:23" hidden="1" x14ac:dyDescent="0.45">
      <c r="A4890" s="1" t="s">
        <v>4819</v>
      </c>
      <c r="F4890" t="s">
        <v>10301</v>
      </c>
      <c r="G4890">
        <v>12.75</v>
      </c>
      <c r="H4890" t="s">
        <v>10310</v>
      </c>
      <c r="I4890" t="s">
        <v>10325</v>
      </c>
      <c r="L4890">
        <v>1953</v>
      </c>
      <c r="N4890">
        <v>48.860959999999999</v>
      </c>
      <c r="P4890">
        <v>17.96874</v>
      </c>
      <c r="R4890" t="s">
        <v>11038</v>
      </c>
      <c r="S4890" t="s">
        <v>10310</v>
      </c>
      <c r="W4890" t="s">
        <v>11207</v>
      </c>
    </row>
    <row r="4891" spans="1:23" hidden="1" x14ac:dyDescent="0.45">
      <c r="A4891" s="1" t="s">
        <v>4820</v>
      </c>
      <c r="F4891" t="s">
        <v>10301</v>
      </c>
      <c r="G4891">
        <v>12.75</v>
      </c>
      <c r="H4891" t="s">
        <v>10310</v>
      </c>
      <c r="I4891" t="s">
        <v>10325</v>
      </c>
      <c r="L4891">
        <v>1953</v>
      </c>
      <c r="N4891">
        <v>48.860959999999999</v>
      </c>
      <c r="P4891">
        <v>17.96874</v>
      </c>
      <c r="R4891" t="s">
        <v>11038</v>
      </c>
      <c r="S4891" t="s">
        <v>10310</v>
      </c>
      <c r="W4891" t="s">
        <v>11207</v>
      </c>
    </row>
    <row r="4892" spans="1:23" hidden="1" x14ac:dyDescent="0.45">
      <c r="A4892" s="1" t="s">
        <v>4821</v>
      </c>
      <c r="F4892" t="s">
        <v>10301</v>
      </c>
      <c r="G4892">
        <v>22.53</v>
      </c>
      <c r="H4892" t="s">
        <v>10310</v>
      </c>
      <c r="I4892" t="s">
        <v>10325</v>
      </c>
      <c r="L4892">
        <v>1985</v>
      </c>
      <c r="N4892">
        <v>48.190480000000001</v>
      </c>
      <c r="P4892">
        <v>17.828499999999998</v>
      </c>
      <c r="R4892" t="s">
        <v>11038</v>
      </c>
      <c r="S4892" t="s">
        <v>10310</v>
      </c>
      <c r="W4892" t="s">
        <v>11207</v>
      </c>
    </row>
    <row r="4893" spans="1:23" hidden="1" x14ac:dyDescent="0.45">
      <c r="A4893" s="1" t="s">
        <v>4822</v>
      </c>
      <c r="F4893" t="s">
        <v>10301</v>
      </c>
      <c r="G4893">
        <v>22.53</v>
      </c>
      <c r="H4893" t="s">
        <v>10310</v>
      </c>
      <c r="I4893" t="s">
        <v>10325</v>
      </c>
      <c r="L4893">
        <v>1985</v>
      </c>
      <c r="N4893">
        <v>48.190480000000001</v>
      </c>
      <c r="P4893">
        <v>17.828499999999998</v>
      </c>
      <c r="R4893" t="s">
        <v>11038</v>
      </c>
      <c r="S4893" t="s">
        <v>10310</v>
      </c>
      <c r="W4893" t="s">
        <v>11207</v>
      </c>
    </row>
    <row r="4894" spans="1:23" hidden="1" x14ac:dyDescent="0.45">
      <c r="A4894" s="1" t="s">
        <v>4823</v>
      </c>
      <c r="F4894" t="s">
        <v>10301</v>
      </c>
      <c r="G4894">
        <v>0.33</v>
      </c>
      <c r="H4894" t="s">
        <v>10310</v>
      </c>
      <c r="L4894">
        <v>1932</v>
      </c>
      <c r="R4894" t="s">
        <v>11038</v>
      </c>
      <c r="S4894" t="s">
        <v>10310</v>
      </c>
      <c r="W4894" t="s">
        <v>11207</v>
      </c>
    </row>
    <row r="4895" spans="1:23" hidden="1" x14ac:dyDescent="0.45">
      <c r="A4895" s="1" t="s">
        <v>4824</v>
      </c>
      <c r="F4895" t="s">
        <v>10301</v>
      </c>
      <c r="G4895">
        <v>8.25</v>
      </c>
      <c r="H4895" t="s">
        <v>10310</v>
      </c>
      <c r="I4895" t="s">
        <v>10325</v>
      </c>
      <c r="L4895">
        <v>1957</v>
      </c>
      <c r="N4895">
        <v>49.127959999999987</v>
      </c>
      <c r="P4895">
        <v>19.095500000000001</v>
      </c>
      <c r="R4895" t="s">
        <v>11038</v>
      </c>
      <c r="S4895" t="s">
        <v>10310</v>
      </c>
      <c r="W4895" t="s">
        <v>11207</v>
      </c>
    </row>
    <row r="4896" spans="1:23" hidden="1" x14ac:dyDescent="0.45">
      <c r="A4896" s="1" t="s">
        <v>4825</v>
      </c>
      <c r="F4896" t="s">
        <v>10301</v>
      </c>
      <c r="G4896">
        <v>8.25</v>
      </c>
      <c r="H4896" t="s">
        <v>10310</v>
      </c>
      <c r="I4896" t="s">
        <v>10325</v>
      </c>
      <c r="L4896">
        <v>1957</v>
      </c>
      <c r="N4896">
        <v>49.127959999999987</v>
      </c>
      <c r="P4896">
        <v>19.095500000000001</v>
      </c>
      <c r="R4896" t="s">
        <v>11038</v>
      </c>
      <c r="S4896" t="s">
        <v>10310</v>
      </c>
      <c r="W4896" t="s">
        <v>11207</v>
      </c>
    </row>
    <row r="4897" spans="1:23" hidden="1" x14ac:dyDescent="0.45">
      <c r="A4897" s="1" t="s">
        <v>4826</v>
      </c>
      <c r="F4897" t="s">
        <v>10301</v>
      </c>
      <c r="G4897">
        <v>8.25</v>
      </c>
      <c r="H4897" t="s">
        <v>10310</v>
      </c>
      <c r="I4897" t="s">
        <v>10325</v>
      </c>
      <c r="L4897">
        <v>1957</v>
      </c>
      <c r="N4897">
        <v>49.127959999999987</v>
      </c>
      <c r="P4897">
        <v>19.095500000000001</v>
      </c>
      <c r="R4897" t="s">
        <v>11038</v>
      </c>
      <c r="S4897" t="s">
        <v>10310</v>
      </c>
      <c r="W4897" t="s">
        <v>11207</v>
      </c>
    </row>
    <row r="4898" spans="1:23" hidden="1" x14ac:dyDescent="0.45">
      <c r="A4898" s="1" t="s">
        <v>4827</v>
      </c>
      <c r="F4898" t="s">
        <v>10301</v>
      </c>
      <c r="G4898">
        <v>9.4499999999999993</v>
      </c>
      <c r="H4898" t="s">
        <v>10310</v>
      </c>
      <c r="I4898" t="s">
        <v>10325</v>
      </c>
      <c r="L4898">
        <v>1936</v>
      </c>
      <c r="N4898">
        <v>49.049759999999999</v>
      </c>
      <c r="P4898">
        <v>18.297940000000001</v>
      </c>
      <c r="R4898" t="s">
        <v>11038</v>
      </c>
      <c r="S4898" t="s">
        <v>10310</v>
      </c>
      <c r="W4898" t="s">
        <v>11207</v>
      </c>
    </row>
    <row r="4899" spans="1:23" hidden="1" x14ac:dyDescent="0.45">
      <c r="A4899" s="1" t="s">
        <v>4828</v>
      </c>
      <c r="F4899" t="s">
        <v>10301</v>
      </c>
      <c r="G4899">
        <v>9.4499999999999993</v>
      </c>
      <c r="H4899" t="s">
        <v>10310</v>
      </c>
      <c r="I4899" t="s">
        <v>10325</v>
      </c>
      <c r="L4899">
        <v>1936</v>
      </c>
      <c r="N4899">
        <v>49.049759999999999</v>
      </c>
      <c r="P4899">
        <v>18.297940000000001</v>
      </c>
      <c r="R4899" t="s">
        <v>11038</v>
      </c>
      <c r="S4899" t="s">
        <v>10310</v>
      </c>
      <c r="W4899" t="s">
        <v>11207</v>
      </c>
    </row>
    <row r="4900" spans="1:23" hidden="1" x14ac:dyDescent="0.45">
      <c r="A4900" s="1" t="s">
        <v>4829</v>
      </c>
      <c r="F4900" t="s">
        <v>10301</v>
      </c>
      <c r="G4900">
        <v>12.8</v>
      </c>
      <c r="H4900" t="s">
        <v>10310</v>
      </c>
      <c r="I4900" t="s">
        <v>10325</v>
      </c>
      <c r="L4900">
        <v>1961</v>
      </c>
      <c r="N4900">
        <v>49.131970000000003</v>
      </c>
      <c r="P4900">
        <v>18.9114</v>
      </c>
      <c r="R4900" t="s">
        <v>11038</v>
      </c>
      <c r="S4900" t="s">
        <v>10310</v>
      </c>
      <c r="W4900" t="s">
        <v>11207</v>
      </c>
    </row>
    <row r="4901" spans="1:23" hidden="1" x14ac:dyDescent="0.45">
      <c r="A4901" s="1" t="s">
        <v>4830</v>
      </c>
      <c r="F4901" t="s">
        <v>10301</v>
      </c>
      <c r="G4901">
        <v>12.8</v>
      </c>
      <c r="H4901" t="s">
        <v>10310</v>
      </c>
      <c r="I4901" t="s">
        <v>10325</v>
      </c>
      <c r="L4901">
        <v>1961</v>
      </c>
      <c r="N4901">
        <v>49.131970000000003</v>
      </c>
      <c r="P4901">
        <v>18.9114</v>
      </c>
      <c r="R4901" t="s">
        <v>11038</v>
      </c>
      <c r="S4901" t="s">
        <v>10310</v>
      </c>
      <c r="W4901" t="s">
        <v>11207</v>
      </c>
    </row>
    <row r="4902" spans="1:23" hidden="1" x14ac:dyDescent="0.45">
      <c r="A4902" s="1" t="s">
        <v>4831</v>
      </c>
      <c r="F4902" t="s">
        <v>10301</v>
      </c>
      <c r="G4902">
        <v>12.8</v>
      </c>
      <c r="H4902" t="s">
        <v>10310</v>
      </c>
      <c r="I4902" t="s">
        <v>10325</v>
      </c>
      <c r="L4902">
        <v>1961</v>
      </c>
      <c r="N4902">
        <v>49.131970000000003</v>
      </c>
      <c r="P4902">
        <v>18.9114</v>
      </c>
      <c r="R4902" t="s">
        <v>11038</v>
      </c>
      <c r="S4902" t="s">
        <v>10310</v>
      </c>
      <c r="W4902" t="s">
        <v>11207</v>
      </c>
    </row>
    <row r="4903" spans="1:23" hidden="1" x14ac:dyDescent="0.45">
      <c r="A4903" s="1" t="s">
        <v>4832</v>
      </c>
      <c r="F4903" t="s">
        <v>10301</v>
      </c>
      <c r="G4903">
        <v>49</v>
      </c>
      <c r="H4903" t="s">
        <v>10310</v>
      </c>
      <c r="I4903" t="s">
        <v>10324</v>
      </c>
      <c r="L4903">
        <v>1976</v>
      </c>
      <c r="N4903">
        <v>49.098230000000001</v>
      </c>
      <c r="P4903">
        <v>19.484839999999998</v>
      </c>
      <c r="Q4903" t="s">
        <v>10904</v>
      </c>
      <c r="R4903" t="s">
        <v>11038</v>
      </c>
      <c r="S4903" t="s">
        <v>10310</v>
      </c>
      <c r="W4903" t="s">
        <v>11207</v>
      </c>
    </row>
    <row r="4904" spans="1:23" hidden="1" x14ac:dyDescent="0.45">
      <c r="A4904" s="1" t="s">
        <v>4833</v>
      </c>
      <c r="F4904" t="s">
        <v>10301</v>
      </c>
      <c r="G4904">
        <v>49</v>
      </c>
      <c r="H4904" t="s">
        <v>10310</v>
      </c>
      <c r="I4904" t="s">
        <v>10324</v>
      </c>
      <c r="L4904">
        <v>1976</v>
      </c>
      <c r="N4904">
        <v>49.098230000000001</v>
      </c>
      <c r="P4904">
        <v>19.484839999999998</v>
      </c>
      <c r="Q4904" t="s">
        <v>10904</v>
      </c>
      <c r="R4904" t="s">
        <v>11038</v>
      </c>
      <c r="S4904" t="s">
        <v>10310</v>
      </c>
      <c r="W4904" t="s">
        <v>11207</v>
      </c>
    </row>
    <row r="4905" spans="1:23" hidden="1" x14ac:dyDescent="0.45">
      <c r="A4905" s="1" t="s">
        <v>4834</v>
      </c>
      <c r="F4905" t="s">
        <v>10301</v>
      </c>
      <c r="G4905">
        <v>50</v>
      </c>
      <c r="H4905" t="s">
        <v>10310</v>
      </c>
      <c r="I4905" t="s">
        <v>10324</v>
      </c>
      <c r="L4905">
        <v>1976</v>
      </c>
      <c r="N4905">
        <v>49.098230000000001</v>
      </c>
      <c r="P4905">
        <v>19.484839999999998</v>
      </c>
      <c r="Q4905" t="s">
        <v>10904</v>
      </c>
      <c r="R4905" t="s">
        <v>11038</v>
      </c>
      <c r="S4905" t="s">
        <v>10310</v>
      </c>
      <c r="W4905" t="s">
        <v>11207</v>
      </c>
    </row>
    <row r="4906" spans="1:23" hidden="1" x14ac:dyDescent="0.45">
      <c r="A4906" s="1" t="s">
        <v>4835</v>
      </c>
      <c r="F4906" t="s">
        <v>10301</v>
      </c>
      <c r="G4906">
        <v>50</v>
      </c>
      <c r="H4906" t="s">
        <v>10310</v>
      </c>
      <c r="I4906" t="s">
        <v>10324</v>
      </c>
      <c r="L4906">
        <v>1976</v>
      </c>
      <c r="N4906">
        <v>49.098230000000001</v>
      </c>
      <c r="P4906">
        <v>19.484839999999998</v>
      </c>
      <c r="Q4906" t="s">
        <v>10904</v>
      </c>
      <c r="R4906" t="s">
        <v>11038</v>
      </c>
      <c r="S4906" t="s">
        <v>10310</v>
      </c>
      <c r="W4906" t="s">
        <v>11207</v>
      </c>
    </row>
    <row r="4907" spans="1:23" hidden="1" x14ac:dyDescent="0.45">
      <c r="A4907" s="1" t="s">
        <v>4836</v>
      </c>
      <c r="F4907" t="s">
        <v>10301</v>
      </c>
      <c r="G4907">
        <v>14.4</v>
      </c>
      <c r="H4907" t="s">
        <v>10310</v>
      </c>
      <c r="I4907" t="s">
        <v>10325</v>
      </c>
      <c r="L4907">
        <v>1961</v>
      </c>
      <c r="N4907">
        <v>48.488430000000001</v>
      </c>
      <c r="P4907">
        <v>17.794080000000001</v>
      </c>
      <c r="R4907" t="s">
        <v>11038</v>
      </c>
      <c r="S4907" t="s">
        <v>10310</v>
      </c>
      <c r="W4907" t="s">
        <v>11207</v>
      </c>
    </row>
    <row r="4908" spans="1:23" hidden="1" x14ac:dyDescent="0.45">
      <c r="A4908" s="1" t="s">
        <v>4837</v>
      </c>
      <c r="F4908" t="s">
        <v>10301</v>
      </c>
      <c r="G4908">
        <v>14.4</v>
      </c>
      <c r="H4908" t="s">
        <v>10310</v>
      </c>
      <c r="I4908" t="s">
        <v>10325</v>
      </c>
      <c r="L4908">
        <v>1961</v>
      </c>
      <c r="N4908">
        <v>48.488430000000001</v>
      </c>
      <c r="P4908">
        <v>17.794080000000001</v>
      </c>
      <c r="R4908" t="s">
        <v>11038</v>
      </c>
      <c r="S4908" t="s">
        <v>10310</v>
      </c>
      <c r="W4908" t="s">
        <v>11207</v>
      </c>
    </row>
    <row r="4909" spans="1:23" hidden="1" x14ac:dyDescent="0.45">
      <c r="A4909" s="1" t="s">
        <v>4838</v>
      </c>
      <c r="F4909" t="s">
        <v>10301</v>
      </c>
      <c r="G4909">
        <v>14.4</v>
      </c>
      <c r="H4909" t="s">
        <v>10310</v>
      </c>
      <c r="I4909" t="s">
        <v>10325</v>
      </c>
      <c r="L4909">
        <v>1961</v>
      </c>
      <c r="N4909">
        <v>48.488430000000001</v>
      </c>
      <c r="P4909">
        <v>17.794080000000001</v>
      </c>
      <c r="R4909" t="s">
        <v>11038</v>
      </c>
      <c r="S4909" t="s">
        <v>10310</v>
      </c>
      <c r="W4909" t="s">
        <v>11207</v>
      </c>
    </row>
    <row r="4910" spans="1:23" hidden="1" x14ac:dyDescent="0.45">
      <c r="A4910" s="1" t="s">
        <v>4839</v>
      </c>
      <c r="F4910" t="s">
        <v>10301</v>
      </c>
      <c r="G4910">
        <v>1.04</v>
      </c>
      <c r="H4910" t="s">
        <v>10310</v>
      </c>
      <c r="I4910" t="s">
        <v>10325</v>
      </c>
      <c r="L4910">
        <v>1994</v>
      </c>
      <c r="R4910" t="s">
        <v>11038</v>
      </c>
      <c r="S4910" t="s">
        <v>10310</v>
      </c>
      <c r="W4910" t="s">
        <v>11207</v>
      </c>
    </row>
    <row r="4911" spans="1:23" hidden="1" x14ac:dyDescent="0.45">
      <c r="A4911" s="1" t="s">
        <v>4840</v>
      </c>
      <c r="F4911" t="s">
        <v>10301</v>
      </c>
      <c r="G4911">
        <v>31.2</v>
      </c>
      <c r="H4911" t="s">
        <v>10310</v>
      </c>
      <c r="I4911" t="s">
        <v>10325</v>
      </c>
      <c r="L4911">
        <v>1965</v>
      </c>
      <c r="N4911">
        <v>49.192709999999998</v>
      </c>
      <c r="P4911">
        <v>18.508289999999999</v>
      </c>
      <c r="R4911" t="s">
        <v>11038</v>
      </c>
      <c r="S4911" t="s">
        <v>10310</v>
      </c>
      <c r="W4911" t="s">
        <v>11207</v>
      </c>
    </row>
    <row r="4912" spans="1:23" hidden="1" x14ac:dyDescent="0.45">
      <c r="A4912" s="1" t="s">
        <v>4841</v>
      </c>
      <c r="F4912" t="s">
        <v>10301</v>
      </c>
      <c r="G4912">
        <v>31.2</v>
      </c>
      <c r="H4912" t="s">
        <v>10310</v>
      </c>
      <c r="I4912" t="s">
        <v>10325</v>
      </c>
      <c r="L4912">
        <v>1965</v>
      </c>
      <c r="N4912">
        <v>49.192709999999998</v>
      </c>
      <c r="P4912">
        <v>18.508289999999999</v>
      </c>
      <c r="R4912" t="s">
        <v>11038</v>
      </c>
      <c r="S4912" t="s">
        <v>10310</v>
      </c>
      <c r="W4912" t="s">
        <v>11207</v>
      </c>
    </row>
    <row r="4913" spans="1:23" hidden="1" x14ac:dyDescent="0.45">
      <c r="A4913" s="1" t="s">
        <v>4842</v>
      </c>
      <c r="F4913" t="s">
        <v>10301</v>
      </c>
      <c r="G4913">
        <v>31.2</v>
      </c>
      <c r="H4913" t="s">
        <v>10310</v>
      </c>
      <c r="I4913" t="s">
        <v>10325</v>
      </c>
      <c r="L4913">
        <v>1965</v>
      </c>
      <c r="N4913">
        <v>49.192709999999998</v>
      </c>
      <c r="P4913">
        <v>18.508289999999999</v>
      </c>
      <c r="R4913" t="s">
        <v>11038</v>
      </c>
      <c r="S4913" t="s">
        <v>10310</v>
      </c>
      <c r="W4913" t="s">
        <v>11207</v>
      </c>
    </row>
    <row r="4914" spans="1:23" hidden="1" x14ac:dyDescent="0.45">
      <c r="A4914" s="1" t="s">
        <v>4843</v>
      </c>
      <c r="F4914" t="s">
        <v>10301</v>
      </c>
      <c r="G4914">
        <v>470</v>
      </c>
      <c r="H4914" t="s">
        <v>10311</v>
      </c>
      <c r="I4914" t="s">
        <v>10323</v>
      </c>
      <c r="L4914">
        <v>2000</v>
      </c>
      <c r="N4914">
        <v>48.264090000000003</v>
      </c>
      <c r="P4914">
        <v>18.45326</v>
      </c>
      <c r="Q4914" t="s">
        <v>10905</v>
      </c>
      <c r="R4914" t="s">
        <v>10311</v>
      </c>
      <c r="W4914" t="s">
        <v>11207</v>
      </c>
    </row>
    <row r="4915" spans="1:23" hidden="1" x14ac:dyDescent="0.45">
      <c r="A4915" s="1" t="s">
        <v>4844</v>
      </c>
      <c r="F4915" t="s">
        <v>10301</v>
      </c>
      <c r="G4915">
        <v>470</v>
      </c>
      <c r="H4915" t="s">
        <v>10311</v>
      </c>
      <c r="I4915" t="s">
        <v>10323</v>
      </c>
      <c r="L4915">
        <v>2000</v>
      </c>
      <c r="N4915">
        <v>48.264090000000003</v>
      </c>
      <c r="P4915">
        <v>18.45326</v>
      </c>
      <c r="Q4915" t="s">
        <v>10905</v>
      </c>
      <c r="R4915" t="s">
        <v>10311</v>
      </c>
      <c r="W4915" t="s">
        <v>11207</v>
      </c>
    </row>
    <row r="4916" spans="1:23" hidden="1" x14ac:dyDescent="0.45">
      <c r="A4916" s="1" t="s">
        <v>4845</v>
      </c>
      <c r="F4916" t="s">
        <v>10301</v>
      </c>
      <c r="G4916">
        <v>1.22</v>
      </c>
      <c r="H4916" t="s">
        <v>10310</v>
      </c>
      <c r="I4916" t="s">
        <v>10325</v>
      </c>
      <c r="L4916">
        <v>1994</v>
      </c>
      <c r="R4916" t="s">
        <v>11038</v>
      </c>
      <c r="S4916" t="s">
        <v>10310</v>
      </c>
      <c r="W4916" t="s">
        <v>11207</v>
      </c>
    </row>
    <row r="4917" spans="1:23" hidden="1" x14ac:dyDescent="0.45">
      <c r="A4917" s="1" t="s">
        <v>4846</v>
      </c>
      <c r="F4917" t="s">
        <v>10301</v>
      </c>
      <c r="G4917">
        <v>22.5</v>
      </c>
      <c r="H4917" t="s">
        <v>10310</v>
      </c>
      <c r="I4917" t="s">
        <v>10325</v>
      </c>
      <c r="L4917">
        <v>1958</v>
      </c>
      <c r="N4917">
        <v>49.127450000000003</v>
      </c>
      <c r="P4917">
        <v>18.364239999999999</v>
      </c>
      <c r="R4917" t="s">
        <v>11038</v>
      </c>
      <c r="S4917" t="s">
        <v>10310</v>
      </c>
      <c r="W4917" t="s">
        <v>11207</v>
      </c>
    </row>
    <row r="4918" spans="1:23" hidden="1" x14ac:dyDescent="0.45">
      <c r="A4918" s="1" t="s">
        <v>4847</v>
      </c>
      <c r="F4918" t="s">
        <v>10301</v>
      </c>
      <c r="G4918">
        <v>22.5</v>
      </c>
      <c r="H4918" t="s">
        <v>10310</v>
      </c>
      <c r="I4918" t="s">
        <v>10325</v>
      </c>
      <c r="L4918">
        <v>1958</v>
      </c>
      <c r="N4918">
        <v>49.127450000000003</v>
      </c>
      <c r="P4918">
        <v>18.364239999999999</v>
      </c>
      <c r="R4918" t="s">
        <v>11038</v>
      </c>
      <c r="S4918" t="s">
        <v>10310</v>
      </c>
      <c r="W4918" t="s">
        <v>11207</v>
      </c>
    </row>
    <row r="4919" spans="1:23" hidden="1" x14ac:dyDescent="0.45">
      <c r="A4919" s="1" t="s">
        <v>4848</v>
      </c>
      <c r="F4919" t="s">
        <v>10301</v>
      </c>
      <c r="G4919">
        <v>22.5</v>
      </c>
      <c r="H4919" t="s">
        <v>10310</v>
      </c>
      <c r="I4919" t="s">
        <v>10325</v>
      </c>
      <c r="L4919">
        <v>1958</v>
      </c>
      <c r="N4919">
        <v>49.127450000000003</v>
      </c>
      <c r="P4919">
        <v>18.364239999999999</v>
      </c>
      <c r="R4919" t="s">
        <v>11038</v>
      </c>
      <c r="S4919" t="s">
        <v>10310</v>
      </c>
      <c r="W4919" t="s">
        <v>11207</v>
      </c>
    </row>
    <row r="4920" spans="1:23" hidden="1" x14ac:dyDescent="0.45">
      <c r="A4920" s="1" t="s">
        <v>4849</v>
      </c>
      <c r="F4920" t="s">
        <v>10301</v>
      </c>
      <c r="G4920">
        <v>46</v>
      </c>
      <c r="H4920" t="s">
        <v>10316</v>
      </c>
      <c r="I4920" t="s">
        <v>10323</v>
      </c>
      <c r="L4920">
        <v>2004</v>
      </c>
      <c r="R4920" t="s">
        <v>11037</v>
      </c>
      <c r="S4920" t="s">
        <v>10316</v>
      </c>
      <c r="W4920" t="s">
        <v>11207</v>
      </c>
    </row>
    <row r="4921" spans="1:23" hidden="1" x14ac:dyDescent="0.45">
      <c r="A4921" s="1" t="s">
        <v>4850</v>
      </c>
      <c r="F4921" t="s">
        <v>10301</v>
      </c>
      <c r="G4921">
        <v>220</v>
      </c>
      <c r="H4921" t="s">
        <v>10316</v>
      </c>
      <c r="I4921" t="s">
        <v>10323</v>
      </c>
      <c r="L4921">
        <v>1976</v>
      </c>
      <c r="Q4921" t="s">
        <v>10906</v>
      </c>
      <c r="R4921" t="s">
        <v>11037</v>
      </c>
      <c r="S4921" t="s">
        <v>10316</v>
      </c>
      <c r="W4921" t="s">
        <v>11207</v>
      </c>
    </row>
    <row r="4922" spans="1:23" hidden="1" x14ac:dyDescent="0.45">
      <c r="A4922" s="1" t="s">
        <v>4851</v>
      </c>
      <c r="F4922" t="s">
        <v>10301</v>
      </c>
      <c r="G4922">
        <v>12.75</v>
      </c>
      <c r="H4922" t="s">
        <v>10310</v>
      </c>
      <c r="I4922" t="s">
        <v>10325</v>
      </c>
      <c r="L4922">
        <v>1954</v>
      </c>
      <c r="N4922">
        <v>48.772449999999999</v>
      </c>
      <c r="P4922">
        <v>17.851459999999999</v>
      </c>
      <c r="R4922" t="s">
        <v>11038</v>
      </c>
      <c r="S4922" t="s">
        <v>10310</v>
      </c>
      <c r="W4922" t="s">
        <v>11207</v>
      </c>
    </row>
    <row r="4923" spans="1:23" hidden="1" x14ac:dyDescent="0.45">
      <c r="A4923" s="1" t="s">
        <v>4852</v>
      </c>
      <c r="F4923" t="s">
        <v>10301</v>
      </c>
      <c r="G4923">
        <v>12.75</v>
      </c>
      <c r="H4923" t="s">
        <v>10310</v>
      </c>
      <c r="I4923" t="s">
        <v>10325</v>
      </c>
      <c r="L4923">
        <v>1954</v>
      </c>
      <c r="N4923">
        <v>48.772449999999999</v>
      </c>
      <c r="P4923">
        <v>17.851459999999999</v>
      </c>
      <c r="R4923" t="s">
        <v>11038</v>
      </c>
      <c r="S4923" t="s">
        <v>10310</v>
      </c>
      <c r="W4923" t="s">
        <v>11207</v>
      </c>
    </row>
    <row r="4924" spans="1:23" hidden="1" x14ac:dyDescent="0.45">
      <c r="A4924" s="1" t="s">
        <v>4853</v>
      </c>
      <c r="F4924" t="s">
        <v>10301</v>
      </c>
      <c r="G4924">
        <v>10.87</v>
      </c>
      <c r="H4924" t="s">
        <v>10310</v>
      </c>
      <c r="I4924" t="s">
        <v>10325</v>
      </c>
      <c r="L4924">
        <v>1954</v>
      </c>
      <c r="N4924">
        <v>49.375340000000001</v>
      </c>
      <c r="P4924">
        <v>19.558489999999999</v>
      </c>
      <c r="R4924" t="s">
        <v>11038</v>
      </c>
      <c r="S4924" t="s">
        <v>10310</v>
      </c>
      <c r="W4924" t="s">
        <v>11207</v>
      </c>
    </row>
    <row r="4925" spans="1:23" hidden="1" x14ac:dyDescent="0.45">
      <c r="A4925" s="1" t="s">
        <v>4854</v>
      </c>
      <c r="F4925" t="s">
        <v>10301</v>
      </c>
      <c r="G4925">
        <v>10.88</v>
      </c>
      <c r="H4925" t="s">
        <v>10310</v>
      </c>
      <c r="I4925" t="s">
        <v>10325</v>
      </c>
      <c r="L4925">
        <v>1954</v>
      </c>
      <c r="N4925">
        <v>49.375340000000001</v>
      </c>
      <c r="P4925">
        <v>19.558489999999999</v>
      </c>
      <c r="R4925" t="s">
        <v>11038</v>
      </c>
      <c r="S4925" t="s">
        <v>10310</v>
      </c>
      <c r="W4925" t="s">
        <v>11207</v>
      </c>
    </row>
    <row r="4926" spans="1:23" hidden="1" x14ac:dyDescent="0.45">
      <c r="A4926" s="1" t="s">
        <v>4855</v>
      </c>
      <c r="F4926" t="s">
        <v>10301</v>
      </c>
      <c r="G4926">
        <v>18.399999999999999</v>
      </c>
      <c r="H4926" t="s">
        <v>10310</v>
      </c>
      <c r="I4926" t="s">
        <v>10325</v>
      </c>
      <c r="L4926">
        <v>1964</v>
      </c>
      <c r="N4926">
        <v>49.133119999999998</v>
      </c>
      <c r="P4926">
        <v>18.453659999999999</v>
      </c>
      <c r="R4926" t="s">
        <v>11038</v>
      </c>
      <c r="S4926" t="s">
        <v>10310</v>
      </c>
      <c r="W4926" t="s">
        <v>11207</v>
      </c>
    </row>
    <row r="4927" spans="1:23" hidden="1" x14ac:dyDescent="0.45">
      <c r="A4927" s="1" t="s">
        <v>4856</v>
      </c>
      <c r="F4927" t="s">
        <v>10301</v>
      </c>
      <c r="G4927">
        <v>18.399999999999999</v>
      </c>
      <c r="H4927" t="s">
        <v>10310</v>
      </c>
      <c r="I4927" t="s">
        <v>10325</v>
      </c>
      <c r="L4927">
        <v>1964</v>
      </c>
      <c r="N4927">
        <v>49.133119999999998</v>
      </c>
      <c r="P4927">
        <v>18.453659999999999</v>
      </c>
      <c r="R4927" t="s">
        <v>11038</v>
      </c>
      <c r="S4927" t="s">
        <v>10310</v>
      </c>
      <c r="W4927" t="s">
        <v>11207</v>
      </c>
    </row>
    <row r="4928" spans="1:23" hidden="1" x14ac:dyDescent="0.45">
      <c r="A4928" s="1" t="s">
        <v>4857</v>
      </c>
      <c r="F4928" t="s">
        <v>10301</v>
      </c>
      <c r="G4928">
        <v>18.399999999999999</v>
      </c>
      <c r="H4928" t="s">
        <v>10310</v>
      </c>
      <c r="I4928" t="s">
        <v>10325</v>
      </c>
      <c r="L4928">
        <v>1964</v>
      </c>
      <c r="N4928">
        <v>49.133119999999998</v>
      </c>
      <c r="P4928">
        <v>18.453659999999999</v>
      </c>
      <c r="R4928" t="s">
        <v>11038</v>
      </c>
      <c r="S4928" t="s">
        <v>10310</v>
      </c>
      <c r="W4928" t="s">
        <v>11207</v>
      </c>
    </row>
    <row r="4929" spans="1:23" hidden="1" x14ac:dyDescent="0.45">
      <c r="A4929" s="1" t="s">
        <v>4858</v>
      </c>
      <c r="F4929" t="s">
        <v>10301</v>
      </c>
      <c r="G4929">
        <v>0.25</v>
      </c>
      <c r="H4929" t="s">
        <v>10310</v>
      </c>
      <c r="L4929">
        <v>1913</v>
      </c>
      <c r="R4929" t="s">
        <v>11038</v>
      </c>
      <c r="S4929" t="s">
        <v>10310</v>
      </c>
      <c r="W4929" t="s">
        <v>11207</v>
      </c>
    </row>
    <row r="4930" spans="1:23" hidden="1" x14ac:dyDescent="0.45">
      <c r="A4930" s="1" t="s">
        <v>4859</v>
      </c>
      <c r="F4930" t="s">
        <v>10301</v>
      </c>
      <c r="G4930">
        <v>0.25</v>
      </c>
      <c r="H4930" t="s">
        <v>10310</v>
      </c>
      <c r="L4930">
        <v>1913</v>
      </c>
      <c r="R4930" t="s">
        <v>11038</v>
      </c>
      <c r="S4930" t="s">
        <v>10310</v>
      </c>
      <c r="W4930" t="s">
        <v>11207</v>
      </c>
    </row>
    <row r="4931" spans="1:23" hidden="1" x14ac:dyDescent="0.45">
      <c r="A4931" s="1" t="s">
        <v>4860</v>
      </c>
      <c r="F4931" t="s">
        <v>10301</v>
      </c>
      <c r="G4931">
        <v>1.8</v>
      </c>
      <c r="H4931" t="s">
        <v>10310</v>
      </c>
      <c r="I4931" t="s">
        <v>10325</v>
      </c>
      <c r="L4931">
        <v>1974</v>
      </c>
      <c r="N4931">
        <v>48.860480000000003</v>
      </c>
      <c r="P4931">
        <v>21.094360000000002</v>
      </c>
      <c r="R4931" t="s">
        <v>11038</v>
      </c>
      <c r="S4931" t="s">
        <v>10310</v>
      </c>
      <c r="W4931" t="s">
        <v>11207</v>
      </c>
    </row>
    <row r="4932" spans="1:23" hidden="1" x14ac:dyDescent="0.45">
      <c r="A4932" s="1" t="s">
        <v>4861</v>
      </c>
      <c r="F4932" t="s">
        <v>10301</v>
      </c>
      <c r="G4932">
        <v>30</v>
      </c>
      <c r="H4932" t="s">
        <v>10310</v>
      </c>
      <c r="I4932" t="s">
        <v>10324</v>
      </c>
      <c r="L4932">
        <v>1972</v>
      </c>
      <c r="N4932">
        <v>48.860480000000003</v>
      </c>
      <c r="P4932">
        <v>21.094360000000002</v>
      </c>
      <c r="R4932" t="s">
        <v>11038</v>
      </c>
      <c r="S4932" t="s">
        <v>10310</v>
      </c>
      <c r="W4932" t="s">
        <v>11207</v>
      </c>
    </row>
    <row r="4933" spans="1:23" hidden="1" x14ac:dyDescent="0.45">
      <c r="A4933" s="1" t="s">
        <v>4862</v>
      </c>
      <c r="F4933" t="s">
        <v>10301</v>
      </c>
      <c r="G4933">
        <v>30</v>
      </c>
      <c r="H4933" t="s">
        <v>10310</v>
      </c>
      <c r="I4933" t="s">
        <v>10324</v>
      </c>
      <c r="L4933">
        <v>1972</v>
      </c>
      <c r="N4933">
        <v>48.860480000000003</v>
      </c>
      <c r="P4933">
        <v>21.094360000000002</v>
      </c>
      <c r="R4933" t="s">
        <v>11038</v>
      </c>
      <c r="S4933" t="s">
        <v>10310</v>
      </c>
      <c r="W4933" t="s">
        <v>11207</v>
      </c>
    </row>
    <row r="4934" spans="1:23" hidden="1" x14ac:dyDescent="0.45">
      <c r="A4934" s="1" t="s">
        <v>4863</v>
      </c>
      <c r="F4934" t="s">
        <v>10301</v>
      </c>
      <c r="G4934">
        <v>12.8</v>
      </c>
      <c r="H4934" t="s">
        <v>10310</v>
      </c>
      <c r="I4934" t="s">
        <v>10325</v>
      </c>
      <c r="L4934">
        <v>1958</v>
      </c>
      <c r="N4934">
        <v>49.106559999999988</v>
      </c>
      <c r="P4934">
        <v>18.992039999999999</v>
      </c>
      <c r="R4934" t="s">
        <v>11038</v>
      </c>
      <c r="S4934" t="s">
        <v>10310</v>
      </c>
      <c r="W4934" t="s">
        <v>11207</v>
      </c>
    </row>
    <row r="4935" spans="1:23" hidden="1" x14ac:dyDescent="0.45">
      <c r="A4935" s="1" t="s">
        <v>4864</v>
      </c>
      <c r="F4935" t="s">
        <v>10301</v>
      </c>
      <c r="G4935">
        <v>12.8</v>
      </c>
      <c r="H4935" t="s">
        <v>10310</v>
      </c>
      <c r="I4935" t="s">
        <v>10325</v>
      </c>
      <c r="L4935">
        <v>1958</v>
      </c>
      <c r="N4935">
        <v>49.106559999999988</v>
      </c>
      <c r="P4935">
        <v>18.992039999999999</v>
      </c>
      <c r="R4935" t="s">
        <v>11038</v>
      </c>
      <c r="S4935" t="s">
        <v>10310</v>
      </c>
      <c r="W4935" t="s">
        <v>11207</v>
      </c>
    </row>
    <row r="4936" spans="1:23" hidden="1" x14ac:dyDescent="0.45">
      <c r="A4936" s="1" t="s">
        <v>4865</v>
      </c>
      <c r="F4936" t="s">
        <v>10301</v>
      </c>
      <c r="G4936">
        <v>12.8</v>
      </c>
      <c r="H4936" t="s">
        <v>10310</v>
      </c>
      <c r="I4936" t="s">
        <v>10325</v>
      </c>
      <c r="L4936">
        <v>1958</v>
      </c>
      <c r="N4936">
        <v>49.106559999999988</v>
      </c>
      <c r="P4936">
        <v>18.992039999999999</v>
      </c>
      <c r="R4936" t="s">
        <v>11038</v>
      </c>
      <c r="S4936" t="s">
        <v>10310</v>
      </c>
      <c r="W4936" t="s">
        <v>11207</v>
      </c>
    </row>
    <row r="4937" spans="1:23" hidden="1" x14ac:dyDescent="0.45">
      <c r="A4937" s="1" t="s">
        <v>4866</v>
      </c>
      <c r="F4937" t="s">
        <v>10301</v>
      </c>
      <c r="G4937">
        <v>0.09</v>
      </c>
      <c r="H4937" t="s">
        <v>10310</v>
      </c>
      <c r="L4937">
        <v>1924</v>
      </c>
      <c r="R4937" t="s">
        <v>11038</v>
      </c>
      <c r="S4937" t="s">
        <v>10310</v>
      </c>
      <c r="W4937" t="s">
        <v>11207</v>
      </c>
    </row>
    <row r="4938" spans="1:23" hidden="1" x14ac:dyDescent="0.45">
      <c r="A4938" s="1" t="s">
        <v>4867</v>
      </c>
      <c r="F4938" t="s">
        <v>10301</v>
      </c>
      <c r="G4938">
        <v>8.0500000000000007</v>
      </c>
      <c r="H4938" t="s">
        <v>10310</v>
      </c>
      <c r="I4938" t="s">
        <v>10325</v>
      </c>
      <c r="L4938">
        <v>1956</v>
      </c>
      <c r="N4938">
        <v>48.902079999999998</v>
      </c>
      <c r="P4938">
        <v>18.055789999999998</v>
      </c>
      <c r="R4938" t="s">
        <v>11038</v>
      </c>
      <c r="S4938" t="s">
        <v>10310</v>
      </c>
      <c r="W4938" t="s">
        <v>11207</v>
      </c>
    </row>
    <row r="4939" spans="1:23" hidden="1" x14ac:dyDescent="0.45">
      <c r="A4939" s="1" t="s">
        <v>4868</v>
      </c>
      <c r="F4939" t="s">
        <v>10301</v>
      </c>
      <c r="G4939">
        <v>8.0500000000000007</v>
      </c>
      <c r="H4939" t="s">
        <v>10310</v>
      </c>
      <c r="I4939" t="s">
        <v>10325</v>
      </c>
      <c r="L4939">
        <v>1956</v>
      </c>
      <c r="N4939">
        <v>48.902079999999998</v>
      </c>
      <c r="P4939">
        <v>18.055789999999998</v>
      </c>
      <c r="R4939" t="s">
        <v>11038</v>
      </c>
      <c r="S4939" t="s">
        <v>10310</v>
      </c>
      <c r="W4939" t="s">
        <v>11207</v>
      </c>
    </row>
    <row r="4940" spans="1:23" hidden="1" x14ac:dyDescent="0.45">
      <c r="A4940" s="1" t="s">
        <v>4869</v>
      </c>
      <c r="F4940" t="s">
        <v>10301</v>
      </c>
      <c r="G4940">
        <v>2.8</v>
      </c>
      <c r="H4940" t="s">
        <v>10310</v>
      </c>
      <c r="I4940" t="s">
        <v>10325</v>
      </c>
      <c r="L4940">
        <v>1979</v>
      </c>
      <c r="N4940">
        <v>49.336689999999997</v>
      </c>
      <c r="P4940">
        <v>19.548670000000001</v>
      </c>
      <c r="R4940" t="s">
        <v>11038</v>
      </c>
      <c r="S4940" t="s">
        <v>10310</v>
      </c>
      <c r="W4940" t="s">
        <v>11207</v>
      </c>
    </row>
    <row r="4941" spans="1:23" hidden="1" x14ac:dyDescent="0.45">
      <c r="A4941" s="1" t="s">
        <v>4870</v>
      </c>
      <c r="F4941" t="s">
        <v>10301</v>
      </c>
      <c r="G4941">
        <v>2.8</v>
      </c>
      <c r="H4941" t="s">
        <v>10310</v>
      </c>
      <c r="I4941" t="s">
        <v>10325</v>
      </c>
      <c r="L4941">
        <v>1979</v>
      </c>
      <c r="N4941">
        <v>49.336689999999997</v>
      </c>
      <c r="P4941">
        <v>19.548670000000001</v>
      </c>
      <c r="R4941" t="s">
        <v>11038</v>
      </c>
      <c r="S4941" t="s">
        <v>10310</v>
      </c>
      <c r="W4941" t="s">
        <v>11207</v>
      </c>
    </row>
    <row r="4942" spans="1:23" hidden="1" x14ac:dyDescent="0.45">
      <c r="A4942" s="1" t="s">
        <v>4871</v>
      </c>
      <c r="F4942" t="s">
        <v>10301</v>
      </c>
      <c r="G4942">
        <v>0.5</v>
      </c>
      <c r="H4942" t="s">
        <v>10310</v>
      </c>
      <c r="I4942" t="s">
        <v>10325</v>
      </c>
      <c r="L4942">
        <v>1979</v>
      </c>
      <c r="N4942">
        <v>49.336689999999997</v>
      </c>
      <c r="P4942">
        <v>19.548670000000001</v>
      </c>
      <c r="R4942" t="s">
        <v>11038</v>
      </c>
      <c r="S4942" t="s">
        <v>10310</v>
      </c>
      <c r="W4942" t="s">
        <v>11207</v>
      </c>
    </row>
    <row r="4943" spans="1:23" hidden="1" x14ac:dyDescent="0.45">
      <c r="A4943" s="1" t="s">
        <v>4872</v>
      </c>
      <c r="F4943" t="s">
        <v>10301</v>
      </c>
      <c r="G4943">
        <v>2.4</v>
      </c>
      <c r="H4943" t="s">
        <v>10310</v>
      </c>
      <c r="I4943" t="s">
        <v>10325</v>
      </c>
      <c r="L4943">
        <v>1988</v>
      </c>
      <c r="N4943">
        <v>48.268909999999998</v>
      </c>
      <c r="P4943">
        <v>18.528220000000001</v>
      </c>
      <c r="R4943" t="s">
        <v>11038</v>
      </c>
      <c r="S4943" t="s">
        <v>10310</v>
      </c>
      <c r="W4943" t="s">
        <v>11207</v>
      </c>
    </row>
    <row r="4944" spans="1:23" hidden="1" x14ac:dyDescent="0.45">
      <c r="A4944" s="1" t="s">
        <v>4873</v>
      </c>
      <c r="F4944" t="s">
        <v>10301</v>
      </c>
      <c r="G4944">
        <v>2.4</v>
      </c>
      <c r="H4944" t="s">
        <v>10310</v>
      </c>
      <c r="I4944" t="s">
        <v>10325</v>
      </c>
      <c r="L4944">
        <v>1988</v>
      </c>
      <c r="N4944">
        <v>48.268909999999998</v>
      </c>
      <c r="P4944">
        <v>18.528220000000001</v>
      </c>
      <c r="R4944" t="s">
        <v>11038</v>
      </c>
      <c r="S4944" t="s">
        <v>10310</v>
      </c>
      <c r="W4944" t="s">
        <v>11207</v>
      </c>
    </row>
    <row r="4945" spans="1:23" hidden="1" x14ac:dyDescent="0.45">
      <c r="A4945" s="1" t="s">
        <v>4874</v>
      </c>
      <c r="F4945" t="s">
        <v>10301</v>
      </c>
      <c r="G4945">
        <v>0.52</v>
      </c>
      <c r="H4945" t="s">
        <v>10310</v>
      </c>
      <c r="I4945" t="s">
        <v>10325</v>
      </c>
      <c r="L4945">
        <v>1988</v>
      </c>
      <c r="N4945">
        <v>48.268909999999998</v>
      </c>
      <c r="P4945">
        <v>18.528220000000001</v>
      </c>
      <c r="R4945" t="s">
        <v>11038</v>
      </c>
      <c r="S4945" t="s">
        <v>10310</v>
      </c>
      <c r="W4945" t="s">
        <v>11207</v>
      </c>
    </row>
    <row r="4946" spans="1:23" hidden="1" x14ac:dyDescent="0.45">
      <c r="A4946" s="1" t="s">
        <v>4875</v>
      </c>
      <c r="F4946" t="s">
        <v>10301</v>
      </c>
      <c r="G4946">
        <v>220</v>
      </c>
      <c r="H4946" t="s">
        <v>10314</v>
      </c>
      <c r="I4946" t="s">
        <v>10323</v>
      </c>
      <c r="L4946">
        <v>2001</v>
      </c>
      <c r="N4946">
        <v>48.554390000000012</v>
      </c>
      <c r="P4946">
        <v>21.974019999999999</v>
      </c>
      <c r="Q4946" t="s">
        <v>10907</v>
      </c>
      <c r="R4946" t="s">
        <v>11037</v>
      </c>
      <c r="S4946" t="s">
        <v>10314</v>
      </c>
      <c r="W4946" t="s">
        <v>11207</v>
      </c>
    </row>
    <row r="4947" spans="1:23" hidden="1" x14ac:dyDescent="0.45">
      <c r="A4947" s="1" t="s">
        <v>4876</v>
      </c>
      <c r="F4947" t="s">
        <v>10301</v>
      </c>
      <c r="G4947">
        <v>31.5</v>
      </c>
      <c r="H4947" t="s">
        <v>10310</v>
      </c>
      <c r="I4947" t="s">
        <v>10326</v>
      </c>
      <c r="L4947">
        <v>1998</v>
      </c>
      <c r="N4947">
        <v>49.215530000000001</v>
      </c>
      <c r="P4947">
        <v>18.77683</v>
      </c>
      <c r="R4947" t="s">
        <v>11038</v>
      </c>
      <c r="S4947" t="s">
        <v>10310</v>
      </c>
      <c r="W4947" t="s">
        <v>11208</v>
      </c>
    </row>
    <row r="4948" spans="1:23" hidden="1" x14ac:dyDescent="0.45">
      <c r="A4948" s="1" t="s">
        <v>4877</v>
      </c>
      <c r="B4948" t="s">
        <v>7003</v>
      </c>
      <c r="F4948" t="s">
        <v>10302</v>
      </c>
      <c r="G4948">
        <v>0.25</v>
      </c>
      <c r="H4948" t="s">
        <v>10310</v>
      </c>
      <c r="L4948">
        <v>2008</v>
      </c>
      <c r="R4948" t="s">
        <v>11038</v>
      </c>
      <c r="S4948" t="s">
        <v>10310</v>
      </c>
      <c r="W4948" s="2" t="s">
        <v>11209</v>
      </c>
    </row>
    <row r="4949" spans="1:23" hidden="1" x14ac:dyDescent="0.45">
      <c r="A4949" s="1" t="s">
        <v>4878</v>
      </c>
      <c r="B4949" t="s">
        <v>7004</v>
      </c>
      <c r="F4949" t="s">
        <v>10302</v>
      </c>
      <c r="G4949">
        <v>13.04</v>
      </c>
      <c r="H4949" t="s">
        <v>10310</v>
      </c>
      <c r="I4949" t="s">
        <v>10325</v>
      </c>
      <c r="L4949">
        <v>2009</v>
      </c>
      <c r="N4949">
        <v>45.990270000000002</v>
      </c>
      <c r="P4949">
        <v>15.381830000000001</v>
      </c>
      <c r="R4949" t="s">
        <v>11038</v>
      </c>
      <c r="S4949" t="s">
        <v>10310</v>
      </c>
      <c r="W4949" s="2" t="s">
        <v>11210</v>
      </c>
    </row>
    <row r="4950" spans="1:23" hidden="1" x14ac:dyDescent="0.45">
      <c r="A4950" s="1" t="s">
        <v>4879</v>
      </c>
      <c r="B4950" t="s">
        <v>7004</v>
      </c>
      <c r="F4950" t="s">
        <v>10302</v>
      </c>
      <c r="G4950">
        <v>13.04</v>
      </c>
      <c r="H4950" t="s">
        <v>10310</v>
      </c>
      <c r="I4950" t="s">
        <v>10325</v>
      </c>
      <c r="L4950">
        <v>2009</v>
      </c>
      <c r="N4950">
        <v>45.990270000000002</v>
      </c>
      <c r="P4950">
        <v>15.381830000000001</v>
      </c>
      <c r="R4950" t="s">
        <v>11038</v>
      </c>
      <c r="S4950" t="s">
        <v>10310</v>
      </c>
      <c r="W4950" s="2" t="s">
        <v>11210</v>
      </c>
    </row>
    <row r="4951" spans="1:23" hidden="1" x14ac:dyDescent="0.45">
      <c r="A4951" s="1" t="s">
        <v>4880</v>
      </c>
      <c r="B4951" t="s">
        <v>7004</v>
      </c>
      <c r="F4951" t="s">
        <v>10302</v>
      </c>
      <c r="G4951">
        <v>13.04</v>
      </c>
      <c r="H4951" t="s">
        <v>10310</v>
      </c>
      <c r="I4951" t="s">
        <v>10325</v>
      </c>
      <c r="L4951">
        <v>2009</v>
      </c>
      <c r="N4951">
        <v>45.990270000000002</v>
      </c>
      <c r="P4951">
        <v>15.381830000000001</v>
      </c>
      <c r="R4951" t="s">
        <v>11038</v>
      </c>
      <c r="S4951" t="s">
        <v>10310</v>
      </c>
      <c r="W4951" s="2" t="s">
        <v>11210</v>
      </c>
    </row>
    <row r="4952" spans="1:23" hidden="1" x14ac:dyDescent="0.45">
      <c r="A4952" s="1" t="s">
        <v>4881</v>
      </c>
      <c r="B4952" t="s">
        <v>7003</v>
      </c>
      <c r="F4952" t="s">
        <v>10302</v>
      </c>
      <c r="G4952">
        <v>185</v>
      </c>
      <c r="H4952" t="s">
        <v>10310</v>
      </c>
      <c r="I4952" t="s">
        <v>10324</v>
      </c>
      <c r="L4952">
        <v>2009</v>
      </c>
      <c r="N4952">
        <v>46.084119999999999</v>
      </c>
      <c r="P4952">
        <v>13.66757</v>
      </c>
      <c r="Q4952" t="s">
        <v>10908</v>
      </c>
      <c r="R4952" t="s">
        <v>11038</v>
      </c>
      <c r="S4952" t="s">
        <v>10310</v>
      </c>
      <c r="W4952" s="2" t="s">
        <v>11211</v>
      </c>
    </row>
    <row r="4953" spans="1:23" hidden="1" x14ac:dyDescent="0.45">
      <c r="A4953" s="1" t="s">
        <v>4882</v>
      </c>
      <c r="B4953" t="s">
        <v>7003</v>
      </c>
      <c r="F4953" t="s">
        <v>10302</v>
      </c>
      <c r="G4953">
        <v>0.5</v>
      </c>
      <c r="H4953" t="s">
        <v>10310</v>
      </c>
      <c r="L4953">
        <v>1991</v>
      </c>
      <c r="R4953" t="s">
        <v>11038</v>
      </c>
      <c r="S4953" t="s">
        <v>10310</v>
      </c>
      <c r="W4953" s="2" t="s">
        <v>11209</v>
      </c>
    </row>
    <row r="4954" spans="1:23" hidden="1" x14ac:dyDescent="0.45">
      <c r="A4954" s="1" t="s">
        <v>4883</v>
      </c>
      <c r="B4954" t="s">
        <v>7004</v>
      </c>
      <c r="F4954" t="s">
        <v>10302</v>
      </c>
      <c r="G4954">
        <v>10.84</v>
      </c>
      <c r="H4954" t="s">
        <v>10310</v>
      </c>
      <c r="I4954" t="s">
        <v>10325</v>
      </c>
      <c r="L4954">
        <v>2006</v>
      </c>
      <c r="N4954">
        <v>46.017040000000001</v>
      </c>
      <c r="P4954">
        <v>15.28121</v>
      </c>
      <c r="R4954" t="s">
        <v>11038</v>
      </c>
      <c r="S4954" t="s">
        <v>10310</v>
      </c>
      <c r="W4954" s="2" t="s">
        <v>11212</v>
      </c>
    </row>
    <row r="4955" spans="1:23" hidden="1" x14ac:dyDescent="0.45">
      <c r="A4955" s="1" t="s">
        <v>4884</v>
      </c>
      <c r="B4955" t="s">
        <v>7004</v>
      </c>
      <c r="F4955" t="s">
        <v>10302</v>
      </c>
      <c r="G4955">
        <v>10.84</v>
      </c>
      <c r="H4955" t="s">
        <v>10310</v>
      </c>
      <c r="I4955" t="s">
        <v>10325</v>
      </c>
      <c r="L4955">
        <v>2006</v>
      </c>
      <c r="N4955">
        <v>46.017040000000001</v>
      </c>
      <c r="P4955">
        <v>15.28121</v>
      </c>
      <c r="R4955" t="s">
        <v>11038</v>
      </c>
      <c r="S4955" t="s">
        <v>10310</v>
      </c>
      <c r="W4955" s="2" t="s">
        <v>11212</v>
      </c>
    </row>
    <row r="4956" spans="1:23" hidden="1" x14ac:dyDescent="0.45">
      <c r="A4956" s="1" t="s">
        <v>4885</v>
      </c>
      <c r="B4956" t="s">
        <v>7004</v>
      </c>
      <c r="F4956" t="s">
        <v>10302</v>
      </c>
      <c r="G4956">
        <v>10.84</v>
      </c>
      <c r="H4956" t="s">
        <v>10310</v>
      </c>
      <c r="I4956" t="s">
        <v>10325</v>
      </c>
      <c r="L4956">
        <v>2006</v>
      </c>
      <c r="N4956">
        <v>46.017040000000001</v>
      </c>
      <c r="P4956">
        <v>15.28121</v>
      </c>
      <c r="R4956" t="s">
        <v>11038</v>
      </c>
      <c r="S4956" t="s">
        <v>10310</v>
      </c>
      <c r="W4956" s="2" t="s">
        <v>11212</v>
      </c>
    </row>
    <row r="4957" spans="1:23" hidden="1" x14ac:dyDescent="0.45">
      <c r="A4957" s="1" t="s">
        <v>4886</v>
      </c>
      <c r="B4957" t="s">
        <v>7005</v>
      </c>
      <c r="C4957" t="s">
        <v>7492</v>
      </c>
      <c r="D4957" t="s">
        <v>8112</v>
      </c>
      <c r="E4957" t="s">
        <v>9876</v>
      </c>
      <c r="F4957" t="s">
        <v>10302</v>
      </c>
      <c r="G4957">
        <v>23</v>
      </c>
      <c r="H4957" t="s">
        <v>10307</v>
      </c>
      <c r="I4957" t="s">
        <v>10322</v>
      </c>
      <c r="L4957">
        <v>1975</v>
      </c>
      <c r="N4957">
        <v>45.997570000000003</v>
      </c>
      <c r="P4957">
        <v>15.478529999999999</v>
      </c>
      <c r="Q4957" t="s">
        <v>10909</v>
      </c>
      <c r="R4957" t="s">
        <v>11037</v>
      </c>
      <c r="S4957" t="s">
        <v>10307</v>
      </c>
      <c r="V4957" t="s">
        <v>11187</v>
      </c>
      <c r="W4957" s="2" t="s">
        <v>11213</v>
      </c>
    </row>
    <row r="4958" spans="1:23" hidden="1" x14ac:dyDescent="0.45">
      <c r="A4958" s="1" t="s">
        <v>4887</v>
      </c>
      <c r="B4958" t="s">
        <v>7005</v>
      </c>
      <c r="C4958" t="s">
        <v>7493</v>
      </c>
      <c r="D4958" t="s">
        <v>8112</v>
      </c>
      <c r="E4958" t="s">
        <v>9876</v>
      </c>
      <c r="F4958" t="s">
        <v>10302</v>
      </c>
      <c r="G4958">
        <v>23</v>
      </c>
      <c r="H4958" t="s">
        <v>10307</v>
      </c>
      <c r="I4958" t="s">
        <v>10322</v>
      </c>
      <c r="L4958">
        <v>1975</v>
      </c>
      <c r="N4958">
        <v>45.997570000000003</v>
      </c>
      <c r="P4958">
        <v>15.478529999999999</v>
      </c>
      <c r="Q4958" t="s">
        <v>10909</v>
      </c>
      <c r="R4958" t="s">
        <v>11037</v>
      </c>
      <c r="S4958" t="s">
        <v>10307</v>
      </c>
      <c r="V4958" t="s">
        <v>11187</v>
      </c>
      <c r="W4958" s="2" t="s">
        <v>11213</v>
      </c>
    </row>
    <row r="4959" spans="1:23" hidden="1" x14ac:dyDescent="0.45">
      <c r="A4959" s="1" t="s">
        <v>4888</v>
      </c>
      <c r="B4959" t="s">
        <v>7005</v>
      </c>
      <c r="C4959" t="s">
        <v>7494</v>
      </c>
      <c r="D4959" t="s">
        <v>8112</v>
      </c>
      <c r="E4959" t="s">
        <v>9876</v>
      </c>
      <c r="F4959" t="s">
        <v>10302</v>
      </c>
      <c r="G4959">
        <v>23</v>
      </c>
      <c r="H4959" t="s">
        <v>10307</v>
      </c>
      <c r="I4959" t="s">
        <v>10322</v>
      </c>
      <c r="L4959">
        <v>1975</v>
      </c>
      <c r="N4959">
        <v>45.997570000000003</v>
      </c>
      <c r="P4959">
        <v>15.478529999999999</v>
      </c>
      <c r="Q4959" t="s">
        <v>10909</v>
      </c>
      <c r="R4959" t="s">
        <v>11037</v>
      </c>
      <c r="S4959" t="s">
        <v>10307</v>
      </c>
      <c r="V4959" t="s">
        <v>11187</v>
      </c>
      <c r="W4959" s="2" t="s">
        <v>11213</v>
      </c>
    </row>
    <row r="4960" spans="1:23" hidden="1" x14ac:dyDescent="0.45">
      <c r="A4960" s="1" t="s">
        <v>4889</v>
      </c>
      <c r="B4960" t="s">
        <v>7005</v>
      </c>
      <c r="C4960" t="s">
        <v>7495</v>
      </c>
      <c r="D4960" t="s">
        <v>8112</v>
      </c>
      <c r="E4960" t="s">
        <v>9876</v>
      </c>
      <c r="F4960" t="s">
        <v>10302</v>
      </c>
      <c r="G4960">
        <v>114</v>
      </c>
      <c r="H4960" t="s">
        <v>10307</v>
      </c>
      <c r="I4960" t="s">
        <v>10322</v>
      </c>
      <c r="L4960">
        <v>2000</v>
      </c>
      <c r="N4960">
        <v>45.997570000000003</v>
      </c>
      <c r="P4960">
        <v>15.478529999999999</v>
      </c>
      <c r="Q4960" t="s">
        <v>10909</v>
      </c>
      <c r="R4960" t="s">
        <v>11037</v>
      </c>
      <c r="S4960" t="s">
        <v>10307</v>
      </c>
      <c r="W4960" s="2" t="s">
        <v>11213</v>
      </c>
    </row>
    <row r="4961" spans="1:23" hidden="1" x14ac:dyDescent="0.45">
      <c r="A4961" s="1" t="s">
        <v>4890</v>
      </c>
      <c r="B4961" t="s">
        <v>7005</v>
      </c>
      <c r="C4961" t="s">
        <v>7496</v>
      </c>
      <c r="D4961" t="s">
        <v>8112</v>
      </c>
      <c r="E4961" t="s">
        <v>9876</v>
      </c>
      <c r="F4961" t="s">
        <v>10302</v>
      </c>
      <c r="G4961">
        <v>114</v>
      </c>
      <c r="H4961" t="s">
        <v>10307</v>
      </c>
      <c r="I4961" t="s">
        <v>10322</v>
      </c>
      <c r="L4961">
        <v>2000</v>
      </c>
      <c r="N4961">
        <v>45.997570000000003</v>
      </c>
      <c r="P4961">
        <v>15.478529999999999</v>
      </c>
      <c r="Q4961" t="s">
        <v>10909</v>
      </c>
      <c r="R4961" t="s">
        <v>11037</v>
      </c>
      <c r="S4961" t="s">
        <v>10307</v>
      </c>
      <c r="W4961" s="2" t="s">
        <v>11213</v>
      </c>
    </row>
    <row r="4962" spans="1:23" hidden="1" x14ac:dyDescent="0.45">
      <c r="A4962" s="1" t="s">
        <v>4891</v>
      </c>
      <c r="B4962" t="s">
        <v>7005</v>
      </c>
      <c r="C4962" t="s">
        <v>7496</v>
      </c>
      <c r="D4962" t="s">
        <v>8112</v>
      </c>
      <c r="E4962" t="s">
        <v>9876</v>
      </c>
      <c r="F4962" t="s">
        <v>10302</v>
      </c>
      <c r="G4962">
        <v>53</v>
      </c>
      <c r="H4962" t="s">
        <v>10307</v>
      </c>
      <c r="I4962" t="s">
        <v>10322</v>
      </c>
      <c r="N4962">
        <v>45.997570000000003</v>
      </c>
      <c r="P4962">
        <v>15.478529999999999</v>
      </c>
      <c r="Q4962" t="s">
        <v>10909</v>
      </c>
      <c r="R4962" t="s">
        <v>11037</v>
      </c>
      <c r="S4962" t="s">
        <v>10307</v>
      </c>
      <c r="W4962" s="2" t="s">
        <v>11213</v>
      </c>
    </row>
    <row r="4963" spans="1:23" hidden="1" x14ac:dyDescent="0.45">
      <c r="A4963" s="1" t="s">
        <v>4892</v>
      </c>
      <c r="B4963" t="s">
        <v>7004</v>
      </c>
      <c r="F4963" t="s">
        <v>10302</v>
      </c>
      <c r="G4963">
        <v>15.8</v>
      </c>
      <c r="H4963" t="s">
        <v>10310</v>
      </c>
      <c r="I4963" t="s">
        <v>10325</v>
      </c>
      <c r="L4963">
        <v>2017</v>
      </c>
      <c r="N4963">
        <v>45.898879999999998</v>
      </c>
      <c r="P4963">
        <v>15.588200000000001</v>
      </c>
      <c r="R4963" t="s">
        <v>11038</v>
      </c>
      <c r="S4963" t="s">
        <v>10310</v>
      </c>
      <c r="W4963" s="2" t="s">
        <v>11214</v>
      </c>
    </row>
    <row r="4964" spans="1:23" hidden="1" x14ac:dyDescent="0.45">
      <c r="A4964" s="1" t="s">
        <v>4893</v>
      </c>
      <c r="B4964" t="s">
        <v>7004</v>
      </c>
      <c r="F4964" t="s">
        <v>10302</v>
      </c>
      <c r="G4964">
        <v>15.8</v>
      </c>
      <c r="H4964" t="s">
        <v>10310</v>
      </c>
      <c r="I4964" t="s">
        <v>10325</v>
      </c>
      <c r="L4964">
        <v>2017</v>
      </c>
      <c r="N4964">
        <v>45.898879999999998</v>
      </c>
      <c r="P4964">
        <v>15.588200000000001</v>
      </c>
      <c r="R4964" t="s">
        <v>11038</v>
      </c>
      <c r="S4964" t="s">
        <v>10310</v>
      </c>
      <c r="W4964" s="2" t="s">
        <v>11214</v>
      </c>
    </row>
    <row r="4965" spans="1:23" hidden="1" x14ac:dyDescent="0.45">
      <c r="A4965" s="1" t="s">
        <v>4894</v>
      </c>
      <c r="B4965" t="s">
        <v>7004</v>
      </c>
      <c r="F4965" t="s">
        <v>10302</v>
      </c>
      <c r="G4965">
        <v>15.8</v>
      </c>
      <c r="H4965" t="s">
        <v>10310</v>
      </c>
      <c r="I4965" t="s">
        <v>10325</v>
      </c>
      <c r="L4965">
        <v>2017</v>
      </c>
      <c r="N4965">
        <v>45.898879999999998</v>
      </c>
      <c r="P4965">
        <v>15.588200000000001</v>
      </c>
      <c r="R4965" t="s">
        <v>11038</v>
      </c>
      <c r="S4965" t="s">
        <v>10310</v>
      </c>
      <c r="W4965" s="2" t="s">
        <v>11214</v>
      </c>
    </row>
    <row r="4966" spans="1:23" hidden="1" x14ac:dyDescent="0.45">
      <c r="A4966" s="1" t="s">
        <v>4895</v>
      </c>
      <c r="B4966" t="s">
        <v>7003</v>
      </c>
      <c r="F4966" t="s">
        <v>10302</v>
      </c>
      <c r="G4966">
        <v>0.436</v>
      </c>
      <c r="H4966" t="s">
        <v>10310</v>
      </c>
      <c r="L4966">
        <v>1984</v>
      </c>
      <c r="R4966" t="s">
        <v>11038</v>
      </c>
      <c r="S4966" t="s">
        <v>10310</v>
      </c>
      <c r="W4966" s="2" t="s">
        <v>11209</v>
      </c>
    </row>
    <row r="4967" spans="1:23" hidden="1" x14ac:dyDescent="0.45">
      <c r="A4967" s="1" t="s">
        <v>4896</v>
      </c>
      <c r="B4967" t="s">
        <v>7006</v>
      </c>
      <c r="F4967" t="s">
        <v>10302</v>
      </c>
      <c r="G4967">
        <v>0.32500000000000001</v>
      </c>
      <c r="H4967" t="s">
        <v>10310</v>
      </c>
      <c r="I4967" t="s">
        <v>10325</v>
      </c>
      <c r="L4967">
        <v>1955</v>
      </c>
      <c r="R4967" t="s">
        <v>11038</v>
      </c>
      <c r="S4967" t="s">
        <v>10310</v>
      </c>
      <c r="W4967" s="2" t="s">
        <v>11215</v>
      </c>
    </row>
    <row r="4968" spans="1:23" hidden="1" x14ac:dyDescent="0.45">
      <c r="A4968" s="1" t="s">
        <v>4897</v>
      </c>
      <c r="B4968" t="s">
        <v>7006</v>
      </c>
      <c r="F4968" t="s">
        <v>10302</v>
      </c>
      <c r="G4968">
        <v>0.32500000000000001</v>
      </c>
      <c r="H4968" t="s">
        <v>10310</v>
      </c>
      <c r="I4968" t="s">
        <v>10325</v>
      </c>
      <c r="L4968">
        <v>1955</v>
      </c>
      <c r="R4968" t="s">
        <v>11038</v>
      </c>
      <c r="S4968" t="s">
        <v>10310</v>
      </c>
      <c r="W4968" s="2" t="s">
        <v>11215</v>
      </c>
    </row>
    <row r="4969" spans="1:23" hidden="1" x14ac:dyDescent="0.45">
      <c r="A4969" s="1" t="s">
        <v>4898</v>
      </c>
      <c r="B4969" t="s">
        <v>7003</v>
      </c>
      <c r="F4969" t="s">
        <v>10302</v>
      </c>
      <c r="G4969">
        <v>10</v>
      </c>
      <c r="H4969" t="s">
        <v>10310</v>
      </c>
      <c r="I4969" t="s">
        <v>10325</v>
      </c>
      <c r="L4969">
        <v>1939</v>
      </c>
      <c r="N4969">
        <v>46.113819999999997</v>
      </c>
      <c r="P4969">
        <v>13.68811</v>
      </c>
      <c r="R4969" t="s">
        <v>11038</v>
      </c>
      <c r="S4969" t="s">
        <v>10310</v>
      </c>
      <c r="W4969" s="2" t="s">
        <v>11216</v>
      </c>
    </row>
    <row r="4970" spans="1:23" hidden="1" x14ac:dyDescent="0.45">
      <c r="A4970" s="1" t="s">
        <v>4899</v>
      </c>
      <c r="B4970" t="s">
        <v>7003</v>
      </c>
      <c r="F4970" t="s">
        <v>10302</v>
      </c>
      <c r="G4970">
        <v>10</v>
      </c>
      <c r="H4970" t="s">
        <v>10310</v>
      </c>
      <c r="I4970" t="s">
        <v>10325</v>
      </c>
      <c r="L4970">
        <v>1939</v>
      </c>
      <c r="N4970">
        <v>46.113819999999997</v>
      </c>
      <c r="P4970">
        <v>13.68811</v>
      </c>
      <c r="R4970" t="s">
        <v>11038</v>
      </c>
      <c r="S4970" t="s">
        <v>10310</v>
      </c>
      <c r="W4970" s="2" t="s">
        <v>11216</v>
      </c>
    </row>
    <row r="4971" spans="1:23" hidden="1" x14ac:dyDescent="0.45">
      <c r="A4971" s="1" t="s">
        <v>4900</v>
      </c>
      <c r="B4971" t="s">
        <v>7003</v>
      </c>
      <c r="F4971" t="s">
        <v>10302</v>
      </c>
      <c r="G4971">
        <v>10</v>
      </c>
      <c r="H4971" t="s">
        <v>10310</v>
      </c>
      <c r="I4971" t="s">
        <v>10325</v>
      </c>
      <c r="L4971">
        <v>1939</v>
      </c>
      <c r="N4971">
        <v>46.113819999999997</v>
      </c>
      <c r="P4971">
        <v>13.68811</v>
      </c>
      <c r="R4971" t="s">
        <v>11038</v>
      </c>
      <c r="S4971" t="s">
        <v>10310</v>
      </c>
      <c r="W4971" s="2" t="s">
        <v>11216</v>
      </c>
    </row>
    <row r="4972" spans="1:23" hidden="1" x14ac:dyDescent="0.45">
      <c r="A4972" s="1" t="s">
        <v>4901</v>
      </c>
      <c r="B4972" t="s">
        <v>7003</v>
      </c>
      <c r="F4972" t="s">
        <v>10302</v>
      </c>
      <c r="G4972">
        <v>40</v>
      </c>
      <c r="H4972" t="s">
        <v>10310</v>
      </c>
      <c r="I4972" t="s">
        <v>10325</v>
      </c>
      <c r="L4972">
        <v>2002</v>
      </c>
      <c r="N4972">
        <v>46.113819999999997</v>
      </c>
      <c r="P4972">
        <v>13.68811</v>
      </c>
      <c r="R4972" t="s">
        <v>11038</v>
      </c>
      <c r="S4972" t="s">
        <v>10310</v>
      </c>
      <c r="W4972" s="2" t="s">
        <v>11216</v>
      </c>
    </row>
    <row r="4973" spans="1:23" hidden="1" x14ac:dyDescent="0.45">
      <c r="A4973" s="1" t="s">
        <v>4902</v>
      </c>
      <c r="B4973" t="s">
        <v>7006</v>
      </c>
      <c r="F4973" t="s">
        <v>10302</v>
      </c>
      <c r="G4973">
        <v>8.73</v>
      </c>
      <c r="H4973" t="s">
        <v>10310</v>
      </c>
      <c r="I4973" t="s">
        <v>10325</v>
      </c>
      <c r="L4973">
        <v>1944</v>
      </c>
      <c r="N4973">
        <v>46.58558</v>
      </c>
      <c r="P4973">
        <v>15.01881</v>
      </c>
      <c r="R4973" t="s">
        <v>11038</v>
      </c>
      <c r="S4973" t="s">
        <v>10310</v>
      </c>
      <c r="W4973" s="2" t="s">
        <v>11215</v>
      </c>
    </row>
    <row r="4974" spans="1:23" hidden="1" x14ac:dyDescent="0.45">
      <c r="A4974" s="1" t="s">
        <v>4903</v>
      </c>
      <c r="B4974" t="s">
        <v>7006</v>
      </c>
      <c r="F4974" t="s">
        <v>10302</v>
      </c>
      <c r="G4974">
        <v>8.73</v>
      </c>
      <c r="H4974" t="s">
        <v>10310</v>
      </c>
      <c r="I4974" t="s">
        <v>10325</v>
      </c>
      <c r="L4974">
        <v>1944</v>
      </c>
      <c r="N4974">
        <v>46.58558</v>
      </c>
      <c r="P4974">
        <v>15.01881</v>
      </c>
      <c r="R4974" t="s">
        <v>11038</v>
      </c>
      <c r="S4974" t="s">
        <v>10310</v>
      </c>
      <c r="W4974" s="2" t="s">
        <v>11215</v>
      </c>
    </row>
    <row r="4975" spans="1:23" hidden="1" x14ac:dyDescent="0.45">
      <c r="A4975" s="1" t="s">
        <v>4904</v>
      </c>
      <c r="B4975" t="s">
        <v>7006</v>
      </c>
      <c r="F4975" t="s">
        <v>10302</v>
      </c>
      <c r="G4975">
        <v>8.73</v>
      </c>
      <c r="H4975" t="s">
        <v>10310</v>
      </c>
      <c r="I4975" t="s">
        <v>10325</v>
      </c>
      <c r="L4975">
        <v>1955</v>
      </c>
      <c r="N4975">
        <v>46.58558</v>
      </c>
      <c r="P4975">
        <v>15.01881</v>
      </c>
      <c r="R4975" t="s">
        <v>11038</v>
      </c>
      <c r="S4975" t="s">
        <v>10310</v>
      </c>
      <c r="W4975" s="2" t="s">
        <v>11215</v>
      </c>
    </row>
    <row r="4976" spans="1:23" hidden="1" x14ac:dyDescent="0.45">
      <c r="A4976" s="1" t="s">
        <v>4905</v>
      </c>
      <c r="B4976" t="s">
        <v>7006</v>
      </c>
      <c r="F4976" t="s">
        <v>10302</v>
      </c>
      <c r="G4976">
        <v>19.3</v>
      </c>
      <c r="H4976" t="s">
        <v>10310</v>
      </c>
      <c r="I4976" t="s">
        <v>10325</v>
      </c>
      <c r="L4976">
        <v>1918</v>
      </c>
      <c r="N4976">
        <v>46.55874</v>
      </c>
      <c r="P4976">
        <v>15.44511</v>
      </c>
      <c r="R4976" t="s">
        <v>11038</v>
      </c>
      <c r="S4976" t="s">
        <v>10310</v>
      </c>
      <c r="W4976" s="2" t="s">
        <v>11215</v>
      </c>
    </row>
    <row r="4977" spans="1:23" hidden="1" x14ac:dyDescent="0.45">
      <c r="A4977" s="1" t="s">
        <v>4906</v>
      </c>
      <c r="B4977" t="s">
        <v>7006</v>
      </c>
      <c r="F4977" t="s">
        <v>10302</v>
      </c>
      <c r="G4977">
        <v>19.3</v>
      </c>
      <c r="H4977" t="s">
        <v>10310</v>
      </c>
      <c r="I4977" t="s">
        <v>10325</v>
      </c>
      <c r="L4977">
        <v>1918</v>
      </c>
      <c r="N4977">
        <v>46.55874</v>
      </c>
      <c r="P4977">
        <v>15.44511</v>
      </c>
      <c r="R4977" t="s">
        <v>11038</v>
      </c>
      <c r="S4977" t="s">
        <v>10310</v>
      </c>
      <c r="W4977" s="2" t="s">
        <v>11215</v>
      </c>
    </row>
    <row r="4978" spans="1:23" hidden="1" x14ac:dyDescent="0.45">
      <c r="A4978" s="1" t="s">
        <v>4907</v>
      </c>
      <c r="B4978" t="s">
        <v>7006</v>
      </c>
      <c r="F4978" t="s">
        <v>10302</v>
      </c>
      <c r="G4978">
        <v>19.3</v>
      </c>
      <c r="H4978" t="s">
        <v>10310</v>
      </c>
      <c r="I4978" t="s">
        <v>10325</v>
      </c>
      <c r="L4978">
        <v>1918</v>
      </c>
      <c r="N4978">
        <v>46.55874</v>
      </c>
      <c r="P4978">
        <v>15.44511</v>
      </c>
      <c r="R4978" t="s">
        <v>11038</v>
      </c>
      <c r="S4978" t="s">
        <v>10310</v>
      </c>
      <c r="W4978" s="2" t="s">
        <v>11215</v>
      </c>
    </row>
    <row r="4979" spans="1:23" hidden="1" x14ac:dyDescent="0.45">
      <c r="A4979" s="1" t="s">
        <v>4908</v>
      </c>
      <c r="B4979" t="s">
        <v>7006</v>
      </c>
      <c r="F4979" t="s">
        <v>10302</v>
      </c>
      <c r="G4979">
        <v>58</v>
      </c>
      <c r="H4979" t="s">
        <v>10310</v>
      </c>
      <c r="I4979" t="s">
        <v>10325</v>
      </c>
      <c r="L4979">
        <v>1978</v>
      </c>
      <c r="N4979">
        <v>46.402509999999999</v>
      </c>
      <c r="P4979">
        <v>16.033740000000002</v>
      </c>
      <c r="Q4979" t="s">
        <v>10910</v>
      </c>
      <c r="R4979" t="s">
        <v>11038</v>
      </c>
      <c r="S4979" t="s">
        <v>10310</v>
      </c>
      <c r="W4979" s="2" t="s">
        <v>11215</v>
      </c>
    </row>
    <row r="4980" spans="1:23" hidden="1" x14ac:dyDescent="0.45">
      <c r="A4980" s="1" t="s">
        <v>4909</v>
      </c>
      <c r="B4980" t="s">
        <v>7006</v>
      </c>
      <c r="F4980" t="s">
        <v>10302</v>
      </c>
      <c r="G4980">
        <v>58</v>
      </c>
      <c r="H4980" t="s">
        <v>10310</v>
      </c>
      <c r="I4980" t="s">
        <v>10325</v>
      </c>
      <c r="L4980">
        <v>1978</v>
      </c>
      <c r="N4980">
        <v>46.402509999999999</v>
      </c>
      <c r="P4980">
        <v>16.033740000000002</v>
      </c>
      <c r="Q4980" t="s">
        <v>10910</v>
      </c>
      <c r="R4980" t="s">
        <v>11038</v>
      </c>
      <c r="S4980" t="s">
        <v>10310</v>
      </c>
      <c r="W4980" s="2" t="s">
        <v>11215</v>
      </c>
    </row>
    <row r="4981" spans="1:23" hidden="1" x14ac:dyDescent="0.45">
      <c r="A4981" s="1" t="s">
        <v>4910</v>
      </c>
      <c r="B4981" t="s">
        <v>7003</v>
      </c>
      <c r="F4981" t="s">
        <v>10302</v>
      </c>
      <c r="G4981">
        <v>0.15</v>
      </c>
      <c r="H4981" t="s">
        <v>10310</v>
      </c>
      <c r="L4981">
        <v>1922</v>
      </c>
      <c r="R4981" t="s">
        <v>11038</v>
      </c>
      <c r="S4981" t="s">
        <v>10310</v>
      </c>
      <c r="W4981" s="2" t="s">
        <v>11209</v>
      </c>
    </row>
    <row r="4982" spans="1:23" hidden="1" x14ac:dyDescent="0.45">
      <c r="A4982" s="1" t="s">
        <v>4911</v>
      </c>
      <c r="B4982" t="s">
        <v>7003</v>
      </c>
      <c r="F4982" t="s">
        <v>10302</v>
      </c>
      <c r="G4982">
        <v>2.1</v>
      </c>
      <c r="H4982" t="s">
        <v>10310</v>
      </c>
      <c r="L4982">
        <v>1931</v>
      </c>
      <c r="N4982">
        <v>45.894309999999997</v>
      </c>
      <c r="P4982">
        <v>13.905559999999999</v>
      </c>
      <c r="R4982" t="s">
        <v>11038</v>
      </c>
      <c r="S4982" t="s">
        <v>10310</v>
      </c>
      <c r="W4982" s="2" t="s">
        <v>11209</v>
      </c>
    </row>
    <row r="4983" spans="1:23" hidden="1" x14ac:dyDescent="0.45">
      <c r="A4983" s="1" t="s">
        <v>4912</v>
      </c>
      <c r="B4983" t="s">
        <v>7003</v>
      </c>
      <c r="F4983" t="s">
        <v>10302</v>
      </c>
      <c r="G4983">
        <v>7.0000000000000007E-2</v>
      </c>
      <c r="H4983" t="s">
        <v>10310</v>
      </c>
      <c r="L4983">
        <v>1987</v>
      </c>
      <c r="R4983" t="s">
        <v>11038</v>
      </c>
      <c r="S4983" t="s">
        <v>10310</v>
      </c>
      <c r="W4983" s="2" t="s">
        <v>11209</v>
      </c>
    </row>
    <row r="4984" spans="1:23" hidden="1" x14ac:dyDescent="0.45">
      <c r="A4984" s="1" t="s">
        <v>4913</v>
      </c>
      <c r="B4984" t="s">
        <v>7003</v>
      </c>
      <c r="F4984" t="s">
        <v>10302</v>
      </c>
      <c r="G4984">
        <v>0.30299999999999999</v>
      </c>
      <c r="H4984" t="s">
        <v>10310</v>
      </c>
      <c r="L4984">
        <v>2006</v>
      </c>
      <c r="R4984" t="s">
        <v>11038</v>
      </c>
      <c r="S4984" t="s">
        <v>10310</v>
      </c>
      <c r="W4984" s="2" t="s">
        <v>11209</v>
      </c>
    </row>
    <row r="4985" spans="1:23" hidden="1" x14ac:dyDescent="0.45">
      <c r="A4985" s="1" t="s">
        <v>4914</v>
      </c>
      <c r="B4985" t="s">
        <v>7003</v>
      </c>
      <c r="F4985" t="s">
        <v>10302</v>
      </c>
      <c r="G4985">
        <v>0.1</v>
      </c>
      <c r="H4985" t="s">
        <v>10310</v>
      </c>
      <c r="L4985">
        <v>1979</v>
      </c>
      <c r="R4985" t="s">
        <v>11038</v>
      </c>
      <c r="S4985" t="s">
        <v>10310</v>
      </c>
      <c r="W4985" s="2" t="s">
        <v>11209</v>
      </c>
    </row>
    <row r="4986" spans="1:23" hidden="1" x14ac:dyDescent="0.45">
      <c r="A4986" s="1" t="s">
        <v>4915</v>
      </c>
      <c r="B4986" t="s">
        <v>7003</v>
      </c>
      <c r="F4986" t="s">
        <v>10302</v>
      </c>
      <c r="G4986">
        <v>0.81</v>
      </c>
      <c r="H4986" t="s">
        <v>10310</v>
      </c>
      <c r="L4986">
        <v>1993</v>
      </c>
      <c r="R4986" t="s">
        <v>11038</v>
      </c>
      <c r="S4986" t="s">
        <v>10310</v>
      </c>
      <c r="W4986" s="2" t="s">
        <v>11209</v>
      </c>
    </row>
    <row r="4987" spans="1:23" hidden="1" x14ac:dyDescent="0.45">
      <c r="A4987" s="1" t="s">
        <v>4916</v>
      </c>
      <c r="B4987" t="s">
        <v>7007</v>
      </c>
      <c r="C4987" t="s">
        <v>7497</v>
      </c>
      <c r="D4987" t="s">
        <v>8113</v>
      </c>
      <c r="E4987" t="s">
        <v>4916</v>
      </c>
      <c r="F4987" t="s">
        <v>10302</v>
      </c>
      <c r="G4987">
        <v>696</v>
      </c>
      <c r="H4987" t="s">
        <v>10311</v>
      </c>
      <c r="I4987" t="s">
        <v>10323</v>
      </c>
      <c r="N4987">
        <v>45.938330000000001</v>
      </c>
      <c r="P4987">
        <v>15.51554</v>
      </c>
      <c r="Q4987" t="s">
        <v>10911</v>
      </c>
      <c r="R4987" t="s">
        <v>10311</v>
      </c>
      <c r="W4987" s="2" t="s">
        <v>11217</v>
      </c>
    </row>
    <row r="4988" spans="1:23" hidden="1" x14ac:dyDescent="0.45">
      <c r="A4988" s="1" t="s">
        <v>4917</v>
      </c>
      <c r="B4988" t="s">
        <v>7004</v>
      </c>
      <c r="F4988" t="s">
        <v>10302</v>
      </c>
      <c r="G4988">
        <v>13.04</v>
      </c>
      <c r="H4988" t="s">
        <v>10310</v>
      </c>
      <c r="I4988" t="s">
        <v>10325</v>
      </c>
      <c r="L4988">
        <v>2013</v>
      </c>
      <c r="N4988">
        <v>45.974609999999998</v>
      </c>
      <c r="P4988">
        <v>15.48091</v>
      </c>
      <c r="R4988" t="s">
        <v>11038</v>
      </c>
      <c r="S4988" t="s">
        <v>10310</v>
      </c>
      <c r="W4988" s="2" t="s">
        <v>11218</v>
      </c>
    </row>
    <row r="4989" spans="1:23" hidden="1" x14ac:dyDescent="0.45">
      <c r="A4989" s="1" t="s">
        <v>4918</v>
      </c>
      <c r="B4989" t="s">
        <v>7004</v>
      </c>
      <c r="F4989" t="s">
        <v>10302</v>
      </c>
      <c r="G4989">
        <v>13.04</v>
      </c>
      <c r="H4989" t="s">
        <v>10310</v>
      </c>
      <c r="I4989" t="s">
        <v>10325</v>
      </c>
      <c r="L4989">
        <v>2013</v>
      </c>
      <c r="N4989">
        <v>45.974609999999998</v>
      </c>
      <c r="P4989">
        <v>15.48091</v>
      </c>
      <c r="R4989" t="s">
        <v>11038</v>
      </c>
      <c r="S4989" t="s">
        <v>10310</v>
      </c>
      <c r="W4989" s="2" t="s">
        <v>11218</v>
      </c>
    </row>
    <row r="4990" spans="1:23" hidden="1" x14ac:dyDescent="0.45">
      <c r="A4990" s="1" t="s">
        <v>4919</v>
      </c>
      <c r="B4990" t="s">
        <v>7004</v>
      </c>
      <c r="F4990" t="s">
        <v>10302</v>
      </c>
      <c r="G4990">
        <v>13.04</v>
      </c>
      <c r="H4990" t="s">
        <v>10310</v>
      </c>
      <c r="I4990" t="s">
        <v>10325</v>
      </c>
      <c r="L4990">
        <v>2013</v>
      </c>
      <c r="N4990">
        <v>45.974609999999998</v>
      </c>
      <c r="P4990">
        <v>15.48091</v>
      </c>
      <c r="R4990" t="s">
        <v>11038</v>
      </c>
      <c r="S4990" t="s">
        <v>10310</v>
      </c>
      <c r="W4990" s="2" t="s">
        <v>11218</v>
      </c>
    </row>
    <row r="4991" spans="1:23" hidden="1" x14ac:dyDescent="0.45">
      <c r="A4991" s="1" t="s">
        <v>4920</v>
      </c>
      <c r="B4991" t="s">
        <v>7008</v>
      </c>
      <c r="C4991" t="s">
        <v>7498</v>
      </c>
      <c r="D4991" t="s">
        <v>8114</v>
      </c>
      <c r="E4991" t="s">
        <v>9877</v>
      </c>
      <c r="F4991" t="s">
        <v>10302</v>
      </c>
      <c r="G4991">
        <v>42</v>
      </c>
      <c r="H4991" t="s">
        <v>10316</v>
      </c>
      <c r="I4991" t="s">
        <v>10323</v>
      </c>
      <c r="K4991" t="s">
        <v>10332</v>
      </c>
      <c r="L4991">
        <v>1966</v>
      </c>
      <c r="M4991" t="s">
        <v>10336</v>
      </c>
      <c r="N4991">
        <v>46.058109999999999</v>
      </c>
      <c r="P4991">
        <v>14.543810000000001</v>
      </c>
      <c r="Q4991" t="s">
        <v>10912</v>
      </c>
      <c r="R4991" t="s">
        <v>11037</v>
      </c>
      <c r="S4991" t="s">
        <v>10316</v>
      </c>
      <c r="W4991" s="2" t="s">
        <v>11219</v>
      </c>
    </row>
    <row r="4992" spans="1:23" hidden="1" x14ac:dyDescent="0.45">
      <c r="A4992" s="1" t="s">
        <v>4921</v>
      </c>
      <c r="B4992" t="s">
        <v>7008</v>
      </c>
      <c r="C4992" t="s">
        <v>7498</v>
      </c>
      <c r="D4992" t="s">
        <v>8114</v>
      </c>
      <c r="E4992" t="s">
        <v>9877</v>
      </c>
      <c r="F4992" t="s">
        <v>10302</v>
      </c>
      <c r="G4992">
        <v>42</v>
      </c>
      <c r="H4992" t="s">
        <v>10316</v>
      </c>
      <c r="I4992" t="s">
        <v>10323</v>
      </c>
      <c r="K4992" t="s">
        <v>10332</v>
      </c>
      <c r="L4992">
        <v>1967</v>
      </c>
      <c r="M4992" t="s">
        <v>10336</v>
      </c>
      <c r="N4992">
        <v>46.058109999999999</v>
      </c>
      <c r="P4992">
        <v>14.543810000000001</v>
      </c>
      <c r="Q4992" t="s">
        <v>10912</v>
      </c>
      <c r="R4992" t="s">
        <v>11037</v>
      </c>
      <c r="S4992" t="s">
        <v>10316</v>
      </c>
      <c r="W4992" s="2" t="s">
        <v>11219</v>
      </c>
    </row>
    <row r="4993" spans="1:23" hidden="1" x14ac:dyDescent="0.45">
      <c r="A4993" s="1" t="s">
        <v>4922</v>
      </c>
      <c r="B4993" t="s">
        <v>7008</v>
      </c>
      <c r="C4993" t="s">
        <v>7498</v>
      </c>
      <c r="D4993" t="s">
        <v>8114</v>
      </c>
      <c r="E4993" t="s">
        <v>9877</v>
      </c>
      <c r="F4993" t="s">
        <v>10302</v>
      </c>
      <c r="G4993">
        <v>50</v>
      </c>
      <c r="H4993" t="s">
        <v>10316</v>
      </c>
      <c r="I4993" t="s">
        <v>10323</v>
      </c>
      <c r="K4993" t="s">
        <v>10332</v>
      </c>
      <c r="L4993">
        <v>1985</v>
      </c>
      <c r="M4993" t="s">
        <v>10336</v>
      </c>
      <c r="N4993">
        <v>46.058109999999999</v>
      </c>
      <c r="P4993">
        <v>14.543810000000001</v>
      </c>
      <c r="Q4993" t="s">
        <v>10912</v>
      </c>
      <c r="R4993" t="s">
        <v>11037</v>
      </c>
      <c r="S4993" t="s">
        <v>10316</v>
      </c>
      <c r="V4993" t="s">
        <v>11188</v>
      </c>
      <c r="W4993" s="2" t="s">
        <v>11219</v>
      </c>
    </row>
    <row r="4994" spans="1:23" hidden="1" x14ac:dyDescent="0.45">
      <c r="A4994" s="1" t="s">
        <v>4923</v>
      </c>
      <c r="B4994" t="s">
        <v>7003</v>
      </c>
      <c r="F4994" t="s">
        <v>10302</v>
      </c>
      <c r="G4994">
        <v>1.6</v>
      </c>
      <c r="H4994" t="s">
        <v>10310</v>
      </c>
      <c r="L4994">
        <v>1931</v>
      </c>
      <c r="N4994">
        <v>46.410809999999998</v>
      </c>
      <c r="P4994">
        <v>13.613390000000001</v>
      </c>
      <c r="R4994" t="s">
        <v>11038</v>
      </c>
      <c r="S4994" t="s">
        <v>10310</v>
      </c>
      <c r="W4994" s="2" t="s">
        <v>11209</v>
      </c>
    </row>
    <row r="4995" spans="1:23" hidden="1" x14ac:dyDescent="0.45">
      <c r="A4995" s="1" t="s">
        <v>4924</v>
      </c>
      <c r="B4995" t="s">
        <v>7006</v>
      </c>
      <c r="F4995" t="s">
        <v>10302</v>
      </c>
      <c r="G4995">
        <v>20</v>
      </c>
      <c r="H4995" t="s">
        <v>10310</v>
      </c>
      <c r="I4995" t="s">
        <v>10325</v>
      </c>
      <c r="L4995">
        <v>1948</v>
      </c>
      <c r="N4995">
        <v>46.568040000000003</v>
      </c>
      <c r="P4995">
        <v>15.604150000000001</v>
      </c>
      <c r="R4995" t="s">
        <v>11038</v>
      </c>
      <c r="S4995" t="s">
        <v>10310</v>
      </c>
      <c r="W4995" s="2" t="s">
        <v>11215</v>
      </c>
    </row>
    <row r="4996" spans="1:23" hidden="1" x14ac:dyDescent="0.45">
      <c r="A4996" s="1" t="s">
        <v>4925</v>
      </c>
      <c r="B4996" t="s">
        <v>7006</v>
      </c>
      <c r="F4996" t="s">
        <v>10302</v>
      </c>
      <c r="G4996">
        <v>20</v>
      </c>
      <c r="H4996" t="s">
        <v>10310</v>
      </c>
      <c r="I4996" t="s">
        <v>10325</v>
      </c>
      <c r="L4996">
        <v>1953</v>
      </c>
      <c r="N4996">
        <v>46.568040000000003</v>
      </c>
      <c r="P4996">
        <v>15.604150000000001</v>
      </c>
      <c r="R4996" t="s">
        <v>11038</v>
      </c>
      <c r="S4996" t="s">
        <v>10310</v>
      </c>
      <c r="W4996" s="2" t="s">
        <v>11215</v>
      </c>
    </row>
    <row r="4997" spans="1:23" hidden="1" x14ac:dyDescent="0.45">
      <c r="A4997" s="1" t="s">
        <v>4926</v>
      </c>
      <c r="B4997" t="s">
        <v>7006</v>
      </c>
      <c r="F4997" t="s">
        <v>10302</v>
      </c>
      <c r="G4997">
        <v>20</v>
      </c>
      <c r="H4997" t="s">
        <v>10310</v>
      </c>
      <c r="I4997" t="s">
        <v>10325</v>
      </c>
      <c r="L4997">
        <v>1960</v>
      </c>
      <c r="N4997">
        <v>46.568040000000003</v>
      </c>
      <c r="P4997">
        <v>15.604150000000001</v>
      </c>
      <c r="R4997" t="s">
        <v>11038</v>
      </c>
      <c r="S4997" t="s">
        <v>10310</v>
      </c>
      <c r="W4997" s="2" t="s">
        <v>11215</v>
      </c>
    </row>
    <row r="4998" spans="1:23" hidden="1" x14ac:dyDescent="0.45">
      <c r="A4998" s="1" t="s">
        <v>4927</v>
      </c>
      <c r="B4998" t="s">
        <v>7006</v>
      </c>
      <c r="F4998" t="s">
        <v>10302</v>
      </c>
      <c r="G4998">
        <v>0.38750000000000001</v>
      </c>
      <c r="H4998" t="s">
        <v>10310</v>
      </c>
      <c r="I4998" t="s">
        <v>10325</v>
      </c>
      <c r="L4998">
        <v>2012</v>
      </c>
      <c r="N4998">
        <v>46.388170000000002</v>
      </c>
      <c r="P4998">
        <v>15.92648</v>
      </c>
      <c r="R4998" t="s">
        <v>11038</v>
      </c>
      <c r="S4998" t="s">
        <v>10310</v>
      </c>
      <c r="W4998" s="2" t="s">
        <v>11215</v>
      </c>
    </row>
    <row r="4999" spans="1:23" hidden="1" x14ac:dyDescent="0.45">
      <c r="A4999" s="1" t="s">
        <v>4928</v>
      </c>
      <c r="B4999" t="s">
        <v>7006</v>
      </c>
      <c r="F4999" t="s">
        <v>10302</v>
      </c>
      <c r="G4999">
        <v>0.38750000000000001</v>
      </c>
      <c r="H4999" t="s">
        <v>10310</v>
      </c>
      <c r="I4999" t="s">
        <v>10325</v>
      </c>
      <c r="L4999">
        <v>2012</v>
      </c>
      <c r="N4999">
        <v>46.388170000000002</v>
      </c>
      <c r="P4999">
        <v>15.92648</v>
      </c>
      <c r="R4999" t="s">
        <v>11038</v>
      </c>
      <c r="S4999" t="s">
        <v>10310</v>
      </c>
      <c r="W4999" s="2" t="s">
        <v>11215</v>
      </c>
    </row>
    <row r="5000" spans="1:23" hidden="1" x14ac:dyDescent="0.45">
      <c r="A5000" s="1" t="s">
        <v>4929</v>
      </c>
      <c r="B5000" t="s">
        <v>7003</v>
      </c>
      <c r="F5000" t="s">
        <v>10302</v>
      </c>
      <c r="G5000">
        <v>0.44</v>
      </c>
      <c r="H5000" t="s">
        <v>10310</v>
      </c>
      <c r="L5000">
        <v>1932</v>
      </c>
      <c r="R5000" t="s">
        <v>11038</v>
      </c>
      <c r="S5000" t="s">
        <v>10310</v>
      </c>
      <c r="W5000" s="2" t="s">
        <v>11209</v>
      </c>
    </row>
    <row r="5001" spans="1:23" hidden="1" x14ac:dyDescent="0.45">
      <c r="A5001" s="1" t="s">
        <v>4930</v>
      </c>
      <c r="B5001" t="s">
        <v>7009</v>
      </c>
      <c r="F5001" t="s">
        <v>10302</v>
      </c>
      <c r="G5001">
        <v>38</v>
      </c>
      <c r="H5001" t="s">
        <v>10310</v>
      </c>
      <c r="I5001" t="s">
        <v>10326</v>
      </c>
      <c r="L5001">
        <v>1986</v>
      </c>
      <c r="N5001">
        <v>46.183869999999999</v>
      </c>
      <c r="P5001">
        <v>14.408049999999999</v>
      </c>
      <c r="R5001" t="s">
        <v>11038</v>
      </c>
      <c r="S5001" t="s">
        <v>10310</v>
      </c>
      <c r="W5001" s="2" t="s">
        <v>11220</v>
      </c>
    </row>
    <row r="5002" spans="1:23" hidden="1" x14ac:dyDescent="0.45">
      <c r="A5002" s="1" t="s">
        <v>4931</v>
      </c>
      <c r="B5002" t="s">
        <v>7009</v>
      </c>
      <c r="F5002" t="s">
        <v>10302</v>
      </c>
      <c r="G5002">
        <v>25</v>
      </c>
      <c r="H5002" t="s">
        <v>10310</v>
      </c>
      <c r="I5002" t="s">
        <v>10326</v>
      </c>
      <c r="L5002">
        <v>1953</v>
      </c>
      <c r="N5002">
        <v>46.145780000000002</v>
      </c>
      <c r="P5002">
        <v>14.41438</v>
      </c>
      <c r="R5002" t="s">
        <v>11038</v>
      </c>
      <c r="S5002" t="s">
        <v>10310</v>
      </c>
      <c r="W5002" s="2" t="s">
        <v>11221</v>
      </c>
    </row>
    <row r="5003" spans="1:23" hidden="1" x14ac:dyDescent="0.45">
      <c r="A5003" s="1" t="s">
        <v>4932</v>
      </c>
      <c r="B5003" t="s">
        <v>7006</v>
      </c>
      <c r="F5003" t="s">
        <v>10302</v>
      </c>
      <c r="G5003">
        <v>1.1299999999999999</v>
      </c>
      <c r="H5003" t="s">
        <v>10310</v>
      </c>
      <c r="I5003" t="s">
        <v>10325</v>
      </c>
      <c r="N5003">
        <v>46.560870000000001</v>
      </c>
      <c r="P5003">
        <v>15.67309</v>
      </c>
      <c r="R5003" t="s">
        <v>11038</v>
      </c>
      <c r="S5003" t="s">
        <v>10310</v>
      </c>
      <c r="W5003" s="2" t="s">
        <v>11215</v>
      </c>
    </row>
    <row r="5004" spans="1:23" hidden="1" x14ac:dyDescent="0.45">
      <c r="A5004" s="1" t="s">
        <v>4933</v>
      </c>
      <c r="B5004" t="s">
        <v>7003</v>
      </c>
      <c r="F5004" t="s">
        <v>10302</v>
      </c>
      <c r="G5004">
        <v>0.2</v>
      </c>
      <c r="H5004" t="s">
        <v>10310</v>
      </c>
      <c r="L5004">
        <v>1909</v>
      </c>
      <c r="R5004" t="s">
        <v>11038</v>
      </c>
      <c r="S5004" t="s">
        <v>10310</v>
      </c>
      <c r="W5004" s="2" t="s">
        <v>11209</v>
      </c>
    </row>
    <row r="5005" spans="1:23" hidden="1" x14ac:dyDescent="0.45">
      <c r="A5005" s="1" t="s">
        <v>4934</v>
      </c>
      <c r="B5005" t="s">
        <v>7004</v>
      </c>
      <c r="F5005" t="s">
        <v>10302</v>
      </c>
      <c r="G5005">
        <v>9.35</v>
      </c>
      <c r="H5005" t="s">
        <v>10310</v>
      </c>
      <c r="I5005" t="s">
        <v>10325</v>
      </c>
      <c r="N5005">
        <v>45.871020000000001</v>
      </c>
      <c r="P5005">
        <v>15.67196</v>
      </c>
      <c r="R5005" t="s">
        <v>11038</v>
      </c>
      <c r="S5005" t="s">
        <v>10310</v>
      </c>
      <c r="V5005" t="s">
        <v>11189</v>
      </c>
      <c r="W5005" s="2" t="s">
        <v>11222</v>
      </c>
    </row>
    <row r="5006" spans="1:23" hidden="1" x14ac:dyDescent="0.45">
      <c r="A5006" s="1" t="s">
        <v>4935</v>
      </c>
      <c r="B5006" t="s">
        <v>7004</v>
      </c>
      <c r="F5006" t="s">
        <v>10302</v>
      </c>
      <c r="G5006">
        <v>9.35</v>
      </c>
      <c r="H5006" t="s">
        <v>10310</v>
      </c>
      <c r="I5006" t="s">
        <v>10325</v>
      </c>
      <c r="N5006">
        <v>45.871020000000001</v>
      </c>
      <c r="P5006">
        <v>15.67196</v>
      </c>
      <c r="R5006" t="s">
        <v>11038</v>
      </c>
      <c r="S5006" t="s">
        <v>10310</v>
      </c>
      <c r="V5006" t="s">
        <v>11189</v>
      </c>
      <c r="W5006" s="2" t="s">
        <v>11222</v>
      </c>
    </row>
    <row r="5007" spans="1:23" hidden="1" x14ac:dyDescent="0.45">
      <c r="A5007" s="1" t="s">
        <v>4936</v>
      </c>
      <c r="B5007" t="s">
        <v>7004</v>
      </c>
      <c r="F5007" t="s">
        <v>10302</v>
      </c>
      <c r="G5007">
        <v>9.35</v>
      </c>
      <c r="H5007" t="s">
        <v>10310</v>
      </c>
      <c r="I5007" t="s">
        <v>10325</v>
      </c>
      <c r="N5007">
        <v>45.871020000000001</v>
      </c>
      <c r="P5007">
        <v>15.67196</v>
      </c>
      <c r="R5007" t="s">
        <v>11038</v>
      </c>
      <c r="S5007" t="s">
        <v>10310</v>
      </c>
      <c r="V5007" t="s">
        <v>11189</v>
      </c>
      <c r="W5007" s="2" t="s">
        <v>11222</v>
      </c>
    </row>
    <row r="5008" spans="1:23" hidden="1" x14ac:dyDescent="0.45">
      <c r="A5008" s="1" t="s">
        <v>4937</v>
      </c>
      <c r="B5008" t="s">
        <v>7009</v>
      </c>
      <c r="F5008" t="s">
        <v>10302</v>
      </c>
      <c r="G5008">
        <v>21</v>
      </c>
      <c r="H5008" t="s">
        <v>10310</v>
      </c>
      <c r="I5008" t="s">
        <v>10326</v>
      </c>
      <c r="L5008">
        <v>1977</v>
      </c>
      <c r="N5008">
        <v>46.410159999999998</v>
      </c>
      <c r="P5008">
        <v>14.126010000000001</v>
      </c>
      <c r="R5008" t="s">
        <v>11038</v>
      </c>
      <c r="S5008" t="s">
        <v>10310</v>
      </c>
      <c r="W5008" s="2" t="s">
        <v>11223</v>
      </c>
    </row>
    <row r="5009" spans="1:23" hidden="1" x14ac:dyDescent="0.45">
      <c r="A5009" s="1" t="s">
        <v>4938</v>
      </c>
      <c r="B5009" t="s">
        <v>7003</v>
      </c>
      <c r="F5009" t="s">
        <v>10302</v>
      </c>
      <c r="G5009">
        <v>0.53</v>
      </c>
      <c r="H5009" t="s">
        <v>10310</v>
      </c>
      <c r="L5009">
        <v>1911</v>
      </c>
      <c r="R5009" t="s">
        <v>11038</v>
      </c>
      <c r="S5009" t="s">
        <v>10310</v>
      </c>
      <c r="W5009" s="2" t="s">
        <v>11209</v>
      </c>
    </row>
    <row r="5010" spans="1:23" hidden="1" x14ac:dyDescent="0.45">
      <c r="A5010" s="1" t="s">
        <v>4939</v>
      </c>
      <c r="B5010" t="s">
        <v>7003</v>
      </c>
      <c r="F5010" t="s">
        <v>10302</v>
      </c>
      <c r="G5010">
        <v>0.64800000000000002</v>
      </c>
      <c r="H5010" t="s">
        <v>10310</v>
      </c>
      <c r="L5010">
        <v>1989</v>
      </c>
      <c r="R5010" t="s">
        <v>11038</v>
      </c>
      <c r="S5010" t="s">
        <v>10310</v>
      </c>
      <c r="W5010" s="2" t="s">
        <v>11209</v>
      </c>
    </row>
    <row r="5011" spans="1:23" hidden="1" x14ac:dyDescent="0.45">
      <c r="A5011" s="1" t="s">
        <v>4940</v>
      </c>
      <c r="B5011" t="s">
        <v>7006</v>
      </c>
      <c r="F5011" t="s">
        <v>10302</v>
      </c>
      <c r="G5011">
        <v>24.4</v>
      </c>
      <c r="H5011" t="s">
        <v>10310</v>
      </c>
      <c r="I5011" t="s">
        <v>10325</v>
      </c>
      <c r="L5011">
        <v>1960</v>
      </c>
      <c r="N5011">
        <v>46.577289999999998</v>
      </c>
      <c r="P5011">
        <v>15.405989999999999</v>
      </c>
      <c r="R5011" t="s">
        <v>11038</v>
      </c>
      <c r="S5011" t="s">
        <v>10310</v>
      </c>
      <c r="W5011" s="2" t="s">
        <v>11215</v>
      </c>
    </row>
    <row r="5012" spans="1:23" hidden="1" x14ac:dyDescent="0.45">
      <c r="A5012" s="1" t="s">
        <v>4941</v>
      </c>
      <c r="B5012" t="s">
        <v>7006</v>
      </c>
      <c r="F5012" t="s">
        <v>10302</v>
      </c>
      <c r="G5012">
        <v>24.4</v>
      </c>
      <c r="H5012" t="s">
        <v>10310</v>
      </c>
      <c r="I5012" t="s">
        <v>10325</v>
      </c>
      <c r="L5012">
        <v>1960</v>
      </c>
      <c r="N5012">
        <v>46.577289999999998</v>
      </c>
      <c r="P5012">
        <v>15.405989999999999</v>
      </c>
      <c r="R5012" t="s">
        <v>11038</v>
      </c>
      <c r="S5012" t="s">
        <v>10310</v>
      </c>
      <c r="W5012" s="2" t="s">
        <v>11215</v>
      </c>
    </row>
    <row r="5013" spans="1:23" hidden="1" x14ac:dyDescent="0.45">
      <c r="A5013" s="1" t="s">
        <v>4942</v>
      </c>
      <c r="B5013" t="s">
        <v>7006</v>
      </c>
      <c r="F5013" t="s">
        <v>10302</v>
      </c>
      <c r="G5013">
        <v>24.4</v>
      </c>
      <c r="H5013" t="s">
        <v>10310</v>
      </c>
      <c r="I5013" t="s">
        <v>10325</v>
      </c>
      <c r="L5013">
        <v>1960</v>
      </c>
      <c r="N5013">
        <v>46.577289999999998</v>
      </c>
      <c r="P5013">
        <v>15.405989999999999</v>
      </c>
      <c r="R5013" t="s">
        <v>11038</v>
      </c>
      <c r="S5013" t="s">
        <v>10310</v>
      </c>
      <c r="W5013" s="2" t="s">
        <v>11215</v>
      </c>
    </row>
    <row r="5014" spans="1:23" hidden="1" x14ac:dyDescent="0.45">
      <c r="A5014" s="1" t="s">
        <v>4943</v>
      </c>
      <c r="B5014" t="s">
        <v>7003</v>
      </c>
      <c r="F5014" t="s">
        <v>10302</v>
      </c>
      <c r="G5014">
        <v>0.125</v>
      </c>
      <c r="H5014" t="s">
        <v>10310</v>
      </c>
      <c r="L5014">
        <v>1983</v>
      </c>
      <c r="R5014" t="s">
        <v>11038</v>
      </c>
      <c r="S5014" t="s">
        <v>10310</v>
      </c>
      <c r="W5014" s="2" t="s">
        <v>11209</v>
      </c>
    </row>
    <row r="5015" spans="1:23" hidden="1" x14ac:dyDescent="0.45">
      <c r="A5015" s="1" t="s">
        <v>4944</v>
      </c>
      <c r="B5015" t="s">
        <v>7003</v>
      </c>
      <c r="F5015" t="s">
        <v>10302</v>
      </c>
      <c r="G5015">
        <v>0.13600000000000001</v>
      </c>
      <c r="H5015" t="s">
        <v>10310</v>
      </c>
      <c r="L5015">
        <v>1989</v>
      </c>
      <c r="R5015" t="s">
        <v>11038</v>
      </c>
      <c r="S5015" t="s">
        <v>10310</v>
      </c>
      <c r="W5015" s="2" t="s">
        <v>11209</v>
      </c>
    </row>
    <row r="5016" spans="1:23" hidden="1" x14ac:dyDescent="0.45">
      <c r="A5016" s="1" t="s">
        <v>4945</v>
      </c>
      <c r="B5016" t="s">
        <v>7003</v>
      </c>
      <c r="F5016" t="s">
        <v>10302</v>
      </c>
      <c r="G5016">
        <v>7.5</v>
      </c>
      <c r="H5016" t="s">
        <v>10310</v>
      </c>
      <c r="I5016" t="s">
        <v>10325</v>
      </c>
      <c r="L5016">
        <v>1940</v>
      </c>
      <c r="N5016">
        <v>46.099350000000001</v>
      </c>
      <c r="P5016">
        <v>13.64256</v>
      </c>
      <c r="R5016" t="s">
        <v>11038</v>
      </c>
      <c r="S5016" t="s">
        <v>10310</v>
      </c>
      <c r="W5016" s="2" t="s">
        <v>11216</v>
      </c>
    </row>
    <row r="5017" spans="1:23" hidden="1" x14ac:dyDescent="0.45">
      <c r="A5017" s="1" t="s">
        <v>4946</v>
      </c>
      <c r="B5017" t="s">
        <v>7003</v>
      </c>
      <c r="F5017" t="s">
        <v>10302</v>
      </c>
      <c r="G5017">
        <v>7.5</v>
      </c>
      <c r="H5017" t="s">
        <v>10310</v>
      </c>
      <c r="I5017" t="s">
        <v>10325</v>
      </c>
      <c r="L5017">
        <v>1940</v>
      </c>
      <c r="N5017">
        <v>46.099350000000001</v>
      </c>
      <c r="P5017">
        <v>13.64256</v>
      </c>
      <c r="R5017" t="s">
        <v>11038</v>
      </c>
      <c r="S5017" t="s">
        <v>10310</v>
      </c>
      <c r="W5017" s="2" t="s">
        <v>11216</v>
      </c>
    </row>
    <row r="5018" spans="1:23" hidden="1" x14ac:dyDescent="0.45">
      <c r="A5018" s="1" t="s">
        <v>4947</v>
      </c>
      <c r="B5018" t="s">
        <v>7003</v>
      </c>
      <c r="F5018" t="s">
        <v>10302</v>
      </c>
      <c r="G5018">
        <v>20</v>
      </c>
      <c r="H5018" t="s">
        <v>10310</v>
      </c>
      <c r="I5018" t="s">
        <v>10325</v>
      </c>
      <c r="L5018">
        <v>2002</v>
      </c>
      <c r="N5018">
        <v>46.05256</v>
      </c>
      <c r="P5018">
        <v>13.60608</v>
      </c>
      <c r="R5018" t="s">
        <v>11038</v>
      </c>
      <c r="S5018" t="s">
        <v>10310</v>
      </c>
      <c r="W5018" s="2" t="s">
        <v>11216</v>
      </c>
    </row>
    <row r="5019" spans="1:23" hidden="1" x14ac:dyDescent="0.45">
      <c r="A5019" s="1" t="s">
        <v>4948</v>
      </c>
      <c r="B5019" t="s">
        <v>7003</v>
      </c>
      <c r="F5019" t="s">
        <v>10302</v>
      </c>
      <c r="G5019">
        <v>1.72</v>
      </c>
      <c r="H5019" t="s">
        <v>10310</v>
      </c>
      <c r="L5019">
        <v>1931</v>
      </c>
      <c r="N5019">
        <v>46.324489999999997</v>
      </c>
      <c r="P5019">
        <v>13.512930000000001</v>
      </c>
      <c r="R5019" t="s">
        <v>11038</v>
      </c>
      <c r="S5019" t="s">
        <v>10310</v>
      </c>
      <c r="W5019" s="2" t="s">
        <v>11209</v>
      </c>
    </row>
    <row r="5020" spans="1:23" hidden="1" x14ac:dyDescent="0.45">
      <c r="A5020" s="1" t="s">
        <v>4949</v>
      </c>
      <c r="B5020" t="s">
        <v>7003</v>
      </c>
      <c r="F5020" t="s">
        <v>10302</v>
      </c>
      <c r="G5020">
        <v>0.42499999999999999</v>
      </c>
      <c r="H5020" t="s">
        <v>10310</v>
      </c>
      <c r="L5020">
        <v>1931</v>
      </c>
      <c r="R5020" t="s">
        <v>11038</v>
      </c>
      <c r="S5020" t="s">
        <v>10310</v>
      </c>
      <c r="W5020" s="2" t="s">
        <v>11209</v>
      </c>
    </row>
    <row r="5021" spans="1:23" hidden="1" x14ac:dyDescent="0.45">
      <c r="A5021" s="1" t="s">
        <v>4950</v>
      </c>
      <c r="B5021" t="s">
        <v>7006</v>
      </c>
      <c r="F5021" t="s">
        <v>10302</v>
      </c>
      <c r="G5021">
        <v>5.2999999999999999E-2</v>
      </c>
      <c r="H5021" t="s">
        <v>10310</v>
      </c>
      <c r="I5021" t="s">
        <v>10325</v>
      </c>
      <c r="L5021">
        <v>2012</v>
      </c>
      <c r="R5021" t="s">
        <v>11038</v>
      </c>
      <c r="S5021" t="s">
        <v>10310</v>
      </c>
      <c r="W5021" s="2" t="s">
        <v>11215</v>
      </c>
    </row>
    <row r="5022" spans="1:23" hidden="1" x14ac:dyDescent="0.45">
      <c r="A5022" s="1" t="s">
        <v>4951</v>
      </c>
      <c r="B5022" t="s">
        <v>7006</v>
      </c>
      <c r="F5022" t="s">
        <v>10302</v>
      </c>
      <c r="G5022">
        <v>5.2999999999999999E-2</v>
      </c>
      <c r="H5022" t="s">
        <v>10310</v>
      </c>
      <c r="I5022" t="s">
        <v>10325</v>
      </c>
      <c r="L5022">
        <v>2012</v>
      </c>
      <c r="R5022" t="s">
        <v>11038</v>
      </c>
      <c r="S5022" t="s">
        <v>10310</v>
      </c>
      <c r="W5022" s="2" t="s">
        <v>11215</v>
      </c>
    </row>
    <row r="5023" spans="1:23" hidden="1" x14ac:dyDescent="0.45">
      <c r="A5023" s="1" t="s">
        <v>4952</v>
      </c>
      <c r="B5023" t="s">
        <v>7003</v>
      </c>
      <c r="F5023" t="s">
        <v>10302</v>
      </c>
      <c r="G5023">
        <v>10.66</v>
      </c>
      <c r="H5023" t="s">
        <v>10310</v>
      </c>
      <c r="I5023" t="s">
        <v>10325</v>
      </c>
      <c r="L5023">
        <v>1984</v>
      </c>
      <c r="N5023">
        <v>45.984409999999997</v>
      </c>
      <c r="P5023">
        <v>13.655060000000001</v>
      </c>
      <c r="R5023" t="s">
        <v>11038</v>
      </c>
      <c r="S5023" t="s">
        <v>10310</v>
      </c>
      <c r="W5023" s="2" t="s">
        <v>11216</v>
      </c>
    </row>
    <row r="5024" spans="1:23" hidden="1" x14ac:dyDescent="0.45">
      <c r="A5024" s="1" t="s">
        <v>4953</v>
      </c>
      <c r="B5024" t="s">
        <v>7003</v>
      </c>
      <c r="F5024" t="s">
        <v>10302</v>
      </c>
      <c r="G5024">
        <v>10.66</v>
      </c>
      <c r="H5024" t="s">
        <v>10310</v>
      </c>
      <c r="I5024" t="s">
        <v>10325</v>
      </c>
      <c r="L5024">
        <v>1984</v>
      </c>
      <c r="N5024">
        <v>45.984409999999997</v>
      </c>
      <c r="P5024">
        <v>13.655060000000001</v>
      </c>
      <c r="R5024" t="s">
        <v>11038</v>
      </c>
      <c r="S5024" t="s">
        <v>10310</v>
      </c>
      <c r="W5024" s="2" t="s">
        <v>11216</v>
      </c>
    </row>
    <row r="5025" spans="1:23" hidden="1" x14ac:dyDescent="0.45">
      <c r="A5025" s="1" t="s">
        <v>4954</v>
      </c>
      <c r="B5025" t="s">
        <v>7003</v>
      </c>
      <c r="F5025" t="s">
        <v>10302</v>
      </c>
      <c r="G5025">
        <v>10.66</v>
      </c>
      <c r="H5025" t="s">
        <v>10310</v>
      </c>
      <c r="I5025" t="s">
        <v>10325</v>
      </c>
      <c r="L5025">
        <v>1984</v>
      </c>
      <c r="N5025">
        <v>45.984409999999997</v>
      </c>
      <c r="P5025">
        <v>13.655060000000001</v>
      </c>
      <c r="R5025" t="s">
        <v>11038</v>
      </c>
      <c r="S5025" t="s">
        <v>10310</v>
      </c>
      <c r="W5025" s="2" t="s">
        <v>11216</v>
      </c>
    </row>
    <row r="5026" spans="1:23" hidden="1" x14ac:dyDescent="0.45">
      <c r="A5026" s="1" t="s">
        <v>4955</v>
      </c>
      <c r="B5026" t="s">
        <v>7010</v>
      </c>
      <c r="C5026" t="s">
        <v>7499</v>
      </c>
      <c r="D5026" t="s">
        <v>8115</v>
      </c>
      <c r="E5026" t="s">
        <v>9878</v>
      </c>
      <c r="F5026" t="s">
        <v>10302</v>
      </c>
      <c r="G5026">
        <v>345</v>
      </c>
      <c r="H5026" t="s">
        <v>10316</v>
      </c>
      <c r="I5026" t="s">
        <v>10323</v>
      </c>
      <c r="K5026" t="s">
        <v>10332</v>
      </c>
      <c r="M5026" t="s">
        <v>10336</v>
      </c>
      <c r="N5026">
        <v>46.373049999999999</v>
      </c>
      <c r="P5026">
        <v>15.053839999999999</v>
      </c>
      <c r="Q5026" t="s">
        <v>10913</v>
      </c>
      <c r="R5026" t="s">
        <v>11037</v>
      </c>
      <c r="S5026" t="s">
        <v>10316</v>
      </c>
      <c r="V5026" t="s">
        <v>11190</v>
      </c>
      <c r="W5026" s="2" t="s">
        <v>11224</v>
      </c>
    </row>
    <row r="5027" spans="1:23" hidden="1" x14ac:dyDescent="0.45">
      <c r="A5027" s="1" t="s">
        <v>4956</v>
      </c>
      <c r="B5027" t="s">
        <v>7010</v>
      </c>
      <c r="C5027" t="s">
        <v>7499</v>
      </c>
      <c r="D5027" t="s">
        <v>8115</v>
      </c>
      <c r="E5027" t="s">
        <v>9878</v>
      </c>
      <c r="F5027" t="s">
        <v>10302</v>
      </c>
      <c r="G5027">
        <v>600</v>
      </c>
      <c r="H5027" t="s">
        <v>10316</v>
      </c>
      <c r="I5027" t="s">
        <v>10323</v>
      </c>
      <c r="K5027" t="s">
        <v>10332</v>
      </c>
      <c r="L5027">
        <v>2015</v>
      </c>
      <c r="M5027" t="s">
        <v>10336</v>
      </c>
      <c r="N5027">
        <v>46.373049999999999</v>
      </c>
      <c r="P5027">
        <v>15.053839999999999</v>
      </c>
      <c r="Q5027" t="s">
        <v>10913</v>
      </c>
      <c r="R5027" t="s">
        <v>11037</v>
      </c>
      <c r="S5027" t="s">
        <v>10316</v>
      </c>
      <c r="W5027" s="2" t="s">
        <v>11224</v>
      </c>
    </row>
    <row r="5028" spans="1:23" hidden="1" x14ac:dyDescent="0.45">
      <c r="A5028" s="1" t="s">
        <v>4957</v>
      </c>
      <c r="B5028" t="s">
        <v>7010</v>
      </c>
      <c r="C5028" t="s">
        <v>7499</v>
      </c>
      <c r="D5028" t="s">
        <v>8115</v>
      </c>
      <c r="E5028" t="s">
        <v>9878</v>
      </c>
      <c r="F5028" t="s">
        <v>10302</v>
      </c>
      <c r="G5028">
        <v>42</v>
      </c>
      <c r="H5028" t="s">
        <v>10307</v>
      </c>
      <c r="K5028" t="s">
        <v>10332</v>
      </c>
      <c r="M5028" t="s">
        <v>10336</v>
      </c>
      <c r="N5028">
        <v>46.373049999999999</v>
      </c>
      <c r="P5028">
        <v>15.053839999999999</v>
      </c>
      <c r="Q5028" t="s">
        <v>10913</v>
      </c>
      <c r="R5028" t="s">
        <v>11037</v>
      </c>
      <c r="S5028" t="s">
        <v>10307</v>
      </c>
      <c r="W5028" s="2" t="s">
        <v>11225</v>
      </c>
    </row>
    <row r="5029" spans="1:23" hidden="1" x14ac:dyDescent="0.45">
      <c r="A5029" s="1" t="s">
        <v>4958</v>
      </c>
      <c r="B5029" t="s">
        <v>7010</v>
      </c>
      <c r="C5029" t="s">
        <v>7499</v>
      </c>
      <c r="D5029" t="s">
        <v>8115</v>
      </c>
      <c r="E5029" t="s">
        <v>9878</v>
      </c>
      <c r="F5029" t="s">
        <v>10302</v>
      </c>
      <c r="G5029">
        <v>42</v>
      </c>
      <c r="H5029" t="s">
        <v>10307</v>
      </c>
      <c r="K5029" t="s">
        <v>10332</v>
      </c>
      <c r="M5029" t="s">
        <v>10336</v>
      </c>
      <c r="N5029">
        <v>46.373049999999999</v>
      </c>
      <c r="P5029">
        <v>15.053839999999999</v>
      </c>
      <c r="Q5029" t="s">
        <v>10913</v>
      </c>
      <c r="R5029" t="s">
        <v>11037</v>
      </c>
      <c r="S5029" t="s">
        <v>10307</v>
      </c>
      <c r="W5029" s="2" t="s">
        <v>11225</v>
      </c>
    </row>
    <row r="5030" spans="1:23" hidden="1" x14ac:dyDescent="0.45">
      <c r="A5030" s="1" t="s">
        <v>4959</v>
      </c>
      <c r="B5030" t="s">
        <v>7003</v>
      </c>
      <c r="F5030" t="s">
        <v>10302</v>
      </c>
      <c r="G5030">
        <v>0.109</v>
      </c>
      <c r="H5030" t="s">
        <v>10310</v>
      </c>
      <c r="L5030">
        <v>1995</v>
      </c>
      <c r="R5030" t="s">
        <v>11038</v>
      </c>
      <c r="S5030" t="s">
        <v>10310</v>
      </c>
      <c r="W5030" s="2" t="s">
        <v>11209</v>
      </c>
    </row>
    <row r="5031" spans="1:23" hidden="1" x14ac:dyDescent="0.45">
      <c r="A5031" s="1" t="s">
        <v>4960</v>
      </c>
      <c r="B5031" t="s">
        <v>7003</v>
      </c>
      <c r="F5031" t="s">
        <v>10302</v>
      </c>
      <c r="G5031">
        <v>0.76</v>
      </c>
      <c r="H5031" t="s">
        <v>10310</v>
      </c>
      <c r="L5031">
        <v>1985</v>
      </c>
      <c r="R5031" t="s">
        <v>11038</v>
      </c>
      <c r="S5031" t="s">
        <v>10310</v>
      </c>
      <c r="W5031" s="2" t="s">
        <v>11209</v>
      </c>
    </row>
    <row r="5032" spans="1:23" hidden="1" x14ac:dyDescent="0.45">
      <c r="A5032" s="1" t="s">
        <v>4961</v>
      </c>
      <c r="B5032" t="s">
        <v>7009</v>
      </c>
      <c r="F5032" t="s">
        <v>10302</v>
      </c>
      <c r="G5032">
        <v>34</v>
      </c>
      <c r="H5032" t="s">
        <v>10310</v>
      </c>
      <c r="I5032" t="s">
        <v>10326</v>
      </c>
      <c r="L5032">
        <v>1989</v>
      </c>
      <c r="N5032">
        <v>46.044150000000002</v>
      </c>
      <c r="P5032">
        <v>15.223649999999999</v>
      </c>
      <c r="R5032" t="s">
        <v>11038</v>
      </c>
      <c r="S5032" t="s">
        <v>10310</v>
      </c>
      <c r="W5032" s="2" t="s">
        <v>11226</v>
      </c>
    </row>
    <row r="5033" spans="1:23" hidden="1" x14ac:dyDescent="0.45">
      <c r="A5033" s="1" t="s">
        <v>4962</v>
      </c>
      <c r="B5033" t="s">
        <v>7006</v>
      </c>
      <c r="F5033" t="s">
        <v>10302</v>
      </c>
      <c r="G5033">
        <v>24.1</v>
      </c>
      <c r="H5033" t="s">
        <v>10310</v>
      </c>
      <c r="I5033" t="s">
        <v>10325</v>
      </c>
      <c r="L5033">
        <v>1956</v>
      </c>
      <c r="N5033">
        <v>46.586590000000001</v>
      </c>
      <c r="P5033">
        <v>15.27548</v>
      </c>
      <c r="R5033" t="s">
        <v>11038</v>
      </c>
      <c r="S5033" t="s">
        <v>10310</v>
      </c>
      <c r="W5033" s="2" t="s">
        <v>11215</v>
      </c>
    </row>
    <row r="5034" spans="1:23" hidden="1" x14ac:dyDescent="0.45">
      <c r="A5034" s="1" t="s">
        <v>4963</v>
      </c>
      <c r="B5034" t="s">
        <v>7006</v>
      </c>
      <c r="F5034" t="s">
        <v>10302</v>
      </c>
      <c r="G5034">
        <v>24.1</v>
      </c>
      <c r="H5034" t="s">
        <v>10310</v>
      </c>
      <c r="I5034" t="s">
        <v>10325</v>
      </c>
      <c r="L5034">
        <v>1956</v>
      </c>
      <c r="N5034">
        <v>46.586590000000001</v>
      </c>
      <c r="P5034">
        <v>15.27548</v>
      </c>
      <c r="R5034" t="s">
        <v>11038</v>
      </c>
      <c r="S5034" t="s">
        <v>10310</v>
      </c>
      <c r="W5034" s="2" t="s">
        <v>11215</v>
      </c>
    </row>
    <row r="5035" spans="1:23" hidden="1" x14ac:dyDescent="0.45">
      <c r="A5035" s="1" t="s">
        <v>4964</v>
      </c>
      <c r="B5035" t="s">
        <v>7006</v>
      </c>
      <c r="F5035" t="s">
        <v>10302</v>
      </c>
      <c r="G5035">
        <v>24.1</v>
      </c>
      <c r="H5035" t="s">
        <v>10310</v>
      </c>
      <c r="I5035" t="s">
        <v>10325</v>
      </c>
      <c r="L5035">
        <v>1958</v>
      </c>
      <c r="N5035">
        <v>46.586590000000001</v>
      </c>
      <c r="P5035">
        <v>15.27548</v>
      </c>
      <c r="R5035" t="s">
        <v>11038</v>
      </c>
      <c r="S5035" t="s">
        <v>10310</v>
      </c>
      <c r="W5035" s="2" t="s">
        <v>11215</v>
      </c>
    </row>
    <row r="5036" spans="1:23" hidden="1" x14ac:dyDescent="0.45">
      <c r="A5036" s="1" t="s">
        <v>4965</v>
      </c>
      <c r="B5036" t="s">
        <v>7006</v>
      </c>
      <c r="F5036" t="s">
        <v>10302</v>
      </c>
      <c r="G5036">
        <v>18.53</v>
      </c>
      <c r="H5036" t="s">
        <v>10310</v>
      </c>
      <c r="I5036" t="s">
        <v>10325</v>
      </c>
      <c r="L5036">
        <v>1957</v>
      </c>
      <c r="N5036">
        <v>46.592570000000002</v>
      </c>
      <c r="P5036">
        <v>15.15301</v>
      </c>
      <c r="R5036" t="s">
        <v>11038</v>
      </c>
      <c r="S5036" t="s">
        <v>10310</v>
      </c>
      <c r="W5036" s="2" t="s">
        <v>11215</v>
      </c>
    </row>
    <row r="5037" spans="1:23" hidden="1" x14ac:dyDescent="0.45">
      <c r="A5037" s="1" t="s">
        <v>4966</v>
      </c>
      <c r="B5037" t="s">
        <v>7006</v>
      </c>
      <c r="F5037" t="s">
        <v>10302</v>
      </c>
      <c r="G5037">
        <v>18.53</v>
      </c>
      <c r="H5037" t="s">
        <v>10310</v>
      </c>
      <c r="I5037" t="s">
        <v>10325</v>
      </c>
      <c r="L5037">
        <v>1957</v>
      </c>
      <c r="N5037">
        <v>46.592570000000002</v>
      </c>
      <c r="P5037">
        <v>15.15301</v>
      </c>
      <c r="R5037" t="s">
        <v>11038</v>
      </c>
      <c r="S5037" t="s">
        <v>10310</v>
      </c>
      <c r="W5037" s="2" t="s">
        <v>11215</v>
      </c>
    </row>
    <row r="5038" spans="1:23" hidden="1" x14ac:dyDescent="0.45">
      <c r="A5038" s="1" t="s">
        <v>4967</v>
      </c>
      <c r="B5038" t="s">
        <v>7006</v>
      </c>
      <c r="F5038" t="s">
        <v>10302</v>
      </c>
      <c r="G5038">
        <v>18.53</v>
      </c>
      <c r="H5038" t="s">
        <v>10310</v>
      </c>
      <c r="I5038" t="s">
        <v>10325</v>
      </c>
      <c r="L5038">
        <v>1957</v>
      </c>
      <c r="N5038">
        <v>46.592570000000002</v>
      </c>
      <c r="P5038">
        <v>15.15301</v>
      </c>
      <c r="R5038" t="s">
        <v>11038</v>
      </c>
      <c r="S5038" t="s">
        <v>10310</v>
      </c>
      <c r="W5038" s="2" t="s">
        <v>11215</v>
      </c>
    </row>
    <row r="5039" spans="1:23" hidden="1" x14ac:dyDescent="0.45">
      <c r="A5039" s="1" t="s">
        <v>4968</v>
      </c>
      <c r="B5039" t="s">
        <v>7003</v>
      </c>
      <c r="F5039" t="s">
        <v>10302</v>
      </c>
      <c r="G5039">
        <v>8</v>
      </c>
      <c r="H5039" t="s">
        <v>10310</v>
      </c>
      <c r="L5039">
        <v>1989</v>
      </c>
      <c r="N5039">
        <v>46.212530000000001</v>
      </c>
      <c r="P5039">
        <v>13.76141</v>
      </c>
      <c r="R5039" t="s">
        <v>11038</v>
      </c>
      <c r="S5039" t="s">
        <v>10310</v>
      </c>
      <c r="W5039" s="2" t="s">
        <v>11209</v>
      </c>
    </row>
    <row r="5040" spans="1:23" hidden="1" x14ac:dyDescent="0.45">
      <c r="A5040" s="1" t="s">
        <v>4969</v>
      </c>
      <c r="B5040" t="s">
        <v>7006</v>
      </c>
      <c r="F5040" t="s">
        <v>10302</v>
      </c>
      <c r="G5040">
        <v>63</v>
      </c>
      <c r="H5040" t="s">
        <v>10310</v>
      </c>
      <c r="I5040" t="s">
        <v>10325</v>
      </c>
      <c r="L5040">
        <v>1969</v>
      </c>
      <c r="N5040">
        <v>46.447929999999999</v>
      </c>
      <c r="P5040">
        <v>15.78693</v>
      </c>
      <c r="Q5040" t="s">
        <v>10914</v>
      </c>
      <c r="R5040" t="s">
        <v>11038</v>
      </c>
      <c r="S5040" t="s">
        <v>10310</v>
      </c>
      <c r="W5040" s="2" t="s">
        <v>11215</v>
      </c>
    </row>
    <row r="5041" spans="1:23" hidden="1" x14ac:dyDescent="0.45">
      <c r="A5041" s="1" t="s">
        <v>4970</v>
      </c>
      <c r="B5041" t="s">
        <v>7006</v>
      </c>
      <c r="F5041" t="s">
        <v>10302</v>
      </c>
      <c r="G5041">
        <v>63</v>
      </c>
      <c r="H5041" t="s">
        <v>10310</v>
      </c>
      <c r="I5041" t="s">
        <v>10325</v>
      </c>
      <c r="L5041">
        <v>1969</v>
      </c>
      <c r="N5041">
        <v>46.447929999999999</v>
      </c>
      <c r="P5041">
        <v>15.78693</v>
      </c>
      <c r="Q5041" t="s">
        <v>10914</v>
      </c>
      <c r="R5041" t="s">
        <v>11038</v>
      </c>
      <c r="S5041" t="s">
        <v>10310</v>
      </c>
      <c r="W5041" s="2" t="s">
        <v>11215</v>
      </c>
    </row>
    <row r="5042" spans="1:23" hidden="1" x14ac:dyDescent="0.45">
      <c r="A5042" s="1" t="s">
        <v>4971</v>
      </c>
      <c r="E5042" t="s">
        <v>9879</v>
      </c>
      <c r="F5042" t="s">
        <v>10303</v>
      </c>
      <c r="G5042">
        <v>168</v>
      </c>
      <c r="H5042" t="s">
        <v>10310</v>
      </c>
      <c r="I5042" t="s">
        <v>10325</v>
      </c>
      <c r="L5042">
        <v>1979</v>
      </c>
      <c r="R5042" t="s">
        <v>11038</v>
      </c>
      <c r="S5042" t="s">
        <v>10310</v>
      </c>
      <c r="W5042" s="2" t="s">
        <v>11227</v>
      </c>
    </row>
    <row r="5043" spans="1:23" hidden="1" x14ac:dyDescent="0.45">
      <c r="A5043" s="1" t="s">
        <v>4972</v>
      </c>
      <c r="E5043" t="s">
        <v>9880</v>
      </c>
      <c r="F5043" t="s">
        <v>10303</v>
      </c>
      <c r="G5043">
        <v>26</v>
      </c>
      <c r="H5043" t="s">
        <v>10310</v>
      </c>
      <c r="I5043" t="s">
        <v>10325</v>
      </c>
      <c r="L5043">
        <v>1960</v>
      </c>
      <c r="R5043" t="s">
        <v>11038</v>
      </c>
      <c r="S5043" t="s">
        <v>10310</v>
      </c>
      <c r="W5043" s="2" t="s">
        <v>11227</v>
      </c>
    </row>
    <row r="5044" spans="1:23" hidden="1" x14ac:dyDescent="0.45">
      <c r="A5044" s="1" t="s">
        <v>4973</v>
      </c>
      <c r="E5044" t="s">
        <v>9881</v>
      </c>
      <c r="F5044" t="s">
        <v>10303</v>
      </c>
      <c r="G5044">
        <v>328</v>
      </c>
      <c r="H5044" t="s">
        <v>10310</v>
      </c>
      <c r="I5044" t="s">
        <v>10325</v>
      </c>
      <c r="L5044">
        <v>1976</v>
      </c>
      <c r="R5044" t="s">
        <v>11038</v>
      </c>
      <c r="S5044" t="s">
        <v>10310</v>
      </c>
      <c r="W5044" s="2" t="s">
        <v>11227</v>
      </c>
    </row>
    <row r="5045" spans="1:23" hidden="1" x14ac:dyDescent="0.45">
      <c r="A5045" s="1" t="s">
        <v>4974</v>
      </c>
      <c r="E5045" t="s">
        <v>9882</v>
      </c>
      <c r="F5045" t="s">
        <v>10303</v>
      </c>
      <c r="G5045">
        <v>90</v>
      </c>
      <c r="H5045" t="s">
        <v>10310</v>
      </c>
      <c r="I5045" t="s">
        <v>10325</v>
      </c>
      <c r="L5045">
        <v>1981</v>
      </c>
      <c r="R5045" t="s">
        <v>11038</v>
      </c>
      <c r="S5045" t="s">
        <v>10310</v>
      </c>
      <c r="W5045" s="2" t="s">
        <v>11227</v>
      </c>
    </row>
    <row r="5046" spans="1:23" hidden="1" x14ac:dyDescent="0.45">
      <c r="A5046" s="1" t="s">
        <v>4975</v>
      </c>
      <c r="E5046" t="s">
        <v>9880</v>
      </c>
      <c r="F5046" t="s">
        <v>10303</v>
      </c>
      <c r="G5046">
        <v>30</v>
      </c>
      <c r="H5046" t="s">
        <v>10310</v>
      </c>
      <c r="I5046" t="s">
        <v>10326</v>
      </c>
      <c r="L5046">
        <v>1925</v>
      </c>
      <c r="R5046" t="s">
        <v>11038</v>
      </c>
      <c r="S5046" t="s">
        <v>10310</v>
      </c>
      <c r="W5046" s="2" t="s">
        <v>11227</v>
      </c>
    </row>
    <row r="5047" spans="1:23" hidden="1" x14ac:dyDescent="0.45">
      <c r="A5047" s="1" t="s">
        <v>4976</v>
      </c>
      <c r="E5047" t="s">
        <v>9879</v>
      </c>
      <c r="F5047" t="s">
        <v>10303</v>
      </c>
      <c r="G5047">
        <v>287</v>
      </c>
      <c r="H5047" t="s">
        <v>10310</v>
      </c>
      <c r="I5047" t="s">
        <v>10325</v>
      </c>
      <c r="L5047">
        <v>1964</v>
      </c>
      <c r="R5047" t="s">
        <v>11038</v>
      </c>
      <c r="S5047" t="s">
        <v>10310</v>
      </c>
      <c r="W5047" s="2" t="s">
        <v>11227</v>
      </c>
    </row>
    <row r="5048" spans="1:23" hidden="1" x14ac:dyDescent="0.45">
      <c r="A5048" s="1" t="s">
        <v>4977</v>
      </c>
      <c r="E5048" t="s">
        <v>9883</v>
      </c>
      <c r="F5048" t="s">
        <v>10303</v>
      </c>
      <c r="G5048">
        <v>16</v>
      </c>
      <c r="H5048" t="s">
        <v>10310</v>
      </c>
      <c r="I5048" t="s">
        <v>10325</v>
      </c>
      <c r="L5048">
        <v>1986</v>
      </c>
      <c r="R5048" t="s">
        <v>11038</v>
      </c>
      <c r="S5048" t="s">
        <v>10310</v>
      </c>
      <c r="W5048" s="2" t="s">
        <v>11227</v>
      </c>
    </row>
    <row r="5049" spans="1:23" hidden="1" x14ac:dyDescent="0.45">
      <c r="A5049" s="1" t="s">
        <v>4978</v>
      </c>
      <c r="E5049" t="s">
        <v>9880</v>
      </c>
      <c r="F5049" t="s">
        <v>10303</v>
      </c>
      <c r="G5049">
        <v>7</v>
      </c>
      <c r="H5049" t="s">
        <v>10310</v>
      </c>
      <c r="I5049" t="s">
        <v>10325</v>
      </c>
      <c r="L5049">
        <v>1982</v>
      </c>
      <c r="R5049" t="s">
        <v>11038</v>
      </c>
      <c r="S5049" t="s">
        <v>10310</v>
      </c>
      <c r="W5049" s="2" t="s">
        <v>11227</v>
      </c>
    </row>
    <row r="5050" spans="1:23" hidden="1" x14ac:dyDescent="0.45">
      <c r="A5050" s="1" t="s">
        <v>4979</v>
      </c>
      <c r="E5050" t="s">
        <v>9880</v>
      </c>
      <c r="F5050" t="s">
        <v>10303</v>
      </c>
      <c r="G5050">
        <v>27</v>
      </c>
      <c r="H5050" t="s">
        <v>10310</v>
      </c>
      <c r="I5050" t="s">
        <v>10326</v>
      </c>
      <c r="L5050">
        <v>1982</v>
      </c>
      <c r="R5050" t="s">
        <v>11038</v>
      </c>
      <c r="S5050" t="s">
        <v>10310</v>
      </c>
      <c r="W5050" s="2" t="s">
        <v>11227</v>
      </c>
    </row>
    <row r="5051" spans="1:23" hidden="1" x14ac:dyDescent="0.45">
      <c r="A5051" s="1" t="s">
        <v>4980</v>
      </c>
      <c r="E5051" t="s">
        <v>9884</v>
      </c>
      <c r="F5051" t="s">
        <v>10303</v>
      </c>
      <c r="G5051">
        <v>25</v>
      </c>
      <c r="H5051" t="s">
        <v>10310</v>
      </c>
      <c r="I5051" t="s">
        <v>10326</v>
      </c>
      <c r="L5051">
        <v>1940</v>
      </c>
      <c r="R5051" t="s">
        <v>11038</v>
      </c>
      <c r="S5051" t="s">
        <v>10310</v>
      </c>
      <c r="W5051" s="2" t="s">
        <v>11227</v>
      </c>
    </row>
    <row r="5052" spans="1:23" hidden="1" x14ac:dyDescent="0.45">
      <c r="A5052" s="1" t="s">
        <v>4981</v>
      </c>
      <c r="E5052" t="s">
        <v>9880</v>
      </c>
      <c r="F5052" t="s">
        <v>10303</v>
      </c>
      <c r="G5052">
        <v>16</v>
      </c>
      <c r="H5052" t="s">
        <v>10310</v>
      </c>
      <c r="I5052" t="s">
        <v>10325</v>
      </c>
      <c r="L5052">
        <v>1949</v>
      </c>
      <c r="R5052" t="s">
        <v>11038</v>
      </c>
      <c r="S5052" t="s">
        <v>10310</v>
      </c>
      <c r="W5052" s="2" t="s">
        <v>11227</v>
      </c>
    </row>
    <row r="5053" spans="1:23" hidden="1" x14ac:dyDescent="0.45">
      <c r="A5053" s="1" t="s">
        <v>4982</v>
      </c>
      <c r="E5053" t="s">
        <v>9882</v>
      </c>
      <c r="F5053" t="s">
        <v>10303</v>
      </c>
      <c r="G5053">
        <v>87</v>
      </c>
      <c r="H5053" t="s">
        <v>10310</v>
      </c>
      <c r="I5053" t="s">
        <v>10325</v>
      </c>
      <c r="L5053">
        <v>1962</v>
      </c>
      <c r="R5053" t="s">
        <v>11038</v>
      </c>
      <c r="S5053" t="s">
        <v>10310</v>
      </c>
      <c r="W5053" s="2" t="s">
        <v>11227</v>
      </c>
    </row>
    <row r="5054" spans="1:23" hidden="1" x14ac:dyDescent="0.45">
      <c r="A5054" s="1" t="s">
        <v>4983</v>
      </c>
      <c r="E5054" t="s">
        <v>9879</v>
      </c>
      <c r="F5054" t="s">
        <v>10303</v>
      </c>
      <c r="G5054">
        <v>84</v>
      </c>
      <c r="H5054" t="s">
        <v>10310</v>
      </c>
      <c r="I5054" t="s">
        <v>10325</v>
      </c>
      <c r="L5054">
        <v>1950</v>
      </c>
      <c r="R5054" t="s">
        <v>11038</v>
      </c>
      <c r="S5054" t="s">
        <v>10310</v>
      </c>
      <c r="W5054" s="2" t="s">
        <v>11227</v>
      </c>
    </row>
    <row r="5055" spans="1:23" hidden="1" x14ac:dyDescent="0.45">
      <c r="A5055" s="1" t="s">
        <v>4984</v>
      </c>
      <c r="E5055" t="s">
        <v>9880</v>
      </c>
      <c r="F5055" t="s">
        <v>10303</v>
      </c>
      <c r="G5055">
        <v>1</v>
      </c>
      <c r="H5055" t="s">
        <v>10310</v>
      </c>
      <c r="I5055" t="s">
        <v>10325</v>
      </c>
      <c r="L5055">
        <v>1986</v>
      </c>
      <c r="R5055" t="s">
        <v>11038</v>
      </c>
      <c r="S5055" t="s">
        <v>10310</v>
      </c>
      <c r="W5055" s="2" t="s">
        <v>11227</v>
      </c>
    </row>
    <row r="5056" spans="1:23" hidden="1" x14ac:dyDescent="0.45">
      <c r="A5056" s="1" t="s">
        <v>4985</v>
      </c>
      <c r="E5056" t="s">
        <v>9882</v>
      </c>
      <c r="F5056" t="s">
        <v>10303</v>
      </c>
      <c r="G5056">
        <v>88</v>
      </c>
      <c r="H5056" t="s">
        <v>10310</v>
      </c>
      <c r="I5056" t="s">
        <v>10325</v>
      </c>
      <c r="L5056">
        <v>1968</v>
      </c>
      <c r="R5056" t="s">
        <v>11038</v>
      </c>
      <c r="S5056" t="s">
        <v>10310</v>
      </c>
      <c r="W5056" s="2" t="s">
        <v>11227</v>
      </c>
    </row>
    <row r="5057" spans="1:23" hidden="1" x14ac:dyDescent="0.45">
      <c r="A5057" s="1" t="s">
        <v>4986</v>
      </c>
      <c r="E5057" t="s">
        <v>9882</v>
      </c>
      <c r="F5057" t="s">
        <v>10303</v>
      </c>
      <c r="G5057">
        <v>75</v>
      </c>
      <c r="H5057" t="s">
        <v>10310</v>
      </c>
      <c r="I5057" t="s">
        <v>10325</v>
      </c>
      <c r="L5057">
        <v>1975</v>
      </c>
      <c r="R5057" t="s">
        <v>11038</v>
      </c>
      <c r="S5057" t="s">
        <v>10310</v>
      </c>
      <c r="W5057" s="2" t="s">
        <v>11227</v>
      </c>
    </row>
    <row r="5058" spans="1:23" hidden="1" x14ac:dyDescent="0.45">
      <c r="A5058" s="1" t="s">
        <v>4987</v>
      </c>
      <c r="E5058" t="s">
        <v>9880</v>
      </c>
      <c r="F5058" t="s">
        <v>10303</v>
      </c>
      <c r="G5058">
        <v>22</v>
      </c>
      <c r="H5058" t="s">
        <v>10310</v>
      </c>
      <c r="I5058" t="s">
        <v>10325</v>
      </c>
      <c r="L5058">
        <v>1994</v>
      </c>
      <c r="R5058" t="s">
        <v>11038</v>
      </c>
      <c r="S5058" t="s">
        <v>10310</v>
      </c>
      <c r="W5058" s="2" t="s">
        <v>11227</v>
      </c>
    </row>
    <row r="5059" spans="1:23" hidden="1" x14ac:dyDescent="0.45">
      <c r="A5059" s="1" t="s">
        <v>4988</v>
      </c>
      <c r="E5059" t="s">
        <v>9885</v>
      </c>
      <c r="F5059" t="s">
        <v>10303</v>
      </c>
      <c r="G5059">
        <v>172</v>
      </c>
      <c r="H5059" t="s">
        <v>10310</v>
      </c>
      <c r="I5059" t="s">
        <v>10325</v>
      </c>
      <c r="L5059">
        <v>1998</v>
      </c>
      <c r="R5059" t="s">
        <v>11038</v>
      </c>
      <c r="S5059" t="s">
        <v>10310</v>
      </c>
      <c r="W5059" s="2" t="s">
        <v>11227</v>
      </c>
    </row>
    <row r="5060" spans="1:23" hidden="1" x14ac:dyDescent="0.45">
      <c r="A5060" s="1" t="s">
        <v>4989</v>
      </c>
      <c r="E5060" t="s">
        <v>9880</v>
      </c>
      <c r="F5060" t="s">
        <v>10303</v>
      </c>
      <c r="G5060">
        <v>12</v>
      </c>
      <c r="H5060" t="s">
        <v>10310</v>
      </c>
      <c r="I5060" t="s">
        <v>10325</v>
      </c>
      <c r="L5060">
        <v>1998</v>
      </c>
      <c r="R5060" t="s">
        <v>11038</v>
      </c>
      <c r="S5060" t="s">
        <v>10310</v>
      </c>
      <c r="W5060" s="2" t="s">
        <v>11227</v>
      </c>
    </row>
    <row r="5061" spans="1:23" hidden="1" x14ac:dyDescent="0.45">
      <c r="A5061" s="1" t="s">
        <v>4990</v>
      </c>
      <c r="E5061" t="s">
        <v>9880</v>
      </c>
      <c r="F5061" t="s">
        <v>10303</v>
      </c>
      <c r="G5061">
        <v>15</v>
      </c>
      <c r="H5061" t="s">
        <v>10310</v>
      </c>
      <c r="I5061" t="s">
        <v>10325</v>
      </c>
      <c r="L5061">
        <v>1974</v>
      </c>
      <c r="R5061" t="s">
        <v>11038</v>
      </c>
      <c r="S5061" t="s">
        <v>10310</v>
      </c>
      <c r="W5061" s="2" t="s">
        <v>11227</v>
      </c>
    </row>
    <row r="5062" spans="1:23" hidden="1" x14ac:dyDescent="0.45">
      <c r="A5062" s="1" t="s">
        <v>4991</v>
      </c>
      <c r="E5062" t="s">
        <v>9879</v>
      </c>
      <c r="F5062" t="s">
        <v>10303</v>
      </c>
      <c r="G5062">
        <v>38</v>
      </c>
      <c r="H5062" t="s">
        <v>10310</v>
      </c>
      <c r="I5062" t="s">
        <v>10325</v>
      </c>
      <c r="L5062">
        <v>1967</v>
      </c>
      <c r="R5062" t="s">
        <v>11038</v>
      </c>
      <c r="S5062" t="s">
        <v>10310</v>
      </c>
      <c r="W5062" s="2" t="s">
        <v>11227</v>
      </c>
    </row>
    <row r="5063" spans="1:23" hidden="1" x14ac:dyDescent="0.45">
      <c r="A5063" s="1" t="s">
        <v>4992</v>
      </c>
      <c r="E5063" t="s">
        <v>9884</v>
      </c>
      <c r="F5063" t="s">
        <v>10303</v>
      </c>
      <c r="G5063">
        <v>89</v>
      </c>
      <c r="H5063" t="s">
        <v>10310</v>
      </c>
      <c r="I5063" t="s">
        <v>10325</v>
      </c>
      <c r="L5063">
        <v>2020</v>
      </c>
      <c r="R5063" t="s">
        <v>11038</v>
      </c>
      <c r="S5063" t="s">
        <v>10310</v>
      </c>
      <c r="W5063" s="2" t="s">
        <v>11227</v>
      </c>
    </row>
    <row r="5064" spans="1:23" hidden="1" x14ac:dyDescent="0.45">
      <c r="A5064" s="1" t="s">
        <v>4993</v>
      </c>
      <c r="E5064" t="s">
        <v>9884</v>
      </c>
      <c r="F5064" t="s">
        <v>10303</v>
      </c>
      <c r="G5064">
        <v>200</v>
      </c>
      <c r="H5064" t="s">
        <v>10310</v>
      </c>
      <c r="I5064" t="s">
        <v>10326</v>
      </c>
      <c r="L5064">
        <v>1949</v>
      </c>
      <c r="R5064" t="s">
        <v>11038</v>
      </c>
      <c r="S5064" t="s">
        <v>10310</v>
      </c>
      <c r="W5064" s="2" t="s">
        <v>11227</v>
      </c>
    </row>
    <row r="5065" spans="1:23" hidden="1" x14ac:dyDescent="0.45">
      <c r="A5065" s="1" t="s">
        <v>4994</v>
      </c>
      <c r="E5065" t="s">
        <v>9880</v>
      </c>
      <c r="F5065" t="s">
        <v>10303</v>
      </c>
      <c r="G5065">
        <v>15</v>
      </c>
      <c r="H5065" t="s">
        <v>10310</v>
      </c>
      <c r="I5065" t="s">
        <v>10325</v>
      </c>
      <c r="L5065">
        <v>1964</v>
      </c>
      <c r="R5065" t="s">
        <v>11038</v>
      </c>
      <c r="S5065" t="s">
        <v>10310</v>
      </c>
      <c r="W5065" s="2" t="s">
        <v>11227</v>
      </c>
    </row>
    <row r="5066" spans="1:23" hidden="1" x14ac:dyDescent="0.45">
      <c r="A5066" s="1" t="s">
        <v>4995</v>
      </c>
      <c r="E5066" t="s">
        <v>9880</v>
      </c>
      <c r="F5066" t="s">
        <v>10303</v>
      </c>
      <c r="G5066">
        <v>18</v>
      </c>
      <c r="H5066" t="s">
        <v>10310</v>
      </c>
      <c r="I5066" t="s">
        <v>10325</v>
      </c>
      <c r="R5066" t="s">
        <v>11038</v>
      </c>
      <c r="S5066" t="s">
        <v>10310</v>
      </c>
      <c r="W5066" s="2" t="s">
        <v>11227</v>
      </c>
    </row>
    <row r="5067" spans="1:23" hidden="1" x14ac:dyDescent="0.45">
      <c r="A5067" s="1" t="s">
        <v>4996</v>
      </c>
      <c r="E5067" t="s">
        <v>9881</v>
      </c>
      <c r="F5067" t="s">
        <v>10303</v>
      </c>
      <c r="G5067">
        <v>293</v>
      </c>
      <c r="H5067" t="s">
        <v>10310</v>
      </c>
      <c r="I5067" t="s">
        <v>10325</v>
      </c>
      <c r="L5067">
        <v>1985</v>
      </c>
      <c r="R5067" t="s">
        <v>11038</v>
      </c>
      <c r="S5067" t="s">
        <v>10310</v>
      </c>
      <c r="W5067" s="2" t="s">
        <v>11227</v>
      </c>
    </row>
    <row r="5068" spans="1:23" hidden="1" x14ac:dyDescent="0.45">
      <c r="A5068" s="1" t="s">
        <v>4997</v>
      </c>
      <c r="E5068" t="s">
        <v>9883</v>
      </c>
      <c r="F5068" t="s">
        <v>10303</v>
      </c>
      <c r="G5068">
        <v>9</v>
      </c>
      <c r="H5068" t="s">
        <v>10310</v>
      </c>
      <c r="I5068" t="s">
        <v>10325</v>
      </c>
      <c r="L5068">
        <v>2019</v>
      </c>
      <c r="R5068" t="s">
        <v>11038</v>
      </c>
      <c r="S5068" t="s">
        <v>10310</v>
      </c>
      <c r="W5068" s="2" t="s">
        <v>11227</v>
      </c>
    </row>
    <row r="5069" spans="1:23" hidden="1" x14ac:dyDescent="0.45">
      <c r="A5069" s="1" t="s">
        <v>4998</v>
      </c>
      <c r="E5069" t="s">
        <v>9879</v>
      </c>
      <c r="F5069" t="s">
        <v>10303</v>
      </c>
      <c r="G5069">
        <v>72</v>
      </c>
      <c r="H5069" t="s">
        <v>10310</v>
      </c>
      <c r="I5069" t="s">
        <v>10325</v>
      </c>
      <c r="L5069">
        <v>1950</v>
      </c>
      <c r="R5069" t="s">
        <v>11038</v>
      </c>
      <c r="S5069" t="s">
        <v>10310</v>
      </c>
      <c r="W5069" s="2" t="s">
        <v>11227</v>
      </c>
    </row>
    <row r="5070" spans="1:23" hidden="1" x14ac:dyDescent="0.45">
      <c r="A5070" s="1" t="s">
        <v>4999</v>
      </c>
      <c r="E5070" t="s">
        <v>9880</v>
      </c>
      <c r="F5070" t="s">
        <v>10303</v>
      </c>
      <c r="G5070">
        <v>2</v>
      </c>
      <c r="H5070" t="s">
        <v>10310</v>
      </c>
      <c r="I5070" t="s">
        <v>10325</v>
      </c>
      <c r="L5070">
        <v>2009</v>
      </c>
      <c r="R5070" t="s">
        <v>11038</v>
      </c>
      <c r="S5070" t="s">
        <v>10310</v>
      </c>
      <c r="W5070" s="2" t="s">
        <v>11227</v>
      </c>
    </row>
    <row r="5071" spans="1:23" hidden="1" x14ac:dyDescent="0.45">
      <c r="A5071" s="1" t="s">
        <v>5000</v>
      </c>
      <c r="E5071" t="s">
        <v>9884</v>
      </c>
      <c r="F5071" t="s">
        <v>10303</v>
      </c>
      <c r="G5071">
        <v>4</v>
      </c>
      <c r="H5071" t="s">
        <v>10310</v>
      </c>
      <c r="I5071" t="s">
        <v>10325</v>
      </c>
      <c r="L5071">
        <v>1992</v>
      </c>
      <c r="R5071" t="s">
        <v>11038</v>
      </c>
      <c r="S5071" t="s">
        <v>10310</v>
      </c>
      <c r="W5071" s="2" t="s">
        <v>11227</v>
      </c>
    </row>
    <row r="5072" spans="1:23" hidden="1" x14ac:dyDescent="0.45">
      <c r="A5072" s="1" t="s">
        <v>5001</v>
      </c>
      <c r="E5072" t="s">
        <v>9880</v>
      </c>
      <c r="F5072" t="s">
        <v>10303</v>
      </c>
      <c r="G5072">
        <v>19</v>
      </c>
      <c r="H5072" t="s">
        <v>10310</v>
      </c>
      <c r="I5072" t="s">
        <v>10325</v>
      </c>
      <c r="L5072">
        <v>2012</v>
      </c>
      <c r="R5072" t="s">
        <v>11038</v>
      </c>
      <c r="S5072" t="s">
        <v>10310</v>
      </c>
      <c r="W5072" s="2" t="s">
        <v>11227</v>
      </c>
    </row>
    <row r="5073" spans="1:23" hidden="1" x14ac:dyDescent="0.45">
      <c r="A5073" s="1" t="s">
        <v>5002</v>
      </c>
      <c r="E5073" t="s">
        <v>9880</v>
      </c>
      <c r="F5073" t="s">
        <v>10303</v>
      </c>
      <c r="G5073">
        <v>63</v>
      </c>
      <c r="H5073" t="s">
        <v>10310</v>
      </c>
      <c r="I5073" t="s">
        <v>10326</v>
      </c>
      <c r="L5073">
        <v>1956</v>
      </c>
      <c r="R5073" t="s">
        <v>11038</v>
      </c>
      <c r="S5073" t="s">
        <v>10310</v>
      </c>
      <c r="W5073" s="2" t="s">
        <v>11227</v>
      </c>
    </row>
    <row r="5074" spans="1:23" hidden="1" x14ac:dyDescent="0.45">
      <c r="A5074" s="1" t="s">
        <v>5003</v>
      </c>
      <c r="E5074" t="s">
        <v>9880</v>
      </c>
      <c r="F5074" t="s">
        <v>10303</v>
      </c>
      <c r="G5074">
        <v>1</v>
      </c>
      <c r="H5074" t="s">
        <v>10310</v>
      </c>
      <c r="I5074" t="s">
        <v>10325</v>
      </c>
      <c r="L5074">
        <v>1956</v>
      </c>
      <c r="R5074" t="s">
        <v>11038</v>
      </c>
      <c r="S5074" t="s">
        <v>10310</v>
      </c>
      <c r="W5074" s="2" t="s">
        <v>11227</v>
      </c>
    </row>
    <row r="5075" spans="1:23" hidden="1" x14ac:dyDescent="0.45">
      <c r="A5075" s="1" t="s">
        <v>5004</v>
      </c>
      <c r="E5075" t="s">
        <v>9883</v>
      </c>
      <c r="F5075" t="s">
        <v>10303</v>
      </c>
      <c r="G5075">
        <v>1</v>
      </c>
      <c r="H5075" t="s">
        <v>10310</v>
      </c>
      <c r="I5075" t="s">
        <v>10325</v>
      </c>
      <c r="L5075">
        <v>2012</v>
      </c>
      <c r="R5075" t="s">
        <v>11038</v>
      </c>
      <c r="S5075" t="s">
        <v>10310</v>
      </c>
      <c r="W5075" s="2" t="s">
        <v>11227</v>
      </c>
    </row>
    <row r="5076" spans="1:23" hidden="1" x14ac:dyDescent="0.45">
      <c r="A5076" s="1" t="s">
        <v>5005</v>
      </c>
      <c r="E5076" t="s">
        <v>9884</v>
      </c>
      <c r="F5076" t="s">
        <v>10303</v>
      </c>
      <c r="G5076">
        <v>360</v>
      </c>
      <c r="H5076" t="s">
        <v>10310</v>
      </c>
      <c r="I5076" t="s">
        <v>10324</v>
      </c>
      <c r="L5076">
        <v>1988</v>
      </c>
      <c r="R5076" t="s">
        <v>11038</v>
      </c>
      <c r="S5076" t="s">
        <v>10310</v>
      </c>
      <c r="W5076" s="2" t="s">
        <v>11227</v>
      </c>
    </row>
    <row r="5077" spans="1:23" hidden="1" x14ac:dyDescent="0.45">
      <c r="A5077" s="1" t="s">
        <v>5006</v>
      </c>
      <c r="E5077" t="s">
        <v>9880</v>
      </c>
      <c r="F5077" t="s">
        <v>10303</v>
      </c>
      <c r="G5077">
        <v>19</v>
      </c>
      <c r="H5077" t="s">
        <v>10310</v>
      </c>
      <c r="I5077" t="s">
        <v>10325</v>
      </c>
      <c r="L5077">
        <v>2013</v>
      </c>
      <c r="R5077" t="s">
        <v>11038</v>
      </c>
      <c r="S5077" t="s">
        <v>10310</v>
      </c>
      <c r="W5077" s="2" t="s">
        <v>11227</v>
      </c>
    </row>
    <row r="5078" spans="1:23" hidden="1" x14ac:dyDescent="0.45">
      <c r="A5078" s="1" t="s">
        <v>5007</v>
      </c>
      <c r="E5078" t="s">
        <v>9883</v>
      </c>
      <c r="F5078" t="s">
        <v>10303</v>
      </c>
      <c r="G5078">
        <v>260</v>
      </c>
      <c r="H5078" t="s">
        <v>10310</v>
      </c>
      <c r="I5078" t="s">
        <v>10326</v>
      </c>
      <c r="L5078">
        <v>1953</v>
      </c>
      <c r="R5078" t="s">
        <v>11038</v>
      </c>
      <c r="S5078" t="s">
        <v>10310</v>
      </c>
      <c r="W5078" s="2" t="s">
        <v>11227</v>
      </c>
    </row>
    <row r="5079" spans="1:23" hidden="1" x14ac:dyDescent="0.45">
      <c r="A5079" s="1" t="s">
        <v>5008</v>
      </c>
      <c r="E5079" t="s">
        <v>9883</v>
      </c>
      <c r="F5079" t="s">
        <v>10303</v>
      </c>
      <c r="G5079">
        <v>1</v>
      </c>
      <c r="H5079" t="s">
        <v>10310</v>
      </c>
      <c r="I5079" t="s">
        <v>10325</v>
      </c>
      <c r="L5079">
        <v>1947</v>
      </c>
      <c r="R5079" t="s">
        <v>11038</v>
      </c>
      <c r="S5079" t="s">
        <v>10310</v>
      </c>
      <c r="W5079" s="2" t="s">
        <v>11227</v>
      </c>
    </row>
    <row r="5080" spans="1:23" hidden="1" x14ac:dyDescent="0.45">
      <c r="A5080" s="1" t="s">
        <v>5009</v>
      </c>
      <c r="E5080" t="s">
        <v>9882</v>
      </c>
      <c r="F5080" t="s">
        <v>10303</v>
      </c>
      <c r="G5080">
        <v>25</v>
      </c>
      <c r="H5080" t="s">
        <v>10310</v>
      </c>
      <c r="I5080" t="s">
        <v>10325</v>
      </c>
      <c r="L5080">
        <v>1985</v>
      </c>
      <c r="R5080" t="s">
        <v>11038</v>
      </c>
      <c r="S5080" t="s">
        <v>10310</v>
      </c>
      <c r="W5080" s="2" t="s">
        <v>11227</v>
      </c>
    </row>
    <row r="5081" spans="1:23" hidden="1" x14ac:dyDescent="0.45">
      <c r="A5081" s="1" t="s">
        <v>5010</v>
      </c>
      <c r="E5081" t="s">
        <v>9879</v>
      </c>
      <c r="F5081" t="s">
        <v>10303</v>
      </c>
      <c r="G5081">
        <v>20</v>
      </c>
      <c r="H5081" t="s">
        <v>10310</v>
      </c>
      <c r="I5081" t="s">
        <v>10325</v>
      </c>
      <c r="L5081">
        <v>1975</v>
      </c>
      <c r="R5081" t="s">
        <v>11038</v>
      </c>
      <c r="S5081" t="s">
        <v>10310</v>
      </c>
      <c r="W5081" s="2" t="s">
        <v>11227</v>
      </c>
    </row>
    <row r="5082" spans="1:23" hidden="1" x14ac:dyDescent="0.45">
      <c r="A5082" s="1" t="s">
        <v>5011</v>
      </c>
      <c r="E5082" t="s">
        <v>9883</v>
      </c>
      <c r="F5082" t="s">
        <v>10303</v>
      </c>
      <c r="G5082">
        <v>18</v>
      </c>
      <c r="H5082" t="s">
        <v>10310</v>
      </c>
      <c r="I5082" t="s">
        <v>10325</v>
      </c>
      <c r="L5082">
        <v>1996</v>
      </c>
      <c r="R5082" t="s">
        <v>11038</v>
      </c>
      <c r="S5082" t="s">
        <v>10310</v>
      </c>
      <c r="W5082" s="2" t="s">
        <v>11227</v>
      </c>
    </row>
    <row r="5083" spans="1:23" hidden="1" x14ac:dyDescent="0.45">
      <c r="A5083" s="1" t="s">
        <v>5012</v>
      </c>
      <c r="E5083" t="s">
        <v>9882</v>
      </c>
      <c r="F5083" t="s">
        <v>10303</v>
      </c>
      <c r="G5083">
        <v>45</v>
      </c>
      <c r="H5083" t="s">
        <v>10310</v>
      </c>
      <c r="I5083" t="s">
        <v>10326</v>
      </c>
      <c r="L5083">
        <v>1960</v>
      </c>
      <c r="R5083" t="s">
        <v>11038</v>
      </c>
      <c r="S5083" t="s">
        <v>10310</v>
      </c>
      <c r="W5083" s="2" t="s">
        <v>11227</v>
      </c>
    </row>
    <row r="5084" spans="1:23" hidden="1" x14ac:dyDescent="0.45">
      <c r="A5084" s="1" t="s">
        <v>5013</v>
      </c>
      <c r="E5084" t="s">
        <v>9880</v>
      </c>
      <c r="F5084" t="s">
        <v>10303</v>
      </c>
      <c r="G5084">
        <v>30</v>
      </c>
      <c r="H5084" t="s">
        <v>10310</v>
      </c>
      <c r="I5084" t="s">
        <v>10325</v>
      </c>
      <c r="L5084">
        <v>1965</v>
      </c>
      <c r="R5084" t="s">
        <v>11038</v>
      </c>
      <c r="S5084" t="s">
        <v>10310</v>
      </c>
      <c r="W5084" s="2" t="s">
        <v>11227</v>
      </c>
    </row>
    <row r="5085" spans="1:23" hidden="1" x14ac:dyDescent="0.45">
      <c r="A5085" s="1" t="s">
        <v>5014</v>
      </c>
      <c r="E5085" t="s">
        <v>9880</v>
      </c>
      <c r="F5085" t="s">
        <v>10303</v>
      </c>
      <c r="G5085">
        <v>25</v>
      </c>
      <c r="H5085" t="s">
        <v>10310</v>
      </c>
      <c r="I5085" t="s">
        <v>10325</v>
      </c>
      <c r="L5085">
        <v>1967</v>
      </c>
      <c r="R5085" t="s">
        <v>11038</v>
      </c>
      <c r="S5085" t="s">
        <v>10310</v>
      </c>
      <c r="W5085" s="2" t="s">
        <v>11227</v>
      </c>
    </row>
    <row r="5086" spans="1:23" hidden="1" x14ac:dyDescent="0.45">
      <c r="A5086" s="1" t="s">
        <v>5015</v>
      </c>
      <c r="E5086" t="s">
        <v>9880</v>
      </c>
      <c r="F5086" t="s">
        <v>10303</v>
      </c>
      <c r="G5086">
        <v>18</v>
      </c>
      <c r="H5086" t="s">
        <v>10310</v>
      </c>
      <c r="I5086" t="s">
        <v>10325</v>
      </c>
      <c r="L5086">
        <v>1931</v>
      </c>
      <c r="R5086" t="s">
        <v>11038</v>
      </c>
      <c r="S5086" t="s">
        <v>10310</v>
      </c>
      <c r="W5086" s="2" t="s">
        <v>11227</v>
      </c>
    </row>
    <row r="5087" spans="1:23" hidden="1" x14ac:dyDescent="0.45">
      <c r="A5087" s="1" t="s">
        <v>5016</v>
      </c>
      <c r="E5087" t="s">
        <v>9882</v>
      </c>
      <c r="F5087" t="s">
        <v>10303</v>
      </c>
      <c r="G5087">
        <v>28</v>
      </c>
      <c r="H5087" t="s">
        <v>10310</v>
      </c>
      <c r="I5087" t="s">
        <v>10325</v>
      </c>
      <c r="L5087">
        <v>1949</v>
      </c>
      <c r="R5087" t="s">
        <v>11038</v>
      </c>
      <c r="S5087" t="s">
        <v>10310</v>
      </c>
      <c r="W5087" s="2" t="s">
        <v>11227</v>
      </c>
    </row>
    <row r="5088" spans="1:23" hidden="1" x14ac:dyDescent="0.45">
      <c r="A5088" s="1" t="s">
        <v>5017</v>
      </c>
      <c r="E5088" t="s">
        <v>9880</v>
      </c>
      <c r="F5088" t="s">
        <v>10303</v>
      </c>
      <c r="G5088">
        <v>10</v>
      </c>
      <c r="H5088" t="s">
        <v>10310</v>
      </c>
      <c r="I5088" t="s">
        <v>10325</v>
      </c>
      <c r="L5088">
        <v>2005</v>
      </c>
      <c r="R5088" t="s">
        <v>11038</v>
      </c>
      <c r="S5088" t="s">
        <v>10310</v>
      </c>
      <c r="W5088" s="2" t="s">
        <v>11227</v>
      </c>
    </row>
    <row r="5089" spans="1:23" hidden="1" x14ac:dyDescent="0.45">
      <c r="A5089" s="1" t="s">
        <v>5018</v>
      </c>
      <c r="E5089" t="s">
        <v>9879</v>
      </c>
      <c r="F5089" t="s">
        <v>10303</v>
      </c>
      <c r="G5089">
        <v>39</v>
      </c>
      <c r="H5089" t="s">
        <v>10310</v>
      </c>
      <c r="I5089" t="s">
        <v>10325</v>
      </c>
      <c r="L5089">
        <v>1962</v>
      </c>
      <c r="R5089" t="s">
        <v>11038</v>
      </c>
      <c r="S5089" t="s">
        <v>10310</v>
      </c>
      <c r="W5089" s="2" t="s">
        <v>11227</v>
      </c>
    </row>
    <row r="5090" spans="1:23" hidden="1" x14ac:dyDescent="0.45">
      <c r="A5090" s="1" t="s">
        <v>5019</v>
      </c>
      <c r="E5090" t="s">
        <v>9882</v>
      </c>
      <c r="F5090" t="s">
        <v>10303</v>
      </c>
      <c r="G5090">
        <v>730</v>
      </c>
      <c r="H5090" t="s">
        <v>10310</v>
      </c>
      <c r="I5090" t="s">
        <v>10324</v>
      </c>
      <c r="L5090">
        <v>1979</v>
      </c>
      <c r="R5090" t="s">
        <v>11038</v>
      </c>
      <c r="S5090" t="s">
        <v>10310</v>
      </c>
      <c r="W5090" s="2" t="s">
        <v>11227</v>
      </c>
    </row>
    <row r="5091" spans="1:23" hidden="1" x14ac:dyDescent="0.45">
      <c r="A5091" s="1" t="s">
        <v>5020</v>
      </c>
      <c r="E5091" t="s">
        <v>9882</v>
      </c>
      <c r="F5091" t="s">
        <v>10303</v>
      </c>
      <c r="G5091">
        <v>120</v>
      </c>
      <c r="H5091" t="s">
        <v>10310</v>
      </c>
      <c r="I5091" t="s">
        <v>10324</v>
      </c>
      <c r="L5091">
        <v>1979</v>
      </c>
      <c r="R5091" t="s">
        <v>11038</v>
      </c>
      <c r="S5091" t="s">
        <v>10310</v>
      </c>
      <c r="W5091" s="2" t="s">
        <v>11227</v>
      </c>
    </row>
    <row r="5092" spans="1:23" hidden="1" x14ac:dyDescent="0.45">
      <c r="A5092" s="1" t="s">
        <v>5021</v>
      </c>
      <c r="E5092" t="s">
        <v>9882</v>
      </c>
      <c r="F5092" t="s">
        <v>10303</v>
      </c>
      <c r="G5092">
        <v>41</v>
      </c>
      <c r="H5092" t="s">
        <v>10310</v>
      </c>
      <c r="I5092" t="s">
        <v>10325</v>
      </c>
      <c r="L5092">
        <v>1979</v>
      </c>
      <c r="R5092" t="s">
        <v>11038</v>
      </c>
      <c r="S5092" t="s">
        <v>10310</v>
      </c>
      <c r="W5092" s="2" t="s">
        <v>11227</v>
      </c>
    </row>
    <row r="5093" spans="1:23" hidden="1" x14ac:dyDescent="0.45">
      <c r="A5093" s="1" t="s">
        <v>5022</v>
      </c>
      <c r="E5093" t="s">
        <v>9880</v>
      </c>
      <c r="F5093" t="s">
        <v>10303</v>
      </c>
      <c r="G5093">
        <v>6</v>
      </c>
      <c r="H5093" t="s">
        <v>10310</v>
      </c>
      <c r="I5093" t="s">
        <v>10325</v>
      </c>
      <c r="L5093">
        <v>1985</v>
      </c>
      <c r="R5093" t="s">
        <v>11038</v>
      </c>
      <c r="S5093" t="s">
        <v>10310</v>
      </c>
      <c r="W5093" s="2" t="s">
        <v>11227</v>
      </c>
    </row>
    <row r="5094" spans="1:23" hidden="1" x14ac:dyDescent="0.45">
      <c r="A5094" s="1" t="s">
        <v>5023</v>
      </c>
      <c r="E5094" t="s">
        <v>9884</v>
      </c>
      <c r="F5094" t="s">
        <v>10303</v>
      </c>
      <c r="G5094">
        <v>355</v>
      </c>
      <c r="H5094" t="s">
        <v>10310</v>
      </c>
      <c r="I5094" t="s">
        <v>10326</v>
      </c>
      <c r="L5094">
        <v>1970</v>
      </c>
      <c r="R5094" t="s">
        <v>11038</v>
      </c>
      <c r="S5094" t="s">
        <v>10310</v>
      </c>
      <c r="W5094" s="2" t="s">
        <v>11227</v>
      </c>
    </row>
    <row r="5095" spans="1:23" hidden="1" x14ac:dyDescent="0.45">
      <c r="A5095" s="1" t="s">
        <v>5024</v>
      </c>
      <c r="E5095" t="s">
        <v>9881</v>
      </c>
      <c r="F5095" t="s">
        <v>10303</v>
      </c>
      <c r="G5095">
        <v>187</v>
      </c>
      <c r="H5095" t="s">
        <v>10310</v>
      </c>
      <c r="I5095" t="s">
        <v>10325</v>
      </c>
      <c r="L5095">
        <v>1982</v>
      </c>
      <c r="R5095" t="s">
        <v>11038</v>
      </c>
      <c r="S5095" t="s">
        <v>10310</v>
      </c>
      <c r="W5095" s="2" t="s">
        <v>11227</v>
      </c>
    </row>
    <row r="5096" spans="1:23" hidden="1" x14ac:dyDescent="0.45">
      <c r="A5096" s="1" t="s">
        <v>5025</v>
      </c>
      <c r="E5096" t="s">
        <v>9880</v>
      </c>
      <c r="F5096" t="s">
        <v>10303</v>
      </c>
      <c r="G5096">
        <v>246</v>
      </c>
      <c r="H5096" t="s">
        <v>10314</v>
      </c>
      <c r="I5096" t="s">
        <v>10323</v>
      </c>
      <c r="L5096">
        <v>1986</v>
      </c>
      <c r="R5096" t="s">
        <v>11037</v>
      </c>
      <c r="S5096" t="s">
        <v>10314</v>
      </c>
      <c r="W5096" s="2" t="s">
        <v>11227</v>
      </c>
    </row>
    <row r="5097" spans="1:23" hidden="1" x14ac:dyDescent="0.45">
      <c r="A5097" s="1" t="s">
        <v>5026</v>
      </c>
      <c r="E5097" t="s">
        <v>9880</v>
      </c>
      <c r="F5097" t="s">
        <v>10303</v>
      </c>
      <c r="G5097">
        <v>832</v>
      </c>
      <c r="H5097" t="s">
        <v>10314</v>
      </c>
      <c r="I5097" t="s">
        <v>10323</v>
      </c>
      <c r="L5097">
        <v>2011</v>
      </c>
      <c r="R5097" t="s">
        <v>11037</v>
      </c>
      <c r="S5097" t="s">
        <v>10314</v>
      </c>
      <c r="W5097" s="2" t="s">
        <v>11227</v>
      </c>
    </row>
    <row r="5098" spans="1:23" hidden="1" x14ac:dyDescent="0.45">
      <c r="A5098" s="1" t="s">
        <v>5027</v>
      </c>
      <c r="E5098" t="s">
        <v>9880</v>
      </c>
      <c r="F5098" t="s">
        <v>10303</v>
      </c>
      <c r="G5098">
        <v>16</v>
      </c>
      <c r="H5098" t="s">
        <v>10310</v>
      </c>
      <c r="I5098" t="s">
        <v>10325</v>
      </c>
      <c r="L5098">
        <v>1985</v>
      </c>
      <c r="R5098" t="s">
        <v>11038</v>
      </c>
      <c r="S5098" t="s">
        <v>10310</v>
      </c>
      <c r="W5098" s="2" t="s">
        <v>11227</v>
      </c>
    </row>
    <row r="5099" spans="1:23" hidden="1" x14ac:dyDescent="0.45">
      <c r="A5099" s="1" t="s">
        <v>5028</v>
      </c>
      <c r="E5099" t="s">
        <v>9882</v>
      </c>
      <c r="F5099" t="s">
        <v>10303</v>
      </c>
      <c r="G5099">
        <v>1</v>
      </c>
      <c r="H5099" t="s">
        <v>10310</v>
      </c>
      <c r="I5099" t="s">
        <v>10325</v>
      </c>
      <c r="L5099">
        <v>1925</v>
      </c>
      <c r="R5099" t="s">
        <v>11038</v>
      </c>
      <c r="S5099" t="s">
        <v>10310</v>
      </c>
      <c r="W5099" s="2" t="s">
        <v>11227</v>
      </c>
    </row>
    <row r="5100" spans="1:23" hidden="1" x14ac:dyDescent="0.45">
      <c r="A5100" s="1" t="s">
        <v>5029</v>
      </c>
      <c r="E5100" t="s">
        <v>9882</v>
      </c>
      <c r="F5100" t="s">
        <v>10303</v>
      </c>
      <c r="G5100">
        <v>2</v>
      </c>
      <c r="H5100" t="s">
        <v>10310</v>
      </c>
      <c r="I5100" t="s">
        <v>10325</v>
      </c>
      <c r="L5100">
        <v>1960</v>
      </c>
      <c r="R5100" t="s">
        <v>11038</v>
      </c>
      <c r="S5100" t="s">
        <v>10310</v>
      </c>
      <c r="W5100" s="2" t="s">
        <v>11227</v>
      </c>
    </row>
    <row r="5101" spans="1:23" hidden="1" x14ac:dyDescent="0.45">
      <c r="A5101" s="1" t="s">
        <v>5030</v>
      </c>
      <c r="E5101" t="s">
        <v>9885</v>
      </c>
      <c r="F5101" t="s">
        <v>10303</v>
      </c>
      <c r="G5101">
        <v>5</v>
      </c>
      <c r="H5101" t="s">
        <v>10310</v>
      </c>
      <c r="I5101" t="s">
        <v>10325</v>
      </c>
      <c r="L5101">
        <v>2005</v>
      </c>
      <c r="R5101" t="s">
        <v>11038</v>
      </c>
      <c r="S5101" t="s">
        <v>10310</v>
      </c>
      <c r="W5101" s="2" t="s">
        <v>11227</v>
      </c>
    </row>
    <row r="5102" spans="1:23" hidden="1" x14ac:dyDescent="0.45">
      <c r="A5102" s="1" t="s">
        <v>5031</v>
      </c>
      <c r="E5102" t="s">
        <v>9880</v>
      </c>
      <c r="F5102" t="s">
        <v>10303</v>
      </c>
      <c r="G5102">
        <v>13</v>
      </c>
      <c r="H5102" t="s">
        <v>10310</v>
      </c>
      <c r="I5102" t="s">
        <v>10325</v>
      </c>
      <c r="L5102">
        <v>1978</v>
      </c>
      <c r="R5102" t="s">
        <v>11038</v>
      </c>
      <c r="S5102" t="s">
        <v>10310</v>
      </c>
      <c r="W5102" s="2" t="s">
        <v>11227</v>
      </c>
    </row>
    <row r="5103" spans="1:23" hidden="1" x14ac:dyDescent="0.45">
      <c r="A5103" s="1" t="s">
        <v>5032</v>
      </c>
      <c r="E5103" t="s">
        <v>9879</v>
      </c>
      <c r="F5103" t="s">
        <v>10303</v>
      </c>
      <c r="G5103">
        <v>179</v>
      </c>
      <c r="H5103" t="s">
        <v>10310</v>
      </c>
      <c r="I5103" t="s">
        <v>10325</v>
      </c>
      <c r="L5103">
        <v>1974</v>
      </c>
      <c r="R5103" t="s">
        <v>11038</v>
      </c>
      <c r="S5103" t="s">
        <v>10310</v>
      </c>
      <c r="W5103" s="2" t="s">
        <v>11227</v>
      </c>
    </row>
    <row r="5104" spans="1:23" hidden="1" x14ac:dyDescent="0.45">
      <c r="A5104" s="1" t="s">
        <v>5033</v>
      </c>
      <c r="E5104" t="s">
        <v>9880</v>
      </c>
      <c r="F5104" t="s">
        <v>10303</v>
      </c>
      <c r="G5104">
        <v>1</v>
      </c>
      <c r="H5104" t="s">
        <v>10310</v>
      </c>
      <c r="I5104" t="s">
        <v>10325</v>
      </c>
      <c r="L5104">
        <v>1931</v>
      </c>
      <c r="R5104" t="s">
        <v>11038</v>
      </c>
      <c r="S5104" t="s">
        <v>10310</v>
      </c>
      <c r="W5104" s="2" t="s">
        <v>11227</v>
      </c>
    </row>
    <row r="5105" spans="1:23" hidden="1" x14ac:dyDescent="0.45">
      <c r="A5105" s="1" t="s">
        <v>5034</v>
      </c>
      <c r="E5105" t="s">
        <v>9882</v>
      </c>
      <c r="F5105" t="s">
        <v>10303</v>
      </c>
      <c r="G5105">
        <v>24</v>
      </c>
      <c r="H5105" t="s">
        <v>10310</v>
      </c>
      <c r="I5105" t="s">
        <v>10325</v>
      </c>
      <c r="L5105">
        <v>1988</v>
      </c>
      <c r="R5105" t="s">
        <v>11038</v>
      </c>
      <c r="S5105" t="s">
        <v>10310</v>
      </c>
      <c r="W5105" s="2" t="s">
        <v>11227</v>
      </c>
    </row>
    <row r="5106" spans="1:23" hidden="1" x14ac:dyDescent="0.45">
      <c r="A5106" s="1" t="s">
        <v>5035</v>
      </c>
      <c r="E5106" t="s">
        <v>9880</v>
      </c>
      <c r="F5106" t="s">
        <v>10303</v>
      </c>
      <c r="G5106">
        <v>13</v>
      </c>
      <c r="H5106" t="s">
        <v>10310</v>
      </c>
      <c r="I5106" t="s">
        <v>10325</v>
      </c>
      <c r="L5106">
        <v>1965</v>
      </c>
      <c r="R5106" t="s">
        <v>11038</v>
      </c>
      <c r="S5106" t="s">
        <v>10310</v>
      </c>
      <c r="W5106" s="2" t="s">
        <v>11227</v>
      </c>
    </row>
    <row r="5107" spans="1:23" hidden="1" x14ac:dyDescent="0.45">
      <c r="A5107" s="1" t="s">
        <v>5036</v>
      </c>
      <c r="E5107" t="s">
        <v>9880</v>
      </c>
      <c r="F5107" t="s">
        <v>10303</v>
      </c>
      <c r="G5107">
        <v>26</v>
      </c>
      <c r="H5107" t="s">
        <v>10310</v>
      </c>
      <c r="I5107" t="s">
        <v>10325</v>
      </c>
      <c r="L5107">
        <v>1927</v>
      </c>
      <c r="R5107" t="s">
        <v>11038</v>
      </c>
      <c r="S5107" t="s">
        <v>10310</v>
      </c>
      <c r="W5107" s="2" t="s">
        <v>11227</v>
      </c>
    </row>
    <row r="5108" spans="1:23" hidden="1" x14ac:dyDescent="0.45">
      <c r="A5108" s="1" t="s">
        <v>5037</v>
      </c>
      <c r="E5108" t="s">
        <v>9879</v>
      </c>
      <c r="F5108" t="s">
        <v>10303</v>
      </c>
      <c r="G5108">
        <v>2</v>
      </c>
      <c r="H5108" t="s">
        <v>10310</v>
      </c>
      <c r="I5108" t="s">
        <v>10325</v>
      </c>
      <c r="L5108">
        <v>2005</v>
      </c>
      <c r="R5108" t="s">
        <v>11038</v>
      </c>
      <c r="S5108" t="s">
        <v>10310</v>
      </c>
      <c r="W5108" s="2" t="s">
        <v>11227</v>
      </c>
    </row>
    <row r="5109" spans="1:23" hidden="1" x14ac:dyDescent="0.45">
      <c r="A5109" s="1" t="s">
        <v>5038</v>
      </c>
      <c r="E5109" t="s">
        <v>9880</v>
      </c>
      <c r="F5109" t="s">
        <v>10303</v>
      </c>
      <c r="G5109">
        <v>2</v>
      </c>
      <c r="H5109" t="s">
        <v>10310</v>
      </c>
      <c r="I5109" t="s">
        <v>10325</v>
      </c>
      <c r="L5109">
        <v>1904</v>
      </c>
      <c r="R5109" t="s">
        <v>11038</v>
      </c>
      <c r="S5109" t="s">
        <v>10310</v>
      </c>
      <c r="W5109" s="2" t="s">
        <v>11227</v>
      </c>
    </row>
    <row r="5110" spans="1:23" hidden="1" x14ac:dyDescent="0.45">
      <c r="A5110" s="1" t="s">
        <v>5039</v>
      </c>
      <c r="E5110" t="s">
        <v>9880</v>
      </c>
      <c r="F5110" t="s">
        <v>10303</v>
      </c>
      <c r="G5110">
        <v>14</v>
      </c>
      <c r="H5110" t="s">
        <v>10310</v>
      </c>
      <c r="I5110" t="s">
        <v>10325</v>
      </c>
      <c r="L5110">
        <v>1987</v>
      </c>
      <c r="R5110" t="s">
        <v>11038</v>
      </c>
      <c r="S5110" t="s">
        <v>10310</v>
      </c>
      <c r="W5110" s="2" t="s">
        <v>11227</v>
      </c>
    </row>
    <row r="5111" spans="1:23" hidden="1" x14ac:dyDescent="0.45">
      <c r="A5111" s="1" t="s">
        <v>5040</v>
      </c>
      <c r="E5111" t="s">
        <v>9880</v>
      </c>
      <c r="F5111" t="s">
        <v>10303</v>
      </c>
      <c r="G5111">
        <v>1</v>
      </c>
      <c r="H5111" t="s">
        <v>10310</v>
      </c>
      <c r="I5111" t="s">
        <v>10325</v>
      </c>
      <c r="L5111">
        <v>1985</v>
      </c>
      <c r="R5111" t="s">
        <v>11038</v>
      </c>
      <c r="S5111" t="s">
        <v>10310</v>
      </c>
      <c r="W5111" s="2" t="s">
        <v>11227</v>
      </c>
    </row>
    <row r="5112" spans="1:23" hidden="1" x14ac:dyDescent="0.45">
      <c r="A5112" s="1" t="s">
        <v>5041</v>
      </c>
      <c r="E5112" t="s">
        <v>9882</v>
      </c>
      <c r="F5112" t="s">
        <v>10303</v>
      </c>
      <c r="G5112">
        <v>430</v>
      </c>
      <c r="H5112" t="s">
        <v>10310</v>
      </c>
      <c r="I5112" t="s">
        <v>10324</v>
      </c>
      <c r="L5112">
        <v>2016</v>
      </c>
      <c r="R5112" t="s">
        <v>11038</v>
      </c>
      <c r="S5112" t="s">
        <v>10310</v>
      </c>
      <c r="W5112" s="2" t="s">
        <v>11227</v>
      </c>
    </row>
    <row r="5113" spans="1:23" hidden="1" x14ac:dyDescent="0.45">
      <c r="A5113" s="1" t="s">
        <v>5042</v>
      </c>
      <c r="E5113" t="s">
        <v>9882</v>
      </c>
      <c r="F5113" t="s">
        <v>10303</v>
      </c>
      <c r="G5113">
        <v>68</v>
      </c>
      <c r="H5113" t="s">
        <v>10310</v>
      </c>
      <c r="I5113" t="s">
        <v>10326</v>
      </c>
      <c r="L5113">
        <v>1962</v>
      </c>
      <c r="R5113" t="s">
        <v>11038</v>
      </c>
      <c r="S5113" t="s">
        <v>10310</v>
      </c>
      <c r="W5113" s="2" t="s">
        <v>11227</v>
      </c>
    </row>
    <row r="5114" spans="1:23" hidden="1" x14ac:dyDescent="0.45">
      <c r="A5114" s="1" t="s">
        <v>5043</v>
      </c>
      <c r="E5114" t="s">
        <v>9882</v>
      </c>
      <c r="F5114" t="s">
        <v>10303</v>
      </c>
      <c r="G5114">
        <v>23</v>
      </c>
      <c r="H5114" t="s">
        <v>10310</v>
      </c>
      <c r="I5114" t="s">
        <v>10326</v>
      </c>
      <c r="L5114">
        <v>1953</v>
      </c>
      <c r="R5114" t="s">
        <v>11038</v>
      </c>
      <c r="S5114" t="s">
        <v>10310</v>
      </c>
      <c r="W5114" s="2" t="s">
        <v>11227</v>
      </c>
    </row>
    <row r="5115" spans="1:23" hidden="1" x14ac:dyDescent="0.45">
      <c r="A5115" s="1" t="s">
        <v>5044</v>
      </c>
      <c r="E5115" t="s">
        <v>9880</v>
      </c>
      <c r="F5115" t="s">
        <v>10303</v>
      </c>
      <c r="G5115">
        <v>1</v>
      </c>
      <c r="H5115" t="s">
        <v>10310</v>
      </c>
      <c r="I5115" t="s">
        <v>10325</v>
      </c>
      <c r="L5115">
        <v>1992</v>
      </c>
      <c r="R5115" t="s">
        <v>11038</v>
      </c>
      <c r="S5115" t="s">
        <v>10310</v>
      </c>
      <c r="W5115" s="2" t="s">
        <v>11227</v>
      </c>
    </row>
    <row r="5116" spans="1:23" hidden="1" x14ac:dyDescent="0.45">
      <c r="A5116" s="1" t="s">
        <v>5045</v>
      </c>
      <c r="E5116" t="s">
        <v>9882</v>
      </c>
      <c r="F5116" t="s">
        <v>10303</v>
      </c>
      <c r="G5116">
        <v>80</v>
      </c>
      <c r="H5116" t="s">
        <v>10310</v>
      </c>
      <c r="I5116" t="s">
        <v>10325</v>
      </c>
      <c r="L5116">
        <v>1974</v>
      </c>
      <c r="R5116" t="s">
        <v>11038</v>
      </c>
      <c r="S5116" t="s">
        <v>10310</v>
      </c>
      <c r="W5116" s="2" t="s">
        <v>11227</v>
      </c>
    </row>
    <row r="5117" spans="1:23" hidden="1" x14ac:dyDescent="0.45">
      <c r="A5117" s="1" t="s">
        <v>5046</v>
      </c>
      <c r="E5117" t="s">
        <v>9879</v>
      </c>
      <c r="F5117" t="s">
        <v>10303</v>
      </c>
      <c r="G5117">
        <v>34</v>
      </c>
      <c r="H5117" t="s">
        <v>10310</v>
      </c>
      <c r="I5117" t="s">
        <v>10325</v>
      </c>
      <c r="L5117">
        <v>1953</v>
      </c>
      <c r="R5117" t="s">
        <v>11038</v>
      </c>
      <c r="S5117" t="s">
        <v>10310</v>
      </c>
      <c r="W5117" s="2" t="s">
        <v>11227</v>
      </c>
    </row>
    <row r="5118" spans="1:23" hidden="1" x14ac:dyDescent="0.45">
      <c r="A5118" s="1" t="s">
        <v>5047</v>
      </c>
      <c r="E5118" t="s">
        <v>9884</v>
      </c>
      <c r="F5118" t="s">
        <v>10303</v>
      </c>
      <c r="G5118">
        <v>231</v>
      </c>
      <c r="H5118" t="s">
        <v>10310</v>
      </c>
      <c r="I5118" t="s">
        <v>10324</v>
      </c>
      <c r="L5118">
        <v>1972</v>
      </c>
      <c r="R5118" t="s">
        <v>11038</v>
      </c>
      <c r="S5118" t="s">
        <v>10310</v>
      </c>
      <c r="W5118" s="2" t="s">
        <v>11227</v>
      </c>
    </row>
    <row r="5119" spans="1:23" hidden="1" x14ac:dyDescent="0.45">
      <c r="A5119" s="1" t="s">
        <v>5048</v>
      </c>
      <c r="E5119" t="s">
        <v>9880</v>
      </c>
      <c r="F5119" t="s">
        <v>10303</v>
      </c>
      <c r="G5119">
        <v>9</v>
      </c>
      <c r="H5119" t="s">
        <v>10310</v>
      </c>
      <c r="I5119" t="s">
        <v>10326</v>
      </c>
      <c r="L5119">
        <v>1949</v>
      </c>
      <c r="R5119" t="s">
        <v>11038</v>
      </c>
      <c r="S5119" t="s">
        <v>10310</v>
      </c>
      <c r="W5119" s="2" t="s">
        <v>11227</v>
      </c>
    </row>
    <row r="5120" spans="1:23" hidden="1" x14ac:dyDescent="0.45">
      <c r="A5120" s="1" t="s">
        <v>5049</v>
      </c>
      <c r="E5120" t="s">
        <v>9882</v>
      </c>
      <c r="F5120" t="s">
        <v>10303</v>
      </c>
      <c r="G5120">
        <v>79</v>
      </c>
      <c r="H5120" t="s">
        <v>10310</v>
      </c>
      <c r="I5120" t="s">
        <v>10325</v>
      </c>
      <c r="L5120">
        <v>1943</v>
      </c>
      <c r="R5120" t="s">
        <v>11038</v>
      </c>
      <c r="S5120" t="s">
        <v>10310</v>
      </c>
      <c r="W5120" s="2" t="s">
        <v>11227</v>
      </c>
    </row>
    <row r="5121" spans="1:23" hidden="1" x14ac:dyDescent="0.45">
      <c r="A5121" s="1" t="s">
        <v>5050</v>
      </c>
      <c r="E5121" t="s">
        <v>9883</v>
      </c>
      <c r="F5121" t="s">
        <v>10303</v>
      </c>
      <c r="G5121">
        <v>120</v>
      </c>
      <c r="H5121" t="s">
        <v>10310</v>
      </c>
      <c r="I5121" t="s">
        <v>10326</v>
      </c>
      <c r="L5121">
        <v>1960</v>
      </c>
      <c r="R5121" t="s">
        <v>11038</v>
      </c>
      <c r="S5121" t="s">
        <v>10310</v>
      </c>
      <c r="W5121" s="2" t="s">
        <v>11227</v>
      </c>
    </row>
    <row r="5122" spans="1:23" hidden="1" x14ac:dyDescent="0.45">
      <c r="A5122" s="1" t="s">
        <v>5051</v>
      </c>
      <c r="E5122" t="s">
        <v>9879</v>
      </c>
      <c r="F5122" t="s">
        <v>10303</v>
      </c>
      <c r="G5122">
        <v>30</v>
      </c>
      <c r="H5122" t="s">
        <v>10310</v>
      </c>
      <c r="I5122" t="s">
        <v>10325</v>
      </c>
      <c r="L5122">
        <v>1972</v>
      </c>
      <c r="R5122" t="s">
        <v>11038</v>
      </c>
      <c r="S5122" t="s">
        <v>10310</v>
      </c>
      <c r="W5122" s="2" t="s">
        <v>11227</v>
      </c>
    </row>
    <row r="5123" spans="1:23" hidden="1" x14ac:dyDescent="0.45">
      <c r="A5123" s="1" t="s">
        <v>5052</v>
      </c>
      <c r="E5123" t="s">
        <v>9880</v>
      </c>
      <c r="F5123" t="s">
        <v>10303</v>
      </c>
      <c r="G5123">
        <v>13</v>
      </c>
      <c r="H5123" t="s">
        <v>10310</v>
      </c>
      <c r="I5123" t="s">
        <v>10325</v>
      </c>
      <c r="L5123">
        <v>1982</v>
      </c>
      <c r="R5123" t="s">
        <v>11038</v>
      </c>
      <c r="S5123" t="s">
        <v>10310</v>
      </c>
      <c r="W5123" s="2" t="s">
        <v>11227</v>
      </c>
    </row>
    <row r="5124" spans="1:23" hidden="1" x14ac:dyDescent="0.45">
      <c r="A5124" s="1" t="s">
        <v>5053</v>
      </c>
      <c r="E5124" t="s">
        <v>9880</v>
      </c>
      <c r="F5124" t="s">
        <v>10303</v>
      </c>
      <c r="G5124">
        <v>6</v>
      </c>
      <c r="H5124" t="s">
        <v>10310</v>
      </c>
      <c r="I5124" t="s">
        <v>10325</v>
      </c>
      <c r="L5124">
        <v>1985</v>
      </c>
      <c r="R5124" t="s">
        <v>11038</v>
      </c>
      <c r="S5124" t="s">
        <v>10310</v>
      </c>
      <c r="W5124" s="2" t="s">
        <v>11227</v>
      </c>
    </row>
    <row r="5125" spans="1:23" hidden="1" x14ac:dyDescent="0.45">
      <c r="A5125" s="1" t="s">
        <v>5054</v>
      </c>
      <c r="E5125" t="s">
        <v>9883</v>
      </c>
      <c r="F5125" t="s">
        <v>10303</v>
      </c>
      <c r="G5125">
        <v>17</v>
      </c>
      <c r="H5125" t="s">
        <v>10310</v>
      </c>
      <c r="I5125" t="s">
        <v>10325</v>
      </c>
      <c r="L5125">
        <v>1991</v>
      </c>
      <c r="R5125" t="s">
        <v>11038</v>
      </c>
      <c r="S5125" t="s">
        <v>10310</v>
      </c>
      <c r="W5125" s="2" t="s">
        <v>11227</v>
      </c>
    </row>
    <row r="5126" spans="1:23" hidden="1" x14ac:dyDescent="0.45">
      <c r="A5126" s="1" t="s">
        <v>5055</v>
      </c>
      <c r="E5126" t="s">
        <v>9880</v>
      </c>
      <c r="F5126" t="s">
        <v>10303</v>
      </c>
      <c r="G5126">
        <v>10</v>
      </c>
      <c r="H5126" t="s">
        <v>10310</v>
      </c>
      <c r="I5126" t="s">
        <v>10326</v>
      </c>
      <c r="L5126">
        <v>1965</v>
      </c>
      <c r="R5126" t="s">
        <v>11038</v>
      </c>
      <c r="S5126" t="s">
        <v>10310</v>
      </c>
      <c r="W5126" s="2" t="s">
        <v>11227</v>
      </c>
    </row>
    <row r="5127" spans="1:23" hidden="1" x14ac:dyDescent="0.45">
      <c r="A5127" s="1" t="s">
        <v>5056</v>
      </c>
      <c r="E5127" t="s">
        <v>9881</v>
      </c>
      <c r="F5127" t="s">
        <v>10303</v>
      </c>
      <c r="G5127">
        <v>51</v>
      </c>
      <c r="H5127" t="s">
        <v>10310</v>
      </c>
      <c r="I5127" t="s">
        <v>10325</v>
      </c>
      <c r="L5127">
        <v>1965</v>
      </c>
      <c r="R5127" t="s">
        <v>11038</v>
      </c>
      <c r="S5127" t="s">
        <v>10310</v>
      </c>
      <c r="W5127" s="2" t="s">
        <v>11227</v>
      </c>
    </row>
    <row r="5128" spans="1:23" hidden="1" x14ac:dyDescent="0.45">
      <c r="A5128" s="1" t="s">
        <v>5057</v>
      </c>
      <c r="E5128" t="s">
        <v>9883</v>
      </c>
      <c r="F5128" t="s">
        <v>10303</v>
      </c>
      <c r="G5128">
        <v>17</v>
      </c>
      <c r="H5128" t="s">
        <v>10310</v>
      </c>
      <c r="I5128" t="s">
        <v>10325</v>
      </c>
      <c r="L5128">
        <v>1989</v>
      </c>
      <c r="R5128" t="s">
        <v>11038</v>
      </c>
      <c r="S5128" t="s">
        <v>10310</v>
      </c>
      <c r="W5128" s="2" t="s">
        <v>11227</v>
      </c>
    </row>
    <row r="5129" spans="1:23" hidden="1" x14ac:dyDescent="0.45">
      <c r="A5129" s="1" t="s">
        <v>5058</v>
      </c>
      <c r="E5129" t="s">
        <v>9882</v>
      </c>
      <c r="F5129" t="s">
        <v>10303</v>
      </c>
      <c r="G5129">
        <v>1</v>
      </c>
      <c r="H5129" t="s">
        <v>10310</v>
      </c>
      <c r="I5129" t="s">
        <v>10325</v>
      </c>
      <c r="L5129">
        <v>1963</v>
      </c>
      <c r="R5129" t="s">
        <v>11038</v>
      </c>
      <c r="S5129" t="s">
        <v>10310</v>
      </c>
      <c r="W5129" s="2" t="s">
        <v>11227</v>
      </c>
    </row>
    <row r="5130" spans="1:23" hidden="1" x14ac:dyDescent="0.45">
      <c r="A5130" s="1" t="s">
        <v>5059</v>
      </c>
      <c r="E5130" t="s">
        <v>9880</v>
      </c>
      <c r="F5130" t="s">
        <v>10303</v>
      </c>
      <c r="G5130">
        <v>61</v>
      </c>
      <c r="H5130" t="s">
        <v>10310</v>
      </c>
      <c r="I5130" t="s">
        <v>10326</v>
      </c>
      <c r="L5130">
        <v>1978</v>
      </c>
      <c r="R5130" t="s">
        <v>11038</v>
      </c>
      <c r="S5130" t="s">
        <v>10310</v>
      </c>
      <c r="W5130" s="2" t="s">
        <v>11227</v>
      </c>
    </row>
    <row r="5131" spans="1:23" hidden="1" x14ac:dyDescent="0.45">
      <c r="A5131" s="1" t="s">
        <v>972</v>
      </c>
      <c r="E5131" t="s">
        <v>9880</v>
      </c>
      <c r="F5131" t="s">
        <v>10303</v>
      </c>
      <c r="G5131">
        <v>1</v>
      </c>
      <c r="H5131" t="s">
        <v>10310</v>
      </c>
      <c r="I5131" t="s">
        <v>10325</v>
      </c>
      <c r="L5131">
        <v>1926</v>
      </c>
      <c r="R5131" t="s">
        <v>11038</v>
      </c>
      <c r="S5131" t="s">
        <v>10310</v>
      </c>
      <c r="W5131" s="2" t="s">
        <v>11227</v>
      </c>
    </row>
    <row r="5132" spans="1:23" hidden="1" x14ac:dyDescent="0.45">
      <c r="A5132" s="1" t="s">
        <v>5060</v>
      </c>
      <c r="E5132" t="s">
        <v>9880</v>
      </c>
      <c r="F5132" t="s">
        <v>10303</v>
      </c>
      <c r="G5132">
        <v>1</v>
      </c>
      <c r="H5132" t="s">
        <v>10310</v>
      </c>
      <c r="I5132" t="s">
        <v>10325</v>
      </c>
      <c r="L5132">
        <v>1926</v>
      </c>
      <c r="R5132" t="s">
        <v>11038</v>
      </c>
      <c r="S5132" t="s">
        <v>10310</v>
      </c>
      <c r="W5132" s="2" t="s">
        <v>11227</v>
      </c>
    </row>
    <row r="5133" spans="1:23" hidden="1" x14ac:dyDescent="0.45">
      <c r="A5133" s="1" t="s">
        <v>5061</v>
      </c>
      <c r="E5133" t="s">
        <v>9879</v>
      </c>
      <c r="F5133" t="s">
        <v>10303</v>
      </c>
      <c r="G5133">
        <v>42</v>
      </c>
      <c r="H5133" t="s">
        <v>10310</v>
      </c>
      <c r="I5133" t="s">
        <v>10325</v>
      </c>
      <c r="L5133">
        <v>1949</v>
      </c>
      <c r="R5133" t="s">
        <v>11038</v>
      </c>
      <c r="S5133" t="s">
        <v>10310</v>
      </c>
      <c r="W5133" s="2" t="s">
        <v>11227</v>
      </c>
    </row>
    <row r="5134" spans="1:23" hidden="1" x14ac:dyDescent="0.45">
      <c r="A5134" s="1" t="s">
        <v>5062</v>
      </c>
      <c r="E5134" t="s">
        <v>9881</v>
      </c>
      <c r="F5134" t="s">
        <v>10303</v>
      </c>
      <c r="G5134">
        <v>3</v>
      </c>
      <c r="H5134" t="s">
        <v>10310</v>
      </c>
      <c r="I5134" t="s">
        <v>10325</v>
      </c>
      <c r="L5134">
        <v>1965</v>
      </c>
      <c r="R5134" t="s">
        <v>11038</v>
      </c>
      <c r="S5134" t="s">
        <v>10310</v>
      </c>
      <c r="W5134" s="2" t="s">
        <v>11227</v>
      </c>
    </row>
    <row r="5135" spans="1:23" hidden="1" x14ac:dyDescent="0.45">
      <c r="A5135" s="1" t="s">
        <v>5063</v>
      </c>
      <c r="E5135" t="s">
        <v>9880</v>
      </c>
      <c r="F5135" t="s">
        <v>10303</v>
      </c>
      <c r="G5135">
        <v>10</v>
      </c>
      <c r="H5135" t="s">
        <v>10310</v>
      </c>
      <c r="I5135" t="s">
        <v>10325</v>
      </c>
      <c r="L5135">
        <v>1995</v>
      </c>
      <c r="R5135" t="s">
        <v>11038</v>
      </c>
      <c r="S5135" t="s">
        <v>10310</v>
      </c>
      <c r="W5135" s="2" t="s">
        <v>11227</v>
      </c>
    </row>
    <row r="5136" spans="1:23" hidden="1" x14ac:dyDescent="0.45">
      <c r="A5136" s="1" t="s">
        <v>5064</v>
      </c>
      <c r="E5136" t="s">
        <v>9884</v>
      </c>
      <c r="F5136" t="s">
        <v>10303</v>
      </c>
      <c r="G5136">
        <v>1</v>
      </c>
      <c r="H5136" t="s">
        <v>10310</v>
      </c>
      <c r="I5136" t="s">
        <v>10325</v>
      </c>
      <c r="L5136">
        <v>1930</v>
      </c>
      <c r="R5136" t="s">
        <v>11038</v>
      </c>
      <c r="S5136" t="s">
        <v>10310</v>
      </c>
      <c r="W5136" s="2" t="s">
        <v>11227</v>
      </c>
    </row>
    <row r="5137" spans="1:23" hidden="1" x14ac:dyDescent="0.45">
      <c r="A5137" s="1" t="s">
        <v>5065</v>
      </c>
      <c r="E5137" t="s">
        <v>9884</v>
      </c>
      <c r="F5137" t="s">
        <v>10303</v>
      </c>
      <c r="G5137">
        <v>2</v>
      </c>
      <c r="H5137" t="s">
        <v>10310</v>
      </c>
      <c r="I5137" t="s">
        <v>10325</v>
      </c>
      <c r="R5137" t="s">
        <v>11038</v>
      </c>
      <c r="S5137" t="s">
        <v>10310</v>
      </c>
      <c r="W5137" s="2" t="s">
        <v>11227</v>
      </c>
    </row>
    <row r="5138" spans="1:23" hidden="1" x14ac:dyDescent="0.45">
      <c r="A5138" s="1" t="s">
        <v>5066</v>
      </c>
      <c r="E5138" t="s">
        <v>9883</v>
      </c>
      <c r="F5138" t="s">
        <v>10303</v>
      </c>
      <c r="G5138">
        <v>17</v>
      </c>
      <c r="H5138" t="s">
        <v>10310</v>
      </c>
      <c r="I5138" t="s">
        <v>10325</v>
      </c>
      <c r="L5138">
        <v>1986</v>
      </c>
      <c r="R5138" t="s">
        <v>11038</v>
      </c>
      <c r="S5138" t="s">
        <v>10310</v>
      </c>
      <c r="W5138" s="2" t="s">
        <v>11227</v>
      </c>
    </row>
    <row r="5139" spans="1:23" hidden="1" x14ac:dyDescent="0.45">
      <c r="A5139" s="1" t="s">
        <v>5067</v>
      </c>
      <c r="E5139" t="s">
        <v>9882</v>
      </c>
      <c r="F5139" t="s">
        <v>10303</v>
      </c>
      <c r="G5139">
        <v>25</v>
      </c>
      <c r="H5139" t="s">
        <v>10310</v>
      </c>
      <c r="I5139" t="s">
        <v>10325</v>
      </c>
      <c r="L5139">
        <v>1984</v>
      </c>
      <c r="R5139" t="s">
        <v>11038</v>
      </c>
      <c r="S5139" t="s">
        <v>10310</v>
      </c>
      <c r="W5139" s="2" t="s">
        <v>11227</v>
      </c>
    </row>
    <row r="5140" spans="1:23" hidden="1" x14ac:dyDescent="0.45">
      <c r="A5140" s="1" t="s">
        <v>5068</v>
      </c>
      <c r="E5140" t="s">
        <v>9880</v>
      </c>
      <c r="F5140" t="s">
        <v>10303</v>
      </c>
      <c r="G5140">
        <v>1</v>
      </c>
      <c r="H5140" t="s">
        <v>10310</v>
      </c>
      <c r="I5140" t="s">
        <v>10325</v>
      </c>
      <c r="L5140">
        <v>1987</v>
      </c>
      <c r="R5140" t="s">
        <v>11038</v>
      </c>
      <c r="S5140" t="s">
        <v>10310</v>
      </c>
      <c r="W5140" s="2" t="s">
        <v>11227</v>
      </c>
    </row>
    <row r="5141" spans="1:23" hidden="1" x14ac:dyDescent="0.45">
      <c r="A5141" s="1" t="s">
        <v>5069</v>
      </c>
      <c r="E5141" t="s">
        <v>9883</v>
      </c>
      <c r="F5141" t="s">
        <v>10303</v>
      </c>
      <c r="G5141">
        <v>13</v>
      </c>
      <c r="H5141" t="s">
        <v>10310</v>
      </c>
      <c r="I5141" t="s">
        <v>10325</v>
      </c>
      <c r="L5141">
        <v>1990</v>
      </c>
      <c r="R5141" t="s">
        <v>11038</v>
      </c>
      <c r="S5141" t="s">
        <v>10310</v>
      </c>
      <c r="W5141" s="2" t="s">
        <v>11227</v>
      </c>
    </row>
    <row r="5142" spans="1:23" hidden="1" x14ac:dyDescent="0.45">
      <c r="A5142" s="1" t="s">
        <v>5070</v>
      </c>
      <c r="E5142" t="s">
        <v>9883</v>
      </c>
      <c r="F5142" t="s">
        <v>10303</v>
      </c>
      <c r="G5142">
        <v>5</v>
      </c>
      <c r="H5142" t="s">
        <v>10310</v>
      </c>
      <c r="I5142" t="s">
        <v>10325</v>
      </c>
      <c r="L5142">
        <v>1989</v>
      </c>
      <c r="R5142" t="s">
        <v>11038</v>
      </c>
      <c r="S5142" t="s">
        <v>10310</v>
      </c>
      <c r="W5142" s="2" t="s">
        <v>11227</v>
      </c>
    </row>
    <row r="5143" spans="1:23" hidden="1" x14ac:dyDescent="0.45">
      <c r="A5143" s="1" t="s">
        <v>5071</v>
      </c>
      <c r="E5143" t="s">
        <v>9879</v>
      </c>
      <c r="F5143" t="s">
        <v>10303</v>
      </c>
      <c r="G5143">
        <v>210</v>
      </c>
      <c r="H5143" t="s">
        <v>10310</v>
      </c>
      <c r="I5143" t="s">
        <v>10325</v>
      </c>
      <c r="L5143">
        <v>1968</v>
      </c>
      <c r="R5143" t="s">
        <v>11038</v>
      </c>
      <c r="S5143" t="s">
        <v>10310</v>
      </c>
      <c r="W5143" s="2" t="s">
        <v>11227</v>
      </c>
    </row>
    <row r="5144" spans="1:23" hidden="1" x14ac:dyDescent="0.45">
      <c r="A5144" s="1" t="s">
        <v>5072</v>
      </c>
      <c r="E5144" t="s">
        <v>9880</v>
      </c>
      <c r="F5144" t="s">
        <v>10303</v>
      </c>
      <c r="G5144">
        <v>18</v>
      </c>
      <c r="H5144" t="s">
        <v>10310</v>
      </c>
      <c r="I5144" t="s">
        <v>10325</v>
      </c>
      <c r="L5144">
        <v>1982</v>
      </c>
      <c r="R5144" t="s">
        <v>11038</v>
      </c>
      <c r="S5144" t="s">
        <v>10310</v>
      </c>
      <c r="W5144" s="2" t="s">
        <v>11227</v>
      </c>
    </row>
    <row r="5145" spans="1:23" hidden="1" x14ac:dyDescent="0.45">
      <c r="A5145" s="1" t="s">
        <v>5073</v>
      </c>
      <c r="E5145" t="s">
        <v>9880</v>
      </c>
      <c r="F5145" t="s">
        <v>10303</v>
      </c>
      <c r="G5145">
        <v>1</v>
      </c>
      <c r="H5145" t="s">
        <v>10310</v>
      </c>
      <c r="I5145" t="s">
        <v>10325</v>
      </c>
      <c r="L5145">
        <v>1985</v>
      </c>
      <c r="R5145" t="s">
        <v>11038</v>
      </c>
      <c r="S5145" t="s">
        <v>10310</v>
      </c>
      <c r="W5145" s="2" t="s">
        <v>11227</v>
      </c>
    </row>
    <row r="5146" spans="1:23" hidden="1" x14ac:dyDescent="0.45">
      <c r="A5146" s="1" t="s">
        <v>5074</v>
      </c>
      <c r="E5146" t="s">
        <v>9883</v>
      </c>
      <c r="F5146" t="s">
        <v>10303</v>
      </c>
      <c r="G5146">
        <v>16</v>
      </c>
      <c r="H5146" t="s">
        <v>10310</v>
      </c>
      <c r="I5146" t="s">
        <v>10325</v>
      </c>
      <c r="L5146">
        <v>2009</v>
      </c>
      <c r="R5146" t="s">
        <v>11038</v>
      </c>
      <c r="S5146" t="s">
        <v>10310</v>
      </c>
      <c r="W5146" s="2" t="s">
        <v>11227</v>
      </c>
    </row>
    <row r="5147" spans="1:23" hidden="1" x14ac:dyDescent="0.45">
      <c r="A5147" s="1" t="s">
        <v>5075</v>
      </c>
      <c r="E5147" t="s">
        <v>9879</v>
      </c>
      <c r="F5147" t="s">
        <v>10303</v>
      </c>
      <c r="G5147">
        <v>37</v>
      </c>
      <c r="H5147" t="s">
        <v>10310</v>
      </c>
      <c r="I5147" t="s">
        <v>10325</v>
      </c>
      <c r="L5147">
        <v>1969</v>
      </c>
      <c r="R5147" t="s">
        <v>11038</v>
      </c>
      <c r="S5147" t="s">
        <v>10310</v>
      </c>
      <c r="W5147" s="2" t="s">
        <v>11227</v>
      </c>
    </row>
    <row r="5148" spans="1:23" hidden="1" x14ac:dyDescent="0.45">
      <c r="A5148" s="1" t="s">
        <v>5076</v>
      </c>
      <c r="E5148" t="s">
        <v>9881</v>
      </c>
      <c r="F5148" t="s">
        <v>10303</v>
      </c>
      <c r="G5148">
        <v>237</v>
      </c>
      <c r="H5148" t="s">
        <v>10310</v>
      </c>
      <c r="I5148" t="s">
        <v>10325</v>
      </c>
      <c r="L5148">
        <v>1959</v>
      </c>
      <c r="R5148" t="s">
        <v>11038</v>
      </c>
      <c r="S5148" t="s">
        <v>10310</v>
      </c>
      <c r="W5148" s="2" t="s">
        <v>11227</v>
      </c>
    </row>
    <row r="5149" spans="1:23" hidden="1" x14ac:dyDescent="0.45">
      <c r="A5149" s="1" t="s">
        <v>5077</v>
      </c>
      <c r="B5149" t="s">
        <v>7011</v>
      </c>
      <c r="C5149" t="s">
        <v>7500</v>
      </c>
      <c r="D5149" t="s">
        <v>8116</v>
      </c>
      <c r="E5149" t="s">
        <v>9886</v>
      </c>
      <c r="F5149" t="s">
        <v>10303</v>
      </c>
      <c r="G5149">
        <v>832</v>
      </c>
      <c r="H5149" t="s">
        <v>10307</v>
      </c>
      <c r="I5149" t="s">
        <v>10321</v>
      </c>
      <c r="K5149" t="s">
        <v>10332</v>
      </c>
      <c r="L5149">
        <v>2011</v>
      </c>
      <c r="M5149" t="s">
        <v>10336</v>
      </c>
      <c r="N5149">
        <v>46.908219000000003</v>
      </c>
      <c r="P5149">
        <v>15.492162</v>
      </c>
      <c r="Q5149" t="s">
        <v>10915</v>
      </c>
      <c r="R5149" t="s">
        <v>11037</v>
      </c>
      <c r="S5149" t="s">
        <v>10307</v>
      </c>
      <c r="W5149" s="2" t="s">
        <v>11228</v>
      </c>
    </row>
    <row r="5150" spans="1:23" hidden="1" x14ac:dyDescent="0.45">
      <c r="A5150" s="1" t="s">
        <v>5078</v>
      </c>
      <c r="B5150" t="s">
        <v>7012</v>
      </c>
      <c r="C5150" t="s">
        <v>7501</v>
      </c>
      <c r="D5150" t="s">
        <v>8117</v>
      </c>
      <c r="F5150" t="s">
        <v>10303</v>
      </c>
      <c r="G5150">
        <v>800</v>
      </c>
      <c r="H5150" t="s">
        <v>10307</v>
      </c>
      <c r="I5150" t="s">
        <v>10322</v>
      </c>
      <c r="K5150" t="s">
        <v>10332</v>
      </c>
      <c r="L5150">
        <v>2000</v>
      </c>
      <c r="M5150" t="s">
        <v>10336</v>
      </c>
      <c r="N5150">
        <v>48.394860999999999</v>
      </c>
      <c r="P5150">
        <v>15.710146999999999</v>
      </c>
      <c r="Q5150" t="s">
        <v>10916</v>
      </c>
      <c r="R5150" t="s">
        <v>11037</v>
      </c>
      <c r="S5150" t="s">
        <v>10307</v>
      </c>
      <c r="W5150" s="2" t="s">
        <v>11229</v>
      </c>
    </row>
    <row r="5151" spans="1:23" hidden="1" x14ac:dyDescent="0.45">
      <c r="A5151" s="1" t="s">
        <v>5079</v>
      </c>
      <c r="B5151" t="s">
        <v>7013</v>
      </c>
      <c r="C5151" t="s">
        <v>7502</v>
      </c>
      <c r="D5151" t="s">
        <v>8118</v>
      </c>
      <c r="E5151" t="s">
        <v>9887</v>
      </c>
      <c r="F5151" t="s">
        <v>10303</v>
      </c>
      <c r="G5151">
        <v>710</v>
      </c>
      <c r="H5151" t="s">
        <v>10307</v>
      </c>
      <c r="I5151" t="s">
        <v>10321</v>
      </c>
      <c r="K5151" t="s">
        <v>10332</v>
      </c>
      <c r="L5151">
        <v>2009</v>
      </c>
      <c r="M5151" t="s">
        <v>10336</v>
      </c>
      <c r="N5151">
        <v>48.183309999999999</v>
      </c>
      <c r="P5151">
        <v>16.43375</v>
      </c>
      <c r="Q5151" t="s">
        <v>10917</v>
      </c>
      <c r="R5151" t="s">
        <v>11037</v>
      </c>
      <c r="S5151" t="s">
        <v>10307</v>
      </c>
      <c r="W5151" s="2" t="s">
        <v>11230</v>
      </c>
    </row>
    <row r="5152" spans="1:23" hidden="1" x14ac:dyDescent="0.45">
      <c r="A5152" s="1" t="s">
        <v>5080</v>
      </c>
      <c r="B5152" t="s">
        <v>7014</v>
      </c>
      <c r="C5152" t="s">
        <v>7503</v>
      </c>
      <c r="D5152" t="s">
        <v>8119</v>
      </c>
      <c r="E5152" t="s">
        <v>9888</v>
      </c>
      <c r="F5152" t="s">
        <v>10303</v>
      </c>
      <c r="G5152">
        <v>405</v>
      </c>
      <c r="H5152" t="s">
        <v>10307</v>
      </c>
      <c r="I5152" t="s">
        <v>10321</v>
      </c>
      <c r="K5152" t="s">
        <v>10332</v>
      </c>
      <c r="L5152">
        <v>2008</v>
      </c>
      <c r="M5152" t="s">
        <v>10336</v>
      </c>
      <c r="N5152">
        <v>48.012560000000001</v>
      </c>
      <c r="P5152">
        <v>13.591609999999999</v>
      </c>
      <c r="Q5152" t="s">
        <v>10918</v>
      </c>
      <c r="R5152" t="s">
        <v>11037</v>
      </c>
      <c r="S5152" t="s">
        <v>10307</v>
      </c>
      <c r="W5152" s="2" t="s">
        <v>11231</v>
      </c>
    </row>
    <row r="5153" spans="1:23" hidden="1" x14ac:dyDescent="0.45">
      <c r="A5153" s="1" t="s">
        <v>5081</v>
      </c>
      <c r="B5153" t="s">
        <v>7013</v>
      </c>
      <c r="C5153" t="s">
        <v>7504</v>
      </c>
      <c r="D5153" t="s">
        <v>8120</v>
      </c>
      <c r="E5153" t="s">
        <v>9889</v>
      </c>
      <c r="F5153" t="s">
        <v>10303</v>
      </c>
      <c r="G5153">
        <v>395</v>
      </c>
      <c r="H5153" t="s">
        <v>10307</v>
      </c>
      <c r="I5153" t="s">
        <v>10322</v>
      </c>
      <c r="K5153" t="s">
        <v>10332</v>
      </c>
      <c r="L5153">
        <v>2001</v>
      </c>
      <c r="M5153" t="s">
        <v>10336</v>
      </c>
      <c r="N5153">
        <v>48.198779999999999</v>
      </c>
      <c r="P5153">
        <v>16.463149999999999</v>
      </c>
      <c r="Q5153" t="s">
        <v>10919</v>
      </c>
      <c r="R5153" t="s">
        <v>11037</v>
      </c>
      <c r="S5153" t="s">
        <v>10307</v>
      </c>
      <c r="W5153" s="2" t="s">
        <v>11230</v>
      </c>
    </row>
    <row r="5154" spans="1:23" hidden="1" x14ac:dyDescent="0.45">
      <c r="A5154" s="1" t="s">
        <v>5082</v>
      </c>
      <c r="B5154" t="s">
        <v>7013</v>
      </c>
      <c r="C5154" t="s">
        <v>7502</v>
      </c>
      <c r="D5154" t="s">
        <v>8118</v>
      </c>
      <c r="E5154" t="s">
        <v>9887</v>
      </c>
      <c r="F5154" t="s">
        <v>10303</v>
      </c>
      <c r="G5154">
        <v>350</v>
      </c>
      <c r="H5154" t="s">
        <v>10307</v>
      </c>
      <c r="I5154" t="s">
        <v>10321</v>
      </c>
      <c r="K5154" t="s">
        <v>10332</v>
      </c>
      <c r="L5154">
        <v>2009</v>
      </c>
      <c r="M5154" t="s">
        <v>10336</v>
      </c>
      <c r="N5154">
        <v>48.183309999999999</v>
      </c>
      <c r="P5154">
        <v>16.43375</v>
      </c>
      <c r="Q5154" t="s">
        <v>10917</v>
      </c>
      <c r="R5154" t="s">
        <v>11037</v>
      </c>
      <c r="S5154" t="s">
        <v>10307</v>
      </c>
      <c r="W5154" s="2" t="s">
        <v>11230</v>
      </c>
    </row>
    <row r="5155" spans="1:23" hidden="1" x14ac:dyDescent="0.45">
      <c r="A5155" s="1" t="s">
        <v>5025</v>
      </c>
      <c r="B5155" t="s">
        <v>7011</v>
      </c>
      <c r="C5155" t="s">
        <v>7500</v>
      </c>
      <c r="D5155" t="s">
        <v>8116</v>
      </c>
      <c r="E5155" t="s">
        <v>9886</v>
      </c>
      <c r="F5155" t="s">
        <v>10303</v>
      </c>
      <c r="G5155">
        <v>246</v>
      </c>
      <c r="H5155" t="s">
        <v>10313</v>
      </c>
      <c r="I5155" t="s">
        <v>10323</v>
      </c>
      <c r="K5155" t="s">
        <v>10332</v>
      </c>
      <c r="L5155">
        <v>1986</v>
      </c>
      <c r="M5155" t="s">
        <v>10336</v>
      </c>
      <c r="N5155">
        <v>46.908219000000003</v>
      </c>
      <c r="P5155">
        <v>15.492162</v>
      </c>
      <c r="Q5155" t="s">
        <v>10920</v>
      </c>
      <c r="R5155" t="s">
        <v>11037</v>
      </c>
      <c r="S5155" t="s">
        <v>10313</v>
      </c>
      <c r="W5155" s="2" t="s">
        <v>11228</v>
      </c>
    </row>
    <row r="5156" spans="1:23" hidden="1" x14ac:dyDescent="0.45">
      <c r="A5156" s="1" t="s">
        <v>5083</v>
      </c>
      <c r="B5156" t="s">
        <v>7015</v>
      </c>
      <c r="C5156" t="s">
        <v>7505</v>
      </c>
      <c r="D5156" t="s">
        <v>8121</v>
      </c>
      <c r="E5156" t="s">
        <v>9890</v>
      </c>
      <c r="F5156" t="s">
        <v>10303</v>
      </c>
      <c r="G5156">
        <v>217</v>
      </c>
      <c r="H5156" t="s">
        <v>10307</v>
      </c>
      <c r="I5156" t="s">
        <v>10321</v>
      </c>
      <c r="K5156" t="s">
        <v>10332</v>
      </c>
      <c r="L5156">
        <v>1970</v>
      </c>
      <c r="M5156" t="s">
        <v>10336</v>
      </c>
      <c r="N5156">
        <v>48.299219000000001</v>
      </c>
      <c r="P5156">
        <v>14.322934999999999</v>
      </c>
      <c r="Q5156" t="s">
        <v>10921</v>
      </c>
      <c r="R5156" t="s">
        <v>11037</v>
      </c>
      <c r="S5156" t="s">
        <v>10307</v>
      </c>
      <c r="W5156" s="2" t="s">
        <v>11232</v>
      </c>
    </row>
    <row r="5157" spans="1:23" hidden="1" x14ac:dyDescent="0.45">
      <c r="A5157" s="1" t="s">
        <v>5084</v>
      </c>
      <c r="B5157" t="s">
        <v>7015</v>
      </c>
      <c r="C5157" t="s">
        <v>7506</v>
      </c>
      <c r="D5157" t="s">
        <v>8122</v>
      </c>
      <c r="E5157" t="s">
        <v>9890</v>
      </c>
      <c r="F5157" t="s">
        <v>10303</v>
      </c>
      <c r="G5157">
        <v>192</v>
      </c>
      <c r="H5157" t="s">
        <v>10307</v>
      </c>
      <c r="I5157" t="s">
        <v>10321</v>
      </c>
      <c r="K5157" t="s">
        <v>10332</v>
      </c>
      <c r="L5157">
        <v>1993</v>
      </c>
      <c r="M5157" t="s">
        <v>10336</v>
      </c>
      <c r="N5157">
        <v>48.267893000000001</v>
      </c>
      <c r="P5157">
        <v>14.346897999999999</v>
      </c>
      <c r="Q5157" t="s">
        <v>10922</v>
      </c>
      <c r="R5157" t="s">
        <v>11037</v>
      </c>
      <c r="S5157" t="s">
        <v>10307</v>
      </c>
      <c r="W5157" s="2" t="s">
        <v>11233</v>
      </c>
    </row>
    <row r="5158" spans="1:23" hidden="1" x14ac:dyDescent="0.45">
      <c r="A5158" s="1" t="s">
        <v>5085</v>
      </c>
      <c r="B5158" t="s">
        <v>7012</v>
      </c>
      <c r="C5158" t="s">
        <v>7507</v>
      </c>
      <c r="D5158" t="s">
        <v>8123</v>
      </c>
      <c r="E5158" t="s">
        <v>9891</v>
      </c>
      <c r="F5158" t="s">
        <v>10303</v>
      </c>
      <c r="G5158">
        <v>150</v>
      </c>
      <c r="H5158" t="s">
        <v>10307</v>
      </c>
      <c r="I5158" t="s">
        <v>10321</v>
      </c>
      <c r="K5158" t="s">
        <v>10332</v>
      </c>
      <c r="L5158">
        <v>1958</v>
      </c>
      <c r="M5158" t="s">
        <v>10336</v>
      </c>
      <c r="N5158">
        <v>48.332630000000002</v>
      </c>
      <c r="P5158">
        <v>16.33981</v>
      </c>
      <c r="Q5158" t="s">
        <v>10923</v>
      </c>
      <c r="R5158" t="s">
        <v>11037</v>
      </c>
      <c r="S5158" t="s">
        <v>10307</v>
      </c>
      <c r="V5158" t="s">
        <v>11191</v>
      </c>
      <c r="W5158" s="2" t="s">
        <v>11229</v>
      </c>
    </row>
    <row r="5159" spans="1:23" hidden="1" x14ac:dyDescent="0.45">
      <c r="A5159" s="1" t="s">
        <v>5086</v>
      </c>
      <c r="B5159" t="s">
        <v>7016</v>
      </c>
      <c r="C5159" t="s">
        <v>7508</v>
      </c>
      <c r="D5159" t="s">
        <v>8124</v>
      </c>
      <c r="E5159" t="s">
        <v>9883</v>
      </c>
      <c r="F5159" t="s">
        <v>10303</v>
      </c>
      <c r="G5159">
        <v>83.7</v>
      </c>
      <c r="H5159" t="s">
        <v>10307</v>
      </c>
      <c r="I5159" t="s">
        <v>10321</v>
      </c>
      <c r="K5159" t="s">
        <v>10332</v>
      </c>
      <c r="L5159">
        <v>2001</v>
      </c>
      <c r="M5159" t="s">
        <v>10336</v>
      </c>
      <c r="N5159">
        <v>47.809289999999997</v>
      </c>
      <c r="P5159">
        <v>13.03819</v>
      </c>
      <c r="Q5159" t="s">
        <v>10924</v>
      </c>
      <c r="R5159" t="s">
        <v>11037</v>
      </c>
      <c r="S5159" t="s">
        <v>10307</v>
      </c>
      <c r="W5159" s="2" t="s">
        <v>11234</v>
      </c>
    </row>
    <row r="5160" spans="1:23" hidden="1" x14ac:dyDescent="0.45">
      <c r="A5160" s="1" t="s">
        <v>5087</v>
      </c>
      <c r="B5160" t="s">
        <v>7014</v>
      </c>
      <c r="C5160" t="s">
        <v>7509</v>
      </c>
      <c r="D5160" t="s">
        <v>8125</v>
      </c>
      <c r="E5160" t="s">
        <v>5087</v>
      </c>
      <c r="F5160" t="s">
        <v>10303</v>
      </c>
      <c r="G5160">
        <v>61</v>
      </c>
      <c r="H5160" t="s">
        <v>10307</v>
      </c>
      <c r="I5160" t="s">
        <v>10321</v>
      </c>
      <c r="K5160" t="s">
        <v>10332</v>
      </c>
      <c r="L5160">
        <v>1993</v>
      </c>
      <c r="M5160" t="s">
        <v>10336</v>
      </c>
      <c r="R5160" t="s">
        <v>11037</v>
      </c>
      <c r="S5160" t="s">
        <v>10307</v>
      </c>
      <c r="W5160" s="2" t="s">
        <v>11235</v>
      </c>
    </row>
    <row r="5161" spans="1:23" hidden="1" x14ac:dyDescent="0.45">
      <c r="A5161" s="1" t="s">
        <v>5088</v>
      </c>
      <c r="B5161" t="s">
        <v>7013</v>
      </c>
      <c r="C5161" t="s">
        <v>7502</v>
      </c>
      <c r="D5161" t="s">
        <v>8118</v>
      </c>
      <c r="E5161" t="s">
        <v>9887</v>
      </c>
      <c r="F5161" t="s">
        <v>10303</v>
      </c>
      <c r="G5161">
        <v>60</v>
      </c>
      <c r="H5161" t="s">
        <v>10307</v>
      </c>
      <c r="I5161" t="s">
        <v>10321</v>
      </c>
      <c r="K5161" t="s">
        <v>10332</v>
      </c>
      <c r="L5161">
        <v>2009</v>
      </c>
      <c r="M5161" t="s">
        <v>10336</v>
      </c>
      <c r="N5161">
        <v>48.183309999999999</v>
      </c>
      <c r="P5161">
        <v>16.43375</v>
      </c>
      <c r="Q5161" t="s">
        <v>10917</v>
      </c>
      <c r="R5161" t="s">
        <v>11037</v>
      </c>
      <c r="S5161" t="s">
        <v>10307</v>
      </c>
      <c r="W5161" s="2" t="s">
        <v>11230</v>
      </c>
    </row>
    <row r="5162" spans="1:23" hidden="1" x14ac:dyDescent="0.45">
      <c r="A5162" s="1" t="s">
        <v>5089</v>
      </c>
      <c r="B5162" t="s">
        <v>7017</v>
      </c>
      <c r="C5162" t="s">
        <v>7510</v>
      </c>
      <c r="D5162" t="s">
        <v>8126</v>
      </c>
      <c r="E5162" t="s">
        <v>9892</v>
      </c>
      <c r="F5162" t="s">
        <v>10303</v>
      </c>
      <c r="G5162">
        <v>47</v>
      </c>
      <c r="H5162" t="s">
        <v>10307</v>
      </c>
      <c r="I5162" t="s">
        <v>10321</v>
      </c>
      <c r="K5162" t="s">
        <v>10332</v>
      </c>
      <c r="L5162">
        <v>2000</v>
      </c>
      <c r="M5162" t="s">
        <v>10336</v>
      </c>
      <c r="N5162">
        <v>48.15184</v>
      </c>
      <c r="P5162">
        <v>14.00755</v>
      </c>
      <c r="Q5162" t="s">
        <v>10924</v>
      </c>
      <c r="R5162" t="s">
        <v>11037</v>
      </c>
      <c r="S5162" t="s">
        <v>10307</v>
      </c>
      <c r="W5162" s="2" t="s">
        <v>11236</v>
      </c>
    </row>
    <row r="5163" spans="1:23" hidden="1" x14ac:dyDescent="0.45">
      <c r="A5163" s="1" t="s">
        <v>5090</v>
      </c>
      <c r="B5163" t="s">
        <v>7016</v>
      </c>
      <c r="C5163" t="s">
        <v>7511</v>
      </c>
      <c r="D5163" t="s">
        <v>8124</v>
      </c>
      <c r="E5163" t="s">
        <v>9883</v>
      </c>
      <c r="F5163" t="s">
        <v>10303</v>
      </c>
      <c r="G5163">
        <v>13.5</v>
      </c>
      <c r="H5163" t="s">
        <v>10307</v>
      </c>
      <c r="I5163" t="s">
        <v>10323</v>
      </c>
      <c r="K5163" t="s">
        <v>10332</v>
      </c>
      <c r="L5163">
        <v>1994</v>
      </c>
      <c r="M5163" t="s">
        <v>10336</v>
      </c>
      <c r="N5163">
        <v>47.827440000000003</v>
      </c>
      <c r="P5163">
        <v>13.03398</v>
      </c>
      <c r="Q5163" t="s">
        <v>10924</v>
      </c>
      <c r="R5163" t="s">
        <v>11037</v>
      </c>
      <c r="S5163" t="s">
        <v>10307</v>
      </c>
      <c r="W5163" s="2" t="s">
        <v>11237</v>
      </c>
    </row>
    <row r="5164" spans="1:23" x14ac:dyDescent="0.45">
      <c r="A5164" s="1" t="s">
        <v>5091</v>
      </c>
      <c r="B5164" t="s">
        <v>7018</v>
      </c>
      <c r="E5164" t="s">
        <v>9893</v>
      </c>
      <c r="F5164" t="s">
        <v>10304</v>
      </c>
      <c r="G5164">
        <v>70</v>
      </c>
      <c r="H5164" t="s">
        <v>10309</v>
      </c>
      <c r="L5164">
        <v>2009</v>
      </c>
      <c r="N5164">
        <v>55.685830000000003</v>
      </c>
      <c r="P5164">
        <v>12.62621</v>
      </c>
      <c r="Q5164" t="s">
        <v>10925</v>
      </c>
      <c r="R5164" t="s">
        <v>11038</v>
      </c>
      <c r="S5164" t="s">
        <v>10317</v>
      </c>
      <c r="T5164" t="s">
        <v>10309</v>
      </c>
      <c r="U5164" t="s">
        <v>11055</v>
      </c>
      <c r="W5164" s="2" t="s">
        <v>11238</v>
      </c>
    </row>
    <row r="5165" spans="1:23" x14ac:dyDescent="0.45">
      <c r="A5165" s="1" t="s">
        <v>5092</v>
      </c>
      <c r="B5165" t="s">
        <v>7018</v>
      </c>
      <c r="E5165" t="s">
        <v>9893</v>
      </c>
      <c r="F5165" t="s">
        <v>10304</v>
      </c>
      <c r="G5165">
        <v>263</v>
      </c>
      <c r="H5165" t="s">
        <v>10313</v>
      </c>
      <c r="L5165">
        <v>1989</v>
      </c>
      <c r="N5165">
        <v>55.685830000000003</v>
      </c>
      <c r="P5165">
        <v>12.62621</v>
      </c>
      <c r="Q5165" t="s">
        <v>10925</v>
      </c>
      <c r="R5165" t="s">
        <v>11037</v>
      </c>
      <c r="S5165" t="s">
        <v>10313</v>
      </c>
      <c r="U5165" t="s">
        <v>11055</v>
      </c>
      <c r="W5165" s="2" t="s">
        <v>11238</v>
      </c>
    </row>
    <row r="5166" spans="1:23" x14ac:dyDescent="0.45">
      <c r="A5166" s="1" t="s">
        <v>5093</v>
      </c>
      <c r="B5166" t="s">
        <v>7019</v>
      </c>
      <c r="E5166" t="s">
        <v>9894</v>
      </c>
      <c r="F5166" t="s">
        <v>10304</v>
      </c>
      <c r="G5166">
        <v>147</v>
      </c>
      <c r="H5166" t="s">
        <v>10313</v>
      </c>
      <c r="L5166">
        <v>1961</v>
      </c>
      <c r="N5166">
        <v>55.662519999999986</v>
      </c>
      <c r="P5166">
        <v>11.08156</v>
      </c>
      <c r="Q5166" t="s">
        <v>10926</v>
      </c>
      <c r="R5166" t="s">
        <v>11037</v>
      </c>
      <c r="S5166" t="s">
        <v>10313</v>
      </c>
      <c r="U5166" t="s">
        <v>11055</v>
      </c>
      <c r="W5166" s="2" t="s">
        <v>11239</v>
      </c>
    </row>
    <row r="5167" spans="1:23" x14ac:dyDescent="0.45">
      <c r="A5167" s="1" t="s">
        <v>5094</v>
      </c>
      <c r="B5167" t="s">
        <v>7019</v>
      </c>
      <c r="E5167" t="s">
        <v>9895</v>
      </c>
      <c r="F5167" t="s">
        <v>10304</v>
      </c>
      <c r="G5167">
        <v>254</v>
      </c>
      <c r="H5167" t="s">
        <v>10313</v>
      </c>
      <c r="L5167">
        <v>1990</v>
      </c>
      <c r="N5167">
        <v>55.603580000000008</v>
      </c>
      <c r="P5167">
        <v>12.48127</v>
      </c>
      <c r="Q5167" t="s">
        <v>10927</v>
      </c>
      <c r="R5167" t="s">
        <v>11037</v>
      </c>
      <c r="S5167" t="s">
        <v>10313</v>
      </c>
      <c r="U5167" t="s">
        <v>11055</v>
      </c>
      <c r="W5167" s="2" t="s">
        <v>11240</v>
      </c>
    </row>
    <row r="5168" spans="1:23" x14ac:dyDescent="0.45">
      <c r="A5168" s="1" t="s">
        <v>5095</v>
      </c>
      <c r="B5168" t="s">
        <v>7019</v>
      </c>
      <c r="E5168" t="s">
        <v>9895</v>
      </c>
      <c r="F5168" t="s">
        <v>10304</v>
      </c>
      <c r="G5168">
        <v>394</v>
      </c>
      <c r="H5168" t="s">
        <v>10313</v>
      </c>
      <c r="L5168">
        <v>2002</v>
      </c>
      <c r="N5168">
        <v>55.603580000000008</v>
      </c>
      <c r="P5168">
        <v>12.48127</v>
      </c>
      <c r="Q5168" t="s">
        <v>10927</v>
      </c>
      <c r="R5168" t="s">
        <v>11037</v>
      </c>
      <c r="S5168" t="s">
        <v>10313</v>
      </c>
      <c r="U5168" t="s">
        <v>11055</v>
      </c>
      <c r="W5168" s="2" t="s">
        <v>11240</v>
      </c>
    </row>
    <row r="5169" spans="1:23" x14ac:dyDescent="0.45">
      <c r="A5169" s="1" t="s">
        <v>5096</v>
      </c>
      <c r="B5169" t="s">
        <v>7019</v>
      </c>
      <c r="E5169" t="s">
        <v>9896</v>
      </c>
      <c r="F5169" t="s">
        <v>10304</v>
      </c>
      <c r="G5169">
        <v>407</v>
      </c>
      <c r="H5169" t="s">
        <v>10313</v>
      </c>
      <c r="L5169">
        <v>1992</v>
      </c>
      <c r="N5169">
        <v>55.456319999999998</v>
      </c>
      <c r="P5169">
        <v>8.4552300000000002</v>
      </c>
      <c r="Q5169" t="s">
        <v>10928</v>
      </c>
      <c r="R5169" t="s">
        <v>11037</v>
      </c>
      <c r="S5169" t="s">
        <v>10313</v>
      </c>
      <c r="U5169" t="s">
        <v>11056</v>
      </c>
      <c r="W5169" s="2" t="s">
        <v>11241</v>
      </c>
    </row>
    <row r="5170" spans="1:23" x14ac:dyDescent="0.45">
      <c r="A5170" s="1" t="s">
        <v>5097</v>
      </c>
      <c r="B5170" t="s">
        <v>7020</v>
      </c>
      <c r="E5170" t="s">
        <v>9897</v>
      </c>
      <c r="F5170" t="s">
        <v>10304</v>
      </c>
      <c r="G5170">
        <v>410</v>
      </c>
      <c r="H5170" t="s">
        <v>10314</v>
      </c>
      <c r="I5170" t="s">
        <v>10323</v>
      </c>
      <c r="L5170">
        <v>1991</v>
      </c>
      <c r="N5170">
        <v>55.429380000000002</v>
      </c>
      <c r="P5170">
        <v>10.41203</v>
      </c>
      <c r="Q5170" t="s">
        <v>10929</v>
      </c>
      <c r="R5170" t="s">
        <v>11037</v>
      </c>
      <c r="S5170" t="s">
        <v>10314</v>
      </c>
      <c r="U5170" t="s">
        <v>11056</v>
      </c>
      <c r="W5170" s="2" t="s">
        <v>11242</v>
      </c>
    </row>
    <row r="5171" spans="1:23" x14ac:dyDescent="0.45">
      <c r="A5171" s="1" t="s">
        <v>5098</v>
      </c>
      <c r="B5171" t="s">
        <v>7020</v>
      </c>
      <c r="E5171" t="s">
        <v>9897</v>
      </c>
      <c r="F5171" t="s">
        <v>10304</v>
      </c>
      <c r="G5171">
        <v>35</v>
      </c>
      <c r="H5171" t="s">
        <v>10309</v>
      </c>
      <c r="L5171">
        <v>2009</v>
      </c>
      <c r="N5171">
        <v>55.429380000000002</v>
      </c>
      <c r="P5171">
        <v>10.41203</v>
      </c>
      <c r="Q5171" t="s">
        <v>10929</v>
      </c>
      <c r="R5171" t="s">
        <v>11038</v>
      </c>
      <c r="S5171" t="s">
        <v>10317</v>
      </c>
      <c r="T5171" t="s">
        <v>10309</v>
      </c>
      <c r="U5171" t="s">
        <v>11056</v>
      </c>
      <c r="W5171" s="2" t="s">
        <v>11242</v>
      </c>
    </row>
    <row r="5172" spans="1:23" x14ac:dyDescent="0.45">
      <c r="A5172" s="1" t="s">
        <v>5099</v>
      </c>
      <c r="B5172" t="s">
        <v>7019</v>
      </c>
      <c r="E5172" t="s">
        <v>9893</v>
      </c>
      <c r="F5172" t="s">
        <v>10304</v>
      </c>
      <c r="G5172">
        <v>75</v>
      </c>
      <c r="H5172" t="s">
        <v>10307</v>
      </c>
      <c r="L5172">
        <v>1985</v>
      </c>
      <c r="N5172">
        <v>55.657569999999993</v>
      </c>
      <c r="P5172">
        <v>12.555630000000001</v>
      </c>
      <c r="R5172" t="s">
        <v>11037</v>
      </c>
      <c r="S5172" t="s">
        <v>10307</v>
      </c>
      <c r="U5172" t="s">
        <v>11055</v>
      </c>
      <c r="V5172" t="s">
        <v>11192</v>
      </c>
      <c r="W5172" t="s">
        <v>11243</v>
      </c>
    </row>
    <row r="5173" spans="1:23" x14ac:dyDescent="0.45">
      <c r="A5173" s="1" t="s">
        <v>5100</v>
      </c>
      <c r="B5173" t="s">
        <v>7019</v>
      </c>
      <c r="E5173" t="s">
        <v>9893</v>
      </c>
      <c r="F5173" t="s">
        <v>10304</v>
      </c>
      <c r="G5173">
        <v>25</v>
      </c>
      <c r="H5173" t="s">
        <v>10307</v>
      </c>
      <c r="L5173">
        <v>2004</v>
      </c>
      <c r="N5173">
        <v>55.657569999999993</v>
      </c>
      <c r="P5173">
        <v>12.555630000000001</v>
      </c>
      <c r="R5173" t="s">
        <v>11037</v>
      </c>
      <c r="S5173" t="s">
        <v>10307</v>
      </c>
      <c r="U5173" t="s">
        <v>11055</v>
      </c>
      <c r="V5173" t="s">
        <v>11192</v>
      </c>
      <c r="W5173" t="s">
        <v>11243</v>
      </c>
    </row>
    <row r="5174" spans="1:23" x14ac:dyDescent="0.45">
      <c r="A5174" s="1" t="s">
        <v>5101</v>
      </c>
      <c r="B5174" t="s">
        <v>7019</v>
      </c>
      <c r="E5174" t="s">
        <v>9898</v>
      </c>
      <c r="F5174" t="s">
        <v>10304</v>
      </c>
      <c r="G5174">
        <v>89</v>
      </c>
      <c r="H5174" t="s">
        <v>10309</v>
      </c>
      <c r="L5174">
        <v>1982</v>
      </c>
      <c r="N5174">
        <v>56.121280000000013</v>
      </c>
      <c r="P5174">
        <v>9.0063999999999993</v>
      </c>
      <c r="R5174" t="s">
        <v>11038</v>
      </c>
      <c r="S5174" t="s">
        <v>10317</v>
      </c>
      <c r="T5174" t="s">
        <v>10309</v>
      </c>
      <c r="U5174" t="s">
        <v>11056</v>
      </c>
      <c r="W5174" s="2" t="s">
        <v>11244</v>
      </c>
    </row>
    <row r="5175" spans="1:23" x14ac:dyDescent="0.45">
      <c r="A5175" s="1" t="s">
        <v>5102</v>
      </c>
      <c r="B5175" t="s">
        <v>7019</v>
      </c>
      <c r="E5175" t="s">
        <v>9899</v>
      </c>
      <c r="F5175" t="s">
        <v>10304</v>
      </c>
      <c r="G5175">
        <v>260</v>
      </c>
      <c r="H5175" t="s">
        <v>10308</v>
      </c>
      <c r="L5175">
        <v>1974</v>
      </c>
      <c r="N5175">
        <v>55.810280000000013</v>
      </c>
      <c r="P5175">
        <v>11.87987</v>
      </c>
      <c r="Q5175" t="s">
        <v>10930</v>
      </c>
      <c r="R5175" t="s">
        <v>11037</v>
      </c>
      <c r="S5175" t="s">
        <v>10308</v>
      </c>
      <c r="U5175" t="s">
        <v>11055</v>
      </c>
      <c r="W5175" s="2" t="s">
        <v>11245</v>
      </c>
    </row>
    <row r="5176" spans="1:23" x14ac:dyDescent="0.45">
      <c r="A5176" s="1" t="s">
        <v>5103</v>
      </c>
      <c r="B5176" t="s">
        <v>7019</v>
      </c>
      <c r="E5176" t="s">
        <v>9899</v>
      </c>
      <c r="F5176" t="s">
        <v>10304</v>
      </c>
      <c r="G5176">
        <v>260</v>
      </c>
      <c r="H5176" t="s">
        <v>10308</v>
      </c>
      <c r="L5176">
        <v>1976</v>
      </c>
      <c r="N5176">
        <v>55.810280000000013</v>
      </c>
      <c r="P5176">
        <v>11.87987</v>
      </c>
      <c r="Q5176" t="s">
        <v>10930</v>
      </c>
      <c r="R5176" t="s">
        <v>11037</v>
      </c>
      <c r="S5176" t="s">
        <v>10308</v>
      </c>
      <c r="U5176" t="s">
        <v>11055</v>
      </c>
      <c r="W5176" s="2" t="s">
        <v>11245</v>
      </c>
    </row>
    <row r="5177" spans="1:23" x14ac:dyDescent="0.45">
      <c r="A5177" s="1" t="s">
        <v>5104</v>
      </c>
      <c r="B5177" t="s">
        <v>7019</v>
      </c>
      <c r="E5177" t="s">
        <v>9899</v>
      </c>
      <c r="F5177" t="s">
        <v>10304</v>
      </c>
      <c r="G5177">
        <v>20</v>
      </c>
      <c r="H5177" t="s">
        <v>10308</v>
      </c>
      <c r="L5177">
        <v>1974</v>
      </c>
      <c r="N5177">
        <v>55.810280000000013</v>
      </c>
      <c r="P5177">
        <v>11.87987</v>
      </c>
      <c r="Q5177" t="s">
        <v>10930</v>
      </c>
      <c r="R5177" t="s">
        <v>11037</v>
      </c>
      <c r="S5177" t="s">
        <v>10308</v>
      </c>
      <c r="U5177" t="s">
        <v>11055</v>
      </c>
      <c r="W5177" s="2" t="s">
        <v>11245</v>
      </c>
    </row>
    <row r="5178" spans="1:23" x14ac:dyDescent="0.45">
      <c r="A5178" s="1" t="s">
        <v>5105</v>
      </c>
      <c r="B5178" t="s">
        <v>7019</v>
      </c>
      <c r="F5178" t="s">
        <v>10304</v>
      </c>
      <c r="G5178">
        <v>125</v>
      </c>
      <c r="H5178" t="s">
        <v>10308</v>
      </c>
      <c r="L5178">
        <v>1973</v>
      </c>
      <c r="N5178">
        <v>55.810280000000013</v>
      </c>
      <c r="P5178">
        <v>11.87987</v>
      </c>
      <c r="Q5178" t="s">
        <v>10930</v>
      </c>
      <c r="R5178" t="s">
        <v>11037</v>
      </c>
      <c r="S5178" t="s">
        <v>10308</v>
      </c>
      <c r="U5178" t="s">
        <v>11055</v>
      </c>
      <c r="W5178" s="2" t="s">
        <v>11245</v>
      </c>
    </row>
    <row r="5179" spans="1:23" x14ac:dyDescent="0.45">
      <c r="A5179" s="1" t="s">
        <v>5106</v>
      </c>
      <c r="B5179" t="s">
        <v>7021</v>
      </c>
      <c r="E5179" t="s">
        <v>9900</v>
      </c>
      <c r="F5179" t="s">
        <v>10304</v>
      </c>
      <c r="G5179">
        <v>70</v>
      </c>
      <c r="H5179" t="s">
        <v>10315</v>
      </c>
      <c r="L5179">
        <v>1975</v>
      </c>
      <c r="N5179">
        <v>54.995519999999992</v>
      </c>
      <c r="P5179">
        <v>11.88538</v>
      </c>
      <c r="R5179" t="s">
        <v>10315</v>
      </c>
      <c r="U5179" t="s">
        <v>11055</v>
      </c>
      <c r="W5179" s="2" t="s">
        <v>11246</v>
      </c>
    </row>
    <row r="5180" spans="1:23" x14ac:dyDescent="0.45">
      <c r="A5180" s="1" t="s">
        <v>5107</v>
      </c>
      <c r="B5180" t="s">
        <v>7022</v>
      </c>
      <c r="E5180" t="s">
        <v>9901</v>
      </c>
      <c r="F5180" t="s">
        <v>10304</v>
      </c>
      <c r="G5180">
        <v>25</v>
      </c>
      <c r="H5180" t="s">
        <v>10314</v>
      </c>
      <c r="I5180" t="s">
        <v>10323</v>
      </c>
      <c r="L5180">
        <v>1976</v>
      </c>
      <c r="N5180">
        <v>57.072600000000001</v>
      </c>
      <c r="P5180">
        <v>10.04252</v>
      </c>
      <c r="Q5180" t="s">
        <v>10931</v>
      </c>
      <c r="R5180" t="s">
        <v>11037</v>
      </c>
      <c r="S5180" t="s">
        <v>10314</v>
      </c>
      <c r="U5180" t="s">
        <v>11056</v>
      </c>
      <c r="W5180" s="2" t="s">
        <v>11247</v>
      </c>
    </row>
    <row r="5181" spans="1:23" x14ac:dyDescent="0.45">
      <c r="A5181" s="1" t="s">
        <v>5108</v>
      </c>
      <c r="B5181" t="s">
        <v>7022</v>
      </c>
      <c r="E5181" t="s">
        <v>9901</v>
      </c>
      <c r="F5181" t="s">
        <v>10304</v>
      </c>
      <c r="G5181">
        <v>415</v>
      </c>
      <c r="H5181" t="s">
        <v>10314</v>
      </c>
      <c r="I5181" t="s">
        <v>10323</v>
      </c>
      <c r="K5181" t="s">
        <v>11275</v>
      </c>
      <c r="L5181">
        <v>1998</v>
      </c>
      <c r="N5181">
        <v>57.072600000000001</v>
      </c>
      <c r="P5181">
        <v>10.04252</v>
      </c>
      <c r="Q5181" t="s">
        <v>10931</v>
      </c>
      <c r="R5181" t="s">
        <v>11037</v>
      </c>
      <c r="S5181" t="s">
        <v>10314</v>
      </c>
      <c r="U5181" t="s">
        <v>11056</v>
      </c>
      <c r="W5181" s="2" t="s">
        <v>11247</v>
      </c>
    </row>
    <row r="5182" spans="1:23" x14ac:dyDescent="0.45">
      <c r="A5182" s="1" t="s">
        <v>5109</v>
      </c>
      <c r="E5182" t="s">
        <v>9902</v>
      </c>
      <c r="F5182" t="s">
        <v>10304</v>
      </c>
      <c r="G5182">
        <v>90</v>
      </c>
      <c r="H5182" t="s">
        <v>10315</v>
      </c>
      <c r="L5182">
        <v>2014</v>
      </c>
      <c r="N5182">
        <v>55.093709999999987</v>
      </c>
      <c r="P5182">
        <v>14.697150000000001</v>
      </c>
      <c r="R5182" t="s">
        <v>10315</v>
      </c>
      <c r="U5182" t="s">
        <v>11055</v>
      </c>
      <c r="V5182" t="s">
        <v>11192</v>
      </c>
      <c r="W5182" t="s">
        <v>11243</v>
      </c>
    </row>
    <row r="5183" spans="1:23" x14ac:dyDescent="0.45">
      <c r="A5183" s="1" t="s">
        <v>5110</v>
      </c>
      <c r="B5183" t="s">
        <v>7019</v>
      </c>
      <c r="E5183" t="s">
        <v>9903</v>
      </c>
      <c r="F5183" t="s">
        <v>10304</v>
      </c>
      <c r="G5183">
        <v>392</v>
      </c>
      <c r="H5183" t="s">
        <v>10307</v>
      </c>
      <c r="L5183">
        <v>1997</v>
      </c>
      <c r="N5183">
        <v>55.511319999999998</v>
      </c>
      <c r="P5183">
        <v>9.6133100000000002</v>
      </c>
      <c r="Q5183" t="s">
        <v>10932</v>
      </c>
      <c r="R5183" t="s">
        <v>11037</v>
      </c>
      <c r="S5183" t="s">
        <v>10307</v>
      </c>
      <c r="U5183" t="s">
        <v>11056</v>
      </c>
      <c r="W5183" t="s">
        <v>11243</v>
      </c>
    </row>
    <row r="5184" spans="1:23" x14ac:dyDescent="0.45">
      <c r="A5184" s="1" t="s">
        <v>5111</v>
      </c>
      <c r="B5184" t="s">
        <v>7019</v>
      </c>
      <c r="E5184" t="s">
        <v>9904</v>
      </c>
      <c r="F5184" t="s">
        <v>10304</v>
      </c>
      <c r="G5184">
        <v>375</v>
      </c>
      <c r="H5184" t="s">
        <v>10314</v>
      </c>
      <c r="I5184" t="s">
        <v>10323</v>
      </c>
      <c r="L5184">
        <v>1984</v>
      </c>
      <c r="N5184">
        <v>56.248950000000001</v>
      </c>
      <c r="P5184">
        <v>10.347250000000001</v>
      </c>
      <c r="Q5184" t="s">
        <v>10933</v>
      </c>
      <c r="R5184" t="s">
        <v>11037</v>
      </c>
      <c r="S5184" t="s">
        <v>10314</v>
      </c>
      <c r="U5184" t="s">
        <v>11056</v>
      </c>
      <c r="W5184" s="2" t="s">
        <v>11248</v>
      </c>
    </row>
    <row r="5185" spans="1:23" x14ac:dyDescent="0.45">
      <c r="A5185" s="1" t="s">
        <v>5112</v>
      </c>
      <c r="B5185" t="s">
        <v>7019</v>
      </c>
      <c r="E5185" t="s">
        <v>9904</v>
      </c>
      <c r="F5185" t="s">
        <v>10304</v>
      </c>
      <c r="G5185">
        <v>15</v>
      </c>
      <c r="H5185" t="s">
        <v>10314</v>
      </c>
      <c r="I5185" t="s">
        <v>10323</v>
      </c>
      <c r="L5185">
        <v>1986</v>
      </c>
      <c r="N5185">
        <v>56.248950000000001</v>
      </c>
      <c r="P5185">
        <v>10.347250000000001</v>
      </c>
      <c r="Q5185" t="s">
        <v>10933</v>
      </c>
      <c r="R5185" t="s">
        <v>11037</v>
      </c>
      <c r="S5185" t="s">
        <v>10314</v>
      </c>
      <c r="U5185" t="s">
        <v>11056</v>
      </c>
      <c r="V5185" t="s">
        <v>11192</v>
      </c>
      <c r="W5185" t="s">
        <v>11243</v>
      </c>
    </row>
    <row r="5186" spans="1:23" hidden="1" x14ac:dyDescent="0.45">
      <c r="A5186" s="1" t="s">
        <v>5113</v>
      </c>
      <c r="B5186" t="s">
        <v>7023</v>
      </c>
      <c r="C5186" t="s">
        <v>7512</v>
      </c>
      <c r="D5186" t="s">
        <v>8127</v>
      </c>
      <c r="E5186" t="s">
        <v>9905</v>
      </c>
      <c r="F5186" t="s">
        <v>10305</v>
      </c>
      <c r="G5186">
        <v>13</v>
      </c>
      <c r="H5186" t="s">
        <v>10309</v>
      </c>
      <c r="I5186" t="s">
        <v>10323</v>
      </c>
      <c r="K5186" t="s">
        <v>10332</v>
      </c>
      <c r="L5186">
        <v>2003</v>
      </c>
      <c r="N5186">
        <v>51.984760999999999</v>
      </c>
      <c r="P5186">
        <v>9.8228310000000008</v>
      </c>
      <c r="R5186" t="s">
        <v>11038</v>
      </c>
      <c r="S5186" t="s">
        <v>10317</v>
      </c>
      <c r="T5186" t="s">
        <v>10309</v>
      </c>
      <c r="W5186" t="s">
        <v>11249</v>
      </c>
    </row>
    <row r="5187" spans="1:23" hidden="1" x14ac:dyDescent="0.45">
      <c r="A5187" s="1" t="s">
        <v>5114</v>
      </c>
      <c r="B5187" t="s">
        <v>7024</v>
      </c>
      <c r="C5187" t="s">
        <v>7513</v>
      </c>
      <c r="D5187" t="s">
        <v>8128</v>
      </c>
      <c r="E5187" t="s">
        <v>9906</v>
      </c>
      <c r="F5187" t="s">
        <v>10305</v>
      </c>
      <c r="G5187">
        <v>9.8000000000000007</v>
      </c>
      <c r="H5187" t="s">
        <v>10309</v>
      </c>
      <c r="I5187" t="s">
        <v>10323</v>
      </c>
      <c r="K5187" t="s">
        <v>10333</v>
      </c>
      <c r="L5187">
        <v>1999</v>
      </c>
      <c r="N5187">
        <v>47.797139999999999</v>
      </c>
      <c r="P5187">
        <v>10.858739999999999</v>
      </c>
      <c r="R5187" t="s">
        <v>11038</v>
      </c>
      <c r="S5187" t="s">
        <v>10317</v>
      </c>
      <c r="T5187" t="s">
        <v>10309</v>
      </c>
      <c r="W5187" t="s">
        <v>11249</v>
      </c>
    </row>
    <row r="5188" spans="1:23" hidden="1" x14ac:dyDescent="0.45">
      <c r="A5188" s="1" t="s">
        <v>5115</v>
      </c>
      <c r="B5188" t="s">
        <v>7025</v>
      </c>
      <c r="C5188" t="s">
        <v>7514</v>
      </c>
      <c r="D5188" t="s">
        <v>8129</v>
      </c>
      <c r="E5188" t="s">
        <v>9907</v>
      </c>
      <c r="F5188" t="s">
        <v>10305</v>
      </c>
      <c r="G5188">
        <v>138.9</v>
      </c>
      <c r="H5188" t="s">
        <v>10309</v>
      </c>
      <c r="I5188" t="s">
        <v>10323</v>
      </c>
      <c r="K5188" t="s">
        <v>10332</v>
      </c>
      <c r="L5188">
        <v>2004</v>
      </c>
      <c r="M5188" t="s">
        <v>10336</v>
      </c>
      <c r="N5188">
        <v>52.727130000000002</v>
      </c>
      <c r="P5188">
        <v>12.011150000000001</v>
      </c>
      <c r="R5188" t="s">
        <v>11038</v>
      </c>
      <c r="S5188" t="s">
        <v>10317</v>
      </c>
      <c r="T5188" t="s">
        <v>10309</v>
      </c>
      <c r="W5188" t="s">
        <v>11249</v>
      </c>
    </row>
    <row r="5189" spans="1:23" hidden="1" x14ac:dyDescent="0.45">
      <c r="A5189" s="1" t="s">
        <v>5116</v>
      </c>
      <c r="B5189" t="s">
        <v>7026</v>
      </c>
      <c r="C5189" t="s">
        <v>7515</v>
      </c>
      <c r="D5189" t="s">
        <v>8130</v>
      </c>
      <c r="E5189" t="s">
        <v>9908</v>
      </c>
      <c r="F5189" t="s">
        <v>10305</v>
      </c>
      <c r="G5189">
        <v>16</v>
      </c>
      <c r="H5189" t="s">
        <v>10309</v>
      </c>
      <c r="I5189" t="s">
        <v>10323</v>
      </c>
      <c r="K5189" t="s">
        <v>10332</v>
      </c>
      <c r="L5189">
        <v>2002</v>
      </c>
      <c r="N5189">
        <v>52.077779999999997</v>
      </c>
      <c r="P5189">
        <v>13.517250000000001</v>
      </c>
      <c r="R5189" t="s">
        <v>11038</v>
      </c>
      <c r="S5189" t="s">
        <v>10317</v>
      </c>
      <c r="T5189" t="s">
        <v>10309</v>
      </c>
      <c r="W5189" t="s">
        <v>11249</v>
      </c>
    </row>
    <row r="5190" spans="1:23" hidden="1" x14ac:dyDescent="0.45">
      <c r="A5190" s="1" t="s">
        <v>5117</v>
      </c>
      <c r="B5190" t="s">
        <v>7027</v>
      </c>
      <c r="D5190" t="s">
        <v>8131</v>
      </c>
      <c r="E5190" t="s">
        <v>9909</v>
      </c>
      <c r="F5190" t="s">
        <v>10305</v>
      </c>
      <c r="G5190">
        <v>18.3</v>
      </c>
      <c r="H5190" t="s">
        <v>10309</v>
      </c>
      <c r="I5190" t="s">
        <v>10323</v>
      </c>
      <c r="K5190" t="s">
        <v>10332</v>
      </c>
      <c r="L5190">
        <v>2001</v>
      </c>
      <c r="N5190">
        <v>52.182690000000001</v>
      </c>
      <c r="P5190">
        <v>14.25841</v>
      </c>
      <c r="R5190" t="s">
        <v>11038</v>
      </c>
      <c r="S5190" t="s">
        <v>10317</v>
      </c>
      <c r="T5190" t="s">
        <v>10309</v>
      </c>
      <c r="W5190" t="s">
        <v>11249</v>
      </c>
    </row>
    <row r="5191" spans="1:23" hidden="1" x14ac:dyDescent="0.45">
      <c r="A5191" s="1" t="s">
        <v>5118</v>
      </c>
      <c r="B5191" t="s">
        <v>7028</v>
      </c>
      <c r="C5191" t="s">
        <v>7516</v>
      </c>
      <c r="D5191" t="s">
        <v>8132</v>
      </c>
      <c r="E5191" t="s">
        <v>9910</v>
      </c>
      <c r="F5191" t="s">
        <v>10305</v>
      </c>
      <c r="G5191">
        <v>17.7</v>
      </c>
      <c r="H5191" t="s">
        <v>10309</v>
      </c>
      <c r="I5191" t="s">
        <v>10323</v>
      </c>
      <c r="K5191" t="s">
        <v>10332</v>
      </c>
      <c r="L5191">
        <v>2005</v>
      </c>
      <c r="N5191">
        <v>51.637009999999997</v>
      </c>
      <c r="P5191">
        <v>7.6187600000000009</v>
      </c>
      <c r="R5191" t="s">
        <v>11038</v>
      </c>
      <c r="S5191" t="s">
        <v>10317</v>
      </c>
      <c r="T5191" t="s">
        <v>10309</v>
      </c>
      <c r="W5191" t="s">
        <v>11249</v>
      </c>
    </row>
    <row r="5192" spans="1:23" hidden="1" x14ac:dyDescent="0.45">
      <c r="A5192" s="1" t="s">
        <v>5119</v>
      </c>
      <c r="B5192" t="s">
        <v>7029</v>
      </c>
      <c r="C5192" t="s">
        <v>7517</v>
      </c>
      <c r="D5192" t="s">
        <v>8133</v>
      </c>
      <c r="E5192" t="s">
        <v>9911</v>
      </c>
      <c r="F5192" t="s">
        <v>10305</v>
      </c>
      <c r="G5192">
        <v>16.5</v>
      </c>
      <c r="H5192" t="s">
        <v>10309</v>
      </c>
      <c r="I5192" t="s">
        <v>10323</v>
      </c>
      <c r="K5192" t="s">
        <v>10332</v>
      </c>
      <c r="L5192">
        <v>2004</v>
      </c>
      <c r="N5192">
        <v>52.425289999999997</v>
      </c>
      <c r="P5192">
        <v>13.517308</v>
      </c>
      <c r="R5192" t="s">
        <v>11038</v>
      </c>
      <c r="S5192" t="s">
        <v>10317</v>
      </c>
      <c r="T5192" t="s">
        <v>10309</v>
      </c>
      <c r="W5192" t="s">
        <v>11249</v>
      </c>
    </row>
    <row r="5193" spans="1:23" hidden="1" x14ac:dyDescent="0.45">
      <c r="A5193" s="1" t="s">
        <v>5120</v>
      </c>
      <c r="B5193" t="s">
        <v>7030</v>
      </c>
      <c r="D5193" t="s">
        <v>8134</v>
      </c>
      <c r="E5193" t="s">
        <v>9912</v>
      </c>
      <c r="F5193" t="s">
        <v>10305</v>
      </c>
      <c r="G5193">
        <v>20</v>
      </c>
      <c r="H5193" t="s">
        <v>10309</v>
      </c>
      <c r="I5193" t="s">
        <v>10323</v>
      </c>
      <c r="K5193" t="s">
        <v>10333</v>
      </c>
      <c r="L5193">
        <v>2006</v>
      </c>
      <c r="N5193">
        <v>53.252132000000003</v>
      </c>
      <c r="P5193">
        <v>13.957019000000001</v>
      </c>
      <c r="R5193" t="s">
        <v>11038</v>
      </c>
      <c r="S5193" t="s">
        <v>10317</v>
      </c>
      <c r="T5193" t="s">
        <v>10309</v>
      </c>
      <c r="W5193" t="s">
        <v>11249</v>
      </c>
    </row>
    <row r="5194" spans="1:23" hidden="1" x14ac:dyDescent="0.45">
      <c r="A5194" s="1" t="s">
        <v>5121</v>
      </c>
      <c r="B5194" t="s">
        <v>7031</v>
      </c>
      <c r="D5194" t="s">
        <v>8135</v>
      </c>
      <c r="E5194" t="s">
        <v>9913</v>
      </c>
      <c r="F5194" t="s">
        <v>10305</v>
      </c>
      <c r="G5194">
        <v>18.100000000000001</v>
      </c>
      <c r="H5194" t="s">
        <v>10309</v>
      </c>
      <c r="I5194" t="s">
        <v>10323</v>
      </c>
      <c r="K5194" t="s">
        <v>10333</v>
      </c>
      <c r="L5194">
        <v>2005</v>
      </c>
      <c r="N5194">
        <v>51.489930000000001</v>
      </c>
      <c r="P5194">
        <v>10.413069999999999</v>
      </c>
      <c r="R5194" t="s">
        <v>11038</v>
      </c>
      <c r="S5194" t="s">
        <v>10317</v>
      </c>
      <c r="T5194" t="s">
        <v>10309</v>
      </c>
      <c r="W5194" t="s">
        <v>11249</v>
      </c>
    </row>
    <row r="5195" spans="1:23" hidden="1" x14ac:dyDescent="0.45">
      <c r="A5195" s="1" t="s">
        <v>5122</v>
      </c>
      <c r="B5195" t="s">
        <v>7032</v>
      </c>
      <c r="C5195" t="s">
        <v>7518</v>
      </c>
      <c r="D5195" t="s">
        <v>8136</v>
      </c>
      <c r="E5195" t="s">
        <v>9914</v>
      </c>
      <c r="F5195" t="s">
        <v>10305</v>
      </c>
      <c r="G5195">
        <v>18</v>
      </c>
      <c r="H5195" t="s">
        <v>10309</v>
      </c>
      <c r="I5195" t="s">
        <v>10323</v>
      </c>
      <c r="K5195" t="s">
        <v>10332</v>
      </c>
      <c r="L5195">
        <v>1991</v>
      </c>
      <c r="N5195">
        <v>51.406669999999998</v>
      </c>
      <c r="P5195">
        <v>8.6011500000000005</v>
      </c>
      <c r="R5195" t="s">
        <v>11038</v>
      </c>
      <c r="S5195" t="s">
        <v>10317</v>
      </c>
      <c r="T5195" t="s">
        <v>10309</v>
      </c>
      <c r="W5195" t="s">
        <v>11249</v>
      </c>
    </row>
    <row r="5196" spans="1:23" hidden="1" x14ac:dyDescent="0.45">
      <c r="A5196" s="1" t="s">
        <v>5123</v>
      </c>
      <c r="B5196" t="s">
        <v>7033</v>
      </c>
      <c r="C5196" t="s">
        <v>7519</v>
      </c>
      <c r="D5196" t="s">
        <v>8137</v>
      </c>
      <c r="E5196" t="s">
        <v>9915</v>
      </c>
      <c r="F5196" t="s">
        <v>10305</v>
      </c>
      <c r="G5196">
        <v>13.2</v>
      </c>
      <c r="H5196" t="s">
        <v>10309</v>
      </c>
      <c r="I5196" t="s">
        <v>10323</v>
      </c>
      <c r="K5196" t="s">
        <v>10332</v>
      </c>
      <c r="L5196">
        <v>1990</v>
      </c>
      <c r="N5196">
        <v>48.266979999999997</v>
      </c>
      <c r="P5196">
        <v>9.7261500000000005</v>
      </c>
      <c r="R5196" t="s">
        <v>11038</v>
      </c>
      <c r="S5196" t="s">
        <v>10317</v>
      </c>
      <c r="T5196" t="s">
        <v>10309</v>
      </c>
      <c r="W5196" t="s">
        <v>11249</v>
      </c>
    </row>
    <row r="5197" spans="1:23" hidden="1" x14ac:dyDescent="0.45">
      <c r="A5197" s="1" t="s">
        <v>5124</v>
      </c>
      <c r="B5197" t="s">
        <v>7033</v>
      </c>
      <c r="C5197" t="s">
        <v>7520</v>
      </c>
      <c r="D5197" t="s">
        <v>8137</v>
      </c>
      <c r="E5197" t="s">
        <v>9915</v>
      </c>
      <c r="F5197" t="s">
        <v>10305</v>
      </c>
      <c r="G5197">
        <v>8</v>
      </c>
      <c r="H5197" t="s">
        <v>10309</v>
      </c>
      <c r="I5197" t="s">
        <v>10323</v>
      </c>
      <c r="K5197" t="s">
        <v>10332</v>
      </c>
      <c r="L5197">
        <v>1961</v>
      </c>
      <c r="N5197">
        <v>48.266930000000002</v>
      </c>
      <c r="P5197">
        <v>9.7262599999999999</v>
      </c>
      <c r="R5197" t="s">
        <v>11038</v>
      </c>
      <c r="S5197" t="s">
        <v>10317</v>
      </c>
      <c r="T5197" t="s">
        <v>10309</v>
      </c>
      <c r="W5197" t="s">
        <v>11249</v>
      </c>
    </row>
    <row r="5198" spans="1:23" hidden="1" x14ac:dyDescent="0.45">
      <c r="A5198" s="1" t="s">
        <v>5125</v>
      </c>
      <c r="B5198" t="s">
        <v>7034</v>
      </c>
      <c r="D5198" t="s">
        <v>8138</v>
      </c>
      <c r="E5198" t="s">
        <v>9916</v>
      </c>
      <c r="F5198" t="s">
        <v>10305</v>
      </c>
      <c r="G5198">
        <v>22</v>
      </c>
      <c r="H5198" t="s">
        <v>10309</v>
      </c>
      <c r="I5198" t="s">
        <v>10323</v>
      </c>
      <c r="K5198" t="s">
        <v>10332</v>
      </c>
      <c r="L5198">
        <v>2005</v>
      </c>
      <c r="N5198">
        <v>53.342170000000003</v>
      </c>
      <c r="P5198">
        <v>7.2062399999999984</v>
      </c>
      <c r="R5198" t="s">
        <v>11038</v>
      </c>
      <c r="S5198" t="s">
        <v>10317</v>
      </c>
      <c r="T5198" t="s">
        <v>10309</v>
      </c>
      <c r="W5198" t="s">
        <v>11249</v>
      </c>
    </row>
    <row r="5199" spans="1:23" hidden="1" x14ac:dyDescent="0.45">
      <c r="A5199" s="1" t="s">
        <v>5126</v>
      </c>
      <c r="B5199" t="s">
        <v>7034</v>
      </c>
      <c r="D5199" t="s">
        <v>8138</v>
      </c>
      <c r="E5199" t="s">
        <v>9916</v>
      </c>
      <c r="F5199" t="s">
        <v>10305</v>
      </c>
      <c r="G5199">
        <v>52</v>
      </c>
      <c r="H5199" t="s">
        <v>10309</v>
      </c>
      <c r="I5199" t="s">
        <v>10322</v>
      </c>
      <c r="K5199" t="s">
        <v>10333</v>
      </c>
      <c r="L5199">
        <v>1973</v>
      </c>
      <c r="N5199">
        <v>53.342170000000003</v>
      </c>
      <c r="P5199">
        <v>7.2062399999999984</v>
      </c>
      <c r="R5199" t="s">
        <v>11038</v>
      </c>
      <c r="S5199" t="s">
        <v>10317</v>
      </c>
      <c r="T5199" t="s">
        <v>10309</v>
      </c>
      <c r="W5199" t="s">
        <v>11249</v>
      </c>
    </row>
    <row r="5200" spans="1:23" hidden="1" x14ac:dyDescent="0.45">
      <c r="A5200" s="1" t="s">
        <v>5127</v>
      </c>
      <c r="B5200" t="s">
        <v>7029</v>
      </c>
      <c r="C5200" t="s">
        <v>7521</v>
      </c>
      <c r="D5200" t="s">
        <v>8139</v>
      </c>
      <c r="E5200" t="s">
        <v>9917</v>
      </c>
      <c r="F5200" t="s">
        <v>10305</v>
      </c>
      <c r="G5200">
        <v>10.6</v>
      </c>
      <c r="H5200" t="s">
        <v>10309</v>
      </c>
      <c r="I5200" t="s">
        <v>10323</v>
      </c>
      <c r="K5200" t="s">
        <v>10332</v>
      </c>
      <c r="L5200">
        <v>2013</v>
      </c>
      <c r="N5200">
        <v>52.619273999999997</v>
      </c>
      <c r="P5200">
        <v>6.8693099999999996</v>
      </c>
      <c r="R5200" t="s">
        <v>11038</v>
      </c>
      <c r="S5200" t="s">
        <v>10317</v>
      </c>
      <c r="T5200" t="s">
        <v>10309</v>
      </c>
      <c r="W5200" t="s">
        <v>11249</v>
      </c>
    </row>
    <row r="5201" spans="1:23" hidden="1" x14ac:dyDescent="0.45">
      <c r="A5201" s="1" t="s">
        <v>5128</v>
      </c>
      <c r="B5201" t="s">
        <v>7035</v>
      </c>
      <c r="C5201" t="s">
        <v>7522</v>
      </c>
      <c r="D5201" t="s">
        <v>8140</v>
      </c>
      <c r="E5201" t="s">
        <v>9918</v>
      </c>
      <c r="F5201" t="s">
        <v>10305</v>
      </c>
      <c r="G5201">
        <v>12.6</v>
      </c>
      <c r="H5201" t="s">
        <v>10309</v>
      </c>
      <c r="I5201" t="s">
        <v>10323</v>
      </c>
      <c r="K5201" t="s">
        <v>10333</v>
      </c>
      <c r="L5201">
        <v>2003</v>
      </c>
      <c r="N5201">
        <v>50.022601999999999</v>
      </c>
      <c r="P5201">
        <v>8.3772089999999988</v>
      </c>
      <c r="R5201" t="s">
        <v>11038</v>
      </c>
      <c r="S5201" t="s">
        <v>10317</v>
      </c>
      <c r="T5201" t="s">
        <v>10309</v>
      </c>
      <c r="W5201" t="s">
        <v>11249</v>
      </c>
    </row>
    <row r="5202" spans="1:23" hidden="1" x14ac:dyDescent="0.45">
      <c r="A5202" s="1" t="s">
        <v>5129</v>
      </c>
      <c r="B5202" t="s">
        <v>7036</v>
      </c>
      <c r="C5202" t="s">
        <v>7523</v>
      </c>
      <c r="D5202" t="s">
        <v>8141</v>
      </c>
      <c r="E5202" t="s">
        <v>9919</v>
      </c>
      <c r="F5202" t="s">
        <v>10305</v>
      </c>
      <c r="G5202">
        <v>12.4</v>
      </c>
      <c r="H5202" t="s">
        <v>10309</v>
      </c>
      <c r="I5202" t="s">
        <v>10323</v>
      </c>
      <c r="K5202" t="s">
        <v>10332</v>
      </c>
      <c r="L5202">
        <v>2004</v>
      </c>
      <c r="N5202">
        <v>50.129429999999999</v>
      </c>
      <c r="P5202">
        <v>8.7679200000000002</v>
      </c>
      <c r="R5202" t="s">
        <v>11038</v>
      </c>
      <c r="S5202" t="s">
        <v>10317</v>
      </c>
      <c r="T5202" t="s">
        <v>10309</v>
      </c>
      <c r="W5202" t="s">
        <v>11249</v>
      </c>
    </row>
    <row r="5203" spans="1:23" hidden="1" x14ac:dyDescent="0.45">
      <c r="A5203" s="1" t="s">
        <v>5130</v>
      </c>
      <c r="B5203" t="s">
        <v>7037</v>
      </c>
      <c r="C5203" t="s">
        <v>7524</v>
      </c>
      <c r="D5203" t="s">
        <v>8142</v>
      </c>
      <c r="E5203" t="s">
        <v>9920</v>
      </c>
      <c r="F5203" t="s">
        <v>10305</v>
      </c>
      <c r="G5203">
        <v>12.1</v>
      </c>
      <c r="H5203" t="s">
        <v>10309</v>
      </c>
      <c r="I5203" t="s">
        <v>10323</v>
      </c>
      <c r="K5203" t="s">
        <v>10332</v>
      </c>
      <c r="L5203">
        <v>2000</v>
      </c>
      <c r="N5203">
        <v>51.915370000000003</v>
      </c>
      <c r="P5203">
        <v>8.4003100000000011</v>
      </c>
      <c r="R5203" t="s">
        <v>11038</v>
      </c>
      <c r="S5203" t="s">
        <v>10317</v>
      </c>
      <c r="T5203" t="s">
        <v>10309</v>
      </c>
      <c r="W5203" t="s">
        <v>11249</v>
      </c>
    </row>
    <row r="5204" spans="1:23" hidden="1" x14ac:dyDescent="0.45">
      <c r="A5204" s="1" t="s">
        <v>5131</v>
      </c>
      <c r="B5204" t="s">
        <v>7038</v>
      </c>
      <c r="D5204" t="s">
        <v>8143</v>
      </c>
      <c r="E5204" t="s">
        <v>9921</v>
      </c>
      <c r="F5204" t="s">
        <v>10305</v>
      </c>
      <c r="G5204">
        <v>20</v>
      </c>
      <c r="H5204" t="s">
        <v>10309</v>
      </c>
      <c r="I5204" t="s">
        <v>10323</v>
      </c>
      <c r="K5204" t="s">
        <v>10332</v>
      </c>
      <c r="L5204">
        <v>2004</v>
      </c>
      <c r="N5204">
        <v>51.411114000000012</v>
      </c>
      <c r="P5204">
        <v>7.4916979999999986</v>
      </c>
      <c r="R5204" t="s">
        <v>11038</v>
      </c>
      <c r="S5204" t="s">
        <v>10317</v>
      </c>
      <c r="T5204" t="s">
        <v>10309</v>
      </c>
      <c r="W5204" t="s">
        <v>11249</v>
      </c>
    </row>
    <row r="5205" spans="1:23" hidden="1" x14ac:dyDescent="0.45">
      <c r="A5205" s="1" t="s">
        <v>5132</v>
      </c>
      <c r="B5205" t="s">
        <v>7039</v>
      </c>
      <c r="C5205" t="s">
        <v>7525</v>
      </c>
      <c r="D5205" t="s">
        <v>8144</v>
      </c>
      <c r="E5205" t="s">
        <v>9922</v>
      </c>
      <c r="F5205" t="s">
        <v>10305</v>
      </c>
      <c r="G5205">
        <v>20</v>
      </c>
      <c r="H5205" t="s">
        <v>10309</v>
      </c>
      <c r="I5205" t="s">
        <v>10323</v>
      </c>
      <c r="K5205" t="s">
        <v>10332</v>
      </c>
      <c r="L5205">
        <v>2005</v>
      </c>
      <c r="N5205">
        <v>53.531880440000002</v>
      </c>
      <c r="P5205">
        <v>10.07459164</v>
      </c>
      <c r="R5205" t="s">
        <v>11038</v>
      </c>
      <c r="S5205" t="s">
        <v>10317</v>
      </c>
      <c r="T5205" t="s">
        <v>10309</v>
      </c>
      <c r="W5205" t="s">
        <v>11249</v>
      </c>
    </row>
    <row r="5206" spans="1:23" hidden="1" x14ac:dyDescent="0.45">
      <c r="A5206" s="1" t="s">
        <v>5133</v>
      </c>
      <c r="B5206" t="s">
        <v>7040</v>
      </c>
      <c r="D5206" t="s">
        <v>8145</v>
      </c>
      <c r="E5206" t="s">
        <v>9923</v>
      </c>
      <c r="F5206" t="s">
        <v>10305</v>
      </c>
      <c r="G5206">
        <v>14.5</v>
      </c>
      <c r="H5206" t="s">
        <v>10309</v>
      </c>
      <c r="I5206" t="s">
        <v>10323</v>
      </c>
      <c r="K5206" t="s">
        <v>10333</v>
      </c>
      <c r="L5206">
        <v>2002</v>
      </c>
      <c r="N5206">
        <v>52.098750000000003</v>
      </c>
      <c r="P5206">
        <v>9.3882100000000008</v>
      </c>
      <c r="R5206" t="s">
        <v>11038</v>
      </c>
      <c r="S5206" t="s">
        <v>10317</v>
      </c>
      <c r="T5206" t="s">
        <v>10309</v>
      </c>
      <c r="W5206" t="s">
        <v>11249</v>
      </c>
    </row>
    <row r="5207" spans="1:23" hidden="1" x14ac:dyDescent="0.45">
      <c r="A5207" s="1" t="s">
        <v>5134</v>
      </c>
      <c r="B5207" t="s">
        <v>7041</v>
      </c>
      <c r="D5207" t="s">
        <v>8146</v>
      </c>
      <c r="E5207" t="s">
        <v>9924</v>
      </c>
      <c r="F5207" t="s">
        <v>10305</v>
      </c>
      <c r="G5207">
        <v>78</v>
      </c>
      <c r="H5207" t="s">
        <v>10309</v>
      </c>
      <c r="I5207" t="s">
        <v>10323</v>
      </c>
      <c r="K5207" t="s">
        <v>10332</v>
      </c>
      <c r="L5207">
        <v>2010</v>
      </c>
      <c r="N5207">
        <v>49.039299999999997</v>
      </c>
      <c r="P5207">
        <v>8.3113399999999995</v>
      </c>
      <c r="R5207" t="s">
        <v>11038</v>
      </c>
      <c r="S5207" t="s">
        <v>10317</v>
      </c>
      <c r="T5207" t="s">
        <v>10309</v>
      </c>
      <c r="W5207" t="s">
        <v>11249</v>
      </c>
    </row>
    <row r="5208" spans="1:23" hidden="1" x14ac:dyDescent="0.45">
      <c r="A5208" s="1" t="s">
        <v>5135</v>
      </c>
      <c r="B5208" t="s">
        <v>7035</v>
      </c>
      <c r="C5208" t="s">
        <v>7526</v>
      </c>
      <c r="D5208" t="s">
        <v>8147</v>
      </c>
      <c r="E5208" t="s">
        <v>9925</v>
      </c>
      <c r="F5208" t="s">
        <v>10305</v>
      </c>
      <c r="G5208">
        <v>17.100000000000001</v>
      </c>
      <c r="H5208" t="s">
        <v>10309</v>
      </c>
      <c r="I5208" t="s">
        <v>10323</v>
      </c>
      <c r="K5208" t="s">
        <v>10333</v>
      </c>
      <c r="L5208">
        <v>2003</v>
      </c>
      <c r="N5208">
        <v>52.304789999999997</v>
      </c>
      <c r="P5208">
        <v>13.63603</v>
      </c>
      <c r="R5208" t="s">
        <v>11038</v>
      </c>
      <c r="S5208" t="s">
        <v>10317</v>
      </c>
      <c r="T5208" t="s">
        <v>10309</v>
      </c>
      <c r="W5208" t="s">
        <v>11249</v>
      </c>
    </row>
    <row r="5209" spans="1:23" hidden="1" x14ac:dyDescent="0.45">
      <c r="A5209" s="1" t="s">
        <v>5136</v>
      </c>
      <c r="B5209" t="s">
        <v>7042</v>
      </c>
      <c r="C5209" t="s">
        <v>7527</v>
      </c>
      <c r="D5209" t="s">
        <v>8148</v>
      </c>
      <c r="E5209" t="s">
        <v>9926</v>
      </c>
      <c r="F5209" t="s">
        <v>10305</v>
      </c>
      <c r="G5209">
        <v>15.13</v>
      </c>
      <c r="H5209" t="s">
        <v>10309</v>
      </c>
      <c r="I5209" t="s">
        <v>10323</v>
      </c>
      <c r="K5209" t="s">
        <v>10332</v>
      </c>
      <c r="L5209">
        <v>2007</v>
      </c>
      <c r="N5209">
        <v>48.791229999999999</v>
      </c>
      <c r="P5209">
        <v>11.506790000000001</v>
      </c>
      <c r="R5209" t="s">
        <v>11038</v>
      </c>
      <c r="S5209" t="s">
        <v>10317</v>
      </c>
      <c r="T5209" t="s">
        <v>10309</v>
      </c>
      <c r="W5209" t="s">
        <v>11249</v>
      </c>
    </row>
    <row r="5210" spans="1:23" hidden="1" x14ac:dyDescent="0.45">
      <c r="A5210" s="1" t="s">
        <v>5137</v>
      </c>
      <c r="B5210" t="s">
        <v>7034</v>
      </c>
      <c r="D5210" t="s">
        <v>8149</v>
      </c>
      <c r="E5210" t="s">
        <v>9927</v>
      </c>
      <c r="F5210" t="s">
        <v>10305</v>
      </c>
      <c r="G5210">
        <v>22</v>
      </c>
      <c r="H5210" t="s">
        <v>10309</v>
      </c>
      <c r="I5210" t="s">
        <v>10323</v>
      </c>
      <c r="K5210" t="s">
        <v>10333</v>
      </c>
      <c r="L5210">
        <v>2005</v>
      </c>
      <c r="N5210">
        <v>52.577030000000008</v>
      </c>
      <c r="P5210">
        <v>9.1100899999999996</v>
      </c>
      <c r="R5210" t="s">
        <v>11038</v>
      </c>
      <c r="S5210" t="s">
        <v>10317</v>
      </c>
      <c r="T5210" t="s">
        <v>10309</v>
      </c>
      <c r="W5210" t="s">
        <v>11249</v>
      </c>
    </row>
    <row r="5211" spans="1:23" hidden="1" x14ac:dyDescent="0.45">
      <c r="A5211" s="1" t="s">
        <v>5138</v>
      </c>
      <c r="B5211" t="s">
        <v>7043</v>
      </c>
      <c r="C5211" t="s">
        <v>7528</v>
      </c>
      <c r="D5211" t="s">
        <v>8150</v>
      </c>
      <c r="E5211" t="s">
        <v>9928</v>
      </c>
      <c r="F5211" t="s">
        <v>10305</v>
      </c>
      <c r="G5211">
        <v>20</v>
      </c>
      <c r="H5211" t="s">
        <v>10309</v>
      </c>
      <c r="I5211" t="s">
        <v>10323</v>
      </c>
      <c r="K5211" t="s">
        <v>10333</v>
      </c>
      <c r="L5211">
        <v>2006</v>
      </c>
      <c r="N5211">
        <v>51.614039920000003</v>
      </c>
      <c r="P5211">
        <v>7.4812539739999986</v>
      </c>
      <c r="R5211" t="s">
        <v>11038</v>
      </c>
      <c r="S5211" t="s">
        <v>10317</v>
      </c>
      <c r="T5211" t="s">
        <v>10309</v>
      </c>
      <c r="W5211" t="s">
        <v>11249</v>
      </c>
    </row>
    <row r="5212" spans="1:23" hidden="1" x14ac:dyDescent="0.45">
      <c r="A5212" s="1" t="s">
        <v>5139</v>
      </c>
      <c r="B5212" t="s">
        <v>7031</v>
      </c>
      <c r="D5212" t="s">
        <v>8151</v>
      </c>
      <c r="E5212" t="s">
        <v>9929</v>
      </c>
      <c r="F5212" t="s">
        <v>10305</v>
      </c>
      <c r="G5212">
        <v>18.100000000000001</v>
      </c>
      <c r="H5212" t="s">
        <v>10309</v>
      </c>
      <c r="I5212" t="s">
        <v>10323</v>
      </c>
      <c r="K5212" t="s">
        <v>10332</v>
      </c>
      <c r="L5212">
        <v>2009</v>
      </c>
      <c r="N5212">
        <v>51.870882999999999</v>
      </c>
      <c r="P5212">
        <v>12.569466</v>
      </c>
      <c r="R5212" t="s">
        <v>11038</v>
      </c>
      <c r="S5212" t="s">
        <v>10317</v>
      </c>
      <c r="T5212" t="s">
        <v>10309</v>
      </c>
      <c r="W5212" t="s">
        <v>11249</v>
      </c>
    </row>
    <row r="5213" spans="1:23" hidden="1" x14ac:dyDescent="0.45">
      <c r="A5213" s="1" t="s">
        <v>5140</v>
      </c>
      <c r="B5213" t="s">
        <v>7044</v>
      </c>
      <c r="D5213" t="s">
        <v>8152</v>
      </c>
      <c r="E5213" t="s">
        <v>9930</v>
      </c>
      <c r="F5213" t="s">
        <v>10305</v>
      </c>
      <c r="G5213">
        <v>9.8000000000000007</v>
      </c>
      <c r="H5213" t="s">
        <v>10309</v>
      </c>
      <c r="I5213" t="s">
        <v>10323</v>
      </c>
      <c r="K5213" t="s">
        <v>10332</v>
      </c>
      <c r="L5213">
        <v>2003</v>
      </c>
      <c r="N5213">
        <v>53.741860000000003</v>
      </c>
      <c r="P5213">
        <v>12.78302</v>
      </c>
      <c r="R5213" t="s">
        <v>11038</v>
      </c>
      <c r="S5213" t="s">
        <v>10317</v>
      </c>
      <c r="T5213" t="s">
        <v>10309</v>
      </c>
      <c r="W5213" t="s">
        <v>11249</v>
      </c>
    </row>
    <row r="5214" spans="1:23" hidden="1" x14ac:dyDescent="0.45">
      <c r="A5214" s="1" t="s">
        <v>5141</v>
      </c>
      <c r="B5214" t="s">
        <v>7035</v>
      </c>
      <c r="C5214" t="s">
        <v>7529</v>
      </c>
      <c r="D5214" t="s">
        <v>8153</v>
      </c>
      <c r="E5214" t="s">
        <v>9931</v>
      </c>
      <c r="F5214" t="s">
        <v>10305</v>
      </c>
      <c r="G5214">
        <v>17.899999999999999</v>
      </c>
      <c r="H5214" t="s">
        <v>10309</v>
      </c>
      <c r="I5214" t="s">
        <v>10323</v>
      </c>
      <c r="K5214" t="s">
        <v>10333</v>
      </c>
      <c r="L5214">
        <v>2003</v>
      </c>
      <c r="N5214">
        <v>49.516444669999998</v>
      </c>
      <c r="P5214">
        <v>8.4602464820000005</v>
      </c>
      <c r="R5214" t="s">
        <v>11038</v>
      </c>
      <c r="S5214" t="s">
        <v>10317</v>
      </c>
      <c r="T5214" t="s">
        <v>10309</v>
      </c>
      <c r="W5214" t="s">
        <v>11249</v>
      </c>
    </row>
    <row r="5215" spans="1:23" hidden="1" x14ac:dyDescent="0.45">
      <c r="A5215" s="1" t="s">
        <v>5142</v>
      </c>
      <c r="B5215" t="s">
        <v>7045</v>
      </c>
      <c r="C5215" t="s">
        <v>7530</v>
      </c>
      <c r="D5215" t="s">
        <v>8154</v>
      </c>
      <c r="E5215" t="s">
        <v>9931</v>
      </c>
      <c r="F5215" t="s">
        <v>10305</v>
      </c>
      <c r="G5215">
        <v>40</v>
      </c>
      <c r="H5215" t="s">
        <v>10309</v>
      </c>
      <c r="I5215" t="s">
        <v>10323</v>
      </c>
      <c r="K5215" t="s">
        <v>10332</v>
      </c>
      <c r="L5215">
        <v>2003</v>
      </c>
      <c r="N5215">
        <v>49.5349</v>
      </c>
      <c r="P5215">
        <v>8.4635800000000003</v>
      </c>
      <c r="R5215" t="s">
        <v>11038</v>
      </c>
      <c r="S5215" t="s">
        <v>10317</v>
      </c>
      <c r="T5215" t="s">
        <v>10309</v>
      </c>
      <c r="W5215" t="s">
        <v>11249</v>
      </c>
    </row>
    <row r="5216" spans="1:23" hidden="1" x14ac:dyDescent="0.45">
      <c r="A5216" s="1" t="s">
        <v>5143</v>
      </c>
      <c r="B5216" t="s">
        <v>7046</v>
      </c>
      <c r="C5216" t="s">
        <v>7531</v>
      </c>
      <c r="D5216" t="s">
        <v>8155</v>
      </c>
      <c r="E5216" t="s">
        <v>9932</v>
      </c>
      <c r="F5216" t="s">
        <v>10305</v>
      </c>
      <c r="G5216">
        <v>15.6</v>
      </c>
      <c r="H5216" t="s">
        <v>10309</v>
      </c>
      <c r="I5216" t="s">
        <v>10323</v>
      </c>
      <c r="K5216" t="s">
        <v>10332</v>
      </c>
      <c r="L5216">
        <v>1997</v>
      </c>
      <c r="N5216">
        <v>49.261330000000001</v>
      </c>
      <c r="P5216">
        <v>11.451599999999999</v>
      </c>
      <c r="R5216" t="s">
        <v>11038</v>
      </c>
      <c r="S5216" t="s">
        <v>10317</v>
      </c>
      <c r="T5216" t="s">
        <v>10309</v>
      </c>
      <c r="W5216" t="s">
        <v>11249</v>
      </c>
    </row>
    <row r="5217" spans="1:23" hidden="1" x14ac:dyDescent="0.45">
      <c r="A5217" s="1" t="s">
        <v>5144</v>
      </c>
      <c r="B5217" t="s">
        <v>7047</v>
      </c>
      <c r="C5217" t="s">
        <v>7532</v>
      </c>
      <c r="D5217" t="s">
        <v>8156</v>
      </c>
      <c r="E5217" t="s">
        <v>9933</v>
      </c>
      <c r="F5217" t="s">
        <v>10305</v>
      </c>
      <c r="G5217">
        <v>20</v>
      </c>
      <c r="H5217" t="s">
        <v>10309</v>
      </c>
      <c r="I5217" t="s">
        <v>10323</v>
      </c>
      <c r="K5217" t="s">
        <v>10333</v>
      </c>
      <c r="L5217">
        <v>2003</v>
      </c>
      <c r="N5217">
        <v>53.097160000000002</v>
      </c>
      <c r="P5217">
        <v>7.3954000000000004</v>
      </c>
      <c r="R5217" t="s">
        <v>11038</v>
      </c>
      <c r="S5217" t="s">
        <v>10317</v>
      </c>
      <c r="T5217" t="s">
        <v>10309</v>
      </c>
      <c r="W5217" t="s">
        <v>11249</v>
      </c>
    </row>
    <row r="5218" spans="1:23" hidden="1" x14ac:dyDescent="0.45">
      <c r="A5218" s="1" t="s">
        <v>5145</v>
      </c>
      <c r="B5218" t="s">
        <v>7048</v>
      </c>
      <c r="C5218" t="s">
        <v>7533</v>
      </c>
      <c r="D5218" t="s">
        <v>8157</v>
      </c>
      <c r="E5218" t="s">
        <v>9934</v>
      </c>
      <c r="F5218" t="s">
        <v>10305</v>
      </c>
      <c r="G5218">
        <v>12.3</v>
      </c>
      <c r="H5218" t="s">
        <v>10309</v>
      </c>
      <c r="I5218" t="s">
        <v>10323</v>
      </c>
      <c r="K5218" t="s">
        <v>10332</v>
      </c>
      <c r="L5218">
        <v>2004</v>
      </c>
      <c r="N5218">
        <v>48.89705</v>
      </c>
      <c r="P5218">
        <v>8.7249999999999996</v>
      </c>
      <c r="R5218" t="s">
        <v>11038</v>
      </c>
      <c r="S5218" t="s">
        <v>10317</v>
      </c>
      <c r="T5218" t="s">
        <v>10309</v>
      </c>
      <c r="W5218" t="s">
        <v>11249</v>
      </c>
    </row>
    <row r="5219" spans="1:23" hidden="1" x14ac:dyDescent="0.45">
      <c r="A5219" s="1" t="s">
        <v>5146</v>
      </c>
      <c r="B5219" t="s">
        <v>7049</v>
      </c>
      <c r="C5219" t="s">
        <v>7534</v>
      </c>
      <c r="D5219" t="s">
        <v>8158</v>
      </c>
      <c r="E5219" t="s">
        <v>9935</v>
      </c>
      <c r="F5219" t="s">
        <v>10305</v>
      </c>
      <c r="G5219">
        <v>15</v>
      </c>
      <c r="H5219" t="s">
        <v>10309</v>
      </c>
      <c r="I5219" t="s">
        <v>10323</v>
      </c>
      <c r="K5219" t="s">
        <v>10332</v>
      </c>
      <c r="L5219">
        <v>2004</v>
      </c>
      <c r="N5219">
        <v>51.604008</v>
      </c>
      <c r="P5219">
        <v>7.2508479999999986</v>
      </c>
      <c r="R5219" t="s">
        <v>11038</v>
      </c>
      <c r="S5219" t="s">
        <v>10317</v>
      </c>
      <c r="T5219" t="s">
        <v>10309</v>
      </c>
      <c r="W5219" t="s">
        <v>11249</v>
      </c>
    </row>
    <row r="5220" spans="1:23" hidden="1" x14ac:dyDescent="0.45">
      <c r="A5220" s="1" t="s">
        <v>5147</v>
      </c>
      <c r="B5220" t="s">
        <v>7050</v>
      </c>
      <c r="C5220" t="s">
        <v>7535</v>
      </c>
      <c r="D5220" t="s">
        <v>8159</v>
      </c>
      <c r="E5220" t="s">
        <v>9936</v>
      </c>
      <c r="F5220" t="s">
        <v>10305</v>
      </c>
      <c r="G5220">
        <v>13.993399999999999</v>
      </c>
      <c r="H5220" t="s">
        <v>10309</v>
      </c>
      <c r="I5220" t="s">
        <v>10323</v>
      </c>
      <c r="K5220" t="s">
        <v>10332</v>
      </c>
      <c r="L5220">
        <v>2003</v>
      </c>
      <c r="N5220">
        <v>49.977449999999997</v>
      </c>
      <c r="P5220">
        <v>9.0687200000000008</v>
      </c>
      <c r="R5220" t="s">
        <v>11038</v>
      </c>
      <c r="S5220" t="s">
        <v>10317</v>
      </c>
      <c r="T5220" t="s">
        <v>10309</v>
      </c>
      <c r="W5220" t="s">
        <v>11249</v>
      </c>
    </row>
    <row r="5221" spans="1:23" hidden="1" x14ac:dyDescent="0.45">
      <c r="A5221" s="1" t="s">
        <v>5148</v>
      </c>
      <c r="B5221" t="s">
        <v>7051</v>
      </c>
      <c r="D5221" t="s">
        <v>8160</v>
      </c>
      <c r="E5221" t="s">
        <v>9937</v>
      </c>
      <c r="F5221" t="s">
        <v>10305</v>
      </c>
      <c r="G5221">
        <v>6.7</v>
      </c>
      <c r="H5221" t="s">
        <v>10309</v>
      </c>
      <c r="I5221" t="s">
        <v>10323</v>
      </c>
      <c r="K5221" t="s">
        <v>10332</v>
      </c>
      <c r="L5221">
        <v>2003</v>
      </c>
      <c r="N5221">
        <v>50.040545999999999</v>
      </c>
      <c r="P5221">
        <v>8.2532479999999993</v>
      </c>
      <c r="R5221" t="s">
        <v>11038</v>
      </c>
      <c r="S5221" t="s">
        <v>10317</v>
      </c>
      <c r="T5221" t="s">
        <v>10309</v>
      </c>
      <c r="W5221" t="s">
        <v>11249</v>
      </c>
    </row>
    <row r="5222" spans="1:23" hidden="1" x14ac:dyDescent="0.45">
      <c r="A5222" s="1" t="s">
        <v>5149</v>
      </c>
      <c r="B5222" t="s">
        <v>7052</v>
      </c>
      <c r="C5222" t="s">
        <v>7536</v>
      </c>
      <c r="D5222" t="s">
        <v>8161</v>
      </c>
      <c r="E5222" t="s">
        <v>9938</v>
      </c>
      <c r="F5222" t="s">
        <v>10305</v>
      </c>
      <c r="G5222">
        <v>18.3</v>
      </c>
      <c r="H5222" t="s">
        <v>10309</v>
      </c>
      <c r="I5222" t="s">
        <v>10323</v>
      </c>
      <c r="K5222" t="s">
        <v>10332</v>
      </c>
      <c r="L5222">
        <v>2003</v>
      </c>
      <c r="N5222">
        <v>48.45534</v>
      </c>
      <c r="P5222">
        <v>11.8019</v>
      </c>
      <c r="R5222" t="s">
        <v>11038</v>
      </c>
      <c r="S5222" t="s">
        <v>10317</v>
      </c>
      <c r="T5222" t="s">
        <v>10309</v>
      </c>
      <c r="W5222" t="s">
        <v>11249</v>
      </c>
    </row>
    <row r="5223" spans="1:23" hidden="1" x14ac:dyDescent="0.45">
      <c r="A5223" s="1" t="s">
        <v>5150</v>
      </c>
      <c r="B5223" t="s">
        <v>7053</v>
      </c>
      <c r="C5223" t="s">
        <v>7537</v>
      </c>
      <c r="D5223" t="s">
        <v>8162</v>
      </c>
      <c r="E5223" t="s">
        <v>9939</v>
      </c>
      <c r="F5223" t="s">
        <v>10305</v>
      </c>
      <c r="G5223">
        <v>13.3</v>
      </c>
      <c r="H5223" t="s">
        <v>10309</v>
      </c>
      <c r="I5223" t="s">
        <v>10323</v>
      </c>
      <c r="K5223" t="s">
        <v>10332</v>
      </c>
      <c r="L5223">
        <v>1993</v>
      </c>
      <c r="N5223">
        <v>53.086719999999993</v>
      </c>
      <c r="P5223">
        <v>14.31935</v>
      </c>
      <c r="R5223" t="s">
        <v>11038</v>
      </c>
      <c r="S5223" t="s">
        <v>10317</v>
      </c>
      <c r="T5223" t="s">
        <v>10309</v>
      </c>
      <c r="W5223" t="s">
        <v>11249</v>
      </c>
    </row>
    <row r="5224" spans="1:23" hidden="1" x14ac:dyDescent="0.45">
      <c r="A5224" s="1" t="s">
        <v>5151</v>
      </c>
      <c r="B5224" t="s">
        <v>7054</v>
      </c>
      <c r="C5224" t="s">
        <v>7538</v>
      </c>
      <c r="D5224" t="s">
        <v>8163</v>
      </c>
      <c r="E5224" t="s">
        <v>9940</v>
      </c>
      <c r="F5224" t="s">
        <v>10305</v>
      </c>
      <c r="G5224">
        <v>1.92</v>
      </c>
      <c r="H5224" t="s">
        <v>10309</v>
      </c>
      <c r="I5224" t="s">
        <v>10328</v>
      </c>
      <c r="K5224" t="s">
        <v>10332</v>
      </c>
      <c r="L5224">
        <v>2006</v>
      </c>
      <c r="N5224">
        <v>53.403170000000003</v>
      </c>
      <c r="P5224">
        <v>8.128210000000001</v>
      </c>
      <c r="R5224" t="s">
        <v>11038</v>
      </c>
      <c r="S5224" t="s">
        <v>10317</v>
      </c>
      <c r="T5224" t="s">
        <v>10309</v>
      </c>
      <c r="W5224" t="s">
        <v>11249</v>
      </c>
    </row>
    <row r="5225" spans="1:23" hidden="1" x14ac:dyDescent="0.45">
      <c r="A5225" s="1" t="s">
        <v>5152</v>
      </c>
      <c r="B5225" t="s">
        <v>7055</v>
      </c>
      <c r="C5225" t="s">
        <v>7539</v>
      </c>
      <c r="D5225" t="s">
        <v>8164</v>
      </c>
      <c r="E5225" t="s">
        <v>9941</v>
      </c>
      <c r="F5225" t="s">
        <v>10305</v>
      </c>
      <c r="G5225">
        <v>1.1000000000000001</v>
      </c>
      <c r="H5225" t="s">
        <v>10309</v>
      </c>
      <c r="I5225" t="s">
        <v>10323</v>
      </c>
      <c r="K5225" t="s">
        <v>10332</v>
      </c>
      <c r="L5225">
        <v>2005</v>
      </c>
      <c r="N5225">
        <v>49.988218000000003</v>
      </c>
      <c r="P5225">
        <v>9.155761</v>
      </c>
      <c r="R5225" t="s">
        <v>11038</v>
      </c>
      <c r="S5225" t="s">
        <v>10317</v>
      </c>
      <c r="T5225" t="s">
        <v>10309</v>
      </c>
      <c r="W5225" t="s">
        <v>11249</v>
      </c>
    </row>
    <row r="5226" spans="1:23" hidden="1" x14ac:dyDescent="0.45">
      <c r="A5226" s="1" t="s">
        <v>5153</v>
      </c>
      <c r="B5226" t="s">
        <v>7055</v>
      </c>
      <c r="C5226" t="s">
        <v>7539</v>
      </c>
      <c r="D5226" t="s">
        <v>8164</v>
      </c>
      <c r="E5226" t="s">
        <v>9941</v>
      </c>
      <c r="F5226" t="s">
        <v>10305</v>
      </c>
      <c r="G5226">
        <v>0.8</v>
      </c>
      <c r="H5226" t="s">
        <v>10309</v>
      </c>
      <c r="I5226" t="s">
        <v>10323</v>
      </c>
      <c r="K5226" t="s">
        <v>10332</v>
      </c>
      <c r="L5226">
        <v>2010</v>
      </c>
      <c r="N5226">
        <v>49.988218000000003</v>
      </c>
      <c r="P5226">
        <v>9.155761</v>
      </c>
      <c r="R5226" t="s">
        <v>11038</v>
      </c>
      <c r="S5226" t="s">
        <v>10317</v>
      </c>
      <c r="T5226" t="s">
        <v>10309</v>
      </c>
      <c r="W5226" t="s">
        <v>11249</v>
      </c>
    </row>
    <row r="5227" spans="1:23" hidden="1" x14ac:dyDescent="0.45">
      <c r="A5227" s="1" t="s">
        <v>5154</v>
      </c>
      <c r="B5227" t="s">
        <v>7056</v>
      </c>
      <c r="C5227" t="s">
        <v>7540</v>
      </c>
      <c r="D5227" t="s">
        <v>8165</v>
      </c>
      <c r="E5227" t="s">
        <v>9942</v>
      </c>
      <c r="F5227" t="s">
        <v>10305</v>
      </c>
      <c r="G5227">
        <v>18.600000000000001</v>
      </c>
      <c r="H5227" t="s">
        <v>10309</v>
      </c>
      <c r="I5227" t="s">
        <v>10323</v>
      </c>
      <c r="K5227" t="s">
        <v>10332</v>
      </c>
      <c r="L5227">
        <v>2002</v>
      </c>
      <c r="N5227">
        <v>53.148966000000001</v>
      </c>
      <c r="P5227">
        <v>12.379742</v>
      </c>
      <c r="R5227" t="s">
        <v>11038</v>
      </c>
      <c r="S5227" t="s">
        <v>10317</v>
      </c>
      <c r="T5227" t="s">
        <v>10309</v>
      </c>
      <c r="W5227" t="s">
        <v>11249</v>
      </c>
    </row>
    <row r="5228" spans="1:23" hidden="1" x14ac:dyDescent="0.45">
      <c r="A5228" s="1" t="s">
        <v>5155</v>
      </c>
      <c r="B5228" t="s">
        <v>7057</v>
      </c>
      <c r="C5228" t="s">
        <v>7541</v>
      </c>
      <c r="D5228" t="s">
        <v>8166</v>
      </c>
      <c r="E5228" t="s">
        <v>9943</v>
      </c>
      <c r="F5228" t="s">
        <v>10305</v>
      </c>
      <c r="G5228">
        <v>8.6999999999999993</v>
      </c>
      <c r="H5228" t="s">
        <v>10309</v>
      </c>
      <c r="I5228" t="s">
        <v>10323</v>
      </c>
      <c r="K5228" t="s">
        <v>10332</v>
      </c>
      <c r="L5228">
        <v>2004</v>
      </c>
      <c r="N5228">
        <v>48.397039999999997</v>
      </c>
      <c r="P5228">
        <v>9.9648400000000006</v>
      </c>
      <c r="R5228" t="s">
        <v>11038</v>
      </c>
      <c r="S5228" t="s">
        <v>10317</v>
      </c>
      <c r="T5228" t="s">
        <v>10309</v>
      </c>
      <c r="W5228" t="s">
        <v>11249</v>
      </c>
    </row>
    <row r="5229" spans="1:23" hidden="1" x14ac:dyDescent="0.45">
      <c r="A5229" s="1" t="s">
        <v>5156</v>
      </c>
      <c r="B5229" t="s">
        <v>7057</v>
      </c>
      <c r="C5229" t="s">
        <v>7541</v>
      </c>
      <c r="D5229" t="s">
        <v>8166</v>
      </c>
      <c r="E5229" t="s">
        <v>9943</v>
      </c>
      <c r="F5229" t="s">
        <v>10305</v>
      </c>
      <c r="G5229">
        <v>4.5</v>
      </c>
      <c r="H5229" t="s">
        <v>10309</v>
      </c>
      <c r="I5229" t="s">
        <v>10323</v>
      </c>
      <c r="K5229" t="s">
        <v>10332</v>
      </c>
      <c r="L5229">
        <v>2012</v>
      </c>
      <c r="N5229">
        <v>48.397039999999997</v>
      </c>
      <c r="P5229">
        <v>9.9648400000000006</v>
      </c>
      <c r="R5229" t="s">
        <v>11038</v>
      </c>
      <c r="S5229" t="s">
        <v>10317</v>
      </c>
      <c r="T5229" t="s">
        <v>10309</v>
      </c>
      <c r="W5229" t="s">
        <v>11249</v>
      </c>
    </row>
    <row r="5230" spans="1:23" hidden="1" x14ac:dyDescent="0.45">
      <c r="A5230" s="1" t="s">
        <v>5157</v>
      </c>
      <c r="B5230" t="s">
        <v>7058</v>
      </c>
      <c r="C5230" t="s">
        <v>7542</v>
      </c>
      <c r="D5230" t="s">
        <v>8167</v>
      </c>
      <c r="E5230" t="s">
        <v>9944</v>
      </c>
      <c r="F5230" t="s">
        <v>10305</v>
      </c>
      <c r="G5230">
        <v>14</v>
      </c>
      <c r="H5230" t="s">
        <v>10309</v>
      </c>
      <c r="I5230" t="s">
        <v>10323</v>
      </c>
      <c r="K5230" t="s">
        <v>10332</v>
      </c>
      <c r="L5230">
        <v>2004</v>
      </c>
      <c r="N5230">
        <v>48.628498</v>
      </c>
      <c r="P5230">
        <v>10.200853</v>
      </c>
      <c r="R5230" t="s">
        <v>11038</v>
      </c>
      <c r="S5230" t="s">
        <v>10317</v>
      </c>
      <c r="T5230" t="s">
        <v>10309</v>
      </c>
      <c r="W5230" t="s">
        <v>11249</v>
      </c>
    </row>
    <row r="5231" spans="1:23" hidden="1" x14ac:dyDescent="0.45">
      <c r="A5231" s="1" t="s">
        <v>5158</v>
      </c>
      <c r="B5231" t="s">
        <v>7059</v>
      </c>
      <c r="C5231" t="s">
        <v>7543</v>
      </c>
      <c r="D5231" t="s">
        <v>8168</v>
      </c>
      <c r="E5231" t="s">
        <v>9945</v>
      </c>
      <c r="F5231" t="s">
        <v>10305</v>
      </c>
      <c r="G5231">
        <v>17.8</v>
      </c>
      <c r="H5231" t="s">
        <v>10309</v>
      </c>
      <c r="I5231" t="s">
        <v>10323</v>
      </c>
      <c r="K5231" t="s">
        <v>10332</v>
      </c>
      <c r="L5231">
        <v>2006</v>
      </c>
      <c r="N5231">
        <v>53.320352</v>
      </c>
      <c r="P5231">
        <v>14.271027999999999</v>
      </c>
      <c r="R5231" t="s">
        <v>11038</v>
      </c>
      <c r="S5231" t="s">
        <v>10317</v>
      </c>
      <c r="T5231" t="s">
        <v>10309</v>
      </c>
      <c r="W5231" t="s">
        <v>11249</v>
      </c>
    </row>
    <row r="5232" spans="1:23" hidden="1" x14ac:dyDescent="0.45">
      <c r="A5232" s="1" t="s">
        <v>5159</v>
      </c>
      <c r="B5232" t="s">
        <v>7060</v>
      </c>
      <c r="D5232" t="s">
        <v>8169</v>
      </c>
      <c r="E5232" t="s">
        <v>9946</v>
      </c>
      <c r="F5232" t="s">
        <v>10305</v>
      </c>
      <c r="G5232">
        <v>28</v>
      </c>
      <c r="H5232" t="s">
        <v>10314</v>
      </c>
      <c r="I5232" t="s">
        <v>10323</v>
      </c>
      <c r="K5232" t="s">
        <v>10332</v>
      </c>
      <c r="L5232">
        <v>2009</v>
      </c>
      <c r="N5232">
        <v>47.589309999999998</v>
      </c>
      <c r="P5232">
        <v>8.1326100000000014</v>
      </c>
      <c r="R5232" t="s">
        <v>11037</v>
      </c>
      <c r="S5232" t="s">
        <v>10314</v>
      </c>
      <c r="W5232" t="s">
        <v>11249</v>
      </c>
    </row>
    <row r="5233" spans="1:23" hidden="1" x14ac:dyDescent="0.45">
      <c r="A5233" s="1" t="s">
        <v>5160</v>
      </c>
      <c r="B5233" t="s">
        <v>7061</v>
      </c>
      <c r="C5233" t="s">
        <v>7544</v>
      </c>
      <c r="D5233" t="s">
        <v>8170</v>
      </c>
      <c r="E5233" t="s">
        <v>9947</v>
      </c>
      <c r="F5233" t="s">
        <v>10305</v>
      </c>
      <c r="G5233">
        <v>336</v>
      </c>
      <c r="H5233" t="s">
        <v>10314</v>
      </c>
      <c r="I5233" t="s">
        <v>10323</v>
      </c>
      <c r="K5233" t="s">
        <v>10332</v>
      </c>
      <c r="L5233">
        <v>1997</v>
      </c>
      <c r="M5233" t="s">
        <v>10336</v>
      </c>
      <c r="N5233">
        <v>48.717610999999998</v>
      </c>
      <c r="P5233">
        <v>9.3749169999999999</v>
      </c>
      <c r="Q5233" t="s">
        <v>10934</v>
      </c>
      <c r="R5233" t="s">
        <v>11037</v>
      </c>
      <c r="S5233" t="s">
        <v>10314</v>
      </c>
      <c r="W5233" t="s">
        <v>11249</v>
      </c>
    </row>
    <row r="5234" spans="1:23" hidden="1" x14ac:dyDescent="0.45">
      <c r="A5234" s="1" t="s">
        <v>5161</v>
      </c>
      <c r="B5234" t="s">
        <v>7061</v>
      </c>
      <c r="C5234" t="s">
        <v>7544</v>
      </c>
      <c r="D5234" t="s">
        <v>8170</v>
      </c>
      <c r="E5234" t="s">
        <v>9947</v>
      </c>
      <c r="F5234" t="s">
        <v>10305</v>
      </c>
      <c r="G5234">
        <v>433</v>
      </c>
      <c r="H5234" t="s">
        <v>10314</v>
      </c>
      <c r="I5234" t="s">
        <v>10323</v>
      </c>
      <c r="K5234" t="s">
        <v>10332</v>
      </c>
      <c r="L5234">
        <v>1985</v>
      </c>
      <c r="M5234" t="s">
        <v>10336</v>
      </c>
      <c r="N5234">
        <v>48.717610999999998</v>
      </c>
      <c r="P5234">
        <v>9.3749169999999999</v>
      </c>
      <c r="Q5234" t="s">
        <v>10934</v>
      </c>
      <c r="R5234" t="s">
        <v>11037</v>
      </c>
      <c r="S5234" t="s">
        <v>10314</v>
      </c>
      <c r="W5234" t="s">
        <v>11249</v>
      </c>
    </row>
    <row r="5235" spans="1:23" hidden="1" x14ac:dyDescent="0.45">
      <c r="A5235" s="1" t="s">
        <v>5162</v>
      </c>
      <c r="B5235" t="s">
        <v>7062</v>
      </c>
      <c r="D5235" t="s">
        <v>8132</v>
      </c>
      <c r="E5235" t="s">
        <v>9910</v>
      </c>
      <c r="F5235" t="s">
        <v>10305</v>
      </c>
      <c r="G5235">
        <v>717</v>
      </c>
      <c r="H5235" t="s">
        <v>10314</v>
      </c>
      <c r="I5235" t="s">
        <v>10323</v>
      </c>
      <c r="K5235" t="s">
        <v>10333</v>
      </c>
      <c r="L5235">
        <v>1981</v>
      </c>
      <c r="N5235">
        <v>51.63702</v>
      </c>
      <c r="P5235">
        <v>7.6191000000000004</v>
      </c>
      <c r="Q5235" t="s">
        <v>10935</v>
      </c>
      <c r="R5235" t="s">
        <v>11037</v>
      </c>
      <c r="S5235" t="s">
        <v>10314</v>
      </c>
      <c r="W5235" t="s">
        <v>11249</v>
      </c>
    </row>
    <row r="5236" spans="1:23" hidden="1" x14ac:dyDescent="0.45">
      <c r="A5236" s="1" t="s">
        <v>5163</v>
      </c>
      <c r="B5236" t="s">
        <v>7063</v>
      </c>
      <c r="C5236" t="s">
        <v>7545</v>
      </c>
      <c r="D5236" t="s">
        <v>8171</v>
      </c>
      <c r="E5236" t="s">
        <v>9911</v>
      </c>
      <c r="F5236" t="s">
        <v>10305</v>
      </c>
      <c r="G5236">
        <v>124</v>
      </c>
      <c r="H5236" t="s">
        <v>10314</v>
      </c>
      <c r="I5236" t="s">
        <v>10323</v>
      </c>
      <c r="K5236" t="s">
        <v>10332</v>
      </c>
      <c r="L5236">
        <v>1969</v>
      </c>
      <c r="N5236">
        <v>52.532145999999997</v>
      </c>
      <c r="P5236">
        <v>13.246072</v>
      </c>
      <c r="Q5236" t="s">
        <v>10936</v>
      </c>
      <c r="R5236" t="s">
        <v>11037</v>
      </c>
      <c r="S5236" t="s">
        <v>10314</v>
      </c>
      <c r="W5236" t="s">
        <v>11249</v>
      </c>
    </row>
    <row r="5237" spans="1:23" hidden="1" x14ac:dyDescent="0.45">
      <c r="A5237" s="1" t="s">
        <v>5164</v>
      </c>
      <c r="B5237" t="s">
        <v>7063</v>
      </c>
      <c r="C5237" t="s">
        <v>7546</v>
      </c>
      <c r="D5237" t="s">
        <v>8172</v>
      </c>
      <c r="E5237" t="s">
        <v>9911</v>
      </c>
      <c r="F5237" t="s">
        <v>10305</v>
      </c>
      <c r="G5237">
        <v>89</v>
      </c>
      <c r="H5237" t="s">
        <v>10314</v>
      </c>
      <c r="I5237" t="s">
        <v>10323</v>
      </c>
      <c r="K5237" t="s">
        <v>10332</v>
      </c>
      <c r="L5237">
        <v>1990</v>
      </c>
      <c r="M5237" t="s">
        <v>10336</v>
      </c>
      <c r="N5237">
        <v>52.537351110000003</v>
      </c>
      <c r="P5237">
        <v>13.346114160000001</v>
      </c>
      <c r="R5237" t="s">
        <v>11037</v>
      </c>
      <c r="S5237" t="s">
        <v>10314</v>
      </c>
      <c r="W5237" t="s">
        <v>11249</v>
      </c>
    </row>
    <row r="5238" spans="1:23" hidden="1" x14ac:dyDescent="0.45">
      <c r="A5238" s="1" t="s">
        <v>5165</v>
      </c>
      <c r="B5238" t="s">
        <v>7063</v>
      </c>
      <c r="C5238" t="s">
        <v>7547</v>
      </c>
      <c r="D5238" t="s">
        <v>8171</v>
      </c>
      <c r="E5238" t="s">
        <v>9911</v>
      </c>
      <c r="F5238" t="s">
        <v>10305</v>
      </c>
      <c r="G5238">
        <v>282</v>
      </c>
      <c r="H5238" t="s">
        <v>10314</v>
      </c>
      <c r="I5238" t="s">
        <v>10323</v>
      </c>
      <c r="K5238" t="s">
        <v>10332</v>
      </c>
      <c r="L5238">
        <v>1987</v>
      </c>
      <c r="M5238" t="s">
        <v>10336</v>
      </c>
      <c r="N5238">
        <v>52.535087920000002</v>
      </c>
      <c r="P5238">
        <v>13.24264526</v>
      </c>
      <c r="Q5238" t="s">
        <v>10937</v>
      </c>
      <c r="R5238" t="s">
        <v>11037</v>
      </c>
      <c r="S5238" t="s">
        <v>10314</v>
      </c>
      <c r="W5238" t="s">
        <v>11249</v>
      </c>
    </row>
    <row r="5239" spans="1:23" hidden="1" x14ac:dyDescent="0.45">
      <c r="A5239" s="1" t="s">
        <v>5166</v>
      </c>
      <c r="B5239" t="s">
        <v>7063</v>
      </c>
      <c r="C5239" t="s">
        <v>7547</v>
      </c>
      <c r="D5239" t="s">
        <v>8171</v>
      </c>
      <c r="E5239" t="s">
        <v>9911</v>
      </c>
      <c r="F5239" t="s">
        <v>10305</v>
      </c>
      <c r="G5239">
        <v>282</v>
      </c>
      <c r="H5239" t="s">
        <v>10314</v>
      </c>
      <c r="I5239" t="s">
        <v>10323</v>
      </c>
      <c r="K5239" t="s">
        <v>10332</v>
      </c>
      <c r="L5239">
        <v>1988</v>
      </c>
      <c r="M5239" t="s">
        <v>10336</v>
      </c>
      <c r="N5239">
        <v>52.535087920000002</v>
      </c>
      <c r="P5239">
        <v>13.24264526</v>
      </c>
      <c r="Q5239" t="s">
        <v>10937</v>
      </c>
      <c r="R5239" t="s">
        <v>11037</v>
      </c>
      <c r="S5239" t="s">
        <v>10314</v>
      </c>
      <c r="W5239" t="s">
        <v>11249</v>
      </c>
    </row>
    <row r="5240" spans="1:23" hidden="1" x14ac:dyDescent="0.45">
      <c r="A5240" s="1" t="s">
        <v>5167</v>
      </c>
      <c r="B5240" t="s">
        <v>7062</v>
      </c>
      <c r="C5240" t="s">
        <v>7548</v>
      </c>
      <c r="D5240" t="s">
        <v>8173</v>
      </c>
      <c r="E5240" t="s">
        <v>9948</v>
      </c>
      <c r="F5240" t="s">
        <v>10305</v>
      </c>
      <c r="G5240">
        <v>726</v>
      </c>
      <c r="H5240" t="s">
        <v>10314</v>
      </c>
      <c r="I5240" t="s">
        <v>10323</v>
      </c>
      <c r="K5240" t="s">
        <v>10333</v>
      </c>
      <c r="L5240">
        <v>1983</v>
      </c>
      <c r="N5240">
        <v>49.363481</v>
      </c>
      <c r="P5240">
        <v>7.2371359999999996</v>
      </c>
      <c r="Q5240" t="s">
        <v>10938</v>
      </c>
      <c r="R5240" t="s">
        <v>11037</v>
      </c>
      <c r="S5240" t="s">
        <v>10314</v>
      </c>
      <c r="W5240" t="s">
        <v>11249</v>
      </c>
    </row>
    <row r="5241" spans="1:23" hidden="1" x14ac:dyDescent="0.45">
      <c r="A5241" s="1" t="s">
        <v>5168</v>
      </c>
      <c r="B5241" t="s">
        <v>7064</v>
      </c>
      <c r="D5241" t="s">
        <v>8174</v>
      </c>
      <c r="E5241" t="s">
        <v>9949</v>
      </c>
      <c r="F5241" t="s">
        <v>10305</v>
      </c>
      <c r="G5241">
        <v>43.3</v>
      </c>
      <c r="H5241" t="s">
        <v>10314</v>
      </c>
      <c r="I5241" t="s">
        <v>10321</v>
      </c>
      <c r="K5241" t="s">
        <v>10332</v>
      </c>
      <c r="L5241">
        <v>1984</v>
      </c>
      <c r="M5241" t="s">
        <v>10336</v>
      </c>
      <c r="N5241">
        <v>52.278610999999998</v>
      </c>
      <c r="P5241">
        <v>10.514722000000001</v>
      </c>
      <c r="R5241" t="s">
        <v>11037</v>
      </c>
      <c r="S5241" t="s">
        <v>10314</v>
      </c>
      <c r="W5241" t="s">
        <v>11249</v>
      </c>
    </row>
    <row r="5242" spans="1:23" hidden="1" x14ac:dyDescent="0.45">
      <c r="A5242" s="1" t="s">
        <v>5169</v>
      </c>
      <c r="B5242" t="s">
        <v>7065</v>
      </c>
      <c r="C5242" t="s">
        <v>7549</v>
      </c>
      <c r="D5242" t="s">
        <v>8175</v>
      </c>
      <c r="E5242" t="s">
        <v>9950</v>
      </c>
      <c r="F5242" t="s">
        <v>10305</v>
      </c>
      <c r="G5242">
        <v>119</v>
      </c>
      <c r="H5242" t="s">
        <v>10314</v>
      </c>
      <c r="I5242" t="s">
        <v>10323</v>
      </c>
      <c r="K5242" t="s">
        <v>10332</v>
      </c>
      <c r="L5242">
        <v>1989</v>
      </c>
      <c r="M5242" t="s">
        <v>10336</v>
      </c>
      <c r="N5242">
        <v>53.060080000000013</v>
      </c>
      <c r="P5242">
        <v>8.8732800000000029</v>
      </c>
      <c r="Q5242" t="s">
        <v>10939</v>
      </c>
      <c r="R5242" t="s">
        <v>11037</v>
      </c>
      <c r="S5242" t="s">
        <v>10314</v>
      </c>
      <c r="W5242" t="s">
        <v>11249</v>
      </c>
    </row>
    <row r="5243" spans="1:23" hidden="1" x14ac:dyDescent="0.45">
      <c r="A5243" s="1" t="s">
        <v>5170</v>
      </c>
      <c r="B5243" t="s">
        <v>7066</v>
      </c>
      <c r="C5243" t="s">
        <v>7550</v>
      </c>
      <c r="D5243" t="s">
        <v>8176</v>
      </c>
      <c r="E5243" t="s">
        <v>9950</v>
      </c>
      <c r="F5243" t="s">
        <v>10305</v>
      </c>
      <c r="G5243">
        <v>127</v>
      </c>
      <c r="H5243" t="s">
        <v>10314</v>
      </c>
      <c r="I5243" t="s">
        <v>10323</v>
      </c>
      <c r="K5243" t="s">
        <v>10332</v>
      </c>
      <c r="L5243">
        <v>1968</v>
      </c>
      <c r="N5243">
        <v>53.124819999999993</v>
      </c>
      <c r="P5243">
        <v>8.7288700000000006</v>
      </c>
      <c r="R5243" t="s">
        <v>11037</v>
      </c>
      <c r="S5243" t="s">
        <v>10314</v>
      </c>
      <c r="W5243" t="s">
        <v>11249</v>
      </c>
    </row>
    <row r="5244" spans="1:23" hidden="1" x14ac:dyDescent="0.45">
      <c r="A5244" s="1" t="s">
        <v>5171</v>
      </c>
      <c r="B5244" t="s">
        <v>7065</v>
      </c>
      <c r="C5244" t="s">
        <v>7550</v>
      </c>
      <c r="D5244" t="s">
        <v>8176</v>
      </c>
      <c r="E5244" t="s">
        <v>9950</v>
      </c>
      <c r="F5244" t="s">
        <v>10305</v>
      </c>
      <c r="G5244">
        <v>303</v>
      </c>
      <c r="H5244" t="s">
        <v>10314</v>
      </c>
      <c r="I5244" t="s">
        <v>10323</v>
      </c>
      <c r="K5244" t="s">
        <v>10332</v>
      </c>
      <c r="L5244">
        <v>1979</v>
      </c>
      <c r="N5244">
        <v>53.124861000000003</v>
      </c>
      <c r="P5244">
        <v>8.7286570000000001</v>
      </c>
      <c r="Q5244" t="s">
        <v>10940</v>
      </c>
      <c r="R5244" t="s">
        <v>11037</v>
      </c>
      <c r="S5244" t="s">
        <v>10314</v>
      </c>
      <c r="W5244" t="s">
        <v>11249</v>
      </c>
    </row>
    <row r="5245" spans="1:23" hidden="1" x14ac:dyDescent="0.45">
      <c r="A5245" s="1" t="s">
        <v>5172</v>
      </c>
      <c r="B5245" t="s">
        <v>7052</v>
      </c>
      <c r="C5245" t="s">
        <v>7551</v>
      </c>
      <c r="D5245" t="s">
        <v>8177</v>
      </c>
      <c r="E5245" t="s">
        <v>9950</v>
      </c>
      <c r="F5245" t="s">
        <v>10305</v>
      </c>
      <c r="G5245">
        <v>350</v>
      </c>
      <c r="H5245" t="s">
        <v>10314</v>
      </c>
      <c r="I5245" t="s">
        <v>10323</v>
      </c>
      <c r="K5245" t="s">
        <v>10333</v>
      </c>
      <c r="L5245">
        <v>1969</v>
      </c>
      <c r="N5245">
        <v>53.202066530000003</v>
      </c>
      <c r="P5245">
        <v>8.5161539259999994</v>
      </c>
      <c r="Q5245" t="s">
        <v>10941</v>
      </c>
      <c r="R5245" t="s">
        <v>11037</v>
      </c>
      <c r="S5245" t="s">
        <v>10314</v>
      </c>
      <c r="W5245" t="s">
        <v>11249</v>
      </c>
    </row>
    <row r="5246" spans="1:23" hidden="1" x14ac:dyDescent="0.45">
      <c r="A5246" s="1" t="s">
        <v>5173</v>
      </c>
      <c r="B5246" t="s">
        <v>7067</v>
      </c>
      <c r="D5246" t="s">
        <v>8178</v>
      </c>
      <c r="E5246" t="s">
        <v>9951</v>
      </c>
      <c r="F5246" t="s">
        <v>10305</v>
      </c>
      <c r="G5246">
        <v>95</v>
      </c>
      <c r="H5246" t="s">
        <v>10314</v>
      </c>
      <c r="I5246" t="s">
        <v>10323</v>
      </c>
      <c r="K5246" t="s">
        <v>10332</v>
      </c>
      <c r="L5246">
        <v>1964</v>
      </c>
      <c r="N5246">
        <v>51.629519999999999</v>
      </c>
      <c r="P5246">
        <v>7.3311740000000016</v>
      </c>
      <c r="R5246" t="s">
        <v>11037</v>
      </c>
      <c r="S5246" t="s">
        <v>10314</v>
      </c>
      <c r="W5246" t="s">
        <v>11249</v>
      </c>
    </row>
    <row r="5247" spans="1:23" hidden="1" x14ac:dyDescent="0.45">
      <c r="A5247" s="1" t="s">
        <v>5174</v>
      </c>
      <c r="B5247" t="s">
        <v>7067</v>
      </c>
      <c r="D5247" t="s">
        <v>8178</v>
      </c>
      <c r="E5247" t="s">
        <v>9951</v>
      </c>
      <c r="F5247" t="s">
        <v>10305</v>
      </c>
      <c r="G5247">
        <v>95</v>
      </c>
      <c r="H5247" t="s">
        <v>10314</v>
      </c>
      <c r="I5247" t="s">
        <v>10323</v>
      </c>
      <c r="K5247" t="s">
        <v>10332</v>
      </c>
      <c r="L5247">
        <v>1964</v>
      </c>
      <c r="N5247">
        <v>51.629519999999999</v>
      </c>
      <c r="P5247">
        <v>7.3311740000000016</v>
      </c>
      <c r="R5247" t="s">
        <v>11037</v>
      </c>
      <c r="S5247" t="s">
        <v>10314</v>
      </c>
      <c r="W5247" t="s">
        <v>11249</v>
      </c>
    </row>
    <row r="5248" spans="1:23" hidden="1" x14ac:dyDescent="0.45">
      <c r="A5248" s="1" t="s">
        <v>5175</v>
      </c>
      <c r="B5248" t="s">
        <v>7067</v>
      </c>
      <c r="D5248" t="s">
        <v>8178</v>
      </c>
      <c r="E5248" t="s">
        <v>9951</v>
      </c>
      <c r="F5248" t="s">
        <v>10305</v>
      </c>
      <c r="G5248">
        <v>113</v>
      </c>
      <c r="H5248" t="s">
        <v>10314</v>
      </c>
      <c r="I5248" t="s">
        <v>10323</v>
      </c>
      <c r="K5248" t="s">
        <v>10333</v>
      </c>
      <c r="L5248">
        <v>1969</v>
      </c>
      <c r="N5248">
        <v>51.629519999999999</v>
      </c>
      <c r="P5248">
        <v>7.3311740000000016</v>
      </c>
      <c r="R5248" t="s">
        <v>11037</v>
      </c>
      <c r="S5248" t="s">
        <v>10314</v>
      </c>
      <c r="W5248" t="s">
        <v>11249</v>
      </c>
    </row>
    <row r="5249" spans="1:23" hidden="1" x14ac:dyDescent="0.45">
      <c r="A5249" s="1" t="s">
        <v>5176</v>
      </c>
      <c r="B5249" t="s">
        <v>7067</v>
      </c>
      <c r="D5249" t="s">
        <v>8179</v>
      </c>
      <c r="E5249" t="s">
        <v>9952</v>
      </c>
      <c r="F5249" t="s">
        <v>10305</v>
      </c>
      <c r="G5249">
        <v>345</v>
      </c>
      <c r="H5249" t="s">
        <v>10314</v>
      </c>
      <c r="I5249" t="s">
        <v>10323</v>
      </c>
      <c r="K5249" t="s">
        <v>10332</v>
      </c>
      <c r="L5249">
        <v>1971</v>
      </c>
      <c r="N5249">
        <v>51.568469260000001</v>
      </c>
      <c r="P5249">
        <v>7.3491825110000004</v>
      </c>
      <c r="R5249" t="s">
        <v>11037</v>
      </c>
      <c r="S5249" t="s">
        <v>10314</v>
      </c>
      <c r="W5249" t="s">
        <v>11249</v>
      </c>
    </row>
    <row r="5250" spans="1:23" hidden="1" x14ac:dyDescent="0.45">
      <c r="A5250" s="1" t="s">
        <v>5177</v>
      </c>
      <c r="B5250" t="s">
        <v>7068</v>
      </c>
      <c r="C5250" t="s">
        <v>7552</v>
      </c>
      <c r="D5250" t="s">
        <v>8180</v>
      </c>
      <c r="E5250" t="s">
        <v>9953</v>
      </c>
      <c r="F5250" t="s">
        <v>10305</v>
      </c>
      <c r="G5250">
        <v>95</v>
      </c>
      <c r="H5250" t="s">
        <v>10314</v>
      </c>
      <c r="I5250" t="s">
        <v>10323</v>
      </c>
      <c r="K5250" t="s">
        <v>10332</v>
      </c>
      <c r="L5250">
        <v>1985</v>
      </c>
      <c r="N5250">
        <v>51.429324000000001</v>
      </c>
      <c r="P5250">
        <v>6.7519839999999984</v>
      </c>
      <c r="R5250" t="s">
        <v>11037</v>
      </c>
      <c r="S5250" t="s">
        <v>10314</v>
      </c>
      <c r="W5250" t="s">
        <v>11249</v>
      </c>
    </row>
    <row r="5251" spans="1:23" hidden="1" x14ac:dyDescent="0.45">
      <c r="A5251" s="1" t="s">
        <v>5178</v>
      </c>
      <c r="B5251" t="s">
        <v>7068</v>
      </c>
      <c r="C5251" t="s">
        <v>7552</v>
      </c>
      <c r="D5251" t="s">
        <v>8180</v>
      </c>
      <c r="E5251" t="s">
        <v>9953</v>
      </c>
      <c r="F5251" t="s">
        <v>10305</v>
      </c>
      <c r="G5251">
        <v>133</v>
      </c>
      <c r="H5251" t="s">
        <v>10314</v>
      </c>
      <c r="I5251" t="s">
        <v>10323</v>
      </c>
      <c r="K5251" t="s">
        <v>10332</v>
      </c>
      <c r="L5251">
        <v>1965</v>
      </c>
      <c r="N5251">
        <v>51.429324000000001</v>
      </c>
      <c r="P5251">
        <v>6.7519839999999984</v>
      </c>
      <c r="R5251" t="s">
        <v>11037</v>
      </c>
      <c r="S5251" t="s">
        <v>10314</v>
      </c>
      <c r="W5251" t="s">
        <v>11249</v>
      </c>
    </row>
    <row r="5252" spans="1:23" hidden="1" x14ac:dyDescent="0.45">
      <c r="A5252" s="1" t="s">
        <v>5179</v>
      </c>
      <c r="B5252" t="s">
        <v>7069</v>
      </c>
      <c r="C5252" t="s">
        <v>7553</v>
      </c>
      <c r="D5252" t="s">
        <v>8181</v>
      </c>
      <c r="E5252" t="s">
        <v>9953</v>
      </c>
      <c r="F5252" t="s">
        <v>10305</v>
      </c>
      <c r="G5252">
        <v>129</v>
      </c>
      <c r="H5252" t="s">
        <v>10314</v>
      </c>
      <c r="I5252" t="s">
        <v>10323</v>
      </c>
      <c r="K5252" t="s">
        <v>10333</v>
      </c>
      <c r="L5252">
        <v>1959</v>
      </c>
      <c r="N5252">
        <v>51.528610999999998</v>
      </c>
      <c r="P5252">
        <v>6.7119439999999999</v>
      </c>
      <c r="R5252" t="s">
        <v>11037</v>
      </c>
      <c r="S5252" t="s">
        <v>10314</v>
      </c>
      <c r="W5252" t="s">
        <v>11249</v>
      </c>
    </row>
    <row r="5253" spans="1:23" hidden="1" x14ac:dyDescent="0.45">
      <c r="A5253" s="1" t="s">
        <v>5180</v>
      </c>
      <c r="B5253" t="s">
        <v>7069</v>
      </c>
      <c r="C5253" t="s">
        <v>7553</v>
      </c>
      <c r="D5253" t="s">
        <v>8182</v>
      </c>
      <c r="E5253" t="s">
        <v>9953</v>
      </c>
      <c r="F5253" t="s">
        <v>10305</v>
      </c>
      <c r="G5253">
        <v>370</v>
      </c>
      <c r="H5253" t="s">
        <v>10314</v>
      </c>
      <c r="I5253" t="s">
        <v>10323</v>
      </c>
      <c r="K5253" t="s">
        <v>10332</v>
      </c>
      <c r="L5253">
        <v>1988</v>
      </c>
      <c r="M5253" t="s">
        <v>10336</v>
      </c>
      <c r="N5253">
        <v>51.526720000000012</v>
      </c>
      <c r="P5253">
        <v>6.71868</v>
      </c>
      <c r="Q5253" t="s">
        <v>10942</v>
      </c>
      <c r="R5253" t="s">
        <v>11037</v>
      </c>
      <c r="S5253" t="s">
        <v>10314</v>
      </c>
      <c r="W5253" t="s">
        <v>11249</v>
      </c>
    </row>
    <row r="5254" spans="1:23" hidden="1" x14ac:dyDescent="0.45">
      <c r="A5254" s="1" t="s">
        <v>5181</v>
      </c>
      <c r="B5254" t="s">
        <v>7070</v>
      </c>
      <c r="C5254" t="s">
        <v>7553</v>
      </c>
      <c r="D5254" t="s">
        <v>8182</v>
      </c>
      <c r="E5254" t="s">
        <v>9953</v>
      </c>
      <c r="F5254" t="s">
        <v>10305</v>
      </c>
      <c r="G5254">
        <v>725</v>
      </c>
      <c r="H5254" t="s">
        <v>10314</v>
      </c>
      <c r="I5254" t="s">
        <v>10323</v>
      </c>
      <c r="K5254" t="s">
        <v>10332</v>
      </c>
      <c r="L5254">
        <v>2013</v>
      </c>
      <c r="M5254" t="s">
        <v>10336</v>
      </c>
      <c r="N5254">
        <v>51.526720000000012</v>
      </c>
      <c r="P5254">
        <v>6.71868</v>
      </c>
      <c r="Q5254" t="s">
        <v>10942</v>
      </c>
      <c r="R5254" t="s">
        <v>11037</v>
      </c>
      <c r="S5254" t="s">
        <v>10314</v>
      </c>
      <c r="W5254" t="s">
        <v>11249</v>
      </c>
    </row>
    <row r="5255" spans="1:23" hidden="1" x14ac:dyDescent="0.45">
      <c r="A5255" s="1" t="s">
        <v>5182</v>
      </c>
      <c r="B5255" t="s">
        <v>7071</v>
      </c>
      <c r="C5255" t="s">
        <v>7554</v>
      </c>
      <c r="D5255" t="s">
        <v>8183</v>
      </c>
      <c r="E5255" t="s">
        <v>9954</v>
      </c>
      <c r="F5255" t="s">
        <v>10305</v>
      </c>
      <c r="G5255">
        <v>283</v>
      </c>
      <c r="H5255" t="s">
        <v>10314</v>
      </c>
      <c r="I5255" t="s">
        <v>10323</v>
      </c>
      <c r="K5255" t="s">
        <v>10333</v>
      </c>
      <c r="L5255">
        <v>2011</v>
      </c>
      <c r="N5255">
        <v>49.293247999999998</v>
      </c>
      <c r="P5255">
        <v>6.7709369999999991</v>
      </c>
      <c r="Q5255" t="s">
        <v>10943</v>
      </c>
      <c r="R5255" t="s">
        <v>11037</v>
      </c>
      <c r="S5255" t="s">
        <v>10314</v>
      </c>
      <c r="W5255" t="s">
        <v>11249</v>
      </c>
    </row>
    <row r="5256" spans="1:23" hidden="1" x14ac:dyDescent="0.45">
      <c r="A5256" s="1" t="s">
        <v>5183</v>
      </c>
      <c r="B5256" t="s">
        <v>7072</v>
      </c>
      <c r="C5256" t="s">
        <v>7555</v>
      </c>
      <c r="D5256" t="s">
        <v>8183</v>
      </c>
      <c r="E5256" t="s">
        <v>9954</v>
      </c>
      <c r="F5256" t="s">
        <v>10305</v>
      </c>
      <c r="G5256">
        <v>106</v>
      </c>
      <c r="H5256" t="s">
        <v>10314</v>
      </c>
      <c r="I5256" t="s">
        <v>10323</v>
      </c>
      <c r="K5256" t="s">
        <v>10332</v>
      </c>
      <c r="L5256">
        <v>1963</v>
      </c>
      <c r="N5256">
        <v>49.293247999999998</v>
      </c>
      <c r="P5256">
        <v>6.7709369999999991</v>
      </c>
      <c r="Q5256" t="s">
        <v>10944</v>
      </c>
      <c r="R5256" t="s">
        <v>11037</v>
      </c>
      <c r="S5256" t="s">
        <v>10314</v>
      </c>
      <c r="W5256" t="s">
        <v>11249</v>
      </c>
    </row>
    <row r="5257" spans="1:23" hidden="1" x14ac:dyDescent="0.45">
      <c r="A5257" s="1" t="s">
        <v>5184</v>
      </c>
      <c r="B5257" t="s">
        <v>7073</v>
      </c>
      <c r="C5257" t="s">
        <v>7556</v>
      </c>
      <c r="D5257" t="s">
        <v>8184</v>
      </c>
      <c r="E5257" t="s">
        <v>9955</v>
      </c>
      <c r="F5257" t="s">
        <v>10305</v>
      </c>
      <c r="G5257">
        <v>17.399999999999999</v>
      </c>
      <c r="H5257" t="s">
        <v>10314</v>
      </c>
      <c r="I5257" t="s">
        <v>10323</v>
      </c>
      <c r="K5257" t="s">
        <v>10332</v>
      </c>
      <c r="L5257">
        <v>1982</v>
      </c>
      <c r="N5257">
        <v>49.592829999999999</v>
      </c>
      <c r="P5257">
        <v>11.001480000000001</v>
      </c>
      <c r="R5257" t="s">
        <v>11037</v>
      </c>
      <c r="S5257" t="s">
        <v>10314</v>
      </c>
      <c r="W5257" t="s">
        <v>11249</v>
      </c>
    </row>
    <row r="5258" spans="1:23" hidden="1" x14ac:dyDescent="0.45">
      <c r="A5258" s="1" t="s">
        <v>5185</v>
      </c>
      <c r="B5258" t="s">
        <v>7074</v>
      </c>
      <c r="C5258" t="s">
        <v>7557</v>
      </c>
      <c r="D5258" t="s">
        <v>8185</v>
      </c>
      <c r="E5258" t="s">
        <v>9956</v>
      </c>
      <c r="F5258" t="s">
        <v>10305</v>
      </c>
      <c r="G5258">
        <v>31</v>
      </c>
      <c r="H5258" t="s">
        <v>10314</v>
      </c>
      <c r="I5258" t="s">
        <v>10321</v>
      </c>
      <c r="K5258" t="s">
        <v>10332</v>
      </c>
      <c r="L5258">
        <v>1992</v>
      </c>
      <c r="M5258" t="s">
        <v>10336</v>
      </c>
      <c r="N5258">
        <v>54.804949999999998</v>
      </c>
      <c r="P5258">
        <v>9.4324399999999997</v>
      </c>
      <c r="R5258" t="s">
        <v>11037</v>
      </c>
      <c r="S5258" t="s">
        <v>10314</v>
      </c>
      <c r="W5258" t="s">
        <v>11249</v>
      </c>
    </row>
    <row r="5259" spans="1:23" hidden="1" x14ac:dyDescent="0.45">
      <c r="A5259" s="1" t="s">
        <v>5186</v>
      </c>
      <c r="B5259" t="s">
        <v>7074</v>
      </c>
      <c r="C5259" t="s">
        <v>7557</v>
      </c>
      <c r="D5259" t="s">
        <v>8185</v>
      </c>
      <c r="E5259" t="s">
        <v>9956</v>
      </c>
      <c r="F5259" t="s">
        <v>10305</v>
      </c>
      <c r="G5259">
        <v>33</v>
      </c>
      <c r="H5259" t="s">
        <v>10314</v>
      </c>
      <c r="I5259" t="s">
        <v>10321</v>
      </c>
      <c r="K5259" t="s">
        <v>10332</v>
      </c>
      <c r="L5259">
        <v>1989</v>
      </c>
      <c r="M5259" t="s">
        <v>10336</v>
      </c>
      <c r="N5259">
        <v>54.804949999999998</v>
      </c>
      <c r="P5259">
        <v>9.4324399999999997</v>
      </c>
      <c r="R5259" t="s">
        <v>11037</v>
      </c>
      <c r="S5259" t="s">
        <v>10314</v>
      </c>
      <c r="W5259" t="s">
        <v>11249</v>
      </c>
    </row>
    <row r="5260" spans="1:23" hidden="1" x14ac:dyDescent="0.45">
      <c r="A5260" s="1" t="s">
        <v>5187</v>
      </c>
      <c r="B5260" t="s">
        <v>7074</v>
      </c>
      <c r="C5260" t="s">
        <v>7557</v>
      </c>
      <c r="D5260" t="s">
        <v>8185</v>
      </c>
      <c r="E5260" t="s">
        <v>9956</v>
      </c>
      <c r="F5260" t="s">
        <v>10305</v>
      </c>
      <c r="G5260">
        <v>33</v>
      </c>
      <c r="H5260" t="s">
        <v>10314</v>
      </c>
      <c r="I5260" t="s">
        <v>10321</v>
      </c>
      <c r="K5260" t="s">
        <v>10332</v>
      </c>
      <c r="L5260">
        <v>1985</v>
      </c>
      <c r="M5260" t="s">
        <v>10336</v>
      </c>
      <c r="N5260">
        <v>54.804949999999998</v>
      </c>
      <c r="P5260">
        <v>9.4324399999999997</v>
      </c>
      <c r="R5260" t="s">
        <v>11037</v>
      </c>
      <c r="S5260" t="s">
        <v>10314</v>
      </c>
      <c r="W5260" t="s">
        <v>11249</v>
      </c>
    </row>
    <row r="5261" spans="1:23" hidden="1" x14ac:dyDescent="0.45">
      <c r="A5261" s="1" t="s">
        <v>5188</v>
      </c>
      <c r="B5261" t="s">
        <v>7074</v>
      </c>
      <c r="C5261" t="s">
        <v>7557</v>
      </c>
      <c r="D5261" t="s">
        <v>8185</v>
      </c>
      <c r="E5261" t="s">
        <v>9956</v>
      </c>
      <c r="F5261" t="s">
        <v>10305</v>
      </c>
      <c r="G5261">
        <v>35</v>
      </c>
      <c r="H5261" t="s">
        <v>10314</v>
      </c>
      <c r="I5261" t="s">
        <v>10323</v>
      </c>
      <c r="K5261" t="s">
        <v>10332</v>
      </c>
      <c r="L5261">
        <v>1982</v>
      </c>
      <c r="N5261">
        <v>54.804949999999998</v>
      </c>
      <c r="P5261">
        <v>9.4324399999999997</v>
      </c>
      <c r="R5261" t="s">
        <v>11037</v>
      </c>
      <c r="S5261" t="s">
        <v>10314</v>
      </c>
      <c r="W5261" t="s">
        <v>11249</v>
      </c>
    </row>
    <row r="5262" spans="1:23" hidden="1" x14ac:dyDescent="0.45">
      <c r="A5262" s="1" t="s">
        <v>5189</v>
      </c>
      <c r="B5262" t="s">
        <v>7074</v>
      </c>
      <c r="C5262" t="s">
        <v>7557</v>
      </c>
      <c r="D5262" t="s">
        <v>8185</v>
      </c>
      <c r="E5262" t="s">
        <v>9956</v>
      </c>
      <c r="F5262" t="s">
        <v>10305</v>
      </c>
      <c r="G5262">
        <v>23</v>
      </c>
      <c r="H5262" t="s">
        <v>10314</v>
      </c>
      <c r="I5262" t="s">
        <v>10323</v>
      </c>
      <c r="K5262" t="s">
        <v>10332</v>
      </c>
      <c r="L5262">
        <v>1978</v>
      </c>
      <c r="N5262">
        <v>54.804949999999998</v>
      </c>
      <c r="P5262">
        <v>9.4324399999999997</v>
      </c>
      <c r="R5262" t="s">
        <v>11037</v>
      </c>
      <c r="S5262" t="s">
        <v>10314</v>
      </c>
      <c r="W5262" t="s">
        <v>11249</v>
      </c>
    </row>
    <row r="5263" spans="1:23" hidden="1" x14ac:dyDescent="0.45">
      <c r="A5263" s="1" t="s">
        <v>5190</v>
      </c>
      <c r="B5263" t="s">
        <v>7036</v>
      </c>
      <c r="C5263" t="s">
        <v>7558</v>
      </c>
      <c r="D5263" t="s">
        <v>8186</v>
      </c>
      <c r="E5263" t="s">
        <v>9919</v>
      </c>
      <c r="F5263" t="s">
        <v>10305</v>
      </c>
      <c r="G5263">
        <v>61.5</v>
      </c>
      <c r="H5263" t="s">
        <v>10314</v>
      </c>
      <c r="I5263" t="s">
        <v>10323</v>
      </c>
      <c r="K5263" t="s">
        <v>10332</v>
      </c>
      <c r="L5263">
        <v>1988</v>
      </c>
      <c r="M5263" t="s">
        <v>10336</v>
      </c>
      <c r="N5263">
        <v>50.09843</v>
      </c>
      <c r="P5263">
        <v>8.6531300000000009</v>
      </c>
      <c r="R5263" t="s">
        <v>11037</v>
      </c>
      <c r="S5263" t="s">
        <v>10314</v>
      </c>
      <c r="W5263" t="s">
        <v>11249</v>
      </c>
    </row>
    <row r="5264" spans="1:23" hidden="1" x14ac:dyDescent="0.45">
      <c r="A5264" s="1" t="s">
        <v>5191</v>
      </c>
      <c r="B5264" t="s">
        <v>7036</v>
      </c>
      <c r="C5264" t="s">
        <v>7558</v>
      </c>
      <c r="D5264" t="s">
        <v>8186</v>
      </c>
      <c r="E5264" t="s">
        <v>9919</v>
      </c>
      <c r="F5264" t="s">
        <v>10305</v>
      </c>
      <c r="G5264">
        <v>61.5</v>
      </c>
      <c r="H5264" t="s">
        <v>10314</v>
      </c>
      <c r="I5264" t="s">
        <v>10323</v>
      </c>
      <c r="K5264" t="s">
        <v>10332</v>
      </c>
      <c r="L5264">
        <v>1989</v>
      </c>
      <c r="M5264" t="s">
        <v>10336</v>
      </c>
      <c r="N5264">
        <v>50.09843</v>
      </c>
      <c r="P5264">
        <v>8.6531300000000009</v>
      </c>
      <c r="R5264" t="s">
        <v>11037</v>
      </c>
      <c r="S5264" t="s">
        <v>10314</v>
      </c>
      <c r="W5264" t="s">
        <v>11249</v>
      </c>
    </row>
    <row r="5265" spans="1:23" hidden="1" x14ac:dyDescent="0.45">
      <c r="A5265" s="1" t="s">
        <v>5192</v>
      </c>
      <c r="B5265" t="s">
        <v>7067</v>
      </c>
      <c r="D5265" t="s">
        <v>8187</v>
      </c>
      <c r="E5265" t="s">
        <v>9957</v>
      </c>
      <c r="F5265" t="s">
        <v>10305</v>
      </c>
      <c r="G5265">
        <v>345</v>
      </c>
      <c r="H5265" t="s">
        <v>10314</v>
      </c>
      <c r="I5265" t="s">
        <v>10323</v>
      </c>
      <c r="K5265" t="s">
        <v>10332</v>
      </c>
      <c r="L5265">
        <v>1969</v>
      </c>
      <c r="N5265">
        <v>51.60236802</v>
      </c>
      <c r="P5265">
        <v>7.009894096</v>
      </c>
      <c r="Q5265" t="s">
        <v>10945</v>
      </c>
      <c r="R5265" t="s">
        <v>11037</v>
      </c>
      <c r="S5265" t="s">
        <v>10314</v>
      </c>
      <c r="W5265" t="s">
        <v>11249</v>
      </c>
    </row>
    <row r="5266" spans="1:23" hidden="1" x14ac:dyDescent="0.45">
      <c r="A5266" s="1" t="s">
        <v>5193</v>
      </c>
      <c r="B5266" t="s">
        <v>7067</v>
      </c>
      <c r="D5266" t="s">
        <v>8187</v>
      </c>
      <c r="E5266" t="s">
        <v>9957</v>
      </c>
      <c r="F5266" t="s">
        <v>10305</v>
      </c>
      <c r="G5266">
        <v>345</v>
      </c>
      <c r="H5266" t="s">
        <v>10314</v>
      </c>
      <c r="I5266" t="s">
        <v>10323</v>
      </c>
      <c r="K5266" t="s">
        <v>10332</v>
      </c>
      <c r="L5266">
        <v>1968</v>
      </c>
      <c r="N5266">
        <v>51.60236802</v>
      </c>
      <c r="P5266">
        <v>7.009894096</v>
      </c>
      <c r="Q5266" t="s">
        <v>10945</v>
      </c>
      <c r="R5266" t="s">
        <v>11037</v>
      </c>
      <c r="S5266" t="s">
        <v>10314</v>
      </c>
      <c r="W5266" t="s">
        <v>11249</v>
      </c>
    </row>
    <row r="5267" spans="1:23" hidden="1" x14ac:dyDescent="0.45">
      <c r="A5267" s="1" t="s">
        <v>5194</v>
      </c>
      <c r="B5267" t="s">
        <v>7067</v>
      </c>
      <c r="D5267" t="s">
        <v>8187</v>
      </c>
      <c r="E5267" t="s">
        <v>9957</v>
      </c>
      <c r="F5267" t="s">
        <v>10305</v>
      </c>
      <c r="G5267">
        <v>345</v>
      </c>
      <c r="H5267" t="s">
        <v>10314</v>
      </c>
      <c r="I5267" t="s">
        <v>10323</v>
      </c>
      <c r="K5267" t="s">
        <v>10332</v>
      </c>
      <c r="L5267">
        <v>1970</v>
      </c>
      <c r="N5267">
        <v>51.60236802</v>
      </c>
      <c r="P5267">
        <v>7.009894096</v>
      </c>
      <c r="R5267" t="s">
        <v>11037</v>
      </c>
      <c r="S5267" t="s">
        <v>10314</v>
      </c>
      <c r="W5267" t="s">
        <v>11249</v>
      </c>
    </row>
    <row r="5268" spans="1:23" hidden="1" x14ac:dyDescent="0.45">
      <c r="A5268" s="1" t="s">
        <v>5195</v>
      </c>
      <c r="B5268" t="s">
        <v>7067</v>
      </c>
      <c r="D5268" t="s">
        <v>8187</v>
      </c>
      <c r="E5268" t="s">
        <v>9957</v>
      </c>
      <c r="F5268" t="s">
        <v>10305</v>
      </c>
      <c r="G5268">
        <v>345</v>
      </c>
      <c r="H5268" t="s">
        <v>10314</v>
      </c>
      <c r="I5268" t="s">
        <v>10323</v>
      </c>
      <c r="K5268" t="s">
        <v>10332</v>
      </c>
      <c r="L5268">
        <v>1971</v>
      </c>
      <c r="N5268">
        <v>51.60236802</v>
      </c>
      <c r="P5268">
        <v>7.009894096</v>
      </c>
      <c r="R5268" t="s">
        <v>11037</v>
      </c>
      <c r="S5268" t="s">
        <v>10314</v>
      </c>
      <c r="W5268" t="s">
        <v>11249</v>
      </c>
    </row>
    <row r="5269" spans="1:23" hidden="1" x14ac:dyDescent="0.45">
      <c r="A5269" s="1" t="s">
        <v>5196</v>
      </c>
      <c r="B5269" t="s">
        <v>7067</v>
      </c>
      <c r="D5269" t="s">
        <v>8187</v>
      </c>
      <c r="E5269" t="s">
        <v>9957</v>
      </c>
      <c r="F5269" t="s">
        <v>10305</v>
      </c>
      <c r="G5269">
        <v>676</v>
      </c>
      <c r="H5269" t="s">
        <v>10314</v>
      </c>
      <c r="I5269" t="s">
        <v>10323</v>
      </c>
      <c r="K5269" t="s">
        <v>10333</v>
      </c>
      <c r="L5269">
        <v>1979</v>
      </c>
      <c r="N5269">
        <v>51.60236802</v>
      </c>
      <c r="P5269">
        <v>7.009894096</v>
      </c>
      <c r="R5269" t="s">
        <v>11037</v>
      </c>
      <c r="S5269" t="s">
        <v>10314</v>
      </c>
      <c r="W5269" t="s">
        <v>11249</v>
      </c>
    </row>
    <row r="5270" spans="1:23" hidden="1" x14ac:dyDescent="0.45">
      <c r="A5270" s="1" t="s">
        <v>5197</v>
      </c>
      <c r="B5270" t="s">
        <v>7067</v>
      </c>
      <c r="D5270" t="s">
        <v>8187</v>
      </c>
      <c r="E5270" t="s">
        <v>9957</v>
      </c>
      <c r="F5270" t="s">
        <v>10305</v>
      </c>
      <c r="G5270">
        <v>70</v>
      </c>
      <c r="H5270" t="s">
        <v>10314</v>
      </c>
      <c r="I5270" t="s">
        <v>10323</v>
      </c>
      <c r="K5270" t="s">
        <v>10332</v>
      </c>
      <c r="L5270">
        <v>1985</v>
      </c>
      <c r="N5270">
        <v>51.596960000000003</v>
      </c>
      <c r="P5270">
        <v>7.0045199999999994</v>
      </c>
      <c r="R5270" t="s">
        <v>11037</v>
      </c>
      <c r="S5270" t="s">
        <v>10314</v>
      </c>
      <c r="W5270" t="s">
        <v>11249</v>
      </c>
    </row>
    <row r="5271" spans="1:23" hidden="1" x14ac:dyDescent="0.45">
      <c r="A5271" s="1" t="s">
        <v>5198</v>
      </c>
      <c r="B5271" t="s">
        <v>7067</v>
      </c>
      <c r="D5271" t="s">
        <v>8188</v>
      </c>
      <c r="E5271" t="s">
        <v>9958</v>
      </c>
      <c r="F5271" t="s">
        <v>10305</v>
      </c>
      <c r="G5271">
        <v>249</v>
      </c>
      <c r="H5271" t="s">
        <v>10314</v>
      </c>
      <c r="I5271" t="s">
        <v>10323</v>
      </c>
      <c r="K5271" t="s">
        <v>10332</v>
      </c>
      <c r="L5271">
        <v>1965</v>
      </c>
      <c r="N5271">
        <v>50.088553000000012</v>
      </c>
      <c r="P5271">
        <v>8.9533990000000028</v>
      </c>
      <c r="R5271" t="s">
        <v>11037</v>
      </c>
      <c r="S5271" t="s">
        <v>10314</v>
      </c>
      <c r="W5271" t="s">
        <v>11249</v>
      </c>
    </row>
    <row r="5272" spans="1:23" hidden="1" x14ac:dyDescent="0.45">
      <c r="A5272" s="1" t="s">
        <v>5199</v>
      </c>
      <c r="B5272" t="s">
        <v>7067</v>
      </c>
      <c r="D5272" t="s">
        <v>8188</v>
      </c>
      <c r="E5272" t="s">
        <v>9958</v>
      </c>
      <c r="F5272" t="s">
        <v>10305</v>
      </c>
      <c r="G5272">
        <v>293</v>
      </c>
      <c r="H5272" t="s">
        <v>10314</v>
      </c>
      <c r="I5272" t="s">
        <v>10323</v>
      </c>
      <c r="K5272" t="s">
        <v>10333</v>
      </c>
      <c r="L5272">
        <v>1970</v>
      </c>
      <c r="N5272">
        <v>50.088553000000012</v>
      </c>
      <c r="P5272">
        <v>8.9533990000000028</v>
      </c>
      <c r="R5272" t="s">
        <v>11037</v>
      </c>
      <c r="S5272" t="s">
        <v>10314</v>
      </c>
      <c r="W5272" t="s">
        <v>11249</v>
      </c>
    </row>
    <row r="5273" spans="1:23" hidden="1" x14ac:dyDescent="0.45">
      <c r="A5273" s="1" t="s">
        <v>5200</v>
      </c>
      <c r="B5273" t="s">
        <v>7067</v>
      </c>
      <c r="D5273" t="s">
        <v>8188</v>
      </c>
      <c r="E5273" t="s">
        <v>9958</v>
      </c>
      <c r="F5273" t="s">
        <v>10305</v>
      </c>
      <c r="G5273">
        <v>510</v>
      </c>
      <c r="H5273" t="s">
        <v>10314</v>
      </c>
      <c r="I5273" t="s">
        <v>10323</v>
      </c>
      <c r="K5273" t="s">
        <v>10332</v>
      </c>
      <c r="L5273">
        <v>1992</v>
      </c>
      <c r="M5273" t="s">
        <v>10336</v>
      </c>
      <c r="N5273">
        <v>50.088553000000012</v>
      </c>
      <c r="P5273">
        <v>8.9533990000000028</v>
      </c>
      <c r="Q5273" t="s">
        <v>10946</v>
      </c>
      <c r="R5273" t="s">
        <v>11037</v>
      </c>
      <c r="S5273" t="s">
        <v>10314</v>
      </c>
      <c r="W5273" t="s">
        <v>11249</v>
      </c>
    </row>
    <row r="5274" spans="1:23" hidden="1" x14ac:dyDescent="0.45">
      <c r="A5274" s="1" t="s">
        <v>5201</v>
      </c>
      <c r="B5274" t="s">
        <v>7075</v>
      </c>
      <c r="C5274" t="s">
        <v>7559</v>
      </c>
      <c r="D5274" t="s">
        <v>8144</v>
      </c>
      <c r="E5274" t="s">
        <v>9922</v>
      </c>
      <c r="F5274" t="s">
        <v>10305</v>
      </c>
      <c r="G5274">
        <v>194</v>
      </c>
      <c r="H5274" t="s">
        <v>10314</v>
      </c>
      <c r="I5274" t="s">
        <v>10323</v>
      </c>
      <c r="K5274" t="s">
        <v>10332</v>
      </c>
      <c r="L5274">
        <v>1993</v>
      </c>
      <c r="M5274" t="s">
        <v>10336</v>
      </c>
      <c r="N5274">
        <v>53.526166310000001</v>
      </c>
      <c r="P5274">
        <v>10.063176159999999</v>
      </c>
      <c r="Q5274" t="s">
        <v>10947</v>
      </c>
      <c r="R5274" t="s">
        <v>11037</v>
      </c>
      <c r="S5274" t="s">
        <v>10314</v>
      </c>
      <c r="W5274" t="s">
        <v>11249</v>
      </c>
    </row>
    <row r="5275" spans="1:23" hidden="1" x14ac:dyDescent="0.45">
      <c r="A5275" s="1" t="s">
        <v>5202</v>
      </c>
      <c r="B5275" t="s">
        <v>7075</v>
      </c>
      <c r="C5275" t="s">
        <v>7560</v>
      </c>
      <c r="D5275" t="s">
        <v>8189</v>
      </c>
      <c r="E5275" t="s">
        <v>9959</v>
      </c>
      <c r="F5275" t="s">
        <v>10305</v>
      </c>
      <c r="G5275">
        <v>123</v>
      </c>
      <c r="H5275" t="s">
        <v>10314</v>
      </c>
      <c r="I5275" t="s">
        <v>10323</v>
      </c>
      <c r="K5275" t="s">
        <v>10332</v>
      </c>
      <c r="L5275">
        <v>1962</v>
      </c>
      <c r="M5275" t="s">
        <v>10336</v>
      </c>
      <c r="N5275">
        <v>53.566957019999997</v>
      </c>
      <c r="P5275">
        <v>9.7244453429999993</v>
      </c>
      <c r="Q5275" t="s">
        <v>10948</v>
      </c>
      <c r="R5275" t="s">
        <v>11037</v>
      </c>
      <c r="S5275" t="s">
        <v>10314</v>
      </c>
      <c r="W5275" t="s">
        <v>11249</v>
      </c>
    </row>
    <row r="5276" spans="1:23" hidden="1" x14ac:dyDescent="0.45">
      <c r="A5276" s="1" t="s">
        <v>5203</v>
      </c>
      <c r="B5276" t="s">
        <v>7075</v>
      </c>
      <c r="C5276" t="s">
        <v>7560</v>
      </c>
      <c r="D5276" t="s">
        <v>8189</v>
      </c>
      <c r="E5276" t="s">
        <v>9959</v>
      </c>
      <c r="F5276" t="s">
        <v>10305</v>
      </c>
      <c r="G5276">
        <v>137</v>
      </c>
      <c r="H5276" t="s">
        <v>10314</v>
      </c>
      <c r="I5276" t="s">
        <v>10323</v>
      </c>
      <c r="K5276" t="s">
        <v>10332</v>
      </c>
      <c r="L5276">
        <v>1961</v>
      </c>
      <c r="M5276" t="s">
        <v>10336</v>
      </c>
      <c r="N5276">
        <v>53.566957019999997</v>
      </c>
      <c r="P5276">
        <v>9.7244453429999993</v>
      </c>
      <c r="Q5276" t="s">
        <v>10948</v>
      </c>
      <c r="R5276" t="s">
        <v>11037</v>
      </c>
      <c r="S5276" t="s">
        <v>10314</v>
      </c>
      <c r="W5276" t="s">
        <v>11249</v>
      </c>
    </row>
    <row r="5277" spans="1:23" hidden="1" x14ac:dyDescent="0.45">
      <c r="A5277" s="1" t="s">
        <v>5204</v>
      </c>
      <c r="B5277" t="s">
        <v>7076</v>
      </c>
      <c r="D5277" t="s">
        <v>8190</v>
      </c>
      <c r="E5277" t="s">
        <v>9960</v>
      </c>
      <c r="F5277" t="s">
        <v>10305</v>
      </c>
      <c r="G5277">
        <v>284</v>
      </c>
      <c r="H5277" t="s">
        <v>10314</v>
      </c>
      <c r="I5277" t="s">
        <v>10323</v>
      </c>
      <c r="K5277" t="s">
        <v>10333</v>
      </c>
      <c r="L5277">
        <v>1969</v>
      </c>
      <c r="N5277">
        <v>51.680278000000001</v>
      </c>
      <c r="P5277">
        <v>7.969722</v>
      </c>
      <c r="R5277" t="s">
        <v>11037</v>
      </c>
      <c r="S5277" t="s">
        <v>10314</v>
      </c>
      <c r="W5277" t="s">
        <v>11249</v>
      </c>
    </row>
    <row r="5278" spans="1:23" hidden="1" x14ac:dyDescent="0.45">
      <c r="A5278" s="1" t="s">
        <v>5205</v>
      </c>
      <c r="B5278" t="s">
        <v>7076</v>
      </c>
      <c r="D5278" t="s">
        <v>8190</v>
      </c>
      <c r="E5278" t="s">
        <v>9960</v>
      </c>
      <c r="F5278" t="s">
        <v>10305</v>
      </c>
      <c r="G5278">
        <v>765</v>
      </c>
      <c r="H5278" t="s">
        <v>10314</v>
      </c>
      <c r="I5278" t="s">
        <v>10323</v>
      </c>
      <c r="K5278" t="s">
        <v>10333</v>
      </c>
      <c r="L5278">
        <v>2014</v>
      </c>
      <c r="N5278">
        <v>51.680278000000001</v>
      </c>
      <c r="P5278">
        <v>7.969722</v>
      </c>
      <c r="R5278" t="s">
        <v>11037</v>
      </c>
      <c r="S5278" t="s">
        <v>10314</v>
      </c>
      <c r="W5278" t="s">
        <v>11249</v>
      </c>
    </row>
    <row r="5279" spans="1:23" hidden="1" x14ac:dyDescent="0.45">
      <c r="A5279" s="1" t="s">
        <v>5206</v>
      </c>
      <c r="B5279" t="s">
        <v>7076</v>
      </c>
      <c r="D5279" t="s">
        <v>8190</v>
      </c>
      <c r="E5279" t="s">
        <v>9960</v>
      </c>
      <c r="F5279" t="s">
        <v>10305</v>
      </c>
      <c r="G5279">
        <v>763.7</v>
      </c>
      <c r="H5279" t="s">
        <v>10314</v>
      </c>
      <c r="I5279" t="s">
        <v>10323</v>
      </c>
      <c r="K5279" t="s">
        <v>10333</v>
      </c>
      <c r="L5279">
        <v>2014</v>
      </c>
      <c r="N5279">
        <v>51.680278000000001</v>
      </c>
      <c r="P5279">
        <v>7.969722</v>
      </c>
      <c r="Q5279" t="s">
        <v>10949</v>
      </c>
      <c r="R5279" t="s">
        <v>11037</v>
      </c>
      <c r="S5279" t="s">
        <v>10314</v>
      </c>
      <c r="W5279" t="s">
        <v>11249</v>
      </c>
    </row>
    <row r="5280" spans="1:23" hidden="1" x14ac:dyDescent="0.45">
      <c r="A5280" s="1" t="s">
        <v>5207</v>
      </c>
      <c r="B5280" t="s">
        <v>7076</v>
      </c>
      <c r="D5280" t="s">
        <v>8190</v>
      </c>
      <c r="E5280" t="s">
        <v>9960</v>
      </c>
      <c r="F5280" t="s">
        <v>10305</v>
      </c>
      <c r="G5280">
        <v>152</v>
      </c>
      <c r="H5280" t="s">
        <v>10314</v>
      </c>
      <c r="I5280" t="s">
        <v>10323</v>
      </c>
      <c r="K5280" t="s">
        <v>10333</v>
      </c>
      <c r="L5280">
        <v>1963</v>
      </c>
      <c r="N5280">
        <v>51.677819999999997</v>
      </c>
      <c r="P5280">
        <v>7.9741999999999997</v>
      </c>
      <c r="R5280" t="s">
        <v>11037</v>
      </c>
      <c r="S5280" t="s">
        <v>10314</v>
      </c>
      <c r="W5280" t="s">
        <v>11249</v>
      </c>
    </row>
    <row r="5281" spans="1:23" hidden="1" x14ac:dyDescent="0.45">
      <c r="A5281" s="1" t="s">
        <v>5208</v>
      </c>
      <c r="B5281" t="s">
        <v>7076</v>
      </c>
      <c r="D5281" t="s">
        <v>8190</v>
      </c>
      <c r="E5281" t="s">
        <v>9960</v>
      </c>
      <c r="F5281" t="s">
        <v>10305</v>
      </c>
      <c r="G5281">
        <v>152</v>
      </c>
      <c r="H5281" t="s">
        <v>10314</v>
      </c>
      <c r="I5281" t="s">
        <v>10323</v>
      </c>
      <c r="K5281" t="s">
        <v>10333</v>
      </c>
      <c r="L5281">
        <v>1963</v>
      </c>
      <c r="N5281">
        <v>51.677819999999997</v>
      </c>
      <c r="P5281">
        <v>7.9741999999999997</v>
      </c>
      <c r="R5281" t="s">
        <v>11037</v>
      </c>
      <c r="S5281" t="s">
        <v>10314</v>
      </c>
      <c r="W5281" t="s">
        <v>11249</v>
      </c>
    </row>
    <row r="5282" spans="1:23" hidden="1" x14ac:dyDescent="0.45">
      <c r="A5282" s="1" t="s">
        <v>5209</v>
      </c>
      <c r="B5282" t="s">
        <v>7077</v>
      </c>
      <c r="D5282" t="s">
        <v>8191</v>
      </c>
      <c r="E5282" t="s">
        <v>9961</v>
      </c>
      <c r="F5282" t="s">
        <v>10305</v>
      </c>
      <c r="G5282">
        <v>136</v>
      </c>
      <c r="H5282" t="s">
        <v>10314</v>
      </c>
      <c r="I5282" t="s">
        <v>10323</v>
      </c>
      <c r="K5282" t="s">
        <v>10332</v>
      </c>
      <c r="L5282">
        <v>1989</v>
      </c>
      <c r="M5282" t="s">
        <v>10336</v>
      </c>
      <c r="N5282">
        <v>52.42</v>
      </c>
      <c r="P5282">
        <v>9.6486110000000007</v>
      </c>
      <c r="Q5282" t="s">
        <v>10950</v>
      </c>
      <c r="R5282" t="s">
        <v>11037</v>
      </c>
      <c r="S5282" t="s">
        <v>10314</v>
      </c>
      <c r="W5282" t="s">
        <v>11249</v>
      </c>
    </row>
    <row r="5283" spans="1:23" hidden="1" x14ac:dyDescent="0.45">
      <c r="A5283" s="1" t="s">
        <v>5210</v>
      </c>
      <c r="B5283" t="s">
        <v>7077</v>
      </c>
      <c r="D5283" t="s">
        <v>8191</v>
      </c>
      <c r="E5283" t="s">
        <v>9961</v>
      </c>
      <c r="F5283" t="s">
        <v>10305</v>
      </c>
      <c r="G5283">
        <v>136</v>
      </c>
      <c r="H5283" t="s">
        <v>10314</v>
      </c>
      <c r="I5283" t="s">
        <v>10323</v>
      </c>
      <c r="K5283" t="s">
        <v>10332</v>
      </c>
      <c r="L5283">
        <v>1989</v>
      </c>
      <c r="M5283" t="s">
        <v>10336</v>
      </c>
      <c r="N5283">
        <v>52.42</v>
      </c>
      <c r="P5283">
        <v>9.6486110000000007</v>
      </c>
      <c r="Q5283" t="s">
        <v>10950</v>
      </c>
      <c r="R5283" t="s">
        <v>11037</v>
      </c>
      <c r="S5283" t="s">
        <v>10314</v>
      </c>
      <c r="W5283" t="s">
        <v>11249</v>
      </c>
    </row>
    <row r="5284" spans="1:23" hidden="1" x14ac:dyDescent="0.45">
      <c r="A5284" s="1" t="s">
        <v>5211</v>
      </c>
      <c r="B5284" t="s">
        <v>7061</v>
      </c>
      <c r="C5284" t="s">
        <v>7561</v>
      </c>
      <c r="D5284" t="s">
        <v>8192</v>
      </c>
      <c r="E5284" t="s">
        <v>9962</v>
      </c>
      <c r="F5284" t="s">
        <v>10305</v>
      </c>
      <c r="G5284">
        <v>125</v>
      </c>
      <c r="H5284" t="s">
        <v>10314</v>
      </c>
      <c r="I5284" t="s">
        <v>10323</v>
      </c>
      <c r="K5284" t="s">
        <v>10333</v>
      </c>
      <c r="L5284">
        <v>1965</v>
      </c>
      <c r="N5284">
        <v>49.177334000000002</v>
      </c>
      <c r="P5284">
        <v>9.2063179999999996</v>
      </c>
      <c r="R5284" t="s">
        <v>11037</v>
      </c>
      <c r="S5284" t="s">
        <v>10314</v>
      </c>
      <c r="W5284" t="s">
        <v>11249</v>
      </c>
    </row>
    <row r="5285" spans="1:23" hidden="1" x14ac:dyDescent="0.45">
      <c r="A5285" s="1" t="s">
        <v>5212</v>
      </c>
      <c r="B5285" t="s">
        <v>7061</v>
      </c>
      <c r="C5285" t="s">
        <v>7561</v>
      </c>
      <c r="D5285" t="s">
        <v>8192</v>
      </c>
      <c r="E5285" t="s">
        <v>9962</v>
      </c>
      <c r="F5285" t="s">
        <v>10305</v>
      </c>
      <c r="G5285">
        <v>125</v>
      </c>
      <c r="H5285" t="s">
        <v>10314</v>
      </c>
      <c r="I5285" t="s">
        <v>10323</v>
      </c>
      <c r="K5285" t="s">
        <v>10333</v>
      </c>
      <c r="L5285">
        <v>1966</v>
      </c>
      <c r="N5285">
        <v>49.177334000000002</v>
      </c>
      <c r="P5285">
        <v>9.2063179999999996</v>
      </c>
      <c r="R5285" t="s">
        <v>11037</v>
      </c>
      <c r="S5285" t="s">
        <v>10314</v>
      </c>
      <c r="W5285" t="s">
        <v>11249</v>
      </c>
    </row>
    <row r="5286" spans="1:23" hidden="1" x14ac:dyDescent="0.45">
      <c r="A5286" s="1" t="s">
        <v>5213</v>
      </c>
      <c r="B5286" t="s">
        <v>7061</v>
      </c>
      <c r="C5286" t="s">
        <v>7561</v>
      </c>
      <c r="D5286" t="s">
        <v>8192</v>
      </c>
      <c r="E5286" t="s">
        <v>9962</v>
      </c>
      <c r="F5286" t="s">
        <v>10305</v>
      </c>
      <c r="G5286">
        <v>778</v>
      </c>
      <c r="H5286" t="s">
        <v>10314</v>
      </c>
      <c r="I5286" t="s">
        <v>10323</v>
      </c>
      <c r="K5286" t="s">
        <v>10332</v>
      </c>
      <c r="L5286">
        <v>1985</v>
      </c>
      <c r="M5286" t="s">
        <v>10336</v>
      </c>
      <c r="N5286">
        <v>49.177334000000002</v>
      </c>
      <c r="P5286">
        <v>9.2063179999999996</v>
      </c>
      <c r="Q5286" t="s">
        <v>10951</v>
      </c>
      <c r="R5286" t="s">
        <v>11037</v>
      </c>
      <c r="S5286" t="s">
        <v>10314</v>
      </c>
      <c r="W5286" t="s">
        <v>11249</v>
      </c>
    </row>
    <row r="5287" spans="1:23" hidden="1" x14ac:dyDescent="0.45">
      <c r="A5287" s="1" t="s">
        <v>5214</v>
      </c>
      <c r="B5287" t="s">
        <v>7069</v>
      </c>
      <c r="C5287" t="s">
        <v>7562</v>
      </c>
      <c r="D5287" t="s">
        <v>8193</v>
      </c>
      <c r="E5287" t="s">
        <v>9963</v>
      </c>
      <c r="F5287" t="s">
        <v>10305</v>
      </c>
      <c r="G5287">
        <v>133</v>
      </c>
      <c r="H5287" t="s">
        <v>10314</v>
      </c>
      <c r="I5287" t="s">
        <v>10323</v>
      </c>
      <c r="K5287" t="s">
        <v>10333</v>
      </c>
      <c r="L5287">
        <v>1963</v>
      </c>
      <c r="N5287">
        <v>51.550753</v>
      </c>
      <c r="P5287">
        <v>7.187481</v>
      </c>
      <c r="R5287" t="s">
        <v>11037</v>
      </c>
      <c r="S5287" t="s">
        <v>10314</v>
      </c>
      <c r="W5287" t="s">
        <v>11249</v>
      </c>
    </row>
    <row r="5288" spans="1:23" hidden="1" x14ac:dyDescent="0.45">
      <c r="A5288" s="1" t="s">
        <v>5215</v>
      </c>
      <c r="B5288" t="s">
        <v>7067</v>
      </c>
      <c r="D5288" t="s">
        <v>8194</v>
      </c>
      <c r="E5288" t="s">
        <v>9963</v>
      </c>
      <c r="F5288" t="s">
        <v>10305</v>
      </c>
      <c r="G5288">
        <v>132</v>
      </c>
      <c r="H5288" t="s">
        <v>10314</v>
      </c>
      <c r="I5288" t="s">
        <v>10323</v>
      </c>
      <c r="K5288" t="s">
        <v>10332</v>
      </c>
      <c r="L5288">
        <v>1957</v>
      </c>
      <c r="N5288">
        <v>51.528491209999999</v>
      </c>
      <c r="P5288">
        <v>7.1777968599999999</v>
      </c>
      <c r="R5288" t="s">
        <v>11037</v>
      </c>
      <c r="S5288" t="s">
        <v>10314</v>
      </c>
      <c r="W5288" t="s">
        <v>11249</v>
      </c>
    </row>
    <row r="5289" spans="1:23" hidden="1" x14ac:dyDescent="0.45">
      <c r="A5289" s="1" t="s">
        <v>5216</v>
      </c>
      <c r="B5289" t="s">
        <v>7069</v>
      </c>
      <c r="C5289" t="s">
        <v>7562</v>
      </c>
      <c r="D5289" t="s">
        <v>8195</v>
      </c>
      <c r="E5289" t="s">
        <v>9963</v>
      </c>
      <c r="F5289" t="s">
        <v>10305</v>
      </c>
      <c r="G5289">
        <v>280</v>
      </c>
      <c r="H5289" t="s">
        <v>10314</v>
      </c>
      <c r="I5289" t="s">
        <v>10323</v>
      </c>
      <c r="K5289" t="s">
        <v>10332</v>
      </c>
      <c r="L5289">
        <v>1966</v>
      </c>
      <c r="N5289">
        <v>51.550753</v>
      </c>
      <c r="P5289">
        <v>7.187481</v>
      </c>
      <c r="Q5289" t="s">
        <v>10952</v>
      </c>
      <c r="R5289" t="s">
        <v>11037</v>
      </c>
      <c r="S5289" t="s">
        <v>10314</v>
      </c>
      <c r="W5289" t="s">
        <v>11249</v>
      </c>
    </row>
    <row r="5290" spans="1:23" hidden="1" x14ac:dyDescent="0.45">
      <c r="A5290" s="1" t="s">
        <v>5217</v>
      </c>
      <c r="B5290" t="s">
        <v>7069</v>
      </c>
      <c r="C5290" t="s">
        <v>7562</v>
      </c>
      <c r="D5290" t="s">
        <v>8196</v>
      </c>
      <c r="E5290" t="s">
        <v>9963</v>
      </c>
      <c r="F5290" t="s">
        <v>10305</v>
      </c>
      <c r="G5290">
        <v>449</v>
      </c>
      <c r="H5290" t="s">
        <v>10314</v>
      </c>
      <c r="I5290" t="s">
        <v>10323</v>
      </c>
      <c r="K5290" t="s">
        <v>10332</v>
      </c>
      <c r="L5290">
        <v>1989</v>
      </c>
      <c r="M5290" t="s">
        <v>10336</v>
      </c>
      <c r="N5290">
        <v>51.550753</v>
      </c>
      <c r="P5290">
        <v>7.187481</v>
      </c>
      <c r="Q5290" t="s">
        <v>10952</v>
      </c>
      <c r="R5290" t="s">
        <v>11037</v>
      </c>
      <c r="S5290" t="s">
        <v>10314</v>
      </c>
      <c r="W5290" t="s">
        <v>11249</v>
      </c>
    </row>
    <row r="5291" spans="1:23" hidden="1" x14ac:dyDescent="0.45">
      <c r="A5291" s="1" t="s">
        <v>5218</v>
      </c>
      <c r="B5291" t="s">
        <v>7078</v>
      </c>
      <c r="D5291" t="s">
        <v>8197</v>
      </c>
      <c r="E5291" t="s">
        <v>9964</v>
      </c>
      <c r="F5291" t="s">
        <v>10305</v>
      </c>
      <c r="G5291">
        <v>690</v>
      </c>
      <c r="H5291" t="s">
        <v>10314</v>
      </c>
      <c r="I5291" t="s">
        <v>10323</v>
      </c>
      <c r="K5291" t="s">
        <v>10333</v>
      </c>
      <c r="L5291">
        <v>1979</v>
      </c>
      <c r="N5291">
        <v>52.315022399999997</v>
      </c>
      <c r="P5291">
        <v>10.091417379999999</v>
      </c>
      <c r="Q5291" t="s">
        <v>10953</v>
      </c>
      <c r="R5291" t="s">
        <v>11037</v>
      </c>
      <c r="S5291" t="s">
        <v>10314</v>
      </c>
      <c r="W5291" t="s">
        <v>11249</v>
      </c>
    </row>
    <row r="5292" spans="1:23" hidden="1" x14ac:dyDescent="0.45">
      <c r="A5292" s="1" t="s">
        <v>5219</v>
      </c>
      <c r="B5292" t="s">
        <v>7076</v>
      </c>
      <c r="D5292" t="s">
        <v>8198</v>
      </c>
      <c r="E5292" t="s">
        <v>9965</v>
      </c>
      <c r="F5292" t="s">
        <v>10305</v>
      </c>
      <c r="G5292">
        <v>794</v>
      </c>
      <c r="H5292" t="s">
        <v>10314</v>
      </c>
      <c r="I5292" t="s">
        <v>10323</v>
      </c>
      <c r="K5292" t="s">
        <v>10332</v>
      </c>
      <c r="L5292">
        <v>1985</v>
      </c>
      <c r="N5292">
        <v>52.288811789999997</v>
      </c>
      <c r="P5292">
        <v>7.7479061790000001</v>
      </c>
      <c r="Q5292" t="s">
        <v>10954</v>
      </c>
      <c r="R5292" t="s">
        <v>11037</v>
      </c>
      <c r="S5292" t="s">
        <v>10314</v>
      </c>
      <c r="W5292" t="s">
        <v>11249</v>
      </c>
    </row>
    <row r="5293" spans="1:23" hidden="1" x14ac:dyDescent="0.45">
      <c r="A5293" s="1" t="s">
        <v>5220</v>
      </c>
      <c r="B5293" t="s">
        <v>7079</v>
      </c>
      <c r="D5293" t="s">
        <v>8199</v>
      </c>
      <c r="E5293" t="s">
        <v>9966</v>
      </c>
      <c r="F5293" t="s">
        <v>10305</v>
      </c>
      <c r="G5293">
        <v>66</v>
      </c>
      <c r="H5293" t="s">
        <v>10314</v>
      </c>
      <c r="I5293" t="s">
        <v>10323</v>
      </c>
      <c r="K5293" t="s">
        <v>10332</v>
      </c>
      <c r="L5293">
        <v>1989</v>
      </c>
      <c r="N5293">
        <v>50.09178</v>
      </c>
      <c r="P5293">
        <v>8.5310500000000005</v>
      </c>
      <c r="R5293" t="s">
        <v>11037</v>
      </c>
      <c r="S5293" t="s">
        <v>10314</v>
      </c>
      <c r="W5293" t="s">
        <v>11249</v>
      </c>
    </row>
    <row r="5294" spans="1:23" hidden="1" x14ac:dyDescent="0.45">
      <c r="A5294" s="1" t="s">
        <v>5221</v>
      </c>
      <c r="B5294" t="s">
        <v>7080</v>
      </c>
      <c r="D5294" t="s">
        <v>8200</v>
      </c>
      <c r="E5294" t="s">
        <v>9967</v>
      </c>
      <c r="F5294" t="s">
        <v>10305</v>
      </c>
      <c r="G5294">
        <v>13.4</v>
      </c>
      <c r="H5294" t="s">
        <v>10314</v>
      </c>
      <c r="I5294" t="s">
        <v>10323</v>
      </c>
      <c r="K5294" t="s">
        <v>10332</v>
      </c>
      <c r="L5294">
        <v>1996</v>
      </c>
      <c r="N5294">
        <v>49.434609999999999</v>
      </c>
      <c r="P5294">
        <v>7.7582399999999998</v>
      </c>
      <c r="R5294" t="s">
        <v>11037</v>
      </c>
      <c r="S5294" t="s">
        <v>10314</v>
      </c>
      <c r="W5294" t="s">
        <v>11249</v>
      </c>
    </row>
    <row r="5295" spans="1:23" hidden="1" x14ac:dyDescent="0.45">
      <c r="A5295" s="1" t="s">
        <v>5222</v>
      </c>
      <c r="B5295" t="s">
        <v>7061</v>
      </c>
      <c r="C5295" t="s">
        <v>7563</v>
      </c>
      <c r="D5295" t="s">
        <v>8201</v>
      </c>
      <c r="E5295" t="s">
        <v>9924</v>
      </c>
      <c r="F5295" t="s">
        <v>10305</v>
      </c>
      <c r="G5295">
        <v>517</v>
      </c>
      <c r="H5295" t="s">
        <v>10314</v>
      </c>
      <c r="I5295" t="s">
        <v>10323</v>
      </c>
      <c r="K5295" t="s">
        <v>10332</v>
      </c>
      <c r="L5295">
        <v>1985</v>
      </c>
      <c r="M5295" t="s">
        <v>10336</v>
      </c>
      <c r="N5295">
        <v>49.012500000000003</v>
      </c>
      <c r="P5295">
        <v>8.302778</v>
      </c>
      <c r="Q5295" t="s">
        <v>10955</v>
      </c>
      <c r="R5295" t="s">
        <v>11037</v>
      </c>
      <c r="S5295" t="s">
        <v>10314</v>
      </c>
      <c r="W5295" t="s">
        <v>11249</v>
      </c>
    </row>
    <row r="5296" spans="1:23" hidden="1" x14ac:dyDescent="0.45">
      <c r="A5296" s="1" t="s">
        <v>5223</v>
      </c>
      <c r="B5296" t="s">
        <v>7061</v>
      </c>
      <c r="C5296" t="s">
        <v>7563</v>
      </c>
      <c r="D5296" t="s">
        <v>8201</v>
      </c>
      <c r="E5296" t="s">
        <v>9924</v>
      </c>
      <c r="F5296" t="s">
        <v>10305</v>
      </c>
      <c r="G5296">
        <v>834</v>
      </c>
      <c r="H5296" t="s">
        <v>10314</v>
      </c>
      <c r="I5296" t="s">
        <v>10323</v>
      </c>
      <c r="K5296" t="s">
        <v>10332</v>
      </c>
      <c r="L5296">
        <v>2014</v>
      </c>
      <c r="N5296">
        <v>49.012500000000003</v>
      </c>
      <c r="P5296">
        <v>8.302778</v>
      </c>
      <c r="Q5296" t="s">
        <v>10955</v>
      </c>
      <c r="R5296" t="s">
        <v>11037</v>
      </c>
      <c r="S5296" t="s">
        <v>10314</v>
      </c>
      <c r="W5296" t="s">
        <v>11249</v>
      </c>
    </row>
    <row r="5297" spans="1:23" hidden="1" x14ac:dyDescent="0.45">
      <c r="A5297" s="1" t="s">
        <v>5224</v>
      </c>
      <c r="B5297" t="s">
        <v>7081</v>
      </c>
      <c r="D5297" t="s">
        <v>8202</v>
      </c>
      <c r="E5297" t="s">
        <v>9968</v>
      </c>
      <c r="F5297" t="s">
        <v>10305</v>
      </c>
      <c r="G5297">
        <v>323</v>
      </c>
      <c r="H5297" t="s">
        <v>10314</v>
      </c>
      <c r="I5297" t="s">
        <v>10323</v>
      </c>
      <c r="K5297" t="s">
        <v>10332</v>
      </c>
      <c r="L5297">
        <v>1970</v>
      </c>
      <c r="N5297">
        <v>54.339449999999999</v>
      </c>
      <c r="P5297">
        <v>10.176600000000001</v>
      </c>
      <c r="Q5297" t="s">
        <v>10956</v>
      </c>
      <c r="R5297" t="s">
        <v>11037</v>
      </c>
      <c r="S5297" t="s">
        <v>10314</v>
      </c>
      <c r="W5297" t="s">
        <v>11249</v>
      </c>
    </row>
    <row r="5298" spans="1:23" hidden="1" x14ac:dyDescent="0.45">
      <c r="A5298" s="1" t="s">
        <v>5225</v>
      </c>
      <c r="B5298" t="s">
        <v>7082</v>
      </c>
      <c r="C5298" t="s">
        <v>7564</v>
      </c>
      <c r="D5298" t="s">
        <v>8203</v>
      </c>
      <c r="E5298" t="s">
        <v>9969</v>
      </c>
      <c r="F5298" t="s">
        <v>10305</v>
      </c>
      <c r="G5298">
        <v>26</v>
      </c>
      <c r="H5298" t="s">
        <v>10314</v>
      </c>
      <c r="I5298" t="s">
        <v>10323</v>
      </c>
      <c r="K5298" t="s">
        <v>10332</v>
      </c>
      <c r="L5298">
        <v>1957</v>
      </c>
      <c r="N5298">
        <v>51.369810999999999</v>
      </c>
      <c r="P5298">
        <v>6.6615000000000002</v>
      </c>
      <c r="R5298" t="s">
        <v>11037</v>
      </c>
      <c r="S5298" t="s">
        <v>10314</v>
      </c>
      <c r="W5298" t="s">
        <v>11249</v>
      </c>
    </row>
    <row r="5299" spans="1:23" hidden="1" x14ac:dyDescent="0.45">
      <c r="A5299" s="1" t="s">
        <v>5226</v>
      </c>
      <c r="B5299" t="s">
        <v>7082</v>
      </c>
      <c r="C5299" t="s">
        <v>7565</v>
      </c>
      <c r="D5299" t="s">
        <v>8203</v>
      </c>
      <c r="E5299" t="s">
        <v>9969</v>
      </c>
      <c r="F5299" t="s">
        <v>10305</v>
      </c>
      <c r="G5299">
        <v>110</v>
      </c>
      <c r="H5299" t="s">
        <v>10314</v>
      </c>
      <c r="I5299" t="s">
        <v>10323</v>
      </c>
      <c r="K5299" t="s">
        <v>10332</v>
      </c>
      <c r="L5299">
        <v>1971</v>
      </c>
      <c r="N5299">
        <v>51.369810999999999</v>
      </c>
      <c r="P5299">
        <v>6.6615000000000002</v>
      </c>
      <c r="R5299" t="s">
        <v>11037</v>
      </c>
      <c r="S5299" t="s">
        <v>10314</v>
      </c>
      <c r="W5299" t="s">
        <v>11249</v>
      </c>
    </row>
    <row r="5300" spans="1:23" hidden="1" x14ac:dyDescent="0.45">
      <c r="A5300" s="1" t="s">
        <v>5227</v>
      </c>
      <c r="B5300" t="s">
        <v>7082</v>
      </c>
      <c r="C5300" t="s">
        <v>7566</v>
      </c>
      <c r="D5300" t="s">
        <v>8204</v>
      </c>
      <c r="E5300" t="s">
        <v>9970</v>
      </c>
      <c r="F5300" t="s">
        <v>10305</v>
      </c>
      <c r="G5300">
        <v>103</v>
      </c>
      <c r="H5300" t="s">
        <v>10314</v>
      </c>
      <c r="I5300" t="s">
        <v>10323</v>
      </c>
      <c r="K5300" t="s">
        <v>10332</v>
      </c>
      <c r="L5300">
        <v>1962</v>
      </c>
      <c r="M5300" t="s">
        <v>10335</v>
      </c>
      <c r="N5300">
        <v>51.368872000000003</v>
      </c>
      <c r="P5300">
        <v>6.6541059999999996</v>
      </c>
      <c r="R5300" t="s">
        <v>11037</v>
      </c>
      <c r="S5300" t="s">
        <v>10314</v>
      </c>
      <c r="W5300" t="s">
        <v>11249</v>
      </c>
    </row>
    <row r="5301" spans="1:23" hidden="1" x14ac:dyDescent="0.45">
      <c r="A5301" s="1" t="s">
        <v>5228</v>
      </c>
      <c r="B5301" t="s">
        <v>7069</v>
      </c>
      <c r="C5301" t="s">
        <v>7567</v>
      </c>
      <c r="D5301" t="s">
        <v>8150</v>
      </c>
      <c r="E5301" t="s">
        <v>9928</v>
      </c>
      <c r="F5301" t="s">
        <v>10305</v>
      </c>
      <c r="G5301">
        <v>149</v>
      </c>
      <c r="H5301" t="s">
        <v>10314</v>
      </c>
      <c r="I5301" t="s">
        <v>10323</v>
      </c>
      <c r="K5301" t="s">
        <v>10333</v>
      </c>
      <c r="L5301">
        <v>1962</v>
      </c>
      <c r="N5301">
        <v>51.614039920000003</v>
      </c>
      <c r="P5301">
        <v>7.4812539739999986</v>
      </c>
      <c r="Q5301" t="s">
        <v>10957</v>
      </c>
      <c r="R5301" t="s">
        <v>11037</v>
      </c>
      <c r="S5301" t="s">
        <v>10314</v>
      </c>
      <c r="W5301" t="s">
        <v>11249</v>
      </c>
    </row>
    <row r="5302" spans="1:23" hidden="1" x14ac:dyDescent="0.45">
      <c r="A5302" s="1" t="s">
        <v>5229</v>
      </c>
      <c r="B5302" t="s">
        <v>7069</v>
      </c>
      <c r="C5302" t="s">
        <v>7567</v>
      </c>
      <c r="D5302" t="s">
        <v>8205</v>
      </c>
      <c r="E5302" t="s">
        <v>9928</v>
      </c>
      <c r="F5302" t="s">
        <v>10305</v>
      </c>
      <c r="G5302">
        <v>324</v>
      </c>
      <c r="H5302" t="s">
        <v>10314</v>
      </c>
      <c r="I5302" t="s">
        <v>10323</v>
      </c>
      <c r="K5302" t="s">
        <v>10332</v>
      </c>
      <c r="L5302">
        <v>1970</v>
      </c>
      <c r="N5302">
        <v>51.614039920000003</v>
      </c>
      <c r="P5302">
        <v>7.4812539739999986</v>
      </c>
      <c r="Q5302" t="s">
        <v>10957</v>
      </c>
      <c r="R5302" t="s">
        <v>11037</v>
      </c>
      <c r="S5302" t="s">
        <v>10314</v>
      </c>
      <c r="W5302" t="s">
        <v>11249</v>
      </c>
    </row>
    <row r="5303" spans="1:23" hidden="1" x14ac:dyDescent="0.45">
      <c r="A5303" s="1" t="s">
        <v>5230</v>
      </c>
      <c r="B5303" t="s">
        <v>7083</v>
      </c>
      <c r="C5303" t="s">
        <v>7568</v>
      </c>
      <c r="D5303" t="s">
        <v>8206</v>
      </c>
      <c r="E5303" t="s">
        <v>9931</v>
      </c>
      <c r="F5303" t="s">
        <v>10305</v>
      </c>
      <c r="G5303">
        <v>202.5</v>
      </c>
      <c r="H5303" t="s">
        <v>10314</v>
      </c>
      <c r="I5303" t="s">
        <v>10323</v>
      </c>
      <c r="K5303" t="s">
        <v>10332</v>
      </c>
      <c r="L5303">
        <v>1966</v>
      </c>
      <c r="N5303">
        <v>49.445694000000003</v>
      </c>
      <c r="P5303">
        <v>8.4904440000000001</v>
      </c>
      <c r="R5303" t="s">
        <v>11037</v>
      </c>
      <c r="S5303" t="s">
        <v>10314</v>
      </c>
      <c r="W5303" t="s">
        <v>11249</v>
      </c>
    </row>
    <row r="5304" spans="1:23" hidden="1" x14ac:dyDescent="0.45">
      <c r="A5304" s="1" t="s">
        <v>5231</v>
      </c>
      <c r="B5304" t="s">
        <v>7083</v>
      </c>
      <c r="C5304" t="s">
        <v>7568</v>
      </c>
      <c r="D5304" t="s">
        <v>8206</v>
      </c>
      <c r="E5304" t="s">
        <v>9931</v>
      </c>
      <c r="F5304" t="s">
        <v>10305</v>
      </c>
      <c r="G5304">
        <v>202.5</v>
      </c>
      <c r="H5304" t="s">
        <v>10314</v>
      </c>
      <c r="I5304" t="s">
        <v>10323</v>
      </c>
      <c r="K5304" t="s">
        <v>10332</v>
      </c>
      <c r="L5304">
        <v>1970</v>
      </c>
      <c r="N5304">
        <v>49.445694000000003</v>
      </c>
      <c r="P5304">
        <v>8.4904440000000001</v>
      </c>
      <c r="R5304" t="s">
        <v>11037</v>
      </c>
      <c r="S5304" t="s">
        <v>10314</v>
      </c>
      <c r="W5304" t="s">
        <v>11249</v>
      </c>
    </row>
    <row r="5305" spans="1:23" hidden="1" x14ac:dyDescent="0.45">
      <c r="A5305" s="1" t="s">
        <v>5232</v>
      </c>
      <c r="B5305" t="s">
        <v>7083</v>
      </c>
      <c r="C5305" t="s">
        <v>7568</v>
      </c>
      <c r="D5305" t="s">
        <v>8206</v>
      </c>
      <c r="E5305" t="s">
        <v>9931</v>
      </c>
      <c r="F5305" t="s">
        <v>10305</v>
      </c>
      <c r="G5305">
        <v>255</v>
      </c>
      <c r="H5305" t="s">
        <v>10314</v>
      </c>
      <c r="I5305" t="s">
        <v>10323</v>
      </c>
      <c r="K5305" t="s">
        <v>10332</v>
      </c>
      <c r="L5305">
        <v>2005</v>
      </c>
      <c r="N5305">
        <v>49.445694000000003</v>
      </c>
      <c r="P5305">
        <v>8.4904440000000001</v>
      </c>
      <c r="R5305" t="s">
        <v>11037</v>
      </c>
      <c r="S5305" t="s">
        <v>10314</v>
      </c>
      <c r="W5305" t="s">
        <v>11249</v>
      </c>
    </row>
    <row r="5306" spans="1:23" hidden="1" x14ac:dyDescent="0.45">
      <c r="A5306" s="1" t="s">
        <v>5233</v>
      </c>
      <c r="B5306" t="s">
        <v>7083</v>
      </c>
      <c r="C5306" t="s">
        <v>7568</v>
      </c>
      <c r="D5306" t="s">
        <v>8206</v>
      </c>
      <c r="E5306" t="s">
        <v>9931</v>
      </c>
      <c r="F5306" t="s">
        <v>10305</v>
      </c>
      <c r="G5306">
        <v>425</v>
      </c>
      <c r="H5306" t="s">
        <v>10314</v>
      </c>
      <c r="I5306" t="s">
        <v>10323</v>
      </c>
      <c r="K5306" t="s">
        <v>10332</v>
      </c>
      <c r="L5306">
        <v>1982</v>
      </c>
      <c r="M5306" t="s">
        <v>10336</v>
      </c>
      <c r="N5306">
        <v>49.445694000000003</v>
      </c>
      <c r="P5306">
        <v>8.4904440000000001</v>
      </c>
      <c r="R5306" t="s">
        <v>11037</v>
      </c>
      <c r="S5306" t="s">
        <v>10314</v>
      </c>
      <c r="W5306" t="s">
        <v>11249</v>
      </c>
    </row>
    <row r="5307" spans="1:23" hidden="1" x14ac:dyDescent="0.45">
      <c r="A5307" s="1" t="s">
        <v>5234</v>
      </c>
      <c r="B5307" t="s">
        <v>7083</v>
      </c>
      <c r="C5307" t="s">
        <v>7568</v>
      </c>
      <c r="D5307" t="s">
        <v>8206</v>
      </c>
      <c r="E5307" t="s">
        <v>9931</v>
      </c>
      <c r="F5307" t="s">
        <v>10305</v>
      </c>
      <c r="G5307">
        <v>435</v>
      </c>
      <c r="H5307" t="s">
        <v>10314</v>
      </c>
      <c r="I5307" t="s">
        <v>10323</v>
      </c>
      <c r="K5307" t="s">
        <v>10332</v>
      </c>
      <c r="L5307">
        <v>1993</v>
      </c>
      <c r="M5307" t="s">
        <v>10336</v>
      </c>
      <c r="N5307">
        <v>49.445694000000003</v>
      </c>
      <c r="P5307">
        <v>8.4904440000000001</v>
      </c>
      <c r="R5307" t="s">
        <v>11037</v>
      </c>
      <c r="S5307" t="s">
        <v>10314</v>
      </c>
      <c r="W5307" t="s">
        <v>11249</v>
      </c>
    </row>
    <row r="5308" spans="1:23" hidden="1" x14ac:dyDescent="0.45">
      <c r="A5308" s="1" t="s">
        <v>5235</v>
      </c>
      <c r="B5308" t="s">
        <v>7083</v>
      </c>
      <c r="C5308" t="s">
        <v>7568</v>
      </c>
      <c r="D5308" t="s">
        <v>8206</v>
      </c>
      <c r="E5308" t="s">
        <v>9931</v>
      </c>
      <c r="F5308" t="s">
        <v>10305</v>
      </c>
      <c r="G5308">
        <v>843</v>
      </c>
      <c r="H5308" t="s">
        <v>10314</v>
      </c>
      <c r="I5308" t="s">
        <v>10323</v>
      </c>
      <c r="K5308" t="s">
        <v>10332</v>
      </c>
      <c r="L5308">
        <v>2015</v>
      </c>
      <c r="M5308" t="s">
        <v>10336</v>
      </c>
      <c r="N5308">
        <v>49.445694000000003</v>
      </c>
      <c r="P5308">
        <v>8.4904440000000001</v>
      </c>
      <c r="R5308" t="s">
        <v>11037</v>
      </c>
      <c r="S5308" t="s">
        <v>10314</v>
      </c>
      <c r="W5308" t="s">
        <v>11249</v>
      </c>
    </row>
    <row r="5309" spans="1:23" hidden="1" x14ac:dyDescent="0.45">
      <c r="A5309" s="1" t="s">
        <v>5236</v>
      </c>
      <c r="B5309" t="s">
        <v>7084</v>
      </c>
      <c r="C5309" t="s">
        <v>7569</v>
      </c>
      <c r="D5309" t="s">
        <v>8207</v>
      </c>
      <c r="E5309" t="s">
        <v>9971</v>
      </c>
      <c r="F5309" t="s">
        <v>10305</v>
      </c>
      <c r="G5309">
        <v>55.56</v>
      </c>
      <c r="H5309" t="s">
        <v>10314</v>
      </c>
      <c r="I5309" t="s">
        <v>10321</v>
      </c>
      <c r="K5309" t="s">
        <v>10332</v>
      </c>
      <c r="L5309">
        <v>1971</v>
      </c>
      <c r="M5309" t="s">
        <v>10336</v>
      </c>
      <c r="N5309">
        <v>51.680370000000003</v>
      </c>
      <c r="P5309">
        <v>7.0968800000000014</v>
      </c>
      <c r="R5309" t="s">
        <v>11037</v>
      </c>
      <c r="S5309" t="s">
        <v>10314</v>
      </c>
      <c r="W5309" t="s">
        <v>11249</v>
      </c>
    </row>
    <row r="5310" spans="1:23" hidden="1" x14ac:dyDescent="0.45">
      <c r="A5310" s="1" t="s">
        <v>5237</v>
      </c>
      <c r="B5310" t="s">
        <v>7084</v>
      </c>
      <c r="C5310" t="s">
        <v>7569</v>
      </c>
      <c r="D5310" t="s">
        <v>8207</v>
      </c>
      <c r="E5310" t="s">
        <v>9971</v>
      </c>
      <c r="F5310" t="s">
        <v>10305</v>
      </c>
      <c r="G5310">
        <v>60.4</v>
      </c>
      <c r="H5310" t="s">
        <v>10314</v>
      </c>
      <c r="I5310" t="s">
        <v>10323</v>
      </c>
      <c r="K5310" t="s">
        <v>10332</v>
      </c>
      <c r="L5310">
        <v>1966</v>
      </c>
      <c r="N5310">
        <v>51.680370000000003</v>
      </c>
      <c r="P5310">
        <v>7.0968800000000014</v>
      </c>
      <c r="R5310" t="s">
        <v>11037</v>
      </c>
      <c r="S5310" t="s">
        <v>10314</v>
      </c>
      <c r="W5310" t="s">
        <v>11249</v>
      </c>
    </row>
    <row r="5311" spans="1:23" hidden="1" x14ac:dyDescent="0.45">
      <c r="A5311" s="1" t="s">
        <v>5238</v>
      </c>
      <c r="B5311" t="s">
        <v>7084</v>
      </c>
      <c r="C5311" t="s">
        <v>7569</v>
      </c>
      <c r="D5311" t="s">
        <v>8207</v>
      </c>
      <c r="E5311" t="s">
        <v>9971</v>
      </c>
      <c r="F5311" t="s">
        <v>10305</v>
      </c>
      <c r="G5311">
        <v>68.400000000000006</v>
      </c>
      <c r="H5311" t="s">
        <v>10314</v>
      </c>
      <c r="I5311" t="s">
        <v>10321</v>
      </c>
      <c r="K5311" t="s">
        <v>10332</v>
      </c>
      <c r="L5311">
        <v>1983</v>
      </c>
      <c r="M5311" t="s">
        <v>10336</v>
      </c>
      <c r="N5311">
        <v>51.680370000000003</v>
      </c>
      <c r="P5311">
        <v>7.0968800000000014</v>
      </c>
      <c r="R5311" t="s">
        <v>11037</v>
      </c>
      <c r="S5311" t="s">
        <v>10314</v>
      </c>
      <c r="W5311" t="s">
        <v>11249</v>
      </c>
    </row>
    <row r="5312" spans="1:23" hidden="1" x14ac:dyDescent="0.45">
      <c r="A5312" s="1" t="s">
        <v>5239</v>
      </c>
      <c r="B5312" t="s">
        <v>7084</v>
      </c>
      <c r="C5312" t="s">
        <v>7569</v>
      </c>
      <c r="D5312" t="s">
        <v>8207</v>
      </c>
      <c r="E5312" t="s">
        <v>9971</v>
      </c>
      <c r="F5312" t="s">
        <v>10305</v>
      </c>
      <c r="G5312">
        <v>169.32</v>
      </c>
      <c r="H5312" t="s">
        <v>10314</v>
      </c>
      <c r="I5312" t="s">
        <v>10321</v>
      </c>
      <c r="K5312" t="s">
        <v>10332</v>
      </c>
      <c r="L5312">
        <v>1940</v>
      </c>
      <c r="M5312" t="s">
        <v>10336</v>
      </c>
      <c r="N5312">
        <v>51.680370000000003</v>
      </c>
      <c r="P5312">
        <v>7.0968800000000014</v>
      </c>
      <c r="R5312" t="s">
        <v>11037</v>
      </c>
      <c r="S5312" t="s">
        <v>10314</v>
      </c>
      <c r="W5312" t="s">
        <v>11249</v>
      </c>
    </row>
    <row r="5313" spans="1:23" hidden="1" x14ac:dyDescent="0.45">
      <c r="A5313" s="1" t="s">
        <v>5240</v>
      </c>
      <c r="B5313" t="s">
        <v>7085</v>
      </c>
      <c r="D5313" t="s">
        <v>8208</v>
      </c>
      <c r="E5313" t="s">
        <v>9972</v>
      </c>
      <c r="F5313" t="s">
        <v>10305</v>
      </c>
      <c r="G5313">
        <v>54</v>
      </c>
      <c r="H5313" t="s">
        <v>10314</v>
      </c>
      <c r="I5313" t="s">
        <v>10323</v>
      </c>
      <c r="K5313" t="s">
        <v>10332</v>
      </c>
      <c r="L5313">
        <v>1990</v>
      </c>
      <c r="N5313">
        <v>50.065154999999997</v>
      </c>
      <c r="P5313">
        <v>8.7689640000000004</v>
      </c>
      <c r="R5313" t="s">
        <v>11037</v>
      </c>
      <c r="S5313" t="s">
        <v>10314</v>
      </c>
      <c r="W5313" t="s">
        <v>11249</v>
      </c>
    </row>
    <row r="5314" spans="1:23" hidden="1" x14ac:dyDescent="0.45">
      <c r="A5314" s="1" t="s">
        <v>5241</v>
      </c>
      <c r="B5314" t="s">
        <v>7067</v>
      </c>
      <c r="D5314" t="s">
        <v>8209</v>
      </c>
      <c r="E5314" t="s">
        <v>9973</v>
      </c>
      <c r="F5314" t="s">
        <v>10305</v>
      </c>
      <c r="G5314">
        <v>875</v>
      </c>
      <c r="H5314" t="s">
        <v>10314</v>
      </c>
      <c r="I5314" t="s">
        <v>10323</v>
      </c>
      <c r="K5314" t="s">
        <v>10333</v>
      </c>
      <c r="L5314">
        <v>1987</v>
      </c>
      <c r="N5314">
        <v>52.382792379999998</v>
      </c>
      <c r="P5314">
        <v>8.9960041139999998</v>
      </c>
      <c r="Q5314" t="s">
        <v>10958</v>
      </c>
      <c r="R5314" t="s">
        <v>11037</v>
      </c>
      <c r="S5314" t="s">
        <v>10314</v>
      </c>
      <c r="W5314" t="s">
        <v>11249</v>
      </c>
    </row>
    <row r="5315" spans="1:23" hidden="1" x14ac:dyDescent="0.45">
      <c r="A5315" s="1" t="s">
        <v>5242</v>
      </c>
      <c r="B5315" t="s">
        <v>7048</v>
      </c>
      <c r="C5315" t="s">
        <v>7533</v>
      </c>
      <c r="D5315" t="s">
        <v>8157</v>
      </c>
      <c r="E5315" t="s">
        <v>9934</v>
      </c>
      <c r="F5315" t="s">
        <v>10305</v>
      </c>
      <c r="G5315">
        <v>26.9</v>
      </c>
      <c r="H5315" t="s">
        <v>10314</v>
      </c>
      <c r="I5315" t="s">
        <v>10323</v>
      </c>
      <c r="K5315" t="s">
        <v>10332</v>
      </c>
      <c r="L5315">
        <v>1990</v>
      </c>
      <c r="N5315">
        <v>48.883159999999997</v>
      </c>
      <c r="P5315">
        <v>8.6653000000000002</v>
      </c>
      <c r="R5315" t="s">
        <v>11037</v>
      </c>
      <c r="S5315" t="s">
        <v>10314</v>
      </c>
      <c r="W5315" t="s">
        <v>11249</v>
      </c>
    </row>
    <row r="5316" spans="1:23" hidden="1" x14ac:dyDescent="0.45">
      <c r="A5316" s="1" t="s">
        <v>5243</v>
      </c>
      <c r="B5316" t="s">
        <v>7086</v>
      </c>
      <c r="D5316" t="s">
        <v>8210</v>
      </c>
      <c r="E5316" t="s">
        <v>9974</v>
      </c>
      <c r="F5316" t="s">
        <v>10305</v>
      </c>
      <c r="G5316">
        <v>93</v>
      </c>
      <c r="H5316" t="s">
        <v>10314</v>
      </c>
      <c r="I5316" t="s">
        <v>10323</v>
      </c>
      <c r="K5316" t="s">
        <v>10333</v>
      </c>
      <c r="L5316">
        <v>1965</v>
      </c>
      <c r="N5316">
        <v>52.190040000000003</v>
      </c>
      <c r="P5316">
        <v>8.9331800000000001</v>
      </c>
      <c r="R5316" t="s">
        <v>11037</v>
      </c>
      <c r="S5316" t="s">
        <v>10314</v>
      </c>
      <c r="W5316" t="s">
        <v>11249</v>
      </c>
    </row>
    <row r="5317" spans="1:23" hidden="1" x14ac:dyDescent="0.45">
      <c r="A5317" s="1" t="s">
        <v>5244</v>
      </c>
      <c r="B5317" t="s">
        <v>7067</v>
      </c>
      <c r="D5317" t="s">
        <v>8210</v>
      </c>
      <c r="E5317" t="s">
        <v>9974</v>
      </c>
      <c r="F5317" t="s">
        <v>10305</v>
      </c>
      <c r="G5317">
        <v>303</v>
      </c>
      <c r="H5317" t="s">
        <v>10314</v>
      </c>
      <c r="I5317" t="s">
        <v>10323</v>
      </c>
      <c r="K5317" t="s">
        <v>10333</v>
      </c>
      <c r="L5317">
        <v>1970</v>
      </c>
      <c r="N5317">
        <v>52.190040000000003</v>
      </c>
      <c r="P5317">
        <v>8.9331800000000001</v>
      </c>
      <c r="R5317" t="s">
        <v>11037</v>
      </c>
      <c r="S5317" t="s">
        <v>10314</v>
      </c>
      <c r="W5317" t="s">
        <v>11249</v>
      </c>
    </row>
    <row r="5318" spans="1:23" hidden="1" x14ac:dyDescent="0.45">
      <c r="A5318" s="1" t="s">
        <v>5245</v>
      </c>
      <c r="B5318" t="s">
        <v>7069</v>
      </c>
      <c r="C5318" t="s">
        <v>7570</v>
      </c>
      <c r="D5318" t="s">
        <v>8211</v>
      </c>
      <c r="E5318" t="s">
        <v>9975</v>
      </c>
      <c r="F5318" t="s">
        <v>10305</v>
      </c>
      <c r="G5318">
        <v>655.6</v>
      </c>
      <c r="H5318" t="s">
        <v>10314</v>
      </c>
      <c r="I5318" t="s">
        <v>10323</v>
      </c>
      <c r="K5318" t="s">
        <v>10332</v>
      </c>
      <c r="L5318">
        <v>1976</v>
      </c>
      <c r="N5318">
        <v>49.334130279999997</v>
      </c>
      <c r="P5318">
        <v>7.0313559279999991</v>
      </c>
      <c r="Q5318" t="s">
        <v>10959</v>
      </c>
      <c r="R5318" t="s">
        <v>11037</v>
      </c>
      <c r="S5318" t="s">
        <v>10314</v>
      </c>
      <c r="W5318" t="s">
        <v>11249</v>
      </c>
    </row>
    <row r="5319" spans="1:23" hidden="1" x14ac:dyDescent="0.45">
      <c r="A5319" s="1" t="s">
        <v>5246</v>
      </c>
      <c r="B5319" t="s">
        <v>7061</v>
      </c>
      <c r="C5319" t="s">
        <v>7571</v>
      </c>
      <c r="D5319" t="s">
        <v>8212</v>
      </c>
      <c r="E5319" t="s">
        <v>9976</v>
      </c>
      <c r="F5319" t="s">
        <v>10305</v>
      </c>
      <c r="G5319">
        <v>514</v>
      </c>
      <c r="H5319" t="s">
        <v>10314</v>
      </c>
      <c r="I5319" t="s">
        <v>10323</v>
      </c>
      <c r="K5319" t="s">
        <v>10332</v>
      </c>
      <c r="L5319">
        <v>1994</v>
      </c>
      <c r="N5319">
        <v>54.142821769999998</v>
      </c>
      <c r="P5319">
        <v>12.13287489</v>
      </c>
      <c r="Q5319" t="s">
        <v>10960</v>
      </c>
      <c r="R5319" t="s">
        <v>11037</v>
      </c>
      <c r="S5319" t="s">
        <v>10314</v>
      </c>
      <c r="W5319" t="s">
        <v>11249</v>
      </c>
    </row>
    <row r="5320" spans="1:23" hidden="1" x14ac:dyDescent="0.45">
      <c r="A5320" s="1" t="s">
        <v>5247</v>
      </c>
      <c r="B5320" t="s">
        <v>7087</v>
      </c>
      <c r="D5320" t="s">
        <v>8213</v>
      </c>
      <c r="E5320" t="s">
        <v>9977</v>
      </c>
      <c r="F5320" t="s">
        <v>10305</v>
      </c>
      <c r="G5320">
        <v>50</v>
      </c>
      <c r="H5320" t="s">
        <v>10314</v>
      </c>
      <c r="I5320" t="s">
        <v>10323</v>
      </c>
      <c r="K5320" t="s">
        <v>10332</v>
      </c>
      <c r="L5320">
        <v>1988</v>
      </c>
      <c r="M5320" t="s">
        <v>10336</v>
      </c>
      <c r="N5320">
        <v>49.223899000000003</v>
      </c>
      <c r="P5320">
        <v>7.0148990000000024</v>
      </c>
      <c r="Q5320" t="s">
        <v>10961</v>
      </c>
      <c r="R5320" t="s">
        <v>11037</v>
      </c>
      <c r="S5320" t="s">
        <v>10314</v>
      </c>
      <c r="W5320" t="s">
        <v>11249</v>
      </c>
    </row>
    <row r="5321" spans="1:23" hidden="1" x14ac:dyDescent="0.45">
      <c r="A5321" s="1" t="s">
        <v>5248</v>
      </c>
      <c r="B5321" t="s">
        <v>7050</v>
      </c>
      <c r="C5321" t="s">
        <v>7535</v>
      </c>
      <c r="D5321" t="s">
        <v>8159</v>
      </c>
      <c r="E5321" t="s">
        <v>9936</v>
      </c>
      <c r="F5321" t="s">
        <v>10305</v>
      </c>
      <c r="G5321">
        <v>24.79</v>
      </c>
      <c r="H5321" t="s">
        <v>10314</v>
      </c>
      <c r="I5321" t="s">
        <v>10323</v>
      </c>
      <c r="K5321" t="s">
        <v>10332</v>
      </c>
      <c r="L5321">
        <v>1970</v>
      </c>
      <c r="N5321">
        <v>49.977449999999997</v>
      </c>
      <c r="P5321">
        <v>9.0687200000000008</v>
      </c>
      <c r="R5321" t="s">
        <v>11037</v>
      </c>
      <c r="S5321" t="s">
        <v>10314</v>
      </c>
      <c r="W5321" t="s">
        <v>11249</v>
      </c>
    </row>
    <row r="5322" spans="1:23" hidden="1" x14ac:dyDescent="0.45">
      <c r="A5322" s="1" t="s">
        <v>5249</v>
      </c>
      <c r="B5322" t="s">
        <v>7061</v>
      </c>
      <c r="C5322" t="s">
        <v>7572</v>
      </c>
      <c r="D5322" t="s">
        <v>8214</v>
      </c>
      <c r="E5322" t="s">
        <v>9978</v>
      </c>
      <c r="F5322" t="s">
        <v>10305</v>
      </c>
      <c r="G5322">
        <v>22.6</v>
      </c>
      <c r="H5322" t="s">
        <v>10314</v>
      </c>
      <c r="I5322" t="s">
        <v>10323</v>
      </c>
      <c r="K5322" t="s">
        <v>10332</v>
      </c>
      <c r="L5322">
        <v>2009</v>
      </c>
      <c r="N5322">
        <v>48.782452999999997</v>
      </c>
      <c r="P5322">
        <v>9.2314830000000008</v>
      </c>
      <c r="R5322" t="s">
        <v>11037</v>
      </c>
      <c r="S5322" t="s">
        <v>10314</v>
      </c>
      <c r="W5322" t="s">
        <v>11249</v>
      </c>
    </row>
    <row r="5323" spans="1:23" hidden="1" x14ac:dyDescent="0.45">
      <c r="A5323" s="1" t="s">
        <v>5250</v>
      </c>
      <c r="B5323" t="s">
        <v>7061</v>
      </c>
      <c r="C5323" t="s">
        <v>7573</v>
      </c>
      <c r="D5323" t="s">
        <v>8214</v>
      </c>
      <c r="E5323" t="s">
        <v>9978</v>
      </c>
      <c r="F5323" t="s">
        <v>10305</v>
      </c>
      <c r="G5323">
        <v>45</v>
      </c>
      <c r="H5323" t="s">
        <v>10314</v>
      </c>
      <c r="I5323" t="s">
        <v>10323</v>
      </c>
      <c r="K5323" t="s">
        <v>10332</v>
      </c>
      <c r="L5323">
        <v>1982</v>
      </c>
      <c r="M5323" t="s">
        <v>10336</v>
      </c>
      <c r="N5323">
        <v>48.815833000000012</v>
      </c>
      <c r="P5323">
        <v>9.2211110000000005</v>
      </c>
      <c r="Q5323" t="s">
        <v>10962</v>
      </c>
      <c r="R5323" t="s">
        <v>11037</v>
      </c>
      <c r="S5323" t="s">
        <v>10314</v>
      </c>
      <c r="W5323" t="s">
        <v>11249</v>
      </c>
    </row>
    <row r="5324" spans="1:23" hidden="1" x14ac:dyDescent="0.45">
      <c r="A5324" s="1" t="s">
        <v>5251</v>
      </c>
      <c r="B5324" t="s">
        <v>7061</v>
      </c>
      <c r="C5324" t="s">
        <v>7573</v>
      </c>
      <c r="D5324" t="s">
        <v>8214</v>
      </c>
      <c r="E5324" t="s">
        <v>9978</v>
      </c>
      <c r="F5324" t="s">
        <v>10305</v>
      </c>
      <c r="G5324">
        <v>45</v>
      </c>
      <c r="H5324" t="s">
        <v>10314</v>
      </c>
      <c r="I5324" t="s">
        <v>10323</v>
      </c>
      <c r="K5324" t="s">
        <v>10332</v>
      </c>
      <c r="L5324">
        <v>1984</v>
      </c>
      <c r="M5324" t="s">
        <v>10336</v>
      </c>
      <c r="N5324">
        <v>48.815833000000012</v>
      </c>
      <c r="P5324">
        <v>9.2211110000000005</v>
      </c>
      <c r="Q5324" t="s">
        <v>10962</v>
      </c>
      <c r="R5324" t="s">
        <v>11037</v>
      </c>
      <c r="S5324" t="s">
        <v>10314</v>
      </c>
      <c r="W5324" t="s">
        <v>11249</v>
      </c>
    </row>
    <row r="5325" spans="1:23" hidden="1" x14ac:dyDescent="0.45">
      <c r="A5325" s="1" t="s">
        <v>5252</v>
      </c>
      <c r="B5325" t="s">
        <v>7088</v>
      </c>
      <c r="D5325" t="s">
        <v>8215</v>
      </c>
      <c r="E5325" t="s">
        <v>9979</v>
      </c>
      <c r="F5325" t="s">
        <v>10305</v>
      </c>
      <c r="G5325">
        <v>332.7</v>
      </c>
      <c r="H5325" t="s">
        <v>10314</v>
      </c>
      <c r="I5325" t="s">
        <v>10323</v>
      </c>
      <c r="K5325" t="s">
        <v>10332</v>
      </c>
      <c r="L5325">
        <v>1991</v>
      </c>
      <c r="M5325" t="s">
        <v>10336</v>
      </c>
      <c r="N5325">
        <v>48.180506000000001</v>
      </c>
      <c r="P5325">
        <v>11.639612</v>
      </c>
      <c r="Q5325" t="s">
        <v>10963</v>
      </c>
      <c r="R5325" t="s">
        <v>11037</v>
      </c>
      <c r="S5325" t="s">
        <v>10314</v>
      </c>
      <c r="W5325" t="s">
        <v>11249</v>
      </c>
    </row>
    <row r="5326" spans="1:23" hidden="1" x14ac:dyDescent="0.45">
      <c r="A5326" s="1" t="s">
        <v>5253</v>
      </c>
      <c r="B5326" t="s">
        <v>7069</v>
      </c>
      <c r="C5326" t="s">
        <v>7574</v>
      </c>
      <c r="D5326" t="s">
        <v>8216</v>
      </c>
      <c r="E5326" t="s">
        <v>9980</v>
      </c>
      <c r="F5326" t="s">
        <v>10305</v>
      </c>
      <c r="G5326">
        <v>318</v>
      </c>
      <c r="H5326" t="s">
        <v>10314</v>
      </c>
      <c r="I5326" t="s">
        <v>10323</v>
      </c>
      <c r="K5326" t="s">
        <v>10333</v>
      </c>
      <c r="L5326">
        <v>1971</v>
      </c>
      <c r="N5326">
        <v>51.579619999999998</v>
      </c>
      <c r="P5326">
        <v>6.6788800000000004</v>
      </c>
      <c r="Q5326" t="s">
        <v>10964</v>
      </c>
      <c r="R5326" t="s">
        <v>11037</v>
      </c>
      <c r="S5326" t="s">
        <v>10314</v>
      </c>
      <c r="W5326" t="s">
        <v>11249</v>
      </c>
    </row>
    <row r="5327" spans="1:23" hidden="1" x14ac:dyDescent="0.45">
      <c r="A5327" s="1" t="s">
        <v>5254</v>
      </c>
      <c r="B5327" t="s">
        <v>7069</v>
      </c>
      <c r="C5327" t="s">
        <v>7574</v>
      </c>
      <c r="D5327" t="s">
        <v>8217</v>
      </c>
      <c r="E5327" t="s">
        <v>9980</v>
      </c>
      <c r="F5327" t="s">
        <v>10305</v>
      </c>
      <c r="G5327">
        <v>322</v>
      </c>
      <c r="H5327" t="s">
        <v>10314</v>
      </c>
      <c r="I5327" t="s">
        <v>10323</v>
      </c>
      <c r="K5327" t="s">
        <v>10333</v>
      </c>
      <c r="L5327">
        <v>1971</v>
      </c>
      <c r="N5327">
        <v>51.579619999999998</v>
      </c>
      <c r="P5327">
        <v>6.6788800000000004</v>
      </c>
      <c r="Q5327" t="s">
        <v>10964</v>
      </c>
      <c r="R5327" t="s">
        <v>11037</v>
      </c>
      <c r="S5327" t="s">
        <v>10314</v>
      </c>
      <c r="W5327" t="s">
        <v>11249</v>
      </c>
    </row>
    <row r="5328" spans="1:23" hidden="1" x14ac:dyDescent="0.45">
      <c r="A5328" s="1" t="s">
        <v>5255</v>
      </c>
      <c r="B5328" t="s">
        <v>7076</v>
      </c>
      <c r="C5328" t="s">
        <v>7575</v>
      </c>
      <c r="D5328" t="s">
        <v>8217</v>
      </c>
      <c r="E5328" t="s">
        <v>9980</v>
      </c>
      <c r="F5328" t="s">
        <v>10305</v>
      </c>
      <c r="G5328">
        <v>695</v>
      </c>
      <c r="H5328" t="s">
        <v>10314</v>
      </c>
      <c r="I5328" t="s">
        <v>10323</v>
      </c>
      <c r="K5328" t="s">
        <v>10333</v>
      </c>
      <c r="L5328">
        <v>1982</v>
      </c>
      <c r="N5328">
        <v>51.576475000000002</v>
      </c>
      <c r="P5328">
        <v>6.6894280000000004</v>
      </c>
      <c r="Q5328" t="s">
        <v>10965</v>
      </c>
      <c r="R5328" t="s">
        <v>11037</v>
      </c>
      <c r="S5328" t="s">
        <v>10314</v>
      </c>
      <c r="W5328" t="s">
        <v>11249</v>
      </c>
    </row>
    <row r="5329" spans="1:23" hidden="1" x14ac:dyDescent="0.45">
      <c r="A5329" s="1" t="s">
        <v>5256</v>
      </c>
      <c r="B5329" t="s">
        <v>7076</v>
      </c>
      <c r="C5329" t="s">
        <v>7575</v>
      </c>
      <c r="D5329" t="s">
        <v>8216</v>
      </c>
      <c r="E5329" t="s">
        <v>9980</v>
      </c>
      <c r="F5329" t="s">
        <v>10305</v>
      </c>
      <c r="G5329">
        <v>695</v>
      </c>
      <c r="H5329" t="s">
        <v>10314</v>
      </c>
      <c r="I5329" t="s">
        <v>10323</v>
      </c>
      <c r="K5329" t="s">
        <v>10333</v>
      </c>
      <c r="L5329">
        <v>1985</v>
      </c>
      <c r="N5329">
        <v>51.576475000000002</v>
      </c>
      <c r="P5329">
        <v>6.6894280000000004</v>
      </c>
      <c r="Q5329" t="s">
        <v>10965</v>
      </c>
      <c r="R5329" t="s">
        <v>11037</v>
      </c>
      <c r="S5329" t="s">
        <v>10314</v>
      </c>
      <c r="W5329" t="s">
        <v>11249</v>
      </c>
    </row>
    <row r="5330" spans="1:23" hidden="1" x14ac:dyDescent="0.45">
      <c r="A5330" s="1" t="s">
        <v>5257</v>
      </c>
      <c r="B5330" t="s">
        <v>7069</v>
      </c>
      <c r="C5330" t="s">
        <v>7576</v>
      </c>
      <c r="D5330" t="s">
        <v>8218</v>
      </c>
      <c r="E5330" t="s">
        <v>9981</v>
      </c>
      <c r="F5330" t="s">
        <v>10305</v>
      </c>
      <c r="G5330">
        <v>179</v>
      </c>
      <c r="H5330" t="s">
        <v>10314</v>
      </c>
      <c r="I5330" t="s">
        <v>10323</v>
      </c>
      <c r="K5330" t="s">
        <v>10332</v>
      </c>
      <c r="L5330">
        <v>1982</v>
      </c>
      <c r="M5330" t="s">
        <v>10336</v>
      </c>
      <c r="N5330">
        <v>49.249018</v>
      </c>
      <c r="P5330">
        <v>6.8792439999999999</v>
      </c>
      <c r="Q5330" t="s">
        <v>10966</v>
      </c>
      <c r="R5330" t="s">
        <v>11037</v>
      </c>
      <c r="S5330" t="s">
        <v>10314</v>
      </c>
      <c r="W5330" t="s">
        <v>11249</v>
      </c>
    </row>
    <row r="5331" spans="1:23" hidden="1" x14ac:dyDescent="0.45">
      <c r="A5331" s="1" t="s">
        <v>5258</v>
      </c>
      <c r="B5331" t="s">
        <v>7069</v>
      </c>
      <c r="C5331" t="s">
        <v>7576</v>
      </c>
      <c r="D5331" t="s">
        <v>8218</v>
      </c>
      <c r="E5331" t="s">
        <v>9981</v>
      </c>
      <c r="F5331" t="s">
        <v>10305</v>
      </c>
      <c r="G5331">
        <v>211</v>
      </c>
      <c r="H5331" t="s">
        <v>10314</v>
      </c>
      <c r="I5331" t="s">
        <v>10323</v>
      </c>
      <c r="K5331" t="s">
        <v>10332</v>
      </c>
      <c r="L5331">
        <v>1989</v>
      </c>
      <c r="M5331" t="s">
        <v>10336</v>
      </c>
      <c r="N5331">
        <v>49.249018</v>
      </c>
      <c r="P5331">
        <v>6.8792439999999999</v>
      </c>
      <c r="Q5331" t="s">
        <v>10966</v>
      </c>
      <c r="R5331" t="s">
        <v>11037</v>
      </c>
      <c r="S5331" t="s">
        <v>10314</v>
      </c>
      <c r="W5331" t="s">
        <v>11249</v>
      </c>
    </row>
    <row r="5332" spans="1:23" hidden="1" x14ac:dyDescent="0.45">
      <c r="A5332" s="1" t="s">
        <v>5259</v>
      </c>
      <c r="B5332" t="s">
        <v>7061</v>
      </c>
      <c r="C5332" t="s">
        <v>7577</v>
      </c>
      <c r="D5332" t="s">
        <v>8219</v>
      </c>
      <c r="E5332" t="s">
        <v>9982</v>
      </c>
      <c r="F5332" t="s">
        <v>10305</v>
      </c>
      <c r="G5332">
        <v>96</v>
      </c>
      <c r="H5332" t="s">
        <v>10314</v>
      </c>
      <c r="I5332" t="s">
        <v>10323</v>
      </c>
      <c r="K5332" t="s">
        <v>10333</v>
      </c>
      <c r="L5332">
        <v>1964</v>
      </c>
      <c r="N5332">
        <v>49.017471999999998</v>
      </c>
      <c r="P5332">
        <v>9.1573890000000002</v>
      </c>
      <c r="R5332" t="s">
        <v>11037</v>
      </c>
      <c r="S5332" t="s">
        <v>10314</v>
      </c>
      <c r="W5332" t="s">
        <v>11249</v>
      </c>
    </row>
    <row r="5333" spans="1:23" hidden="1" x14ac:dyDescent="0.45">
      <c r="A5333" s="1" t="s">
        <v>5260</v>
      </c>
      <c r="B5333" t="s">
        <v>7061</v>
      </c>
      <c r="C5333" t="s">
        <v>7577</v>
      </c>
      <c r="D5333" t="s">
        <v>8219</v>
      </c>
      <c r="E5333" t="s">
        <v>9982</v>
      </c>
      <c r="F5333" t="s">
        <v>10305</v>
      </c>
      <c r="G5333">
        <v>148</v>
      </c>
      <c r="H5333" t="s">
        <v>10314</v>
      </c>
      <c r="I5333" t="s">
        <v>10323</v>
      </c>
      <c r="K5333" t="s">
        <v>10333</v>
      </c>
      <c r="L5333">
        <v>1967</v>
      </c>
      <c r="N5333">
        <v>49.017471999999998</v>
      </c>
      <c r="P5333">
        <v>9.1573890000000002</v>
      </c>
      <c r="R5333" t="s">
        <v>11037</v>
      </c>
      <c r="S5333" t="s">
        <v>10314</v>
      </c>
      <c r="W5333" t="s">
        <v>11249</v>
      </c>
    </row>
    <row r="5334" spans="1:23" hidden="1" x14ac:dyDescent="0.45">
      <c r="A5334" s="1" t="s">
        <v>5261</v>
      </c>
      <c r="B5334" t="s">
        <v>7038</v>
      </c>
      <c r="D5334" t="s">
        <v>8220</v>
      </c>
      <c r="E5334" t="s">
        <v>9983</v>
      </c>
      <c r="F5334" t="s">
        <v>10305</v>
      </c>
      <c r="G5334">
        <v>186</v>
      </c>
      <c r="H5334" t="s">
        <v>10314</v>
      </c>
      <c r="I5334" t="s">
        <v>10323</v>
      </c>
      <c r="L5334">
        <v>1971</v>
      </c>
      <c r="N5334">
        <v>51.275590000000001</v>
      </c>
      <c r="P5334">
        <v>7.7063699999999997</v>
      </c>
      <c r="R5334" t="s">
        <v>11037</v>
      </c>
      <c r="S5334" t="s">
        <v>10314</v>
      </c>
      <c r="W5334" t="s">
        <v>11249</v>
      </c>
    </row>
    <row r="5335" spans="1:23" hidden="1" x14ac:dyDescent="0.45">
      <c r="A5335" s="1" t="s">
        <v>5262</v>
      </c>
      <c r="B5335" t="s">
        <v>7038</v>
      </c>
      <c r="D5335" t="s">
        <v>8220</v>
      </c>
      <c r="E5335" t="s">
        <v>9983</v>
      </c>
      <c r="F5335" t="s">
        <v>10305</v>
      </c>
      <c r="G5335">
        <v>310</v>
      </c>
      <c r="H5335" t="s">
        <v>10314</v>
      </c>
      <c r="I5335" t="s">
        <v>10323</v>
      </c>
      <c r="K5335" t="s">
        <v>10333</v>
      </c>
      <c r="L5335">
        <v>1982</v>
      </c>
      <c r="N5335">
        <v>51.276361000000001</v>
      </c>
      <c r="P5335">
        <v>7.705667</v>
      </c>
      <c r="Q5335" t="s">
        <v>10967</v>
      </c>
      <c r="R5335" t="s">
        <v>11037</v>
      </c>
      <c r="S5335" t="s">
        <v>10314</v>
      </c>
      <c r="W5335" t="s">
        <v>11249</v>
      </c>
    </row>
    <row r="5336" spans="1:23" hidden="1" x14ac:dyDescent="0.45">
      <c r="A5336" s="1" t="s">
        <v>5263</v>
      </c>
      <c r="B5336" t="s">
        <v>7076</v>
      </c>
      <c r="D5336" t="s">
        <v>8221</v>
      </c>
      <c r="E5336" t="s">
        <v>9984</v>
      </c>
      <c r="F5336" t="s">
        <v>10305</v>
      </c>
      <c r="G5336">
        <v>614</v>
      </c>
      <c r="H5336" t="s">
        <v>10314</v>
      </c>
      <c r="I5336" t="s">
        <v>10323</v>
      </c>
      <c r="K5336" t="s">
        <v>10333</v>
      </c>
      <c r="L5336">
        <v>1984</v>
      </c>
      <c r="N5336">
        <v>51.672452999999997</v>
      </c>
      <c r="P5336">
        <v>7.7099469999999997</v>
      </c>
      <c r="Q5336" t="s">
        <v>10968</v>
      </c>
      <c r="R5336" t="s">
        <v>11037</v>
      </c>
      <c r="S5336" t="s">
        <v>10314</v>
      </c>
      <c r="W5336" t="s">
        <v>11249</v>
      </c>
    </row>
    <row r="5337" spans="1:23" hidden="1" x14ac:dyDescent="0.45">
      <c r="A5337" s="1" t="s">
        <v>5264</v>
      </c>
      <c r="B5337" t="s">
        <v>7067</v>
      </c>
      <c r="D5337" t="s">
        <v>8222</v>
      </c>
      <c r="E5337" t="s">
        <v>9985</v>
      </c>
      <c r="F5337" t="s">
        <v>10305</v>
      </c>
      <c r="G5337">
        <v>757</v>
      </c>
      <c r="H5337" t="s">
        <v>10314</v>
      </c>
      <c r="I5337" t="s">
        <v>10323</v>
      </c>
      <c r="K5337" t="s">
        <v>10333</v>
      </c>
      <c r="L5337">
        <v>1976</v>
      </c>
      <c r="N5337">
        <v>53.565818999999998</v>
      </c>
      <c r="P5337">
        <v>8.1462450000000004</v>
      </c>
      <c r="Q5337" t="s">
        <v>10969</v>
      </c>
      <c r="R5337" t="s">
        <v>11037</v>
      </c>
      <c r="S5337" t="s">
        <v>10314</v>
      </c>
      <c r="W5337" t="s">
        <v>11249</v>
      </c>
    </row>
    <row r="5338" spans="1:23" hidden="1" x14ac:dyDescent="0.45">
      <c r="A5338" s="1" t="s">
        <v>5265</v>
      </c>
      <c r="B5338" t="s">
        <v>7089</v>
      </c>
      <c r="D5338" t="s">
        <v>8223</v>
      </c>
      <c r="E5338" t="s">
        <v>9986</v>
      </c>
      <c r="F5338" t="s">
        <v>10305</v>
      </c>
      <c r="G5338">
        <v>61.5</v>
      </c>
      <c r="H5338" t="s">
        <v>10314</v>
      </c>
      <c r="I5338" t="s">
        <v>10323</v>
      </c>
      <c r="K5338" t="s">
        <v>10332</v>
      </c>
      <c r="L5338">
        <v>2000</v>
      </c>
      <c r="N5338">
        <v>51.252920000000003</v>
      </c>
      <c r="P5338">
        <v>9.4379600000000003</v>
      </c>
      <c r="R5338" t="s">
        <v>11037</v>
      </c>
      <c r="S5338" t="s">
        <v>10314</v>
      </c>
      <c r="W5338" t="s">
        <v>11249</v>
      </c>
    </row>
    <row r="5339" spans="1:23" hidden="1" x14ac:dyDescent="0.45">
      <c r="A5339" s="1" t="s">
        <v>5266</v>
      </c>
      <c r="B5339" t="s">
        <v>7089</v>
      </c>
      <c r="D5339" t="s">
        <v>8223</v>
      </c>
      <c r="E5339" t="s">
        <v>9986</v>
      </c>
      <c r="F5339" t="s">
        <v>10305</v>
      </c>
      <c r="G5339">
        <v>61.5</v>
      </c>
      <c r="H5339" t="s">
        <v>10314</v>
      </c>
      <c r="I5339" t="s">
        <v>10323</v>
      </c>
      <c r="K5339" t="s">
        <v>10332</v>
      </c>
      <c r="L5339">
        <v>2000</v>
      </c>
      <c r="N5339">
        <v>52.432789999999997</v>
      </c>
      <c r="P5339">
        <v>10.786110000000001</v>
      </c>
      <c r="R5339" t="s">
        <v>11037</v>
      </c>
      <c r="S5339" t="s">
        <v>10314</v>
      </c>
      <c r="W5339" t="s">
        <v>11249</v>
      </c>
    </row>
    <row r="5340" spans="1:23" hidden="1" x14ac:dyDescent="0.45">
      <c r="A5340" s="1" t="s">
        <v>5267</v>
      </c>
      <c r="B5340" t="s">
        <v>7089</v>
      </c>
      <c r="D5340" t="s">
        <v>8223</v>
      </c>
      <c r="E5340" t="s">
        <v>9986</v>
      </c>
      <c r="F5340" t="s">
        <v>10305</v>
      </c>
      <c r="G5340">
        <v>138.5</v>
      </c>
      <c r="H5340" t="s">
        <v>10314</v>
      </c>
      <c r="I5340" t="s">
        <v>10323</v>
      </c>
      <c r="K5340" t="s">
        <v>10332</v>
      </c>
      <c r="L5340">
        <v>1985</v>
      </c>
      <c r="N5340">
        <v>51.252920000000003</v>
      </c>
      <c r="P5340">
        <v>9.4379600000000003</v>
      </c>
      <c r="Q5340" t="s">
        <v>10970</v>
      </c>
      <c r="R5340" t="s">
        <v>11037</v>
      </c>
      <c r="S5340" t="s">
        <v>10314</v>
      </c>
      <c r="W5340" t="s">
        <v>11249</v>
      </c>
    </row>
    <row r="5341" spans="1:23" hidden="1" x14ac:dyDescent="0.45">
      <c r="A5341" s="1" t="s">
        <v>5268</v>
      </c>
      <c r="B5341" t="s">
        <v>7089</v>
      </c>
      <c r="D5341" t="s">
        <v>8223</v>
      </c>
      <c r="E5341" t="s">
        <v>9986</v>
      </c>
      <c r="F5341" t="s">
        <v>10305</v>
      </c>
      <c r="G5341">
        <v>138.5</v>
      </c>
      <c r="H5341" t="s">
        <v>10314</v>
      </c>
      <c r="I5341" t="s">
        <v>10323</v>
      </c>
      <c r="K5341" t="s">
        <v>10332</v>
      </c>
      <c r="L5341">
        <v>1985</v>
      </c>
      <c r="N5341">
        <v>52.442230000000002</v>
      </c>
      <c r="P5341">
        <v>10.76454</v>
      </c>
      <c r="Q5341" t="s">
        <v>10970</v>
      </c>
      <c r="R5341" t="s">
        <v>11037</v>
      </c>
      <c r="S5341" t="s">
        <v>10314</v>
      </c>
      <c r="W5341" t="s">
        <v>11249</v>
      </c>
    </row>
    <row r="5342" spans="1:23" hidden="1" x14ac:dyDescent="0.45">
      <c r="A5342" s="1" t="s">
        <v>5269</v>
      </c>
      <c r="B5342" t="s">
        <v>7090</v>
      </c>
      <c r="D5342" t="s">
        <v>8224</v>
      </c>
      <c r="E5342" t="s">
        <v>9987</v>
      </c>
      <c r="F5342" t="s">
        <v>10305</v>
      </c>
      <c r="G5342">
        <v>85</v>
      </c>
      <c r="H5342" t="s">
        <v>10314</v>
      </c>
      <c r="I5342" t="s">
        <v>10323</v>
      </c>
      <c r="K5342" t="s">
        <v>10332</v>
      </c>
      <c r="L5342">
        <v>1992</v>
      </c>
      <c r="N5342">
        <v>51.248350000000002</v>
      </c>
      <c r="P5342">
        <v>7.1187399999999998</v>
      </c>
      <c r="R5342" t="s">
        <v>11037</v>
      </c>
      <c r="S5342" t="s">
        <v>10314</v>
      </c>
      <c r="W5342" t="s">
        <v>11249</v>
      </c>
    </row>
    <row r="5343" spans="1:23" hidden="1" x14ac:dyDescent="0.45">
      <c r="A5343" s="1" t="s">
        <v>5270</v>
      </c>
      <c r="B5343" t="s">
        <v>7052</v>
      </c>
      <c r="C5343" t="s">
        <v>7536</v>
      </c>
      <c r="D5343" t="s">
        <v>8161</v>
      </c>
      <c r="E5343" t="s">
        <v>9938</v>
      </c>
      <c r="F5343" t="s">
        <v>10305</v>
      </c>
      <c r="G5343">
        <v>472</v>
      </c>
      <c r="H5343" t="s">
        <v>10314</v>
      </c>
      <c r="I5343" t="s">
        <v>10323</v>
      </c>
      <c r="K5343" t="s">
        <v>10332</v>
      </c>
      <c r="L5343">
        <v>1985</v>
      </c>
      <c r="M5343" t="s">
        <v>10336</v>
      </c>
      <c r="N5343">
        <v>48.455353000000002</v>
      </c>
      <c r="P5343">
        <v>11.799455999999999</v>
      </c>
      <c r="Q5343" t="s">
        <v>10971</v>
      </c>
      <c r="R5343" t="s">
        <v>11037</v>
      </c>
      <c r="S5343" t="s">
        <v>10314</v>
      </c>
      <c r="W5343" t="s">
        <v>11249</v>
      </c>
    </row>
    <row r="5344" spans="1:23" hidden="1" x14ac:dyDescent="0.45">
      <c r="A5344" s="1" t="s">
        <v>5271</v>
      </c>
      <c r="B5344" t="s">
        <v>7091</v>
      </c>
      <c r="C5344" t="s">
        <v>7578</v>
      </c>
      <c r="D5344" t="s">
        <v>8225</v>
      </c>
      <c r="E5344" t="s">
        <v>9988</v>
      </c>
      <c r="F5344" t="s">
        <v>10305</v>
      </c>
      <c r="G5344">
        <v>19</v>
      </c>
      <c r="H5344" t="s">
        <v>10314</v>
      </c>
      <c r="I5344" t="s">
        <v>10323</v>
      </c>
      <c r="K5344" t="s">
        <v>10332</v>
      </c>
      <c r="L5344">
        <v>1923</v>
      </c>
      <c r="N5344">
        <v>51.391390000000001</v>
      </c>
      <c r="P5344">
        <v>8.0730399999999989</v>
      </c>
      <c r="R5344" t="s">
        <v>11037</v>
      </c>
      <c r="S5344" t="s">
        <v>10314</v>
      </c>
      <c r="W5344" t="s">
        <v>11249</v>
      </c>
    </row>
    <row r="5345" spans="1:23" hidden="1" x14ac:dyDescent="0.45">
      <c r="A5345" s="1" t="s">
        <v>5272</v>
      </c>
      <c r="B5345" t="s">
        <v>7057</v>
      </c>
      <c r="C5345" t="s">
        <v>7541</v>
      </c>
      <c r="D5345" t="s">
        <v>8166</v>
      </c>
      <c r="E5345" t="s">
        <v>9943</v>
      </c>
      <c r="F5345" t="s">
        <v>10305</v>
      </c>
      <c r="G5345">
        <v>20.7</v>
      </c>
      <c r="H5345" t="s">
        <v>10314</v>
      </c>
      <c r="I5345" t="s">
        <v>10323</v>
      </c>
      <c r="K5345" t="s">
        <v>10332</v>
      </c>
      <c r="L5345">
        <v>1992</v>
      </c>
      <c r="N5345">
        <v>48.397039999999997</v>
      </c>
      <c r="P5345">
        <v>9.9648400000000006</v>
      </c>
      <c r="R5345" t="s">
        <v>11037</v>
      </c>
      <c r="S5345" t="s">
        <v>10314</v>
      </c>
      <c r="W5345" t="s">
        <v>11249</v>
      </c>
    </row>
    <row r="5346" spans="1:23" hidden="1" x14ac:dyDescent="0.45">
      <c r="A5346" s="1" t="s">
        <v>5273</v>
      </c>
      <c r="B5346" t="s">
        <v>7092</v>
      </c>
      <c r="C5346" t="s">
        <v>7579</v>
      </c>
      <c r="D5346" t="s">
        <v>8226</v>
      </c>
      <c r="E5346" t="s">
        <v>9989</v>
      </c>
      <c r="F5346" t="s">
        <v>10305</v>
      </c>
      <c r="G5346">
        <v>40</v>
      </c>
      <c r="H5346" t="s">
        <v>10314</v>
      </c>
      <c r="I5346" t="s">
        <v>10323</v>
      </c>
      <c r="K5346" t="s">
        <v>10332</v>
      </c>
      <c r="L5346">
        <v>1965</v>
      </c>
      <c r="N5346">
        <v>52.975181300000003</v>
      </c>
      <c r="P5346">
        <v>10.557397399999999</v>
      </c>
      <c r="R5346" t="s">
        <v>11037</v>
      </c>
      <c r="S5346" t="s">
        <v>10314</v>
      </c>
      <c r="W5346" t="s">
        <v>11249</v>
      </c>
    </row>
    <row r="5347" spans="1:23" hidden="1" x14ac:dyDescent="0.45">
      <c r="A5347" s="1" t="s">
        <v>5274</v>
      </c>
      <c r="B5347" t="s">
        <v>7093</v>
      </c>
      <c r="C5347" t="s">
        <v>7580</v>
      </c>
      <c r="D5347" t="s">
        <v>8150</v>
      </c>
      <c r="E5347" t="s">
        <v>9928</v>
      </c>
      <c r="F5347" t="s">
        <v>10305</v>
      </c>
      <c r="G5347">
        <v>735</v>
      </c>
      <c r="H5347" t="s">
        <v>10314</v>
      </c>
      <c r="I5347" t="s">
        <v>10323</v>
      </c>
      <c r="K5347" t="s">
        <v>10332</v>
      </c>
      <c r="L5347">
        <v>2013</v>
      </c>
      <c r="M5347" t="s">
        <v>10336</v>
      </c>
      <c r="N5347">
        <v>51.612400000000001</v>
      </c>
      <c r="P5347">
        <v>7.4653199999999984</v>
      </c>
      <c r="Q5347" t="s">
        <v>10972</v>
      </c>
      <c r="R5347" t="s">
        <v>11037</v>
      </c>
      <c r="S5347" t="s">
        <v>10314</v>
      </c>
      <c r="W5347" t="s">
        <v>11249</v>
      </c>
    </row>
    <row r="5348" spans="1:23" hidden="1" x14ac:dyDescent="0.45">
      <c r="A5348" s="1" t="s">
        <v>5275</v>
      </c>
      <c r="B5348" t="s">
        <v>7094</v>
      </c>
      <c r="C5348" t="s">
        <v>7581</v>
      </c>
      <c r="D5348" t="s">
        <v>8227</v>
      </c>
      <c r="E5348" t="s">
        <v>9922</v>
      </c>
      <c r="F5348" t="s">
        <v>10305</v>
      </c>
      <c r="G5348">
        <v>800</v>
      </c>
      <c r="H5348" t="s">
        <v>10314</v>
      </c>
      <c r="I5348" t="s">
        <v>10323</v>
      </c>
      <c r="K5348" t="s">
        <v>10332</v>
      </c>
      <c r="L5348">
        <v>2015</v>
      </c>
      <c r="M5348" t="s">
        <v>10336</v>
      </c>
      <c r="N5348">
        <v>53.486244999999997</v>
      </c>
      <c r="P5348">
        <v>9.9531489999999998</v>
      </c>
      <c r="Q5348" t="s">
        <v>10973</v>
      </c>
      <c r="R5348" t="s">
        <v>11037</v>
      </c>
      <c r="S5348" t="s">
        <v>10314</v>
      </c>
      <c r="W5348" t="s">
        <v>11249</v>
      </c>
    </row>
    <row r="5349" spans="1:23" hidden="1" x14ac:dyDescent="0.45">
      <c r="A5349" s="1" t="s">
        <v>5276</v>
      </c>
      <c r="B5349" t="s">
        <v>7094</v>
      </c>
      <c r="C5349" t="s">
        <v>7581</v>
      </c>
      <c r="D5349" t="s">
        <v>8227</v>
      </c>
      <c r="E5349" t="s">
        <v>9922</v>
      </c>
      <c r="F5349" t="s">
        <v>10305</v>
      </c>
      <c r="G5349">
        <v>800</v>
      </c>
      <c r="H5349" t="s">
        <v>10314</v>
      </c>
      <c r="I5349" t="s">
        <v>10323</v>
      </c>
      <c r="K5349" t="s">
        <v>10332</v>
      </c>
      <c r="L5349">
        <v>2015</v>
      </c>
      <c r="M5349" t="s">
        <v>10336</v>
      </c>
      <c r="N5349">
        <v>53.486244999999997</v>
      </c>
      <c r="P5349">
        <v>9.9531489999999998</v>
      </c>
      <c r="Q5349" t="s">
        <v>10973</v>
      </c>
      <c r="R5349" t="s">
        <v>11037</v>
      </c>
      <c r="S5349" t="s">
        <v>10314</v>
      </c>
      <c r="W5349" t="s">
        <v>11249</v>
      </c>
    </row>
    <row r="5350" spans="1:23" hidden="1" x14ac:dyDescent="0.45">
      <c r="A5350" s="1" t="s">
        <v>5277</v>
      </c>
      <c r="B5350" t="s">
        <v>7052</v>
      </c>
      <c r="C5350" t="s">
        <v>7582</v>
      </c>
      <c r="D5350" t="s">
        <v>8222</v>
      </c>
      <c r="E5350" t="s">
        <v>9985</v>
      </c>
      <c r="F5350" t="s">
        <v>10305</v>
      </c>
      <c r="G5350">
        <v>731</v>
      </c>
      <c r="H5350" t="s">
        <v>10314</v>
      </c>
      <c r="I5350" t="s">
        <v>10323</v>
      </c>
      <c r="K5350" t="s">
        <v>10333</v>
      </c>
      <c r="L5350">
        <v>2015</v>
      </c>
      <c r="N5350">
        <v>53.578698000000003</v>
      </c>
      <c r="P5350">
        <v>8.1326850000000004</v>
      </c>
      <c r="Q5350" t="s">
        <v>10974</v>
      </c>
      <c r="R5350" t="s">
        <v>11037</v>
      </c>
      <c r="S5350" t="s">
        <v>10314</v>
      </c>
      <c r="W5350" t="s">
        <v>11249</v>
      </c>
    </row>
    <row r="5351" spans="1:23" hidden="1" x14ac:dyDescent="0.45">
      <c r="A5351" s="1" t="s">
        <v>5278</v>
      </c>
      <c r="B5351" t="s">
        <v>7095</v>
      </c>
      <c r="C5351" t="s">
        <v>7583</v>
      </c>
      <c r="D5351" t="s">
        <v>8169</v>
      </c>
      <c r="E5351" t="s">
        <v>9946</v>
      </c>
      <c r="F5351" t="s">
        <v>10305</v>
      </c>
      <c r="G5351">
        <v>79.5</v>
      </c>
      <c r="H5351" t="s">
        <v>10310</v>
      </c>
      <c r="I5351" t="s">
        <v>10325</v>
      </c>
      <c r="K5351" t="s">
        <v>10333</v>
      </c>
      <c r="L5351">
        <v>1934</v>
      </c>
      <c r="N5351">
        <v>47.586290000000012</v>
      </c>
      <c r="P5351">
        <v>8.1320700000000006</v>
      </c>
      <c r="R5351" t="s">
        <v>11038</v>
      </c>
      <c r="S5351" t="s">
        <v>10310</v>
      </c>
      <c r="W5351" t="s">
        <v>11249</v>
      </c>
    </row>
    <row r="5352" spans="1:23" hidden="1" x14ac:dyDescent="0.45">
      <c r="A5352" s="1" t="s">
        <v>5279</v>
      </c>
      <c r="B5352" t="s">
        <v>7095</v>
      </c>
      <c r="C5352" t="s">
        <v>7584</v>
      </c>
      <c r="D5352" t="s">
        <v>8228</v>
      </c>
      <c r="E5352" t="s">
        <v>9990</v>
      </c>
      <c r="F5352" t="s">
        <v>10305</v>
      </c>
      <c r="G5352">
        <v>24</v>
      </c>
      <c r="H5352" t="s">
        <v>10310</v>
      </c>
      <c r="I5352" t="s">
        <v>10325</v>
      </c>
      <c r="K5352" t="s">
        <v>10333</v>
      </c>
      <c r="L5352">
        <v>2009</v>
      </c>
      <c r="N5352">
        <v>47.598481999999997</v>
      </c>
      <c r="P5352">
        <v>8.1709820000000004</v>
      </c>
      <c r="R5352" t="s">
        <v>11038</v>
      </c>
      <c r="S5352" t="s">
        <v>10310</v>
      </c>
      <c r="W5352" t="s">
        <v>11249</v>
      </c>
    </row>
    <row r="5353" spans="1:23" hidden="1" x14ac:dyDescent="0.45">
      <c r="A5353" s="1" t="s">
        <v>5280</v>
      </c>
      <c r="B5353" t="s">
        <v>7023</v>
      </c>
      <c r="C5353" t="s">
        <v>7512</v>
      </c>
      <c r="D5353" t="s">
        <v>8127</v>
      </c>
      <c r="E5353" t="s">
        <v>9905</v>
      </c>
      <c r="F5353" t="s">
        <v>10305</v>
      </c>
      <c r="G5353">
        <v>0.1</v>
      </c>
      <c r="H5353" t="s">
        <v>10310</v>
      </c>
      <c r="I5353" t="s">
        <v>10325</v>
      </c>
      <c r="K5353" t="s">
        <v>10333</v>
      </c>
      <c r="L5353">
        <v>1912</v>
      </c>
      <c r="N5353">
        <v>51.985129999999998</v>
      </c>
      <c r="P5353">
        <v>9.8224599999999995</v>
      </c>
      <c r="R5353" t="s">
        <v>11038</v>
      </c>
      <c r="S5353" t="s">
        <v>10310</v>
      </c>
      <c r="W5353" t="s">
        <v>11249</v>
      </c>
    </row>
    <row r="5354" spans="1:23" hidden="1" x14ac:dyDescent="0.45">
      <c r="A5354" s="1" t="s">
        <v>5281</v>
      </c>
      <c r="B5354" t="s">
        <v>7096</v>
      </c>
      <c r="D5354" t="s">
        <v>8229</v>
      </c>
      <c r="E5354" t="s">
        <v>9991</v>
      </c>
      <c r="F5354" t="s">
        <v>10303</v>
      </c>
      <c r="G5354">
        <v>60</v>
      </c>
      <c r="H5354" t="s">
        <v>10310</v>
      </c>
      <c r="I5354" t="s">
        <v>10325</v>
      </c>
      <c r="K5354" t="s">
        <v>10333</v>
      </c>
      <c r="L5354">
        <v>1989</v>
      </c>
      <c r="N5354">
        <v>46.814204799999992</v>
      </c>
      <c r="P5354">
        <v>12.761756999999999</v>
      </c>
      <c r="R5354" t="s">
        <v>11038</v>
      </c>
      <c r="S5354" t="s">
        <v>10310</v>
      </c>
      <c r="W5354" t="s">
        <v>11249</v>
      </c>
    </row>
    <row r="5355" spans="1:23" hidden="1" x14ac:dyDescent="0.45">
      <c r="A5355" s="1" t="s">
        <v>5282</v>
      </c>
      <c r="B5355" t="s">
        <v>7097</v>
      </c>
      <c r="C5355" t="s">
        <v>7585</v>
      </c>
      <c r="D5355" t="s">
        <v>8230</v>
      </c>
      <c r="E5355" t="s">
        <v>9992</v>
      </c>
      <c r="F5355" t="s">
        <v>10305</v>
      </c>
      <c r="G5355">
        <v>84</v>
      </c>
      <c r="H5355" t="s">
        <v>10310</v>
      </c>
      <c r="I5355" t="s">
        <v>10325</v>
      </c>
      <c r="K5355" t="s">
        <v>10333</v>
      </c>
      <c r="L5355">
        <v>1944</v>
      </c>
      <c r="N5355">
        <v>48.320615400000001</v>
      </c>
      <c r="P5355">
        <v>13.3160755</v>
      </c>
      <c r="R5355" t="s">
        <v>11038</v>
      </c>
      <c r="S5355" t="s">
        <v>10310</v>
      </c>
      <c r="W5355" t="s">
        <v>11249</v>
      </c>
    </row>
    <row r="5356" spans="1:23" hidden="1" x14ac:dyDescent="0.45">
      <c r="A5356" s="1" t="s">
        <v>5283</v>
      </c>
      <c r="B5356" t="s">
        <v>7061</v>
      </c>
      <c r="C5356" t="s">
        <v>7586</v>
      </c>
      <c r="D5356" t="s">
        <v>8231</v>
      </c>
      <c r="E5356" t="s">
        <v>8711</v>
      </c>
      <c r="F5356" t="s">
        <v>10305</v>
      </c>
      <c r="G5356">
        <v>36.799999999999997</v>
      </c>
      <c r="H5356" t="s">
        <v>10310</v>
      </c>
      <c r="I5356" t="s">
        <v>10325</v>
      </c>
      <c r="K5356" t="s">
        <v>10333</v>
      </c>
      <c r="L5356">
        <v>1966</v>
      </c>
      <c r="N5356">
        <v>47.558531199999997</v>
      </c>
      <c r="P5356">
        <v>7.9556578999999994</v>
      </c>
      <c r="R5356" t="s">
        <v>11038</v>
      </c>
      <c r="S5356" t="s">
        <v>10310</v>
      </c>
      <c r="W5356" t="s">
        <v>11249</v>
      </c>
    </row>
    <row r="5357" spans="1:23" hidden="1" x14ac:dyDescent="0.45">
      <c r="A5357" s="1" t="s">
        <v>5284</v>
      </c>
      <c r="B5357" t="s">
        <v>7098</v>
      </c>
      <c r="C5357" t="s">
        <v>7587</v>
      </c>
      <c r="D5357" t="s">
        <v>8231</v>
      </c>
      <c r="E5357" t="s">
        <v>8711</v>
      </c>
      <c r="F5357" t="s">
        <v>10305</v>
      </c>
      <c r="G5357">
        <v>360</v>
      </c>
      <c r="H5357" t="s">
        <v>10310</v>
      </c>
      <c r="I5357" t="s">
        <v>10324</v>
      </c>
      <c r="K5357" t="s">
        <v>10333</v>
      </c>
      <c r="L5357">
        <v>1966</v>
      </c>
      <c r="N5357">
        <v>47.565415999999999</v>
      </c>
      <c r="P5357">
        <v>7.9540350000000002</v>
      </c>
      <c r="Q5357" t="s">
        <v>10975</v>
      </c>
      <c r="R5357" t="s">
        <v>11038</v>
      </c>
      <c r="S5357" t="s">
        <v>10310</v>
      </c>
      <c r="W5357" t="s">
        <v>11249</v>
      </c>
    </row>
    <row r="5358" spans="1:23" hidden="1" x14ac:dyDescent="0.45">
      <c r="A5358" s="1" t="s">
        <v>5285</v>
      </c>
      <c r="B5358" t="s">
        <v>7099</v>
      </c>
      <c r="D5358" t="s">
        <v>8232</v>
      </c>
      <c r="E5358" t="s">
        <v>9993</v>
      </c>
      <c r="F5358" t="s">
        <v>10305</v>
      </c>
      <c r="G5358">
        <v>23.7</v>
      </c>
      <c r="H5358" t="s">
        <v>10310</v>
      </c>
      <c r="I5358" t="s">
        <v>10325</v>
      </c>
      <c r="K5358" t="s">
        <v>10333</v>
      </c>
      <c r="L5358">
        <v>1970</v>
      </c>
      <c r="N5358">
        <v>48.750807000000002</v>
      </c>
      <c r="P5358">
        <v>11.273237</v>
      </c>
      <c r="R5358" t="s">
        <v>11038</v>
      </c>
      <c r="S5358" t="s">
        <v>10310</v>
      </c>
      <c r="W5358" t="s">
        <v>11249</v>
      </c>
    </row>
    <row r="5359" spans="1:23" hidden="1" x14ac:dyDescent="0.45">
      <c r="A5359" s="1" t="s">
        <v>5286</v>
      </c>
      <c r="B5359" t="s">
        <v>7100</v>
      </c>
      <c r="C5359" t="s">
        <v>7588</v>
      </c>
      <c r="D5359" t="s">
        <v>8233</v>
      </c>
      <c r="E5359" t="s">
        <v>9994</v>
      </c>
      <c r="F5359" t="s">
        <v>10305</v>
      </c>
      <c r="G5359">
        <v>45</v>
      </c>
      <c r="H5359" t="s">
        <v>10310</v>
      </c>
      <c r="I5359" t="s">
        <v>10325</v>
      </c>
      <c r="K5359" t="s">
        <v>10333</v>
      </c>
      <c r="L5359">
        <v>1922</v>
      </c>
      <c r="N5359">
        <v>48.176900000000003</v>
      </c>
      <c r="P5359">
        <v>12.840450000000001</v>
      </c>
      <c r="R5359" t="s">
        <v>11038</v>
      </c>
      <c r="S5359" t="s">
        <v>10310</v>
      </c>
      <c r="W5359" t="s">
        <v>11249</v>
      </c>
    </row>
    <row r="5360" spans="1:23" hidden="1" x14ac:dyDescent="0.45">
      <c r="A5360" s="1" t="s">
        <v>5287</v>
      </c>
      <c r="B5360" t="s">
        <v>7067</v>
      </c>
      <c r="C5360" t="s">
        <v>7589</v>
      </c>
      <c r="D5360" t="s">
        <v>8234</v>
      </c>
      <c r="E5360" t="s">
        <v>9995</v>
      </c>
      <c r="F5360" t="s">
        <v>10305</v>
      </c>
      <c r="G5360">
        <v>145</v>
      </c>
      <c r="H5360" t="s">
        <v>10310</v>
      </c>
      <c r="I5360" t="s">
        <v>10324</v>
      </c>
      <c r="K5360" t="s">
        <v>10333</v>
      </c>
      <c r="L5360">
        <v>1931</v>
      </c>
      <c r="N5360">
        <v>51.167138999999999</v>
      </c>
      <c r="P5360">
        <v>9.0468320000000002</v>
      </c>
      <c r="R5360" t="s">
        <v>11038</v>
      </c>
      <c r="S5360" t="s">
        <v>10310</v>
      </c>
      <c r="W5360" t="s">
        <v>11249</v>
      </c>
    </row>
    <row r="5361" spans="1:23" hidden="1" x14ac:dyDescent="0.45">
      <c r="A5361" s="1" t="s">
        <v>5288</v>
      </c>
      <c r="B5361" t="s">
        <v>7067</v>
      </c>
      <c r="C5361" t="s">
        <v>7589</v>
      </c>
      <c r="D5361" t="s">
        <v>8234</v>
      </c>
      <c r="E5361" t="s">
        <v>9995</v>
      </c>
      <c r="F5361" t="s">
        <v>10305</v>
      </c>
      <c r="G5361">
        <v>480</v>
      </c>
      <c r="H5361" t="s">
        <v>10310</v>
      </c>
      <c r="I5361" t="s">
        <v>10324</v>
      </c>
      <c r="K5361" t="s">
        <v>10333</v>
      </c>
      <c r="L5361">
        <v>1974</v>
      </c>
      <c r="N5361">
        <v>51.167138999999999</v>
      </c>
      <c r="P5361">
        <v>9.0468320000000002</v>
      </c>
      <c r="Q5361" t="s">
        <v>10976</v>
      </c>
      <c r="R5361" t="s">
        <v>11038</v>
      </c>
      <c r="S5361" t="s">
        <v>10310</v>
      </c>
      <c r="W5361" t="s">
        <v>11249</v>
      </c>
    </row>
    <row r="5362" spans="1:23" hidden="1" x14ac:dyDescent="0.45">
      <c r="A5362" s="1" t="s">
        <v>5289</v>
      </c>
      <c r="B5362" t="s">
        <v>7067</v>
      </c>
      <c r="C5362" t="s">
        <v>7590</v>
      </c>
      <c r="D5362" t="s">
        <v>8234</v>
      </c>
      <c r="E5362" t="s">
        <v>9995</v>
      </c>
      <c r="F5362" t="s">
        <v>10305</v>
      </c>
      <c r="G5362">
        <v>20</v>
      </c>
      <c r="H5362" t="s">
        <v>10310</v>
      </c>
      <c r="I5362" t="s">
        <v>10329</v>
      </c>
      <c r="K5362" t="s">
        <v>10333</v>
      </c>
      <c r="L5362">
        <v>1915</v>
      </c>
      <c r="N5362">
        <v>51.167138999999999</v>
      </c>
      <c r="P5362">
        <v>9.0468320000000002</v>
      </c>
      <c r="R5362" t="s">
        <v>11038</v>
      </c>
      <c r="S5362" t="s">
        <v>10310</v>
      </c>
      <c r="W5362" t="s">
        <v>11249</v>
      </c>
    </row>
    <row r="5363" spans="1:23" hidden="1" x14ac:dyDescent="0.45">
      <c r="A5363" s="1" t="s">
        <v>5290</v>
      </c>
      <c r="B5363" t="s">
        <v>7097</v>
      </c>
      <c r="C5363" t="s">
        <v>7591</v>
      </c>
      <c r="D5363" t="s">
        <v>8235</v>
      </c>
      <c r="E5363" t="s">
        <v>9996</v>
      </c>
      <c r="F5363" t="s">
        <v>10305</v>
      </c>
      <c r="G5363">
        <v>72.5</v>
      </c>
      <c r="H5363" t="s">
        <v>10310</v>
      </c>
      <c r="I5363" t="s">
        <v>10325</v>
      </c>
      <c r="K5363" t="s">
        <v>10333</v>
      </c>
      <c r="L5363">
        <v>1942</v>
      </c>
      <c r="N5363">
        <v>48.293512900000003</v>
      </c>
      <c r="P5363">
        <v>13.1585196</v>
      </c>
      <c r="R5363" t="s">
        <v>11038</v>
      </c>
      <c r="S5363" t="s">
        <v>10310</v>
      </c>
      <c r="W5363" t="s">
        <v>11249</v>
      </c>
    </row>
    <row r="5364" spans="1:23" hidden="1" x14ac:dyDescent="0.45">
      <c r="A5364" s="1" t="s">
        <v>5291</v>
      </c>
      <c r="B5364" t="s">
        <v>7038</v>
      </c>
      <c r="D5364" t="s">
        <v>8236</v>
      </c>
      <c r="E5364" t="s">
        <v>9997</v>
      </c>
      <c r="F5364" t="s">
        <v>10305</v>
      </c>
      <c r="G5364">
        <v>138</v>
      </c>
      <c r="H5364" t="s">
        <v>10310</v>
      </c>
      <c r="I5364" t="s">
        <v>10324</v>
      </c>
      <c r="K5364" t="s">
        <v>10333</v>
      </c>
      <c r="L5364">
        <v>1969</v>
      </c>
      <c r="N5364">
        <v>51.22475</v>
      </c>
      <c r="P5364">
        <v>7.9928100000000004</v>
      </c>
      <c r="R5364" t="s">
        <v>11038</v>
      </c>
      <c r="S5364" t="s">
        <v>10310</v>
      </c>
      <c r="W5364" t="s">
        <v>11249</v>
      </c>
    </row>
    <row r="5365" spans="1:23" hidden="1" x14ac:dyDescent="0.45">
      <c r="A5365" s="1" t="s">
        <v>5292</v>
      </c>
      <c r="B5365" t="s">
        <v>7061</v>
      </c>
      <c r="C5365" t="s">
        <v>7592</v>
      </c>
      <c r="D5365" t="s">
        <v>8237</v>
      </c>
      <c r="E5365" t="s">
        <v>9998</v>
      </c>
      <c r="F5365" t="s">
        <v>10305</v>
      </c>
      <c r="G5365">
        <v>22</v>
      </c>
      <c r="H5365" t="s">
        <v>10310</v>
      </c>
      <c r="I5365" t="s">
        <v>10325</v>
      </c>
      <c r="K5365" t="s">
        <v>10333</v>
      </c>
      <c r="L5365">
        <v>1918</v>
      </c>
      <c r="N5365">
        <v>48.673188400000001</v>
      </c>
      <c r="P5365">
        <v>8.3557058410000007</v>
      </c>
      <c r="R5365" t="s">
        <v>11038</v>
      </c>
      <c r="S5365" t="s">
        <v>10310</v>
      </c>
      <c r="W5365" t="s">
        <v>11249</v>
      </c>
    </row>
    <row r="5366" spans="1:23" hidden="1" x14ac:dyDescent="0.45">
      <c r="A5366" s="1" t="s">
        <v>5293</v>
      </c>
      <c r="B5366" t="s">
        <v>7061</v>
      </c>
      <c r="C5366" t="s">
        <v>7592</v>
      </c>
      <c r="D5366" t="s">
        <v>8237</v>
      </c>
      <c r="E5366" t="s">
        <v>9998</v>
      </c>
      <c r="F5366" t="s">
        <v>10305</v>
      </c>
      <c r="G5366">
        <v>43</v>
      </c>
      <c r="H5366" t="s">
        <v>10310</v>
      </c>
      <c r="I5366" t="s">
        <v>10324</v>
      </c>
      <c r="K5366" t="s">
        <v>10333</v>
      </c>
      <c r="L5366">
        <v>1926</v>
      </c>
      <c r="N5366">
        <v>48.669383500000002</v>
      </c>
      <c r="P5366">
        <v>8.3530476169999996</v>
      </c>
      <c r="R5366" t="s">
        <v>11038</v>
      </c>
      <c r="S5366" t="s">
        <v>10310</v>
      </c>
      <c r="W5366" t="s">
        <v>11249</v>
      </c>
    </row>
    <row r="5367" spans="1:23" hidden="1" x14ac:dyDescent="0.45">
      <c r="A5367" s="1" t="s">
        <v>5294</v>
      </c>
      <c r="B5367" t="s">
        <v>7101</v>
      </c>
      <c r="C5367" t="s">
        <v>7593</v>
      </c>
      <c r="D5367" t="s">
        <v>8238</v>
      </c>
      <c r="E5367" t="s">
        <v>9999</v>
      </c>
      <c r="F5367" t="s">
        <v>10305</v>
      </c>
      <c r="G5367">
        <v>25</v>
      </c>
      <c r="H5367" t="s">
        <v>10310</v>
      </c>
      <c r="I5367" t="s">
        <v>10325</v>
      </c>
      <c r="K5367" t="s">
        <v>10333</v>
      </c>
      <c r="L5367">
        <v>1938</v>
      </c>
      <c r="N5367">
        <v>48.153950000000002</v>
      </c>
      <c r="P5367">
        <v>12.311070000000001</v>
      </c>
      <c r="R5367" t="s">
        <v>11038</v>
      </c>
      <c r="S5367" t="s">
        <v>10310</v>
      </c>
      <c r="W5367" t="s">
        <v>11249</v>
      </c>
    </row>
    <row r="5368" spans="1:23" hidden="1" x14ac:dyDescent="0.45">
      <c r="A5368" s="1" t="s">
        <v>5295</v>
      </c>
      <c r="B5368" t="s">
        <v>7102</v>
      </c>
      <c r="C5368" t="s">
        <v>7594</v>
      </c>
      <c r="D5368" t="s">
        <v>8239</v>
      </c>
      <c r="E5368" t="s">
        <v>10000</v>
      </c>
      <c r="F5368" t="s">
        <v>10305</v>
      </c>
      <c r="G5368">
        <v>119.1</v>
      </c>
      <c r="H5368" t="s">
        <v>10310</v>
      </c>
      <c r="I5368" t="s">
        <v>10324</v>
      </c>
      <c r="K5368" t="s">
        <v>10333</v>
      </c>
      <c r="L5368">
        <v>1958</v>
      </c>
      <c r="N5368">
        <v>53.426049999999996</v>
      </c>
      <c r="P5368">
        <v>10.335900000000001</v>
      </c>
      <c r="R5368" t="s">
        <v>11038</v>
      </c>
      <c r="S5368" t="s">
        <v>10310</v>
      </c>
      <c r="W5368" t="s">
        <v>11249</v>
      </c>
    </row>
    <row r="5369" spans="1:23" hidden="1" x14ac:dyDescent="0.45">
      <c r="A5369" s="1" t="s">
        <v>5296</v>
      </c>
      <c r="B5369" t="s">
        <v>7102</v>
      </c>
      <c r="C5369" t="s">
        <v>7594</v>
      </c>
      <c r="D5369" t="s">
        <v>8239</v>
      </c>
      <c r="E5369" t="s">
        <v>10000</v>
      </c>
      <c r="F5369" t="s">
        <v>10305</v>
      </c>
      <c r="H5369" t="s">
        <v>10310</v>
      </c>
      <c r="I5369" t="s">
        <v>10324</v>
      </c>
      <c r="K5369" t="s">
        <v>10333</v>
      </c>
      <c r="L5369">
        <v>1958</v>
      </c>
      <c r="N5369">
        <v>53.426049999999996</v>
      </c>
      <c r="P5369">
        <v>10.335900000000001</v>
      </c>
      <c r="R5369" t="s">
        <v>11038</v>
      </c>
      <c r="S5369" t="s">
        <v>10310</v>
      </c>
      <c r="W5369" t="s">
        <v>11249</v>
      </c>
    </row>
    <row r="5370" spans="1:23" hidden="1" x14ac:dyDescent="0.45">
      <c r="A5370" s="1" t="s">
        <v>5297</v>
      </c>
      <c r="B5370" t="s">
        <v>7102</v>
      </c>
      <c r="C5370" t="s">
        <v>7594</v>
      </c>
      <c r="D5370" t="s">
        <v>8239</v>
      </c>
      <c r="E5370" t="s">
        <v>10000</v>
      </c>
      <c r="F5370" t="s">
        <v>10305</v>
      </c>
      <c r="H5370" t="s">
        <v>10310</v>
      </c>
      <c r="I5370" t="s">
        <v>10324</v>
      </c>
      <c r="K5370" t="s">
        <v>10333</v>
      </c>
      <c r="L5370">
        <v>1958</v>
      </c>
      <c r="N5370">
        <v>53.426049999999996</v>
      </c>
      <c r="P5370">
        <v>10.335900000000001</v>
      </c>
      <c r="R5370" t="s">
        <v>11038</v>
      </c>
      <c r="S5370" t="s">
        <v>10310</v>
      </c>
      <c r="W5370" t="s">
        <v>11249</v>
      </c>
    </row>
    <row r="5371" spans="1:23" hidden="1" x14ac:dyDescent="0.45">
      <c r="A5371" s="1" t="s">
        <v>5298</v>
      </c>
      <c r="B5371" t="s">
        <v>7099</v>
      </c>
      <c r="D5371" t="s">
        <v>8240</v>
      </c>
      <c r="E5371" t="s">
        <v>10001</v>
      </c>
      <c r="F5371" t="s">
        <v>10305</v>
      </c>
      <c r="G5371">
        <v>164</v>
      </c>
      <c r="H5371" t="s">
        <v>10310</v>
      </c>
      <c r="I5371" t="s">
        <v>10324</v>
      </c>
      <c r="K5371" t="s">
        <v>10333</v>
      </c>
      <c r="L5371">
        <v>1974</v>
      </c>
      <c r="N5371">
        <v>50.053130000000003</v>
      </c>
      <c r="P5371">
        <v>9.5813699999999997</v>
      </c>
      <c r="R5371" t="s">
        <v>11038</v>
      </c>
      <c r="S5371" t="s">
        <v>10310</v>
      </c>
      <c r="W5371" t="s">
        <v>11249</v>
      </c>
    </row>
    <row r="5372" spans="1:23" hidden="1" x14ac:dyDescent="0.45">
      <c r="A5372" s="1" t="s">
        <v>5299</v>
      </c>
      <c r="B5372" t="s">
        <v>7102</v>
      </c>
      <c r="C5372" t="s">
        <v>7595</v>
      </c>
      <c r="D5372" t="s">
        <v>8241</v>
      </c>
      <c r="E5372" t="s">
        <v>10002</v>
      </c>
      <c r="F5372" t="s">
        <v>10305</v>
      </c>
      <c r="G5372">
        <v>1052</v>
      </c>
      <c r="H5372" t="s">
        <v>10310</v>
      </c>
      <c r="I5372" t="s">
        <v>10324</v>
      </c>
      <c r="K5372" t="s">
        <v>10333</v>
      </c>
      <c r="L5372">
        <v>2004</v>
      </c>
      <c r="N5372">
        <v>50.509758640000001</v>
      </c>
      <c r="P5372">
        <v>11.02087498</v>
      </c>
      <c r="Q5372" t="s">
        <v>10977</v>
      </c>
      <c r="R5372" t="s">
        <v>11038</v>
      </c>
      <c r="S5372" t="s">
        <v>10310</v>
      </c>
      <c r="W5372" t="s">
        <v>11249</v>
      </c>
    </row>
    <row r="5373" spans="1:23" hidden="1" x14ac:dyDescent="0.45">
      <c r="A5373" s="1" t="s">
        <v>5300</v>
      </c>
      <c r="B5373" t="s">
        <v>7102</v>
      </c>
      <c r="C5373" t="s">
        <v>7595</v>
      </c>
      <c r="D5373" t="s">
        <v>8241</v>
      </c>
      <c r="E5373" t="s">
        <v>10002</v>
      </c>
      <c r="F5373" t="s">
        <v>10305</v>
      </c>
      <c r="H5373" t="s">
        <v>10310</v>
      </c>
      <c r="I5373" t="s">
        <v>10324</v>
      </c>
      <c r="K5373" t="s">
        <v>10333</v>
      </c>
      <c r="L5373">
        <v>2003</v>
      </c>
      <c r="N5373">
        <v>50.509758640000001</v>
      </c>
      <c r="P5373">
        <v>11.02087498</v>
      </c>
      <c r="Q5373" t="s">
        <v>10977</v>
      </c>
      <c r="R5373" t="s">
        <v>11038</v>
      </c>
      <c r="S5373" t="s">
        <v>10310</v>
      </c>
      <c r="W5373" t="s">
        <v>11249</v>
      </c>
    </row>
    <row r="5374" spans="1:23" hidden="1" x14ac:dyDescent="0.45">
      <c r="A5374" s="1" t="s">
        <v>5301</v>
      </c>
      <c r="B5374" t="s">
        <v>7102</v>
      </c>
      <c r="C5374" t="s">
        <v>7595</v>
      </c>
      <c r="D5374" t="s">
        <v>8241</v>
      </c>
      <c r="E5374" t="s">
        <v>10002</v>
      </c>
      <c r="F5374" t="s">
        <v>10305</v>
      </c>
      <c r="H5374" t="s">
        <v>10310</v>
      </c>
      <c r="I5374" t="s">
        <v>10324</v>
      </c>
      <c r="K5374" t="s">
        <v>10333</v>
      </c>
      <c r="L5374">
        <v>2003</v>
      </c>
      <c r="N5374">
        <v>50.509758640000001</v>
      </c>
      <c r="P5374">
        <v>11.02087498</v>
      </c>
      <c r="Q5374" t="s">
        <v>10977</v>
      </c>
      <c r="R5374" t="s">
        <v>11038</v>
      </c>
      <c r="S5374" t="s">
        <v>10310</v>
      </c>
      <c r="W5374" t="s">
        <v>11249</v>
      </c>
    </row>
    <row r="5375" spans="1:23" hidden="1" x14ac:dyDescent="0.45">
      <c r="A5375" s="1" t="s">
        <v>5302</v>
      </c>
      <c r="B5375" t="s">
        <v>7102</v>
      </c>
      <c r="C5375" t="s">
        <v>7595</v>
      </c>
      <c r="D5375" t="s">
        <v>8241</v>
      </c>
      <c r="E5375" t="s">
        <v>10002</v>
      </c>
      <c r="F5375" t="s">
        <v>10305</v>
      </c>
      <c r="H5375" t="s">
        <v>10310</v>
      </c>
      <c r="I5375" t="s">
        <v>10324</v>
      </c>
      <c r="K5375" t="s">
        <v>10333</v>
      </c>
      <c r="L5375">
        <v>2004</v>
      </c>
      <c r="N5375">
        <v>50.509758640000001</v>
      </c>
      <c r="P5375">
        <v>11.02087498</v>
      </c>
      <c r="Q5375" t="s">
        <v>10977</v>
      </c>
      <c r="R5375" t="s">
        <v>11038</v>
      </c>
      <c r="S5375" t="s">
        <v>10310</v>
      </c>
      <c r="W5375" t="s">
        <v>11249</v>
      </c>
    </row>
    <row r="5376" spans="1:23" hidden="1" x14ac:dyDescent="0.45">
      <c r="A5376" s="1" t="s">
        <v>5303</v>
      </c>
      <c r="B5376" t="s">
        <v>7103</v>
      </c>
      <c r="D5376" t="s">
        <v>8242</v>
      </c>
      <c r="E5376" t="s">
        <v>8714</v>
      </c>
      <c r="F5376" t="s">
        <v>10305</v>
      </c>
      <c r="G5376">
        <v>37.9</v>
      </c>
      <c r="H5376" t="s">
        <v>10310</v>
      </c>
      <c r="I5376" t="s">
        <v>10325</v>
      </c>
      <c r="K5376" t="s">
        <v>10333</v>
      </c>
      <c r="L5376">
        <v>1912</v>
      </c>
      <c r="N5376">
        <v>47.552355400000003</v>
      </c>
      <c r="P5376">
        <v>7.6580880999999996</v>
      </c>
      <c r="R5376" t="s">
        <v>11038</v>
      </c>
      <c r="S5376" t="s">
        <v>10310</v>
      </c>
      <c r="W5376" t="s">
        <v>11249</v>
      </c>
    </row>
    <row r="5377" spans="1:23" hidden="1" x14ac:dyDescent="0.45">
      <c r="A5377" s="1" t="s">
        <v>5304</v>
      </c>
      <c r="B5377" t="s">
        <v>7097</v>
      </c>
      <c r="C5377" t="s">
        <v>7596</v>
      </c>
      <c r="D5377" t="s">
        <v>8243</v>
      </c>
      <c r="E5377" t="s">
        <v>10003</v>
      </c>
      <c r="F5377" t="s">
        <v>10305</v>
      </c>
      <c r="G5377">
        <v>66</v>
      </c>
      <c r="H5377" t="s">
        <v>10310</v>
      </c>
      <c r="I5377" t="s">
        <v>10325</v>
      </c>
      <c r="K5377" t="s">
        <v>10333</v>
      </c>
      <c r="L5377">
        <v>1955</v>
      </c>
      <c r="N5377">
        <v>48.519563599999998</v>
      </c>
      <c r="P5377">
        <v>13.708505199999999</v>
      </c>
      <c r="R5377" t="s">
        <v>11038</v>
      </c>
      <c r="S5377" t="s">
        <v>10310</v>
      </c>
      <c r="W5377" t="s">
        <v>11249</v>
      </c>
    </row>
    <row r="5378" spans="1:23" hidden="1" x14ac:dyDescent="0.45">
      <c r="A5378" s="1" t="s">
        <v>5305</v>
      </c>
      <c r="B5378" t="s">
        <v>7067</v>
      </c>
      <c r="C5378" t="s">
        <v>7597</v>
      </c>
      <c r="D5378" t="s">
        <v>8244</v>
      </c>
      <c r="E5378" t="s">
        <v>10004</v>
      </c>
      <c r="F5378" t="s">
        <v>10305</v>
      </c>
      <c r="G5378">
        <v>160</v>
      </c>
      <c r="H5378" t="s">
        <v>10310</v>
      </c>
      <c r="I5378" t="s">
        <v>10324</v>
      </c>
      <c r="K5378" t="s">
        <v>10333</v>
      </c>
      <c r="L5378">
        <v>1958</v>
      </c>
      <c r="N5378">
        <v>49.487119999999997</v>
      </c>
      <c r="P5378">
        <v>11.47479</v>
      </c>
      <c r="R5378" t="s">
        <v>11038</v>
      </c>
      <c r="S5378" t="s">
        <v>10310</v>
      </c>
      <c r="W5378" t="s">
        <v>11249</v>
      </c>
    </row>
    <row r="5379" spans="1:23" hidden="1" x14ac:dyDescent="0.45">
      <c r="A5379" s="1" t="s">
        <v>5306</v>
      </c>
      <c r="B5379" t="s">
        <v>7098</v>
      </c>
      <c r="C5379" t="s">
        <v>7598</v>
      </c>
      <c r="D5379" t="s">
        <v>8245</v>
      </c>
      <c r="E5379" t="s">
        <v>10005</v>
      </c>
      <c r="F5379" t="s">
        <v>10305</v>
      </c>
      <c r="G5379">
        <v>100</v>
      </c>
      <c r="H5379" t="s">
        <v>10310</v>
      </c>
      <c r="I5379" t="s">
        <v>10324</v>
      </c>
      <c r="K5379" t="s">
        <v>10333</v>
      </c>
      <c r="L5379">
        <v>1931</v>
      </c>
      <c r="N5379">
        <v>47.75459</v>
      </c>
      <c r="P5379">
        <v>8.1878700000000002</v>
      </c>
      <c r="R5379" t="s">
        <v>11038</v>
      </c>
      <c r="S5379" t="s">
        <v>10310</v>
      </c>
      <c r="W5379" t="s">
        <v>11249</v>
      </c>
    </row>
    <row r="5380" spans="1:23" hidden="1" x14ac:dyDescent="0.45">
      <c r="A5380" s="1" t="s">
        <v>5307</v>
      </c>
      <c r="B5380" t="s">
        <v>7104</v>
      </c>
      <c r="D5380" t="s">
        <v>8246</v>
      </c>
      <c r="E5380" t="s">
        <v>10006</v>
      </c>
      <c r="F5380" t="s">
        <v>10305</v>
      </c>
      <c r="G5380">
        <v>165</v>
      </c>
      <c r="H5380" t="s">
        <v>10310</v>
      </c>
      <c r="I5380" t="s">
        <v>10324</v>
      </c>
      <c r="K5380" t="s">
        <v>10333</v>
      </c>
      <c r="L5380">
        <v>1989</v>
      </c>
      <c r="N5380">
        <v>51.41048</v>
      </c>
      <c r="P5380">
        <v>7.4531399999999994</v>
      </c>
      <c r="Q5380" t="s">
        <v>10978</v>
      </c>
      <c r="R5380" t="s">
        <v>11038</v>
      </c>
      <c r="S5380" t="s">
        <v>10310</v>
      </c>
      <c r="W5380" t="s">
        <v>11249</v>
      </c>
    </row>
    <row r="5381" spans="1:23" hidden="1" x14ac:dyDescent="0.45">
      <c r="A5381" s="1" t="s">
        <v>5308</v>
      </c>
      <c r="B5381" t="s">
        <v>7102</v>
      </c>
      <c r="C5381" t="s">
        <v>7599</v>
      </c>
      <c r="D5381" t="s">
        <v>8247</v>
      </c>
      <c r="E5381" t="s">
        <v>10007</v>
      </c>
      <c r="F5381" t="s">
        <v>10305</v>
      </c>
      <c r="G5381">
        <v>59.8</v>
      </c>
      <c r="H5381" t="s">
        <v>10310</v>
      </c>
      <c r="I5381" t="s">
        <v>10324</v>
      </c>
      <c r="K5381" t="s">
        <v>10333</v>
      </c>
      <c r="L5381">
        <v>1959</v>
      </c>
      <c r="N5381">
        <v>50.614334229999997</v>
      </c>
      <c r="P5381">
        <v>11.49212837</v>
      </c>
      <c r="R5381" t="s">
        <v>11038</v>
      </c>
      <c r="S5381" t="s">
        <v>10310</v>
      </c>
      <c r="W5381" t="s">
        <v>11249</v>
      </c>
    </row>
    <row r="5382" spans="1:23" hidden="1" x14ac:dyDescent="0.45">
      <c r="A5382" s="1" t="s">
        <v>5309</v>
      </c>
      <c r="B5382" t="s">
        <v>7102</v>
      </c>
      <c r="C5382" t="s">
        <v>7599</v>
      </c>
      <c r="D5382" t="s">
        <v>8247</v>
      </c>
      <c r="E5382" t="s">
        <v>10007</v>
      </c>
      <c r="F5382" t="s">
        <v>10305</v>
      </c>
      <c r="H5382" t="s">
        <v>10310</v>
      </c>
      <c r="I5382" t="s">
        <v>10324</v>
      </c>
      <c r="K5382" t="s">
        <v>10333</v>
      </c>
      <c r="L5382">
        <v>1959</v>
      </c>
      <c r="N5382">
        <v>50.614334229999997</v>
      </c>
      <c r="P5382">
        <v>11.49212837</v>
      </c>
      <c r="R5382" t="s">
        <v>11038</v>
      </c>
      <c r="S5382" t="s">
        <v>10310</v>
      </c>
      <c r="W5382" t="s">
        <v>11249</v>
      </c>
    </row>
    <row r="5383" spans="1:23" hidden="1" x14ac:dyDescent="0.45">
      <c r="A5383" s="1" t="s">
        <v>5310</v>
      </c>
      <c r="B5383" t="s">
        <v>7102</v>
      </c>
      <c r="C5383" t="s">
        <v>7599</v>
      </c>
      <c r="D5383" t="s">
        <v>8247</v>
      </c>
      <c r="E5383" t="s">
        <v>10007</v>
      </c>
      <c r="F5383" t="s">
        <v>10305</v>
      </c>
      <c r="G5383">
        <v>317.8</v>
      </c>
      <c r="H5383" t="s">
        <v>10310</v>
      </c>
      <c r="I5383" t="s">
        <v>10324</v>
      </c>
      <c r="K5383" t="s">
        <v>10333</v>
      </c>
      <c r="L5383">
        <v>1965</v>
      </c>
      <c r="N5383">
        <v>50.603848980000002</v>
      </c>
      <c r="P5383">
        <v>11.475176810000001</v>
      </c>
      <c r="R5383" t="s">
        <v>11038</v>
      </c>
      <c r="S5383" t="s">
        <v>10310</v>
      </c>
      <c r="W5383" t="s">
        <v>11249</v>
      </c>
    </row>
    <row r="5384" spans="1:23" hidden="1" x14ac:dyDescent="0.45">
      <c r="A5384" s="1" t="s">
        <v>5311</v>
      </c>
      <c r="B5384" t="s">
        <v>7102</v>
      </c>
      <c r="C5384" t="s">
        <v>7599</v>
      </c>
      <c r="D5384" t="s">
        <v>8247</v>
      </c>
      <c r="E5384" t="s">
        <v>10007</v>
      </c>
      <c r="F5384" t="s">
        <v>10305</v>
      </c>
      <c r="H5384" t="s">
        <v>10310</v>
      </c>
      <c r="I5384" t="s">
        <v>10324</v>
      </c>
      <c r="K5384" t="s">
        <v>10333</v>
      </c>
      <c r="L5384">
        <v>1965</v>
      </c>
      <c r="N5384">
        <v>50.603848980000002</v>
      </c>
      <c r="P5384">
        <v>11.475176810000001</v>
      </c>
      <c r="R5384" t="s">
        <v>11038</v>
      </c>
      <c r="S5384" t="s">
        <v>10310</v>
      </c>
      <c r="W5384" t="s">
        <v>11249</v>
      </c>
    </row>
    <row r="5385" spans="1:23" hidden="1" x14ac:dyDescent="0.45">
      <c r="A5385" s="1" t="s">
        <v>5312</v>
      </c>
      <c r="B5385" t="s">
        <v>7102</v>
      </c>
      <c r="C5385" t="s">
        <v>7599</v>
      </c>
      <c r="D5385" t="s">
        <v>8247</v>
      </c>
      <c r="E5385" t="s">
        <v>10007</v>
      </c>
      <c r="F5385" t="s">
        <v>10305</v>
      </c>
      <c r="H5385" t="s">
        <v>10310</v>
      </c>
      <c r="I5385" t="s">
        <v>10324</v>
      </c>
      <c r="K5385" t="s">
        <v>10333</v>
      </c>
      <c r="L5385">
        <v>1965</v>
      </c>
      <c r="N5385">
        <v>50.603848980000002</v>
      </c>
      <c r="P5385">
        <v>11.475176810000001</v>
      </c>
      <c r="R5385" t="s">
        <v>11038</v>
      </c>
      <c r="S5385" t="s">
        <v>10310</v>
      </c>
      <c r="W5385" t="s">
        <v>11249</v>
      </c>
    </row>
    <row r="5386" spans="1:23" hidden="1" x14ac:dyDescent="0.45">
      <c r="A5386" s="1" t="s">
        <v>5313</v>
      </c>
      <c r="B5386" t="s">
        <v>7102</v>
      </c>
      <c r="C5386" t="s">
        <v>7599</v>
      </c>
      <c r="D5386" t="s">
        <v>8247</v>
      </c>
      <c r="E5386" t="s">
        <v>10007</v>
      </c>
      <c r="F5386" t="s">
        <v>10305</v>
      </c>
      <c r="H5386" t="s">
        <v>10310</v>
      </c>
      <c r="I5386" t="s">
        <v>10324</v>
      </c>
      <c r="K5386" t="s">
        <v>10333</v>
      </c>
      <c r="L5386">
        <v>1966</v>
      </c>
      <c r="N5386">
        <v>50.603848980000002</v>
      </c>
      <c r="P5386">
        <v>11.475176810000001</v>
      </c>
      <c r="R5386" t="s">
        <v>11038</v>
      </c>
      <c r="S5386" t="s">
        <v>10310</v>
      </c>
      <c r="W5386" t="s">
        <v>11249</v>
      </c>
    </row>
    <row r="5387" spans="1:23" hidden="1" x14ac:dyDescent="0.45">
      <c r="A5387" s="1" t="s">
        <v>5314</v>
      </c>
      <c r="B5387" t="s">
        <v>7102</v>
      </c>
      <c r="C5387" t="s">
        <v>7599</v>
      </c>
      <c r="D5387" t="s">
        <v>8247</v>
      </c>
      <c r="E5387" t="s">
        <v>10007</v>
      </c>
      <c r="F5387" t="s">
        <v>10305</v>
      </c>
      <c r="H5387" t="s">
        <v>10310</v>
      </c>
      <c r="I5387" t="s">
        <v>10324</v>
      </c>
      <c r="K5387" t="s">
        <v>10333</v>
      </c>
      <c r="L5387">
        <v>1965</v>
      </c>
      <c r="N5387">
        <v>50.603848980000002</v>
      </c>
      <c r="P5387">
        <v>11.475176810000001</v>
      </c>
      <c r="R5387" t="s">
        <v>11038</v>
      </c>
      <c r="S5387" t="s">
        <v>10310</v>
      </c>
      <c r="W5387" t="s">
        <v>11249</v>
      </c>
    </row>
    <row r="5388" spans="1:23" hidden="1" x14ac:dyDescent="0.45">
      <c r="A5388" s="1" t="s">
        <v>5315</v>
      </c>
      <c r="B5388" t="s">
        <v>7102</v>
      </c>
      <c r="C5388" t="s">
        <v>7599</v>
      </c>
      <c r="D5388" t="s">
        <v>8247</v>
      </c>
      <c r="E5388" t="s">
        <v>10007</v>
      </c>
      <c r="F5388" t="s">
        <v>10305</v>
      </c>
      <c r="H5388" t="s">
        <v>10310</v>
      </c>
      <c r="I5388" t="s">
        <v>10324</v>
      </c>
      <c r="K5388" t="s">
        <v>10333</v>
      </c>
      <c r="L5388">
        <v>1966</v>
      </c>
      <c r="N5388">
        <v>50.603848980000002</v>
      </c>
      <c r="P5388">
        <v>11.475176810000001</v>
      </c>
      <c r="R5388" t="s">
        <v>11038</v>
      </c>
      <c r="S5388" t="s">
        <v>10310</v>
      </c>
      <c r="W5388" t="s">
        <v>11249</v>
      </c>
    </row>
    <row r="5389" spans="1:23" hidden="1" x14ac:dyDescent="0.45">
      <c r="A5389" s="1" t="s">
        <v>5316</v>
      </c>
      <c r="B5389" t="s">
        <v>7102</v>
      </c>
      <c r="C5389" t="s">
        <v>7599</v>
      </c>
      <c r="D5389" t="s">
        <v>8247</v>
      </c>
      <c r="E5389" t="s">
        <v>10007</v>
      </c>
      <c r="F5389" t="s">
        <v>10305</v>
      </c>
      <c r="H5389" t="s">
        <v>10310</v>
      </c>
      <c r="I5389" t="s">
        <v>10324</v>
      </c>
      <c r="K5389" t="s">
        <v>10333</v>
      </c>
      <c r="L5389">
        <v>1966</v>
      </c>
      <c r="N5389">
        <v>50.603848980000002</v>
      </c>
      <c r="P5389">
        <v>11.475176810000001</v>
      </c>
      <c r="R5389" t="s">
        <v>11038</v>
      </c>
      <c r="S5389" t="s">
        <v>10310</v>
      </c>
      <c r="W5389" t="s">
        <v>11249</v>
      </c>
    </row>
    <row r="5390" spans="1:23" hidden="1" x14ac:dyDescent="0.45">
      <c r="A5390" s="1" t="s">
        <v>5317</v>
      </c>
      <c r="B5390" t="s">
        <v>7102</v>
      </c>
      <c r="C5390" t="s">
        <v>7599</v>
      </c>
      <c r="D5390" t="s">
        <v>8247</v>
      </c>
      <c r="E5390" t="s">
        <v>10007</v>
      </c>
      <c r="F5390" t="s">
        <v>10305</v>
      </c>
      <c r="H5390" t="s">
        <v>10310</v>
      </c>
      <c r="I5390" t="s">
        <v>10324</v>
      </c>
      <c r="K5390" t="s">
        <v>10333</v>
      </c>
      <c r="L5390">
        <v>1966</v>
      </c>
      <c r="N5390">
        <v>50.603848980000002</v>
      </c>
      <c r="P5390">
        <v>11.475176810000001</v>
      </c>
      <c r="R5390" t="s">
        <v>11038</v>
      </c>
      <c r="S5390" t="s">
        <v>10310</v>
      </c>
      <c r="W5390" t="s">
        <v>11249</v>
      </c>
    </row>
    <row r="5391" spans="1:23" hidden="1" x14ac:dyDescent="0.45">
      <c r="A5391" s="1" t="s">
        <v>5318</v>
      </c>
      <c r="B5391" t="s">
        <v>7105</v>
      </c>
      <c r="C5391" t="s">
        <v>7600</v>
      </c>
      <c r="D5391" t="s">
        <v>8248</v>
      </c>
      <c r="E5391" t="s">
        <v>10008</v>
      </c>
      <c r="F5391" t="s">
        <v>10305</v>
      </c>
      <c r="G5391">
        <v>148</v>
      </c>
      <c r="H5391" t="s">
        <v>10310</v>
      </c>
      <c r="I5391" t="s">
        <v>10325</v>
      </c>
      <c r="K5391" t="s">
        <v>10333</v>
      </c>
      <c r="L5391">
        <v>1978</v>
      </c>
      <c r="N5391">
        <v>48.83135</v>
      </c>
      <c r="P5391">
        <v>8.1121600000000011</v>
      </c>
      <c r="Q5391" t="s">
        <v>10979</v>
      </c>
      <c r="R5391" t="s">
        <v>11038</v>
      </c>
      <c r="S5391" t="s">
        <v>10310</v>
      </c>
      <c r="W5391" t="s">
        <v>11249</v>
      </c>
    </row>
    <row r="5392" spans="1:23" hidden="1" x14ac:dyDescent="0.45">
      <c r="A5392" s="1" t="s">
        <v>5319</v>
      </c>
      <c r="B5392" t="s">
        <v>7096</v>
      </c>
      <c r="D5392" t="s">
        <v>8249</v>
      </c>
      <c r="E5392" t="s">
        <v>10009</v>
      </c>
      <c r="F5392" t="s">
        <v>10303</v>
      </c>
      <c r="G5392">
        <v>89</v>
      </c>
      <c r="H5392" t="s">
        <v>10310</v>
      </c>
      <c r="I5392" t="s">
        <v>10325</v>
      </c>
      <c r="K5392" t="s">
        <v>10333</v>
      </c>
      <c r="L5392">
        <v>1956</v>
      </c>
      <c r="N5392">
        <v>47.212246</v>
      </c>
      <c r="P5392">
        <v>10.721519000000001</v>
      </c>
      <c r="R5392" t="s">
        <v>11038</v>
      </c>
      <c r="S5392" t="s">
        <v>10310</v>
      </c>
      <c r="W5392" t="s">
        <v>11249</v>
      </c>
    </row>
    <row r="5393" spans="1:23" hidden="1" x14ac:dyDescent="0.45">
      <c r="A5393" s="1" t="s">
        <v>5320</v>
      </c>
      <c r="B5393" t="s">
        <v>7096</v>
      </c>
      <c r="D5393" t="s">
        <v>8250</v>
      </c>
      <c r="E5393" t="s">
        <v>10010</v>
      </c>
      <c r="F5393" t="s">
        <v>10303</v>
      </c>
      <c r="G5393">
        <v>79</v>
      </c>
      <c r="H5393" t="s">
        <v>10310</v>
      </c>
      <c r="I5393" t="s">
        <v>10329</v>
      </c>
      <c r="K5393" t="s">
        <v>10333</v>
      </c>
      <c r="L5393">
        <v>1927</v>
      </c>
      <c r="N5393">
        <v>47.393248999999997</v>
      </c>
      <c r="P5393">
        <v>11.788646999999999</v>
      </c>
      <c r="R5393" t="s">
        <v>11038</v>
      </c>
      <c r="S5393" t="s">
        <v>10310</v>
      </c>
      <c r="W5393" t="s">
        <v>11249</v>
      </c>
    </row>
    <row r="5394" spans="1:23" hidden="1" x14ac:dyDescent="0.45">
      <c r="A5394" s="1" t="s">
        <v>5321</v>
      </c>
      <c r="B5394" t="s">
        <v>7097</v>
      </c>
      <c r="C5394" t="s">
        <v>7601</v>
      </c>
      <c r="D5394" t="s">
        <v>8251</v>
      </c>
      <c r="E5394" t="s">
        <v>10011</v>
      </c>
      <c r="F5394" t="s">
        <v>10305</v>
      </c>
      <c r="G5394">
        <v>100</v>
      </c>
      <c r="H5394" t="s">
        <v>10310</v>
      </c>
      <c r="I5394" t="s">
        <v>10325</v>
      </c>
      <c r="K5394" t="s">
        <v>10333</v>
      </c>
      <c r="L5394">
        <v>1953</v>
      </c>
      <c r="N5394">
        <v>48.063827000000003</v>
      </c>
      <c r="P5394">
        <v>10.128443000000001</v>
      </c>
      <c r="R5394" t="s">
        <v>11038</v>
      </c>
      <c r="S5394" t="s">
        <v>10310</v>
      </c>
      <c r="W5394" t="s">
        <v>11249</v>
      </c>
    </row>
    <row r="5395" spans="1:23" hidden="1" x14ac:dyDescent="0.45">
      <c r="A5395" s="1" t="s">
        <v>5322</v>
      </c>
      <c r="B5395" t="s">
        <v>7067</v>
      </c>
      <c r="C5395" t="s">
        <v>7602</v>
      </c>
      <c r="D5395" t="s">
        <v>8252</v>
      </c>
      <c r="E5395" t="s">
        <v>10012</v>
      </c>
      <c r="F5395" t="s">
        <v>10305</v>
      </c>
      <c r="G5395">
        <v>124</v>
      </c>
      <c r="H5395" t="s">
        <v>10310</v>
      </c>
      <c r="I5395" t="s">
        <v>10326</v>
      </c>
      <c r="K5395" t="s">
        <v>10333</v>
      </c>
      <c r="L5395">
        <v>1924</v>
      </c>
      <c r="N5395">
        <v>47.631354000000002</v>
      </c>
      <c r="P5395">
        <v>11.337054</v>
      </c>
      <c r="R5395" t="s">
        <v>11038</v>
      </c>
      <c r="S5395" t="s">
        <v>10310</v>
      </c>
      <c r="W5395" t="s">
        <v>11249</v>
      </c>
    </row>
    <row r="5396" spans="1:23" hidden="1" x14ac:dyDescent="0.45">
      <c r="A5396" s="1" t="s">
        <v>5323</v>
      </c>
      <c r="B5396" t="s">
        <v>7034</v>
      </c>
      <c r="D5396" t="s">
        <v>8253</v>
      </c>
      <c r="E5396" t="s">
        <v>10013</v>
      </c>
      <c r="F5396" t="s">
        <v>10305</v>
      </c>
      <c r="G5396">
        <v>220</v>
      </c>
      <c r="H5396" t="s">
        <v>10310</v>
      </c>
      <c r="I5396" t="s">
        <v>10324</v>
      </c>
      <c r="K5396" t="s">
        <v>10333</v>
      </c>
      <c r="L5396">
        <v>1964</v>
      </c>
      <c r="N5396">
        <v>51.899120000000003</v>
      </c>
      <c r="P5396">
        <v>9.9245199999999993</v>
      </c>
      <c r="R5396" t="s">
        <v>11038</v>
      </c>
      <c r="S5396" t="s">
        <v>10310</v>
      </c>
      <c r="W5396" t="s">
        <v>11249</v>
      </c>
    </row>
    <row r="5397" spans="1:23" hidden="1" x14ac:dyDescent="0.45">
      <c r="A5397" s="1" t="s">
        <v>5324</v>
      </c>
      <c r="B5397" t="s">
        <v>7096</v>
      </c>
      <c r="D5397" t="s">
        <v>8254</v>
      </c>
      <c r="E5397" t="s">
        <v>10014</v>
      </c>
      <c r="F5397" t="s">
        <v>10303</v>
      </c>
      <c r="G5397">
        <v>144.5</v>
      </c>
      <c r="H5397" t="s">
        <v>10310</v>
      </c>
      <c r="I5397" t="s">
        <v>10324</v>
      </c>
      <c r="K5397" t="s">
        <v>10333</v>
      </c>
      <c r="L5397">
        <v>1981</v>
      </c>
      <c r="N5397">
        <v>47.207783999999997</v>
      </c>
      <c r="P5397">
        <v>11.005735</v>
      </c>
      <c r="Q5397" t="s">
        <v>10980</v>
      </c>
      <c r="R5397" t="s">
        <v>11038</v>
      </c>
      <c r="S5397" t="s">
        <v>10310</v>
      </c>
      <c r="W5397" t="s">
        <v>11249</v>
      </c>
    </row>
    <row r="5398" spans="1:23" hidden="1" x14ac:dyDescent="0.45">
      <c r="A5398" s="1" t="s">
        <v>5325</v>
      </c>
      <c r="B5398" t="s">
        <v>7096</v>
      </c>
      <c r="D5398" t="s">
        <v>8254</v>
      </c>
      <c r="E5398" t="s">
        <v>10014</v>
      </c>
      <c r="F5398" t="s">
        <v>10303</v>
      </c>
      <c r="G5398">
        <v>144.5</v>
      </c>
      <c r="H5398" t="s">
        <v>10310</v>
      </c>
      <c r="I5398" t="s">
        <v>10324</v>
      </c>
      <c r="K5398" t="s">
        <v>10333</v>
      </c>
      <c r="L5398">
        <v>1981</v>
      </c>
      <c r="N5398">
        <v>47.207783999999997</v>
      </c>
      <c r="P5398">
        <v>11.005735</v>
      </c>
      <c r="Q5398" t="s">
        <v>10980</v>
      </c>
      <c r="R5398" t="s">
        <v>11038</v>
      </c>
      <c r="S5398" t="s">
        <v>10310</v>
      </c>
      <c r="W5398" t="s">
        <v>11249</v>
      </c>
    </row>
    <row r="5399" spans="1:23" hidden="1" x14ac:dyDescent="0.45">
      <c r="A5399" s="1" t="s">
        <v>5326</v>
      </c>
      <c r="B5399" t="s">
        <v>7106</v>
      </c>
      <c r="D5399" t="s">
        <v>8255</v>
      </c>
      <c r="E5399" t="s">
        <v>718</v>
      </c>
      <c r="F5399" t="s">
        <v>10294</v>
      </c>
      <c r="G5399">
        <v>104.4</v>
      </c>
      <c r="H5399" t="s">
        <v>10310</v>
      </c>
      <c r="I5399" t="s">
        <v>10325</v>
      </c>
      <c r="K5399" t="s">
        <v>10333</v>
      </c>
      <c r="L5399">
        <v>1914</v>
      </c>
      <c r="N5399">
        <v>47.555936000000003</v>
      </c>
      <c r="P5399">
        <v>8.0494039999999991</v>
      </c>
      <c r="R5399" t="s">
        <v>11038</v>
      </c>
      <c r="S5399" t="s">
        <v>10310</v>
      </c>
      <c r="W5399" t="s">
        <v>11249</v>
      </c>
    </row>
    <row r="5400" spans="1:23" hidden="1" x14ac:dyDescent="0.45">
      <c r="A5400" s="1" t="s">
        <v>5327</v>
      </c>
      <c r="B5400" t="s">
        <v>7102</v>
      </c>
      <c r="C5400" t="s">
        <v>7603</v>
      </c>
      <c r="D5400" t="s">
        <v>8256</v>
      </c>
      <c r="E5400" t="s">
        <v>10015</v>
      </c>
      <c r="F5400" t="s">
        <v>10305</v>
      </c>
      <c r="G5400">
        <v>1045.2</v>
      </c>
      <c r="H5400" t="s">
        <v>10310</v>
      </c>
      <c r="I5400" t="s">
        <v>10324</v>
      </c>
      <c r="K5400" t="s">
        <v>10333</v>
      </c>
      <c r="L5400">
        <v>1979</v>
      </c>
      <c r="N5400">
        <v>50.519379999999998</v>
      </c>
      <c r="P5400">
        <v>12.879759999999999</v>
      </c>
      <c r="Q5400" t="s">
        <v>10981</v>
      </c>
      <c r="R5400" t="s">
        <v>11038</v>
      </c>
      <c r="S5400" t="s">
        <v>10310</v>
      </c>
      <c r="W5400" t="s">
        <v>11249</v>
      </c>
    </row>
    <row r="5401" spans="1:23" hidden="1" x14ac:dyDescent="0.45">
      <c r="A5401" s="1" t="s">
        <v>5328</v>
      </c>
      <c r="B5401" t="s">
        <v>7102</v>
      </c>
      <c r="C5401" t="s">
        <v>7603</v>
      </c>
      <c r="D5401" t="s">
        <v>8256</v>
      </c>
      <c r="E5401" t="s">
        <v>10015</v>
      </c>
      <c r="F5401" t="s">
        <v>10305</v>
      </c>
      <c r="H5401" t="s">
        <v>10310</v>
      </c>
      <c r="I5401" t="s">
        <v>10324</v>
      </c>
      <c r="K5401" t="s">
        <v>10333</v>
      </c>
      <c r="L5401">
        <v>1980</v>
      </c>
      <c r="N5401">
        <v>50.519379999999998</v>
      </c>
      <c r="P5401">
        <v>12.879759999999999</v>
      </c>
      <c r="Q5401" t="s">
        <v>10981</v>
      </c>
      <c r="R5401" t="s">
        <v>11038</v>
      </c>
      <c r="S5401" t="s">
        <v>10310</v>
      </c>
      <c r="W5401" t="s">
        <v>11249</v>
      </c>
    </row>
    <row r="5402" spans="1:23" hidden="1" x14ac:dyDescent="0.45">
      <c r="A5402" s="1" t="s">
        <v>5329</v>
      </c>
      <c r="B5402" t="s">
        <v>7102</v>
      </c>
      <c r="C5402" t="s">
        <v>7603</v>
      </c>
      <c r="D5402" t="s">
        <v>8256</v>
      </c>
      <c r="E5402" t="s">
        <v>10015</v>
      </c>
      <c r="F5402" t="s">
        <v>10305</v>
      </c>
      <c r="H5402" t="s">
        <v>10310</v>
      </c>
      <c r="I5402" t="s">
        <v>10324</v>
      </c>
      <c r="K5402" t="s">
        <v>10333</v>
      </c>
      <c r="L5402">
        <v>1980</v>
      </c>
      <c r="N5402">
        <v>50.519379999999998</v>
      </c>
      <c r="P5402">
        <v>12.879759999999999</v>
      </c>
      <c r="Q5402" t="s">
        <v>10981</v>
      </c>
      <c r="R5402" t="s">
        <v>11038</v>
      </c>
      <c r="S5402" t="s">
        <v>10310</v>
      </c>
      <c r="W5402" t="s">
        <v>11249</v>
      </c>
    </row>
    <row r="5403" spans="1:23" hidden="1" x14ac:dyDescent="0.45">
      <c r="A5403" s="1" t="s">
        <v>5330</v>
      </c>
      <c r="B5403" t="s">
        <v>7102</v>
      </c>
      <c r="C5403" t="s">
        <v>7603</v>
      </c>
      <c r="D5403" t="s">
        <v>8256</v>
      </c>
      <c r="E5403" t="s">
        <v>10015</v>
      </c>
      <c r="F5403" t="s">
        <v>10305</v>
      </c>
      <c r="H5403" t="s">
        <v>10310</v>
      </c>
      <c r="I5403" t="s">
        <v>10324</v>
      </c>
      <c r="K5403" t="s">
        <v>10333</v>
      </c>
      <c r="L5403">
        <v>1981</v>
      </c>
      <c r="N5403">
        <v>50.519379999999998</v>
      </c>
      <c r="P5403">
        <v>12.879759999999999</v>
      </c>
      <c r="Q5403" t="s">
        <v>10981</v>
      </c>
      <c r="R5403" t="s">
        <v>11038</v>
      </c>
      <c r="S5403" t="s">
        <v>10310</v>
      </c>
      <c r="W5403" t="s">
        <v>11249</v>
      </c>
    </row>
    <row r="5404" spans="1:23" hidden="1" x14ac:dyDescent="0.45">
      <c r="A5404" s="1" t="s">
        <v>5331</v>
      </c>
      <c r="B5404" t="s">
        <v>7102</v>
      </c>
      <c r="C5404" t="s">
        <v>7603</v>
      </c>
      <c r="D5404" t="s">
        <v>8256</v>
      </c>
      <c r="E5404" t="s">
        <v>10015</v>
      </c>
      <c r="F5404" t="s">
        <v>10305</v>
      </c>
      <c r="H5404" t="s">
        <v>10310</v>
      </c>
      <c r="I5404" t="s">
        <v>10324</v>
      </c>
      <c r="K5404" t="s">
        <v>10333</v>
      </c>
      <c r="L5404">
        <v>1981</v>
      </c>
      <c r="N5404">
        <v>50.519379999999998</v>
      </c>
      <c r="P5404">
        <v>12.879759999999999</v>
      </c>
      <c r="Q5404" t="s">
        <v>10981</v>
      </c>
      <c r="R5404" t="s">
        <v>11038</v>
      </c>
      <c r="S5404" t="s">
        <v>10310</v>
      </c>
      <c r="W5404" t="s">
        <v>11249</v>
      </c>
    </row>
    <row r="5405" spans="1:23" hidden="1" x14ac:dyDescent="0.45">
      <c r="A5405" s="1" t="s">
        <v>5332</v>
      </c>
      <c r="B5405" t="s">
        <v>7102</v>
      </c>
      <c r="C5405" t="s">
        <v>7603</v>
      </c>
      <c r="D5405" t="s">
        <v>8256</v>
      </c>
      <c r="E5405" t="s">
        <v>10015</v>
      </c>
      <c r="F5405" t="s">
        <v>10305</v>
      </c>
      <c r="H5405" t="s">
        <v>10310</v>
      </c>
      <c r="I5405" t="s">
        <v>10324</v>
      </c>
      <c r="K5405" t="s">
        <v>10333</v>
      </c>
      <c r="L5405">
        <v>1980</v>
      </c>
      <c r="N5405">
        <v>50.519379999999998</v>
      </c>
      <c r="P5405">
        <v>12.879759999999999</v>
      </c>
      <c r="Q5405" t="s">
        <v>10981</v>
      </c>
      <c r="R5405" t="s">
        <v>11038</v>
      </c>
      <c r="S5405" t="s">
        <v>10310</v>
      </c>
      <c r="W5405" t="s">
        <v>11249</v>
      </c>
    </row>
    <row r="5406" spans="1:23" hidden="1" x14ac:dyDescent="0.45">
      <c r="A5406" s="1" t="s">
        <v>5333</v>
      </c>
      <c r="B5406" t="s">
        <v>7061</v>
      </c>
      <c r="C5406" t="s">
        <v>7604</v>
      </c>
      <c r="D5406" t="s">
        <v>8257</v>
      </c>
      <c r="E5406" t="s">
        <v>10016</v>
      </c>
      <c r="F5406" t="s">
        <v>10305</v>
      </c>
      <c r="G5406">
        <v>90</v>
      </c>
      <c r="H5406" t="s">
        <v>10310</v>
      </c>
      <c r="I5406" t="s">
        <v>10324</v>
      </c>
      <c r="K5406" t="s">
        <v>10333</v>
      </c>
      <c r="L5406">
        <v>1964</v>
      </c>
      <c r="N5406">
        <v>48.504989999999999</v>
      </c>
      <c r="P5406">
        <v>9.2869200000000003</v>
      </c>
      <c r="R5406" t="s">
        <v>11038</v>
      </c>
      <c r="S5406" t="s">
        <v>10310</v>
      </c>
      <c r="W5406" t="s">
        <v>11249</v>
      </c>
    </row>
    <row r="5407" spans="1:23" hidden="1" x14ac:dyDescent="0.45">
      <c r="A5407" s="1" t="s">
        <v>5334</v>
      </c>
      <c r="B5407" t="s">
        <v>7099</v>
      </c>
      <c r="D5407" t="s">
        <v>8258</v>
      </c>
      <c r="E5407" t="s">
        <v>10017</v>
      </c>
      <c r="F5407" t="s">
        <v>10305</v>
      </c>
      <c r="G5407">
        <v>20.2</v>
      </c>
      <c r="H5407" t="s">
        <v>10310</v>
      </c>
      <c r="I5407" t="s">
        <v>10325</v>
      </c>
      <c r="K5407" t="s">
        <v>10333</v>
      </c>
      <c r="L5407">
        <v>1969</v>
      </c>
      <c r="N5407">
        <v>48.734459000000001</v>
      </c>
      <c r="P5407">
        <v>11.14382</v>
      </c>
      <c r="R5407" t="s">
        <v>11038</v>
      </c>
      <c r="S5407" t="s">
        <v>10310</v>
      </c>
      <c r="W5407" t="s">
        <v>11249</v>
      </c>
    </row>
    <row r="5408" spans="1:23" hidden="1" x14ac:dyDescent="0.45">
      <c r="A5408" s="1" t="s">
        <v>5335</v>
      </c>
      <c r="B5408" t="s">
        <v>7101</v>
      </c>
      <c r="C5408" t="s">
        <v>7605</v>
      </c>
      <c r="D5408" t="s">
        <v>8259</v>
      </c>
      <c r="E5408" t="s">
        <v>10018</v>
      </c>
      <c r="F5408" t="s">
        <v>10305</v>
      </c>
      <c r="G5408">
        <v>26.1</v>
      </c>
      <c r="H5408" t="s">
        <v>10310</v>
      </c>
      <c r="I5408" t="s">
        <v>10325</v>
      </c>
      <c r="K5408" t="s">
        <v>10333</v>
      </c>
      <c r="L5408">
        <v>1951</v>
      </c>
      <c r="N5408">
        <v>48.248559999999998</v>
      </c>
      <c r="P5408">
        <v>12.6882725</v>
      </c>
      <c r="R5408" t="s">
        <v>11038</v>
      </c>
      <c r="S5408" t="s">
        <v>10310</v>
      </c>
      <c r="W5408" t="s">
        <v>11249</v>
      </c>
    </row>
    <row r="5409" spans="1:23" hidden="1" x14ac:dyDescent="0.45">
      <c r="A5409" s="1" t="s">
        <v>5336</v>
      </c>
      <c r="B5409" t="s">
        <v>7029</v>
      </c>
      <c r="D5409" t="s">
        <v>8260</v>
      </c>
      <c r="E5409" t="s">
        <v>10019</v>
      </c>
      <c r="F5409" t="s">
        <v>10305</v>
      </c>
      <c r="G5409">
        <v>20</v>
      </c>
      <c r="H5409" t="s">
        <v>10310</v>
      </c>
      <c r="I5409" t="s">
        <v>10325</v>
      </c>
      <c r="K5409" t="s">
        <v>10333</v>
      </c>
      <c r="L5409">
        <v>1962</v>
      </c>
      <c r="N5409">
        <v>50.274723999999999</v>
      </c>
      <c r="P5409">
        <v>7.4589570000000016</v>
      </c>
      <c r="R5409" t="s">
        <v>11038</v>
      </c>
      <c r="S5409" t="s">
        <v>10310</v>
      </c>
      <c r="W5409" t="s">
        <v>11249</v>
      </c>
    </row>
    <row r="5410" spans="1:23" hidden="1" x14ac:dyDescent="0.45">
      <c r="A5410" s="1" t="s">
        <v>5337</v>
      </c>
      <c r="B5410" t="s">
        <v>7102</v>
      </c>
      <c r="C5410" t="s">
        <v>7606</v>
      </c>
      <c r="D5410" t="s">
        <v>8261</v>
      </c>
      <c r="E5410" t="s">
        <v>10020</v>
      </c>
      <c r="F5410" t="s">
        <v>10305</v>
      </c>
      <c r="G5410">
        <v>39.799999999999997</v>
      </c>
      <c r="H5410" t="s">
        <v>10310</v>
      </c>
      <c r="I5410" t="s">
        <v>10324</v>
      </c>
      <c r="K5410" t="s">
        <v>10333</v>
      </c>
      <c r="L5410">
        <v>1958</v>
      </c>
      <c r="N5410">
        <v>51.091534279999998</v>
      </c>
      <c r="P5410">
        <v>13.609828950000001</v>
      </c>
      <c r="R5410" t="s">
        <v>11038</v>
      </c>
      <c r="S5410" t="s">
        <v>10310</v>
      </c>
      <c r="W5410" t="s">
        <v>11249</v>
      </c>
    </row>
    <row r="5411" spans="1:23" hidden="1" x14ac:dyDescent="0.45">
      <c r="A5411" s="1" t="s">
        <v>5338</v>
      </c>
      <c r="B5411" t="s">
        <v>7102</v>
      </c>
      <c r="C5411" t="s">
        <v>7606</v>
      </c>
      <c r="D5411" t="s">
        <v>8261</v>
      </c>
      <c r="E5411" t="s">
        <v>10020</v>
      </c>
      <c r="F5411" t="s">
        <v>10305</v>
      </c>
      <c r="H5411" t="s">
        <v>10310</v>
      </c>
      <c r="I5411" t="s">
        <v>10324</v>
      </c>
      <c r="K5411" t="s">
        <v>10333</v>
      </c>
      <c r="L5411">
        <v>1958</v>
      </c>
      <c r="N5411">
        <v>51.091534279999998</v>
      </c>
      <c r="P5411">
        <v>13.609828950000001</v>
      </c>
      <c r="R5411" t="s">
        <v>11038</v>
      </c>
      <c r="S5411" t="s">
        <v>10310</v>
      </c>
      <c r="W5411" t="s">
        <v>11249</v>
      </c>
    </row>
    <row r="5412" spans="1:23" hidden="1" x14ac:dyDescent="0.45">
      <c r="A5412" s="1" t="s">
        <v>5339</v>
      </c>
      <c r="B5412" t="s">
        <v>7097</v>
      </c>
      <c r="C5412" t="s">
        <v>7607</v>
      </c>
      <c r="D5412" t="s">
        <v>8262</v>
      </c>
      <c r="E5412" t="s">
        <v>10021</v>
      </c>
      <c r="F5412" t="s">
        <v>10305</v>
      </c>
      <c r="G5412">
        <v>48</v>
      </c>
      <c r="H5412" t="s">
        <v>10310</v>
      </c>
      <c r="I5412" t="s">
        <v>10325</v>
      </c>
      <c r="K5412" t="s">
        <v>10333</v>
      </c>
      <c r="L5412">
        <v>1982</v>
      </c>
      <c r="N5412">
        <v>47.744729999999997</v>
      </c>
      <c r="P5412">
        <v>12.135730000000001</v>
      </c>
      <c r="R5412" t="s">
        <v>11038</v>
      </c>
      <c r="S5412" t="s">
        <v>10310</v>
      </c>
      <c r="W5412" t="s">
        <v>11249</v>
      </c>
    </row>
    <row r="5413" spans="1:23" hidden="1" x14ac:dyDescent="0.45">
      <c r="A5413" s="1" t="s">
        <v>5340</v>
      </c>
      <c r="B5413" t="s">
        <v>7097</v>
      </c>
      <c r="C5413" t="s">
        <v>7608</v>
      </c>
      <c r="D5413" t="s">
        <v>8263</v>
      </c>
      <c r="E5413" t="s">
        <v>10022</v>
      </c>
      <c r="F5413" t="s">
        <v>10305</v>
      </c>
      <c r="G5413">
        <v>60</v>
      </c>
      <c r="H5413" t="s">
        <v>10310</v>
      </c>
      <c r="I5413" t="s">
        <v>10325</v>
      </c>
      <c r="K5413" t="s">
        <v>10333</v>
      </c>
      <c r="L5413">
        <v>1992</v>
      </c>
      <c r="N5413">
        <v>47.641330000000004</v>
      </c>
      <c r="P5413">
        <v>12.19903</v>
      </c>
      <c r="R5413" t="s">
        <v>11038</v>
      </c>
      <c r="S5413" t="s">
        <v>10310</v>
      </c>
      <c r="W5413" t="s">
        <v>11249</v>
      </c>
    </row>
    <row r="5414" spans="1:23" hidden="1" x14ac:dyDescent="0.45">
      <c r="A5414" s="1" t="s">
        <v>5341</v>
      </c>
      <c r="B5414" t="s">
        <v>7061</v>
      </c>
      <c r="D5414" t="s">
        <v>8264</v>
      </c>
      <c r="E5414" t="s">
        <v>10023</v>
      </c>
      <c r="F5414" t="s">
        <v>10303</v>
      </c>
      <c r="G5414">
        <v>247</v>
      </c>
      <c r="H5414" t="s">
        <v>10310</v>
      </c>
      <c r="I5414" t="s">
        <v>10324</v>
      </c>
      <c r="K5414" t="s">
        <v>10333</v>
      </c>
      <c r="L5414">
        <v>1969</v>
      </c>
      <c r="N5414">
        <v>46.968449999999997</v>
      </c>
      <c r="P5414">
        <v>10.05986</v>
      </c>
      <c r="R5414" t="s">
        <v>11038</v>
      </c>
      <c r="S5414" t="s">
        <v>10310</v>
      </c>
      <c r="W5414" t="s">
        <v>11249</v>
      </c>
    </row>
    <row r="5415" spans="1:23" hidden="1" x14ac:dyDescent="0.45">
      <c r="A5415" s="1" t="s">
        <v>5342</v>
      </c>
      <c r="B5415" t="s">
        <v>7061</v>
      </c>
      <c r="D5415" t="s">
        <v>8264</v>
      </c>
      <c r="E5415" t="s">
        <v>10023</v>
      </c>
      <c r="F5415" t="s">
        <v>10303</v>
      </c>
      <c r="G5415">
        <v>525</v>
      </c>
      <c r="H5415" t="s">
        <v>10310</v>
      </c>
      <c r="I5415" t="s">
        <v>10324</v>
      </c>
      <c r="K5415" t="s">
        <v>10333</v>
      </c>
      <c r="L5415">
        <v>2008</v>
      </c>
      <c r="N5415">
        <v>46.968449999999997</v>
      </c>
      <c r="P5415">
        <v>10.05986</v>
      </c>
      <c r="Q5415" t="s">
        <v>10982</v>
      </c>
      <c r="R5415" t="s">
        <v>11038</v>
      </c>
      <c r="S5415" t="s">
        <v>10310</v>
      </c>
      <c r="W5415" t="s">
        <v>11249</v>
      </c>
    </row>
    <row r="5416" spans="1:23" hidden="1" x14ac:dyDescent="0.45">
      <c r="A5416" s="1" t="s">
        <v>5343</v>
      </c>
      <c r="B5416" t="s">
        <v>7061</v>
      </c>
      <c r="D5416" t="s">
        <v>8264</v>
      </c>
      <c r="E5416" t="s">
        <v>10023</v>
      </c>
      <c r="F5416" t="s">
        <v>10303</v>
      </c>
      <c r="G5416">
        <v>29</v>
      </c>
      <c r="H5416" t="s">
        <v>10310</v>
      </c>
      <c r="I5416" t="s">
        <v>10329</v>
      </c>
      <c r="K5416" t="s">
        <v>10333</v>
      </c>
      <c r="L5416">
        <v>1943</v>
      </c>
      <c r="N5416">
        <v>46.968449999999997</v>
      </c>
      <c r="P5416">
        <v>10.05986</v>
      </c>
      <c r="R5416" t="s">
        <v>11038</v>
      </c>
      <c r="S5416" t="s">
        <v>10310</v>
      </c>
      <c r="W5416" t="s">
        <v>11249</v>
      </c>
    </row>
    <row r="5417" spans="1:23" hidden="1" x14ac:dyDescent="0.45">
      <c r="A5417" s="1" t="s">
        <v>5344</v>
      </c>
      <c r="B5417" t="s">
        <v>7061</v>
      </c>
      <c r="D5417" t="s">
        <v>8264</v>
      </c>
      <c r="E5417" t="s">
        <v>10023</v>
      </c>
      <c r="F5417" t="s">
        <v>10303</v>
      </c>
      <c r="G5417">
        <v>158</v>
      </c>
      <c r="H5417" t="s">
        <v>10310</v>
      </c>
      <c r="I5417" t="s">
        <v>10329</v>
      </c>
      <c r="K5417" t="s">
        <v>10333</v>
      </c>
      <c r="L5417">
        <v>1930</v>
      </c>
      <c r="N5417">
        <v>46.968449999999997</v>
      </c>
      <c r="P5417">
        <v>10.05986</v>
      </c>
      <c r="R5417" t="s">
        <v>11038</v>
      </c>
      <c r="S5417" t="s">
        <v>10310</v>
      </c>
      <c r="W5417" t="s">
        <v>11249</v>
      </c>
    </row>
    <row r="5418" spans="1:23" hidden="1" x14ac:dyDescent="0.45">
      <c r="A5418" s="1" t="s">
        <v>5345</v>
      </c>
      <c r="B5418" t="s">
        <v>7107</v>
      </c>
      <c r="C5418" t="s">
        <v>7609</v>
      </c>
      <c r="D5418" t="s">
        <v>8265</v>
      </c>
      <c r="E5418" t="s">
        <v>10024</v>
      </c>
      <c r="F5418" t="s">
        <v>10305</v>
      </c>
      <c r="G5418">
        <v>53.7</v>
      </c>
      <c r="H5418" t="s">
        <v>10310</v>
      </c>
      <c r="I5418" t="s">
        <v>10325</v>
      </c>
      <c r="K5418" t="s">
        <v>10333</v>
      </c>
      <c r="L5418">
        <v>1927</v>
      </c>
      <c r="N5418">
        <v>48.579711200000013</v>
      </c>
      <c r="P5418">
        <v>13.4082738</v>
      </c>
      <c r="R5418" t="s">
        <v>11038</v>
      </c>
      <c r="S5418" t="s">
        <v>10310</v>
      </c>
      <c r="W5418" t="s">
        <v>11249</v>
      </c>
    </row>
    <row r="5419" spans="1:23" hidden="1" x14ac:dyDescent="0.45">
      <c r="A5419" s="1" t="s">
        <v>5346</v>
      </c>
      <c r="B5419" t="s">
        <v>7097</v>
      </c>
      <c r="C5419" t="s">
        <v>7610</v>
      </c>
      <c r="D5419" t="s">
        <v>8266</v>
      </c>
      <c r="E5419" t="s">
        <v>10024</v>
      </c>
      <c r="F5419" t="s">
        <v>10305</v>
      </c>
      <c r="G5419">
        <v>86.4</v>
      </c>
      <c r="H5419" t="s">
        <v>10310</v>
      </c>
      <c r="I5419" t="s">
        <v>10325</v>
      </c>
      <c r="K5419" t="s">
        <v>10333</v>
      </c>
      <c r="L5419">
        <v>1965</v>
      </c>
      <c r="N5419">
        <v>48.553305399999999</v>
      </c>
      <c r="P5419">
        <v>13.4336591</v>
      </c>
      <c r="R5419" t="s">
        <v>11038</v>
      </c>
      <c r="S5419" t="s">
        <v>10310</v>
      </c>
      <c r="W5419" t="s">
        <v>11249</v>
      </c>
    </row>
    <row r="5420" spans="1:23" hidden="1" x14ac:dyDescent="0.45">
      <c r="A5420" s="1" t="s">
        <v>5347</v>
      </c>
      <c r="B5420" t="s">
        <v>7101</v>
      </c>
      <c r="C5420" t="s">
        <v>7611</v>
      </c>
      <c r="D5420" t="s">
        <v>8267</v>
      </c>
      <c r="E5420" t="s">
        <v>10025</v>
      </c>
      <c r="F5420" t="s">
        <v>10305</v>
      </c>
      <c r="G5420">
        <v>19.399999999999999</v>
      </c>
      <c r="H5420" t="s">
        <v>10310</v>
      </c>
      <c r="I5420" t="s">
        <v>10325</v>
      </c>
      <c r="K5420" t="s">
        <v>10333</v>
      </c>
      <c r="L5420">
        <v>1977</v>
      </c>
      <c r="N5420">
        <v>48.026102100000003</v>
      </c>
      <c r="P5420">
        <v>12.789631999999999</v>
      </c>
      <c r="R5420" t="s">
        <v>11038</v>
      </c>
      <c r="S5420" t="s">
        <v>10310</v>
      </c>
      <c r="W5420" t="s">
        <v>11249</v>
      </c>
    </row>
    <row r="5421" spans="1:23" hidden="1" x14ac:dyDescent="0.45">
      <c r="A5421" s="1" t="s">
        <v>5348</v>
      </c>
      <c r="B5421" t="s">
        <v>7107</v>
      </c>
      <c r="D5421" t="s">
        <v>8268</v>
      </c>
      <c r="E5421" t="s">
        <v>10026</v>
      </c>
      <c r="F5421" t="s">
        <v>10305</v>
      </c>
      <c r="G5421">
        <v>25</v>
      </c>
      <c r="H5421" t="s">
        <v>10310</v>
      </c>
      <c r="I5421" t="s">
        <v>10325</v>
      </c>
      <c r="K5421" t="s">
        <v>10333</v>
      </c>
      <c r="L5421">
        <v>1985</v>
      </c>
      <c r="N5421">
        <v>48.974806000000001</v>
      </c>
      <c r="P5421">
        <v>12.344002</v>
      </c>
      <c r="R5421" t="s">
        <v>11038</v>
      </c>
      <c r="S5421" t="s">
        <v>10310</v>
      </c>
      <c r="W5421" t="s">
        <v>11249</v>
      </c>
    </row>
    <row r="5422" spans="1:23" hidden="1" x14ac:dyDescent="0.45">
      <c r="A5422" s="1" t="s">
        <v>5349</v>
      </c>
      <c r="B5422" t="s">
        <v>7096</v>
      </c>
      <c r="D5422" t="s">
        <v>8269</v>
      </c>
      <c r="E5422" t="s">
        <v>10027</v>
      </c>
      <c r="F5422" t="s">
        <v>10303</v>
      </c>
      <c r="G5422">
        <v>392</v>
      </c>
      <c r="H5422" t="s">
        <v>10310</v>
      </c>
      <c r="I5422" t="s">
        <v>10329</v>
      </c>
      <c r="K5422" t="s">
        <v>10333</v>
      </c>
      <c r="L5422">
        <v>1964</v>
      </c>
      <c r="N5422">
        <v>47.067782999999999</v>
      </c>
      <c r="P5422">
        <v>10.665210999999999</v>
      </c>
      <c r="Q5422" t="s">
        <v>10983</v>
      </c>
      <c r="R5422" t="s">
        <v>11038</v>
      </c>
      <c r="S5422" t="s">
        <v>10310</v>
      </c>
      <c r="W5422" t="s">
        <v>11249</v>
      </c>
    </row>
    <row r="5423" spans="1:23" hidden="1" x14ac:dyDescent="0.45">
      <c r="A5423" s="1" t="s">
        <v>5350</v>
      </c>
      <c r="B5423" t="s">
        <v>7061</v>
      </c>
      <c r="C5423" t="s">
        <v>7612</v>
      </c>
      <c r="D5423" t="s">
        <v>8270</v>
      </c>
      <c r="E5423" t="s">
        <v>10028</v>
      </c>
      <c r="F5423" t="s">
        <v>10305</v>
      </c>
      <c r="G5423">
        <v>19</v>
      </c>
      <c r="H5423" t="s">
        <v>10310</v>
      </c>
      <c r="I5423" t="s">
        <v>10325</v>
      </c>
      <c r="K5423" t="s">
        <v>10333</v>
      </c>
      <c r="L5423">
        <v>1942</v>
      </c>
      <c r="N5423">
        <v>47.571359999999999</v>
      </c>
      <c r="P5423">
        <v>8.33826</v>
      </c>
      <c r="R5423" t="s">
        <v>11038</v>
      </c>
      <c r="S5423" t="s">
        <v>10310</v>
      </c>
      <c r="W5423" t="s">
        <v>11249</v>
      </c>
    </row>
    <row r="5424" spans="1:23" hidden="1" x14ac:dyDescent="0.45">
      <c r="A5424" s="1" t="s">
        <v>5351</v>
      </c>
      <c r="B5424" t="s">
        <v>7103</v>
      </c>
      <c r="D5424" t="s">
        <v>8271</v>
      </c>
      <c r="E5424" t="s">
        <v>722</v>
      </c>
      <c r="F5424" t="s">
        <v>10305</v>
      </c>
      <c r="G5424">
        <v>46.7</v>
      </c>
      <c r="H5424" t="s">
        <v>10310</v>
      </c>
      <c r="I5424" t="s">
        <v>10325</v>
      </c>
      <c r="K5424" t="s">
        <v>10333</v>
      </c>
      <c r="L5424">
        <v>2010</v>
      </c>
      <c r="N5424">
        <v>47.569905730000002</v>
      </c>
      <c r="P5424">
        <v>7.8101134639999996</v>
      </c>
      <c r="R5424" t="s">
        <v>11038</v>
      </c>
      <c r="S5424" t="s">
        <v>10310</v>
      </c>
      <c r="W5424" t="s">
        <v>11249</v>
      </c>
    </row>
    <row r="5425" spans="1:23" hidden="1" x14ac:dyDescent="0.45">
      <c r="A5425" s="1" t="s">
        <v>5352</v>
      </c>
      <c r="B5425" t="s">
        <v>7101</v>
      </c>
      <c r="C5425" t="s">
        <v>7613</v>
      </c>
      <c r="D5425" t="s">
        <v>8272</v>
      </c>
      <c r="E5425" t="s">
        <v>10029</v>
      </c>
      <c r="F5425" t="s">
        <v>10305</v>
      </c>
      <c r="G5425">
        <v>35.1</v>
      </c>
      <c r="H5425" t="s">
        <v>10310</v>
      </c>
      <c r="I5425" t="s">
        <v>10325</v>
      </c>
      <c r="K5425" t="s">
        <v>10333</v>
      </c>
      <c r="L5425">
        <v>1960</v>
      </c>
      <c r="N5425">
        <v>47.838250000000002</v>
      </c>
      <c r="P5425">
        <v>12.15333</v>
      </c>
      <c r="R5425" t="s">
        <v>11038</v>
      </c>
      <c r="S5425" t="s">
        <v>10310</v>
      </c>
      <c r="W5425" t="s">
        <v>11249</v>
      </c>
    </row>
    <row r="5426" spans="1:23" hidden="1" x14ac:dyDescent="0.45">
      <c r="A5426" s="1" t="s">
        <v>5353</v>
      </c>
      <c r="B5426" t="s">
        <v>7067</v>
      </c>
      <c r="C5426" t="s">
        <v>7614</v>
      </c>
      <c r="D5426" t="s">
        <v>8273</v>
      </c>
      <c r="E5426" t="s">
        <v>10030</v>
      </c>
      <c r="F5426" t="s">
        <v>10305</v>
      </c>
      <c r="G5426">
        <v>45.5</v>
      </c>
      <c r="H5426" t="s">
        <v>10310</v>
      </c>
      <c r="I5426" t="s">
        <v>10329</v>
      </c>
      <c r="K5426" t="s">
        <v>10333</v>
      </c>
      <c r="L5426">
        <v>1954</v>
      </c>
      <c r="N5426">
        <v>47.651451000000002</v>
      </c>
      <c r="P5426">
        <v>10.735525000000001</v>
      </c>
      <c r="R5426" t="s">
        <v>11038</v>
      </c>
      <c r="S5426" t="s">
        <v>10310</v>
      </c>
      <c r="W5426" t="s">
        <v>11249</v>
      </c>
    </row>
    <row r="5427" spans="1:23" hidden="1" x14ac:dyDescent="0.45">
      <c r="A5427" s="1" t="s">
        <v>5354</v>
      </c>
      <c r="B5427" t="s">
        <v>7101</v>
      </c>
      <c r="C5427" t="s">
        <v>7615</v>
      </c>
      <c r="D5427" t="s">
        <v>8274</v>
      </c>
      <c r="E5427" t="s">
        <v>10031</v>
      </c>
      <c r="F5427" t="s">
        <v>10305</v>
      </c>
      <c r="G5427">
        <v>38.200000000000003</v>
      </c>
      <c r="H5427" t="s">
        <v>10310</v>
      </c>
      <c r="I5427" t="s">
        <v>10325</v>
      </c>
      <c r="K5427" t="s">
        <v>10333</v>
      </c>
      <c r="L5427">
        <v>1970</v>
      </c>
      <c r="N5427">
        <v>47.960920000000002</v>
      </c>
      <c r="P5427">
        <v>12.1561</v>
      </c>
      <c r="R5427" t="s">
        <v>11038</v>
      </c>
      <c r="S5427" t="s">
        <v>10310</v>
      </c>
      <c r="W5427" t="s">
        <v>11249</v>
      </c>
    </row>
    <row r="5428" spans="1:23" hidden="1" x14ac:dyDescent="0.45">
      <c r="A5428" s="1" t="s">
        <v>5355</v>
      </c>
      <c r="B5428" t="s">
        <v>7061</v>
      </c>
      <c r="C5428" t="s">
        <v>7616</v>
      </c>
      <c r="D5428" t="s">
        <v>8275</v>
      </c>
      <c r="E5428" t="s">
        <v>722</v>
      </c>
      <c r="F5428" t="s">
        <v>10305</v>
      </c>
      <c r="G5428">
        <v>30</v>
      </c>
      <c r="H5428" t="s">
        <v>10310</v>
      </c>
      <c r="I5428" t="s">
        <v>10325</v>
      </c>
      <c r="K5428" t="s">
        <v>10333</v>
      </c>
      <c r="L5428">
        <v>1930</v>
      </c>
      <c r="N5428">
        <v>47.585377000000001</v>
      </c>
      <c r="P5428">
        <v>7.8326570000000011</v>
      </c>
      <c r="R5428" t="s">
        <v>11038</v>
      </c>
      <c r="S5428" t="s">
        <v>10310</v>
      </c>
      <c r="W5428" t="s">
        <v>11249</v>
      </c>
    </row>
    <row r="5429" spans="1:23" hidden="1" x14ac:dyDescent="0.45">
      <c r="A5429" s="1" t="s">
        <v>5356</v>
      </c>
      <c r="B5429" t="s">
        <v>7029</v>
      </c>
      <c r="D5429" t="s">
        <v>8276</v>
      </c>
      <c r="E5429" t="s">
        <v>10032</v>
      </c>
      <c r="F5429" t="s">
        <v>10305</v>
      </c>
      <c r="G5429">
        <v>24</v>
      </c>
      <c r="H5429" t="s">
        <v>10310</v>
      </c>
      <c r="I5429" t="s">
        <v>10325</v>
      </c>
      <c r="K5429" t="s">
        <v>10333</v>
      </c>
      <c r="L5429">
        <v>1962</v>
      </c>
      <c r="N5429">
        <v>49.810941</v>
      </c>
      <c r="P5429">
        <v>6.8438820000000016</v>
      </c>
      <c r="R5429" t="s">
        <v>11038</v>
      </c>
      <c r="S5429" t="s">
        <v>10310</v>
      </c>
      <c r="W5429" t="s">
        <v>11249</v>
      </c>
    </row>
    <row r="5430" spans="1:23" hidden="1" x14ac:dyDescent="0.45">
      <c r="A5430" s="1" t="s">
        <v>5357</v>
      </c>
      <c r="B5430" t="s">
        <v>7102</v>
      </c>
      <c r="C5430" t="s">
        <v>7617</v>
      </c>
      <c r="D5430" t="s">
        <v>8277</v>
      </c>
      <c r="E5430" t="s">
        <v>10033</v>
      </c>
      <c r="F5430" t="s">
        <v>10305</v>
      </c>
      <c r="G5430">
        <v>79.8</v>
      </c>
      <c r="H5430" t="s">
        <v>10310</v>
      </c>
      <c r="I5430" t="s">
        <v>10324</v>
      </c>
      <c r="K5430" t="s">
        <v>10333</v>
      </c>
      <c r="L5430">
        <v>1932</v>
      </c>
      <c r="N5430">
        <v>50.524384820000002</v>
      </c>
      <c r="P5430">
        <v>11.714386940000001</v>
      </c>
      <c r="R5430" t="s">
        <v>11038</v>
      </c>
      <c r="S5430" t="s">
        <v>10310</v>
      </c>
      <c r="W5430" t="s">
        <v>11249</v>
      </c>
    </row>
    <row r="5431" spans="1:23" hidden="1" x14ac:dyDescent="0.45">
      <c r="A5431" s="1" t="s">
        <v>5358</v>
      </c>
      <c r="B5431" t="s">
        <v>7102</v>
      </c>
      <c r="C5431" t="s">
        <v>7617</v>
      </c>
      <c r="D5431" t="s">
        <v>8277</v>
      </c>
      <c r="E5431" t="s">
        <v>10033</v>
      </c>
      <c r="F5431" t="s">
        <v>10305</v>
      </c>
      <c r="H5431" t="s">
        <v>10310</v>
      </c>
      <c r="I5431" t="s">
        <v>10324</v>
      </c>
      <c r="K5431" t="s">
        <v>10333</v>
      </c>
      <c r="L5431">
        <v>1932</v>
      </c>
      <c r="N5431">
        <v>50.524384820000002</v>
      </c>
      <c r="P5431">
        <v>11.714386940000001</v>
      </c>
      <c r="R5431" t="s">
        <v>11038</v>
      </c>
      <c r="S5431" t="s">
        <v>10310</v>
      </c>
      <c r="W5431" t="s">
        <v>11249</v>
      </c>
    </row>
    <row r="5432" spans="1:23" hidden="1" x14ac:dyDescent="0.45">
      <c r="A5432" s="1" t="s">
        <v>5359</v>
      </c>
      <c r="B5432" t="s">
        <v>7096</v>
      </c>
      <c r="D5432" t="s">
        <v>8278</v>
      </c>
      <c r="E5432" t="s">
        <v>10034</v>
      </c>
      <c r="F5432" t="s">
        <v>10303</v>
      </c>
      <c r="G5432">
        <v>500</v>
      </c>
      <c r="H5432" t="s">
        <v>10310</v>
      </c>
      <c r="I5432" t="s">
        <v>10329</v>
      </c>
      <c r="K5432" t="s">
        <v>10333</v>
      </c>
      <c r="L5432">
        <v>1981</v>
      </c>
      <c r="N5432">
        <v>47.269606000000003</v>
      </c>
      <c r="P5432">
        <v>10.967829</v>
      </c>
      <c r="Q5432" t="s">
        <v>10984</v>
      </c>
      <c r="R5432" t="s">
        <v>11038</v>
      </c>
      <c r="S5432" t="s">
        <v>10310</v>
      </c>
      <c r="W5432" t="s">
        <v>11249</v>
      </c>
    </row>
    <row r="5433" spans="1:23" hidden="1" x14ac:dyDescent="0.45">
      <c r="A5433" s="1" t="s">
        <v>5360</v>
      </c>
      <c r="B5433" t="s">
        <v>7101</v>
      </c>
      <c r="C5433" t="s">
        <v>7618</v>
      </c>
      <c r="D5433" t="s">
        <v>8279</v>
      </c>
      <c r="E5433" t="s">
        <v>10035</v>
      </c>
      <c r="F5433" t="s">
        <v>10305</v>
      </c>
      <c r="G5433">
        <v>25</v>
      </c>
      <c r="H5433" t="s">
        <v>10310</v>
      </c>
      <c r="I5433" t="s">
        <v>10325</v>
      </c>
      <c r="K5433" t="s">
        <v>10333</v>
      </c>
      <c r="L5433">
        <v>1938</v>
      </c>
      <c r="N5433">
        <v>48.057360000000003</v>
      </c>
      <c r="P5433">
        <v>12.220929999999999</v>
      </c>
      <c r="R5433" t="s">
        <v>11038</v>
      </c>
      <c r="S5433" t="s">
        <v>10310</v>
      </c>
      <c r="W5433" t="s">
        <v>11249</v>
      </c>
    </row>
    <row r="5434" spans="1:23" hidden="1" x14ac:dyDescent="0.45">
      <c r="A5434" s="1" t="s">
        <v>5361</v>
      </c>
      <c r="B5434" t="s">
        <v>7097</v>
      </c>
      <c r="C5434" t="s">
        <v>7619</v>
      </c>
      <c r="D5434" t="s">
        <v>8280</v>
      </c>
      <c r="E5434" t="s">
        <v>10036</v>
      </c>
      <c r="F5434" t="s">
        <v>10303</v>
      </c>
      <c r="G5434">
        <v>96</v>
      </c>
      <c r="H5434" t="s">
        <v>10310</v>
      </c>
      <c r="I5434" t="s">
        <v>10325</v>
      </c>
      <c r="K5434" t="s">
        <v>10333</v>
      </c>
      <c r="L5434">
        <v>1961</v>
      </c>
      <c r="N5434">
        <v>48.435619200000012</v>
      </c>
      <c r="P5434">
        <v>13.441502699999999</v>
      </c>
      <c r="R5434" t="s">
        <v>11038</v>
      </c>
      <c r="S5434" t="s">
        <v>10310</v>
      </c>
      <c r="W5434" t="s">
        <v>11249</v>
      </c>
    </row>
    <row r="5435" spans="1:23" hidden="1" x14ac:dyDescent="0.45">
      <c r="A5435" s="1" t="s">
        <v>5362</v>
      </c>
      <c r="B5435" t="s">
        <v>7101</v>
      </c>
      <c r="C5435" t="s">
        <v>7620</v>
      </c>
      <c r="D5435" t="s">
        <v>8281</v>
      </c>
      <c r="E5435" t="s">
        <v>10037</v>
      </c>
      <c r="F5435" t="s">
        <v>10305</v>
      </c>
      <c r="G5435">
        <v>23.2</v>
      </c>
      <c r="H5435" t="s">
        <v>10310</v>
      </c>
      <c r="I5435" t="s">
        <v>10325</v>
      </c>
      <c r="K5435" t="s">
        <v>10333</v>
      </c>
      <c r="L5435">
        <v>1955</v>
      </c>
      <c r="N5435">
        <v>48.249319999999997</v>
      </c>
      <c r="P5435">
        <v>12.86469</v>
      </c>
      <c r="R5435" t="s">
        <v>11038</v>
      </c>
      <c r="S5435" t="s">
        <v>10310</v>
      </c>
      <c r="W5435" t="s">
        <v>11249</v>
      </c>
    </row>
    <row r="5436" spans="1:23" hidden="1" x14ac:dyDescent="0.45">
      <c r="A5436" s="1" t="s">
        <v>5363</v>
      </c>
      <c r="B5436" t="s">
        <v>7107</v>
      </c>
      <c r="C5436" t="s">
        <v>7621</v>
      </c>
      <c r="D5436" t="s">
        <v>8282</v>
      </c>
      <c r="E5436" t="s">
        <v>10038</v>
      </c>
      <c r="F5436" t="s">
        <v>10305</v>
      </c>
      <c r="G5436">
        <v>21.5</v>
      </c>
      <c r="H5436" t="s">
        <v>10310</v>
      </c>
      <c r="I5436" t="s">
        <v>10325</v>
      </c>
      <c r="K5436" t="s">
        <v>10333</v>
      </c>
      <c r="L5436">
        <v>1994</v>
      </c>
      <c r="N5436">
        <v>48.896590000000003</v>
      </c>
      <c r="P5436">
        <v>12.55752</v>
      </c>
      <c r="R5436" t="s">
        <v>11038</v>
      </c>
      <c r="S5436" t="s">
        <v>10310</v>
      </c>
      <c r="W5436" t="s">
        <v>11249</v>
      </c>
    </row>
    <row r="5437" spans="1:23" hidden="1" x14ac:dyDescent="0.45">
      <c r="A5437" s="1" t="s">
        <v>5364</v>
      </c>
      <c r="B5437" t="s">
        <v>7052</v>
      </c>
      <c r="C5437" t="s">
        <v>7622</v>
      </c>
      <c r="D5437" t="s">
        <v>8283</v>
      </c>
      <c r="E5437" t="s">
        <v>10039</v>
      </c>
      <c r="F5437" t="s">
        <v>10305</v>
      </c>
      <c r="G5437">
        <v>28</v>
      </c>
      <c r="H5437" t="s">
        <v>10310</v>
      </c>
      <c r="I5437" t="s">
        <v>10324</v>
      </c>
      <c r="K5437" t="s">
        <v>10333</v>
      </c>
      <c r="L5437">
        <v>1958</v>
      </c>
      <c r="N5437">
        <v>49.552259999999997</v>
      </c>
      <c r="P5437">
        <v>12.281269999999999</v>
      </c>
      <c r="R5437" t="s">
        <v>11038</v>
      </c>
      <c r="S5437" t="s">
        <v>10310</v>
      </c>
      <c r="W5437" t="s">
        <v>11249</v>
      </c>
    </row>
    <row r="5438" spans="1:23" hidden="1" x14ac:dyDescent="0.45">
      <c r="A5438" s="1" t="s">
        <v>5365</v>
      </c>
      <c r="B5438" t="s">
        <v>7052</v>
      </c>
      <c r="C5438" t="s">
        <v>7622</v>
      </c>
      <c r="D5438" t="s">
        <v>8283</v>
      </c>
      <c r="E5438" t="s">
        <v>10039</v>
      </c>
      <c r="F5438" t="s">
        <v>10305</v>
      </c>
      <c r="G5438">
        <v>3.3</v>
      </c>
      <c r="H5438" t="s">
        <v>10310</v>
      </c>
      <c r="I5438" t="s">
        <v>10325</v>
      </c>
      <c r="K5438" t="s">
        <v>10333</v>
      </c>
      <c r="L5438">
        <v>1955</v>
      </c>
      <c r="N5438">
        <v>49.552259999999997</v>
      </c>
      <c r="P5438">
        <v>12.281269999999999</v>
      </c>
      <c r="R5438" t="s">
        <v>11038</v>
      </c>
      <c r="S5438" t="s">
        <v>10310</v>
      </c>
      <c r="W5438" t="s">
        <v>11249</v>
      </c>
    </row>
    <row r="5439" spans="1:23" hidden="1" x14ac:dyDescent="0.45">
      <c r="A5439" s="1" t="s">
        <v>5366</v>
      </c>
      <c r="B5439" t="s">
        <v>7052</v>
      </c>
      <c r="C5439" t="s">
        <v>7622</v>
      </c>
      <c r="D5439" t="s">
        <v>8283</v>
      </c>
      <c r="E5439" t="s">
        <v>10039</v>
      </c>
      <c r="F5439" t="s">
        <v>10305</v>
      </c>
      <c r="G5439">
        <v>1.8</v>
      </c>
      <c r="H5439" t="s">
        <v>10310</v>
      </c>
      <c r="I5439" t="s">
        <v>10325</v>
      </c>
      <c r="K5439" t="s">
        <v>10333</v>
      </c>
      <c r="L5439">
        <v>1952</v>
      </c>
      <c r="N5439">
        <v>49.552259999999997</v>
      </c>
      <c r="P5439">
        <v>12.281269999999999</v>
      </c>
      <c r="R5439" t="s">
        <v>11038</v>
      </c>
      <c r="S5439" t="s">
        <v>10310</v>
      </c>
      <c r="W5439" t="s">
        <v>11249</v>
      </c>
    </row>
    <row r="5440" spans="1:23" hidden="1" x14ac:dyDescent="0.45">
      <c r="A5440" s="1" t="s">
        <v>5367</v>
      </c>
      <c r="B5440" t="s">
        <v>7101</v>
      </c>
      <c r="C5440" t="s">
        <v>7623</v>
      </c>
      <c r="D5440" t="s">
        <v>8284</v>
      </c>
      <c r="E5440" t="s">
        <v>10040</v>
      </c>
      <c r="F5440" t="s">
        <v>10305</v>
      </c>
      <c r="G5440">
        <v>85.3</v>
      </c>
      <c r="H5440" t="s">
        <v>10310</v>
      </c>
      <c r="I5440" t="s">
        <v>10325</v>
      </c>
      <c r="K5440" t="s">
        <v>10333</v>
      </c>
      <c r="L5440">
        <v>1924</v>
      </c>
      <c r="N5440">
        <v>48.251817600000003</v>
      </c>
      <c r="P5440">
        <v>12.5873078</v>
      </c>
      <c r="R5440" t="s">
        <v>11038</v>
      </c>
      <c r="S5440" t="s">
        <v>10310</v>
      </c>
      <c r="W5440" t="s">
        <v>11249</v>
      </c>
    </row>
    <row r="5441" spans="1:23" hidden="1" x14ac:dyDescent="0.45">
      <c r="A5441" s="1" t="s">
        <v>5368</v>
      </c>
      <c r="B5441" t="s">
        <v>7052</v>
      </c>
      <c r="C5441" t="s">
        <v>7622</v>
      </c>
      <c r="D5441" t="s">
        <v>8283</v>
      </c>
      <c r="E5441" t="s">
        <v>10039</v>
      </c>
      <c r="F5441" t="s">
        <v>10305</v>
      </c>
      <c r="G5441">
        <v>99</v>
      </c>
      <c r="H5441" t="s">
        <v>10310</v>
      </c>
      <c r="I5441" t="s">
        <v>10324</v>
      </c>
      <c r="K5441" t="s">
        <v>10333</v>
      </c>
      <c r="L5441">
        <v>1955</v>
      </c>
      <c r="N5441">
        <v>49.53002</v>
      </c>
      <c r="P5441">
        <v>12.28481</v>
      </c>
      <c r="R5441" t="s">
        <v>11038</v>
      </c>
      <c r="S5441" t="s">
        <v>10310</v>
      </c>
      <c r="W5441" t="s">
        <v>11249</v>
      </c>
    </row>
    <row r="5442" spans="1:23" hidden="1" x14ac:dyDescent="0.45">
      <c r="A5442" s="1" t="s">
        <v>5369</v>
      </c>
      <c r="B5442" t="s">
        <v>7061</v>
      </c>
      <c r="C5442" t="s">
        <v>7624</v>
      </c>
      <c r="D5442" t="s">
        <v>8285</v>
      </c>
      <c r="E5442" t="s">
        <v>10041</v>
      </c>
      <c r="F5442" t="s">
        <v>10303</v>
      </c>
      <c r="G5442">
        <v>238</v>
      </c>
      <c r="H5442" t="s">
        <v>10310</v>
      </c>
      <c r="I5442" t="s">
        <v>10324</v>
      </c>
      <c r="K5442" t="s">
        <v>10333</v>
      </c>
      <c r="L5442">
        <v>1957</v>
      </c>
      <c r="N5442">
        <v>47.074250999999997</v>
      </c>
      <c r="P5442">
        <v>9.8746519999999993</v>
      </c>
      <c r="R5442" t="s">
        <v>11038</v>
      </c>
      <c r="S5442" t="s">
        <v>10310</v>
      </c>
      <c r="W5442" t="s">
        <v>11249</v>
      </c>
    </row>
    <row r="5443" spans="1:23" hidden="1" x14ac:dyDescent="0.45">
      <c r="A5443" s="1" t="s">
        <v>5370</v>
      </c>
      <c r="B5443" t="s">
        <v>7108</v>
      </c>
      <c r="D5443" t="s">
        <v>8286</v>
      </c>
      <c r="E5443" t="s">
        <v>10042</v>
      </c>
      <c r="F5443" t="s">
        <v>10305</v>
      </c>
      <c r="G5443">
        <v>48</v>
      </c>
      <c r="H5443" t="s">
        <v>10310</v>
      </c>
      <c r="I5443" t="s">
        <v>10324</v>
      </c>
      <c r="K5443" t="s">
        <v>10333</v>
      </c>
      <c r="L5443">
        <v>1983</v>
      </c>
      <c r="N5443">
        <v>47.873938000000003</v>
      </c>
      <c r="P5443">
        <v>11.870990000000001</v>
      </c>
      <c r="R5443" t="s">
        <v>11038</v>
      </c>
      <c r="S5443" t="s">
        <v>10310</v>
      </c>
      <c r="W5443" t="s">
        <v>11249</v>
      </c>
    </row>
    <row r="5444" spans="1:23" hidden="1" x14ac:dyDescent="0.45">
      <c r="A5444" s="1" t="s">
        <v>5371</v>
      </c>
      <c r="B5444" t="s">
        <v>7108</v>
      </c>
      <c r="D5444" t="s">
        <v>8286</v>
      </c>
      <c r="E5444" t="s">
        <v>10042</v>
      </c>
      <c r="F5444" t="s">
        <v>10305</v>
      </c>
      <c r="G5444">
        <v>44</v>
      </c>
      <c r="H5444" t="s">
        <v>10310</v>
      </c>
      <c r="I5444" t="s">
        <v>10324</v>
      </c>
      <c r="K5444" t="s">
        <v>10333</v>
      </c>
      <c r="L5444">
        <v>1960</v>
      </c>
      <c r="N5444">
        <v>47.873938000000003</v>
      </c>
      <c r="P5444">
        <v>11.870990000000001</v>
      </c>
      <c r="R5444" t="s">
        <v>11038</v>
      </c>
      <c r="S5444" t="s">
        <v>10310</v>
      </c>
      <c r="W5444" t="s">
        <v>11249</v>
      </c>
    </row>
    <row r="5445" spans="1:23" hidden="1" x14ac:dyDescent="0.45">
      <c r="A5445" s="1" t="s">
        <v>5372</v>
      </c>
      <c r="B5445" t="s">
        <v>7061</v>
      </c>
      <c r="D5445" t="s">
        <v>8287</v>
      </c>
      <c r="E5445" t="s">
        <v>10043</v>
      </c>
      <c r="F5445" t="s">
        <v>10303</v>
      </c>
      <c r="G5445">
        <v>198</v>
      </c>
      <c r="H5445" t="s">
        <v>10310</v>
      </c>
      <c r="I5445" t="s">
        <v>10324</v>
      </c>
      <c r="K5445" t="s">
        <v>10333</v>
      </c>
      <c r="L5445">
        <v>1943</v>
      </c>
      <c r="N5445">
        <v>47.084667000000003</v>
      </c>
      <c r="P5445">
        <v>9.8811560000000007</v>
      </c>
      <c r="R5445" t="s">
        <v>11038</v>
      </c>
      <c r="S5445" t="s">
        <v>10310</v>
      </c>
      <c r="W5445" t="s">
        <v>11249</v>
      </c>
    </row>
    <row r="5446" spans="1:23" hidden="1" x14ac:dyDescent="0.45">
      <c r="A5446" s="1" t="s">
        <v>5373</v>
      </c>
      <c r="B5446" t="s">
        <v>7061</v>
      </c>
      <c r="D5446" t="s">
        <v>8287</v>
      </c>
      <c r="E5446" t="s">
        <v>10043</v>
      </c>
      <c r="F5446" t="s">
        <v>10303</v>
      </c>
      <c r="G5446">
        <v>295</v>
      </c>
      <c r="H5446" t="s">
        <v>10310</v>
      </c>
      <c r="I5446" t="s">
        <v>10324</v>
      </c>
      <c r="K5446" t="s">
        <v>10333</v>
      </c>
      <c r="L5446">
        <v>2011</v>
      </c>
      <c r="N5446">
        <v>47.084821000000012</v>
      </c>
      <c r="P5446">
        <v>9.8745589999999996</v>
      </c>
      <c r="Q5446" t="s">
        <v>10982</v>
      </c>
      <c r="R5446" t="s">
        <v>11038</v>
      </c>
      <c r="S5446" t="s">
        <v>10310</v>
      </c>
      <c r="W5446" t="s">
        <v>11249</v>
      </c>
    </row>
    <row r="5447" spans="1:23" hidden="1" x14ac:dyDescent="0.45">
      <c r="A5447" s="1" t="s">
        <v>5374</v>
      </c>
      <c r="B5447" t="s">
        <v>7109</v>
      </c>
      <c r="C5447" t="s">
        <v>7625</v>
      </c>
      <c r="D5447" t="s">
        <v>8288</v>
      </c>
      <c r="E5447" t="s">
        <v>10044</v>
      </c>
      <c r="F5447" t="s">
        <v>10306</v>
      </c>
      <c r="G5447">
        <v>100</v>
      </c>
      <c r="H5447" t="s">
        <v>10310</v>
      </c>
      <c r="I5447" t="s">
        <v>10324</v>
      </c>
      <c r="K5447" t="s">
        <v>10333</v>
      </c>
      <c r="L5447">
        <v>1962</v>
      </c>
      <c r="N5447">
        <v>49.952270900000002</v>
      </c>
      <c r="P5447">
        <v>6.1783455970000007</v>
      </c>
      <c r="Q5447" t="s">
        <v>10985</v>
      </c>
      <c r="R5447" t="s">
        <v>11038</v>
      </c>
      <c r="S5447" t="s">
        <v>10310</v>
      </c>
      <c r="W5447" t="s">
        <v>11249</v>
      </c>
    </row>
    <row r="5448" spans="1:23" hidden="1" x14ac:dyDescent="0.45">
      <c r="A5448" s="1" t="s">
        <v>5375</v>
      </c>
      <c r="B5448" t="s">
        <v>7109</v>
      </c>
      <c r="C5448" t="s">
        <v>7625</v>
      </c>
      <c r="D5448" t="s">
        <v>8288</v>
      </c>
      <c r="E5448" t="s">
        <v>10044</v>
      </c>
      <c r="F5448" t="s">
        <v>10306</v>
      </c>
      <c r="G5448">
        <v>100</v>
      </c>
      <c r="H5448" t="s">
        <v>10310</v>
      </c>
      <c r="I5448" t="s">
        <v>10324</v>
      </c>
      <c r="K5448" t="s">
        <v>10333</v>
      </c>
      <c r="L5448">
        <v>1962</v>
      </c>
      <c r="N5448">
        <v>49.952018879999997</v>
      </c>
      <c r="P5448">
        <v>6.1791562539999996</v>
      </c>
      <c r="Q5448" t="s">
        <v>10985</v>
      </c>
      <c r="R5448" t="s">
        <v>11038</v>
      </c>
      <c r="S5448" t="s">
        <v>10310</v>
      </c>
      <c r="W5448" t="s">
        <v>11249</v>
      </c>
    </row>
    <row r="5449" spans="1:23" hidden="1" x14ac:dyDescent="0.45">
      <c r="A5449" s="1" t="s">
        <v>5376</v>
      </c>
      <c r="B5449" t="s">
        <v>7109</v>
      </c>
      <c r="C5449" t="s">
        <v>7625</v>
      </c>
      <c r="D5449" t="s">
        <v>8288</v>
      </c>
      <c r="E5449" t="s">
        <v>10044</v>
      </c>
      <c r="F5449" t="s">
        <v>10306</v>
      </c>
      <c r="G5449">
        <v>100</v>
      </c>
      <c r="H5449" t="s">
        <v>10310</v>
      </c>
      <c r="I5449" t="s">
        <v>10324</v>
      </c>
      <c r="K5449" t="s">
        <v>10333</v>
      </c>
      <c r="L5449">
        <v>1963</v>
      </c>
      <c r="N5449">
        <v>49.95207199</v>
      </c>
      <c r="P5449">
        <v>6.1789633170000009</v>
      </c>
      <c r="Q5449" t="s">
        <v>10985</v>
      </c>
      <c r="R5449" t="s">
        <v>11038</v>
      </c>
      <c r="S5449" t="s">
        <v>10310</v>
      </c>
      <c r="W5449" t="s">
        <v>11249</v>
      </c>
    </row>
    <row r="5450" spans="1:23" hidden="1" x14ac:dyDescent="0.45">
      <c r="A5450" s="1" t="s">
        <v>5377</v>
      </c>
      <c r="B5450" t="s">
        <v>7109</v>
      </c>
      <c r="C5450" t="s">
        <v>7625</v>
      </c>
      <c r="D5450" t="s">
        <v>8288</v>
      </c>
      <c r="E5450" t="s">
        <v>10044</v>
      </c>
      <c r="F5450" t="s">
        <v>10306</v>
      </c>
      <c r="G5450">
        <v>100</v>
      </c>
      <c r="H5450" t="s">
        <v>10310</v>
      </c>
      <c r="I5450" t="s">
        <v>10324</v>
      </c>
      <c r="K5450" t="s">
        <v>10333</v>
      </c>
      <c r="L5450">
        <v>1963</v>
      </c>
      <c r="N5450">
        <v>49.952137890000003</v>
      </c>
      <c r="P5450">
        <v>6.1787590330000004</v>
      </c>
      <c r="Q5450" t="s">
        <v>10985</v>
      </c>
      <c r="R5450" t="s">
        <v>11038</v>
      </c>
      <c r="S5450" t="s">
        <v>10310</v>
      </c>
      <c r="W5450" t="s">
        <v>11249</v>
      </c>
    </row>
    <row r="5451" spans="1:23" hidden="1" x14ac:dyDescent="0.45">
      <c r="A5451" s="1" t="s">
        <v>5378</v>
      </c>
      <c r="B5451" t="s">
        <v>7109</v>
      </c>
      <c r="C5451" t="s">
        <v>7625</v>
      </c>
      <c r="D5451" t="s">
        <v>8288</v>
      </c>
      <c r="E5451" t="s">
        <v>10044</v>
      </c>
      <c r="F5451" t="s">
        <v>10306</v>
      </c>
      <c r="G5451">
        <v>100</v>
      </c>
      <c r="H5451" t="s">
        <v>10310</v>
      </c>
      <c r="I5451" t="s">
        <v>10324</v>
      </c>
      <c r="K5451" t="s">
        <v>10333</v>
      </c>
      <c r="L5451">
        <v>1963</v>
      </c>
      <c r="N5451">
        <v>49.952231660000002</v>
      </c>
      <c r="P5451">
        <v>6.1784809750000003</v>
      </c>
      <c r="Q5451" t="s">
        <v>10985</v>
      </c>
      <c r="R5451" t="s">
        <v>11038</v>
      </c>
      <c r="S5451" t="s">
        <v>10310</v>
      </c>
      <c r="W5451" t="s">
        <v>11249</v>
      </c>
    </row>
    <row r="5452" spans="1:23" hidden="1" x14ac:dyDescent="0.45">
      <c r="A5452" s="1" t="s">
        <v>5379</v>
      </c>
      <c r="B5452" t="s">
        <v>7109</v>
      </c>
      <c r="C5452" t="s">
        <v>7625</v>
      </c>
      <c r="D5452" t="s">
        <v>8288</v>
      </c>
      <c r="E5452" t="s">
        <v>10044</v>
      </c>
      <c r="F5452" t="s">
        <v>10306</v>
      </c>
      <c r="G5452">
        <v>100</v>
      </c>
      <c r="H5452" t="s">
        <v>10310</v>
      </c>
      <c r="I5452" t="s">
        <v>10324</v>
      </c>
      <c r="K5452" t="s">
        <v>10333</v>
      </c>
      <c r="L5452">
        <v>1964</v>
      </c>
      <c r="N5452">
        <v>49.951951680000001</v>
      </c>
      <c r="P5452">
        <v>6.1792827179999996</v>
      </c>
      <c r="Q5452" t="s">
        <v>10985</v>
      </c>
      <c r="R5452" t="s">
        <v>11038</v>
      </c>
      <c r="S5452" t="s">
        <v>10310</v>
      </c>
      <c r="W5452" t="s">
        <v>11249</v>
      </c>
    </row>
    <row r="5453" spans="1:23" hidden="1" x14ac:dyDescent="0.45">
      <c r="A5453" s="1" t="s">
        <v>5380</v>
      </c>
      <c r="B5453" t="s">
        <v>7109</v>
      </c>
      <c r="C5453" t="s">
        <v>7625</v>
      </c>
      <c r="D5453" t="s">
        <v>8288</v>
      </c>
      <c r="E5453" t="s">
        <v>10044</v>
      </c>
      <c r="F5453" t="s">
        <v>10306</v>
      </c>
      <c r="G5453">
        <v>100</v>
      </c>
      <c r="H5453" t="s">
        <v>10310</v>
      </c>
      <c r="I5453" t="s">
        <v>10324</v>
      </c>
      <c r="K5453" t="s">
        <v>10333</v>
      </c>
      <c r="L5453">
        <v>1964</v>
      </c>
      <c r="N5453">
        <v>49.952654840000001</v>
      </c>
      <c r="P5453">
        <v>6.1777416270000014</v>
      </c>
      <c r="Q5453" t="s">
        <v>10985</v>
      </c>
      <c r="R5453" t="s">
        <v>11038</v>
      </c>
      <c r="S5453" t="s">
        <v>10310</v>
      </c>
      <c r="W5453" t="s">
        <v>11249</v>
      </c>
    </row>
    <row r="5454" spans="1:23" hidden="1" x14ac:dyDescent="0.45">
      <c r="A5454" s="1" t="s">
        <v>5381</v>
      </c>
      <c r="B5454" t="s">
        <v>7109</v>
      </c>
      <c r="C5454" t="s">
        <v>7625</v>
      </c>
      <c r="D5454" t="s">
        <v>8288</v>
      </c>
      <c r="E5454" t="s">
        <v>10044</v>
      </c>
      <c r="F5454" t="s">
        <v>10306</v>
      </c>
      <c r="G5454">
        <v>100</v>
      </c>
      <c r="H5454" t="s">
        <v>10310</v>
      </c>
      <c r="I5454" t="s">
        <v>10324</v>
      </c>
      <c r="K5454" t="s">
        <v>10333</v>
      </c>
      <c r="L5454">
        <v>1963</v>
      </c>
      <c r="N5454">
        <v>49.952178510000003</v>
      </c>
      <c r="P5454">
        <v>6.1786050060000024</v>
      </c>
      <c r="Q5454" t="s">
        <v>10985</v>
      </c>
      <c r="R5454" t="s">
        <v>11038</v>
      </c>
      <c r="S5454" t="s">
        <v>10310</v>
      </c>
      <c r="W5454" t="s">
        <v>11249</v>
      </c>
    </row>
    <row r="5455" spans="1:23" hidden="1" x14ac:dyDescent="0.45">
      <c r="A5455" s="1" t="s">
        <v>5382</v>
      </c>
      <c r="B5455" t="s">
        <v>7109</v>
      </c>
      <c r="C5455" t="s">
        <v>7625</v>
      </c>
      <c r="D5455" t="s">
        <v>8288</v>
      </c>
      <c r="E5455" t="s">
        <v>10044</v>
      </c>
      <c r="F5455" t="s">
        <v>10306</v>
      </c>
      <c r="G5455">
        <v>100</v>
      </c>
      <c r="H5455" t="s">
        <v>10310</v>
      </c>
      <c r="I5455" t="s">
        <v>10324</v>
      </c>
      <c r="K5455" t="s">
        <v>10333</v>
      </c>
      <c r="L5455">
        <v>1964</v>
      </c>
      <c r="N5455">
        <v>49.9522975</v>
      </c>
      <c r="P5455">
        <v>6.1782491279999991</v>
      </c>
      <c r="Q5455" t="s">
        <v>10985</v>
      </c>
      <c r="R5455" t="s">
        <v>11038</v>
      </c>
      <c r="S5455" t="s">
        <v>10310</v>
      </c>
      <c r="W5455" t="s">
        <v>11249</v>
      </c>
    </row>
    <row r="5456" spans="1:23" hidden="1" x14ac:dyDescent="0.45">
      <c r="A5456" s="1" t="s">
        <v>5383</v>
      </c>
      <c r="B5456" t="s">
        <v>7109</v>
      </c>
      <c r="C5456" t="s">
        <v>7625</v>
      </c>
      <c r="D5456" t="s">
        <v>8288</v>
      </c>
      <c r="E5456" t="s">
        <v>10044</v>
      </c>
      <c r="F5456" t="s">
        <v>10306</v>
      </c>
      <c r="G5456">
        <v>196</v>
      </c>
      <c r="H5456" t="s">
        <v>10310</v>
      </c>
      <c r="I5456" t="s">
        <v>10324</v>
      </c>
      <c r="K5456" t="s">
        <v>10333</v>
      </c>
      <c r="L5456">
        <v>1975</v>
      </c>
      <c r="N5456">
        <v>49.952093560000002</v>
      </c>
      <c r="P5456">
        <v>6.1788555010000001</v>
      </c>
      <c r="Q5456" t="s">
        <v>10985</v>
      </c>
      <c r="R5456" t="s">
        <v>11038</v>
      </c>
      <c r="S5456" t="s">
        <v>10310</v>
      </c>
      <c r="W5456" t="s">
        <v>11249</v>
      </c>
    </row>
    <row r="5457" spans="1:23" hidden="1" x14ac:dyDescent="0.45">
      <c r="A5457" s="1" t="s">
        <v>5384</v>
      </c>
      <c r="B5457" t="s">
        <v>7099</v>
      </c>
      <c r="D5457" t="s">
        <v>8289</v>
      </c>
      <c r="E5457" t="s">
        <v>10045</v>
      </c>
      <c r="F5457" t="s">
        <v>10305</v>
      </c>
      <c r="G5457">
        <v>23.3</v>
      </c>
      <c r="H5457" t="s">
        <v>10310</v>
      </c>
      <c r="I5457" t="s">
        <v>10325</v>
      </c>
      <c r="K5457" t="s">
        <v>10333</v>
      </c>
      <c r="L5457">
        <v>1992</v>
      </c>
      <c r="N5457">
        <v>48.778103000000002</v>
      </c>
      <c r="P5457">
        <v>11.601190000000001</v>
      </c>
      <c r="R5457" t="s">
        <v>11038</v>
      </c>
      <c r="S5457" t="s">
        <v>10310</v>
      </c>
      <c r="W5457" t="s">
        <v>11249</v>
      </c>
    </row>
    <row r="5458" spans="1:23" hidden="1" x14ac:dyDescent="0.45">
      <c r="A5458" s="1" t="s">
        <v>5385</v>
      </c>
      <c r="B5458" t="s">
        <v>7098</v>
      </c>
      <c r="C5458" t="s">
        <v>7626</v>
      </c>
      <c r="D5458" t="s">
        <v>8290</v>
      </c>
      <c r="E5458" t="s">
        <v>10046</v>
      </c>
      <c r="F5458" t="s">
        <v>10305</v>
      </c>
      <c r="G5458">
        <v>150</v>
      </c>
      <c r="H5458" t="s">
        <v>10310</v>
      </c>
      <c r="I5458" t="s">
        <v>10324</v>
      </c>
      <c r="K5458" t="s">
        <v>10333</v>
      </c>
      <c r="L5458">
        <v>1951</v>
      </c>
      <c r="N5458">
        <v>47.61777</v>
      </c>
      <c r="P5458">
        <v>8.1926000000000005</v>
      </c>
      <c r="R5458" t="s">
        <v>11038</v>
      </c>
      <c r="S5458" t="s">
        <v>10310</v>
      </c>
      <c r="W5458" t="s">
        <v>11249</v>
      </c>
    </row>
    <row r="5459" spans="1:23" hidden="1" x14ac:dyDescent="0.45">
      <c r="A5459" s="1" t="s">
        <v>5386</v>
      </c>
      <c r="B5459" t="s">
        <v>7108</v>
      </c>
      <c r="D5459" t="s">
        <v>8291</v>
      </c>
      <c r="E5459" t="s">
        <v>10047</v>
      </c>
      <c r="F5459" t="s">
        <v>10305</v>
      </c>
      <c r="G5459">
        <v>25</v>
      </c>
      <c r="H5459" t="s">
        <v>10310</v>
      </c>
      <c r="I5459" t="s">
        <v>10325</v>
      </c>
      <c r="K5459" t="s">
        <v>10333</v>
      </c>
      <c r="L5459">
        <v>1930</v>
      </c>
      <c r="N5459">
        <v>48.473474000000003</v>
      </c>
      <c r="P5459">
        <v>11.95481</v>
      </c>
      <c r="R5459" t="s">
        <v>11038</v>
      </c>
      <c r="S5459" t="s">
        <v>10310</v>
      </c>
      <c r="W5459" t="s">
        <v>11249</v>
      </c>
    </row>
    <row r="5460" spans="1:23" hidden="1" x14ac:dyDescent="0.45">
      <c r="A5460" s="1" t="s">
        <v>5387</v>
      </c>
      <c r="B5460" t="s">
        <v>7101</v>
      </c>
      <c r="C5460" t="s">
        <v>7627</v>
      </c>
      <c r="D5460" t="s">
        <v>8292</v>
      </c>
      <c r="E5460" t="s">
        <v>10048</v>
      </c>
      <c r="F5460" t="s">
        <v>10305</v>
      </c>
      <c r="G5460">
        <v>24.1</v>
      </c>
      <c r="H5460" t="s">
        <v>10310</v>
      </c>
      <c r="I5460" t="s">
        <v>10325</v>
      </c>
      <c r="K5460" t="s">
        <v>10333</v>
      </c>
      <c r="L5460">
        <v>1938</v>
      </c>
      <c r="N5460">
        <v>48.056989999999999</v>
      </c>
      <c r="P5460">
        <v>12.220739999999999</v>
      </c>
      <c r="R5460" t="s">
        <v>11038</v>
      </c>
      <c r="S5460" t="s">
        <v>10310</v>
      </c>
      <c r="W5460" t="s">
        <v>11249</v>
      </c>
    </row>
    <row r="5461" spans="1:23" hidden="1" x14ac:dyDescent="0.45">
      <c r="A5461" s="1" t="s">
        <v>5388</v>
      </c>
      <c r="B5461" t="s">
        <v>7098</v>
      </c>
      <c r="C5461" t="s">
        <v>7628</v>
      </c>
      <c r="D5461" t="s">
        <v>8293</v>
      </c>
      <c r="E5461" t="s">
        <v>10049</v>
      </c>
      <c r="F5461" t="s">
        <v>10305</v>
      </c>
      <c r="G5461">
        <v>910</v>
      </c>
      <c r="H5461" t="s">
        <v>10310</v>
      </c>
      <c r="I5461" t="s">
        <v>10324</v>
      </c>
      <c r="K5461" t="s">
        <v>10333</v>
      </c>
      <c r="L5461">
        <v>1975</v>
      </c>
      <c r="N5461">
        <v>47.64529898</v>
      </c>
      <c r="P5461">
        <v>7.9181994500000004</v>
      </c>
      <c r="Q5461" t="s">
        <v>10975</v>
      </c>
      <c r="R5461" t="s">
        <v>11038</v>
      </c>
      <c r="S5461" t="s">
        <v>10310</v>
      </c>
      <c r="W5461" t="s">
        <v>11249</v>
      </c>
    </row>
    <row r="5462" spans="1:23" hidden="1" x14ac:dyDescent="0.45">
      <c r="A5462" s="1" t="s">
        <v>5389</v>
      </c>
      <c r="B5462" t="s">
        <v>7102</v>
      </c>
      <c r="C5462" t="s">
        <v>7629</v>
      </c>
      <c r="D5462" t="s">
        <v>8294</v>
      </c>
      <c r="E5462" t="s">
        <v>10050</v>
      </c>
      <c r="F5462" t="s">
        <v>10305</v>
      </c>
      <c r="G5462">
        <v>79.7</v>
      </c>
      <c r="H5462" t="s">
        <v>10310</v>
      </c>
      <c r="I5462" t="s">
        <v>10324</v>
      </c>
      <c r="K5462" t="s">
        <v>10333</v>
      </c>
      <c r="L5462">
        <v>1967</v>
      </c>
      <c r="N5462">
        <v>51.742229999999999</v>
      </c>
      <c r="P5462">
        <v>10.91879</v>
      </c>
      <c r="R5462" t="s">
        <v>11038</v>
      </c>
      <c r="S5462" t="s">
        <v>10310</v>
      </c>
      <c r="W5462" t="s">
        <v>11249</v>
      </c>
    </row>
    <row r="5463" spans="1:23" hidden="1" x14ac:dyDescent="0.45">
      <c r="A5463" s="1" t="s">
        <v>5390</v>
      </c>
      <c r="B5463" t="s">
        <v>7102</v>
      </c>
      <c r="C5463" t="s">
        <v>7629</v>
      </c>
      <c r="D5463" t="s">
        <v>8294</v>
      </c>
      <c r="E5463" t="s">
        <v>10050</v>
      </c>
      <c r="F5463" t="s">
        <v>10305</v>
      </c>
      <c r="H5463" t="s">
        <v>10310</v>
      </c>
      <c r="I5463" t="s">
        <v>10324</v>
      </c>
      <c r="K5463" t="s">
        <v>10333</v>
      </c>
      <c r="L5463">
        <v>1968</v>
      </c>
      <c r="N5463">
        <v>51.742229999999999</v>
      </c>
      <c r="P5463">
        <v>10.91879</v>
      </c>
      <c r="R5463" t="s">
        <v>11038</v>
      </c>
      <c r="S5463" t="s">
        <v>10310</v>
      </c>
      <c r="W5463" t="s">
        <v>11249</v>
      </c>
    </row>
    <row r="5464" spans="1:23" hidden="1" x14ac:dyDescent="0.45">
      <c r="A5464" s="1" t="s">
        <v>5391</v>
      </c>
      <c r="B5464" t="s">
        <v>7029</v>
      </c>
      <c r="D5464" t="s">
        <v>8295</v>
      </c>
      <c r="E5464" t="s">
        <v>10051</v>
      </c>
      <c r="F5464" t="s">
        <v>10305</v>
      </c>
      <c r="G5464">
        <v>20</v>
      </c>
      <c r="H5464" t="s">
        <v>10310</v>
      </c>
      <c r="I5464" t="s">
        <v>10325</v>
      </c>
      <c r="K5464" t="s">
        <v>10333</v>
      </c>
      <c r="L5464">
        <v>1965</v>
      </c>
      <c r="N5464">
        <v>49.879784000000001</v>
      </c>
      <c r="P5464">
        <v>6.9487619999999994</v>
      </c>
      <c r="R5464" t="s">
        <v>11038</v>
      </c>
      <c r="S5464" t="s">
        <v>10310</v>
      </c>
      <c r="W5464" t="s">
        <v>11249</v>
      </c>
    </row>
    <row r="5465" spans="1:23" hidden="1" x14ac:dyDescent="0.45">
      <c r="A5465" s="1" t="s">
        <v>5392</v>
      </c>
      <c r="B5465" t="s">
        <v>7098</v>
      </c>
      <c r="C5465" t="s">
        <v>7630</v>
      </c>
      <c r="D5465" t="s">
        <v>8296</v>
      </c>
      <c r="E5465" t="s">
        <v>10052</v>
      </c>
      <c r="F5465" t="s">
        <v>10305</v>
      </c>
      <c r="G5465">
        <v>220</v>
      </c>
      <c r="H5465" t="s">
        <v>10310</v>
      </c>
      <c r="I5465" t="s">
        <v>10324</v>
      </c>
      <c r="K5465" t="s">
        <v>10333</v>
      </c>
      <c r="L5465">
        <v>1943</v>
      </c>
      <c r="N5465">
        <v>47.687910000000002</v>
      </c>
      <c r="P5465">
        <v>8.2515900000000002</v>
      </c>
      <c r="Q5465" t="s">
        <v>10975</v>
      </c>
      <c r="R5465" t="s">
        <v>11038</v>
      </c>
      <c r="S5465" t="s">
        <v>10310</v>
      </c>
      <c r="W5465" t="s">
        <v>11249</v>
      </c>
    </row>
    <row r="5466" spans="1:23" hidden="1" x14ac:dyDescent="0.45">
      <c r="A5466" s="1" t="s">
        <v>5393</v>
      </c>
      <c r="B5466" t="s">
        <v>7110</v>
      </c>
      <c r="D5466" t="s">
        <v>8175</v>
      </c>
      <c r="E5466" t="s">
        <v>10053</v>
      </c>
      <c r="F5466" t="s">
        <v>10305</v>
      </c>
      <c r="G5466">
        <v>9.9</v>
      </c>
      <c r="H5466" t="s">
        <v>10310</v>
      </c>
      <c r="I5466" t="s">
        <v>10325</v>
      </c>
      <c r="K5466" t="s">
        <v>10333</v>
      </c>
      <c r="L5466">
        <v>2011</v>
      </c>
      <c r="N5466">
        <v>53.061134000000003</v>
      </c>
      <c r="P5466">
        <v>8.8649369999999994</v>
      </c>
      <c r="R5466" t="s">
        <v>11038</v>
      </c>
      <c r="S5466" t="s">
        <v>10310</v>
      </c>
      <c r="W5466" t="s">
        <v>11249</v>
      </c>
    </row>
    <row r="5467" spans="1:23" hidden="1" x14ac:dyDescent="0.45">
      <c r="A5467" s="1" t="s">
        <v>5394</v>
      </c>
      <c r="B5467" t="s">
        <v>7111</v>
      </c>
      <c r="C5467" t="s">
        <v>7631</v>
      </c>
      <c r="D5467" t="s">
        <v>8297</v>
      </c>
      <c r="E5467" t="s">
        <v>10054</v>
      </c>
      <c r="F5467" t="s">
        <v>10305</v>
      </c>
      <c r="G5467">
        <v>15</v>
      </c>
      <c r="H5467" t="s">
        <v>10310</v>
      </c>
      <c r="I5467" t="s">
        <v>10329</v>
      </c>
      <c r="K5467" t="s">
        <v>10333</v>
      </c>
      <c r="L5467">
        <v>1965</v>
      </c>
      <c r="N5467">
        <v>51.093173</v>
      </c>
      <c r="P5467">
        <v>7.8627199999999986</v>
      </c>
      <c r="R5467" t="s">
        <v>11038</v>
      </c>
      <c r="S5467" t="s">
        <v>10310</v>
      </c>
      <c r="W5467" t="s">
        <v>11249</v>
      </c>
    </row>
    <row r="5468" spans="1:23" hidden="1" x14ac:dyDescent="0.45">
      <c r="A5468" s="1" t="s">
        <v>5395</v>
      </c>
      <c r="B5468" t="s">
        <v>7067</v>
      </c>
      <c r="C5468" t="s">
        <v>7632</v>
      </c>
      <c r="D5468" t="s">
        <v>8298</v>
      </c>
      <c r="E5468" t="s">
        <v>10055</v>
      </c>
      <c r="F5468" t="s">
        <v>10305</v>
      </c>
      <c r="G5468">
        <v>10.3</v>
      </c>
      <c r="H5468" t="s">
        <v>10310</v>
      </c>
      <c r="I5468" t="s">
        <v>10325</v>
      </c>
      <c r="K5468" t="s">
        <v>10333</v>
      </c>
      <c r="L5468">
        <v>1967</v>
      </c>
      <c r="N5468">
        <v>47.739291999999999</v>
      </c>
      <c r="P5468">
        <v>10.825702</v>
      </c>
      <c r="R5468" t="s">
        <v>11038</v>
      </c>
      <c r="S5468" t="s">
        <v>10310</v>
      </c>
      <c r="W5468" t="s">
        <v>11249</v>
      </c>
    </row>
    <row r="5469" spans="1:23" hidden="1" x14ac:dyDescent="0.45">
      <c r="A5469" s="1" t="s">
        <v>5396</v>
      </c>
      <c r="B5469" t="s">
        <v>7112</v>
      </c>
      <c r="D5469" t="s">
        <v>8299</v>
      </c>
      <c r="E5469" t="s">
        <v>10056</v>
      </c>
      <c r="F5469" t="s">
        <v>10305</v>
      </c>
      <c r="G5469">
        <v>11</v>
      </c>
      <c r="H5469" t="s">
        <v>10310</v>
      </c>
      <c r="I5469" t="s">
        <v>10325</v>
      </c>
      <c r="K5469" t="s">
        <v>10333</v>
      </c>
      <c r="L5469">
        <v>1927</v>
      </c>
      <c r="N5469">
        <v>48.527535999999998</v>
      </c>
      <c r="P5469">
        <v>9.3488325000000003</v>
      </c>
      <c r="R5469" t="s">
        <v>11038</v>
      </c>
      <c r="S5469" t="s">
        <v>10310</v>
      </c>
      <c r="W5469" t="s">
        <v>11249</v>
      </c>
    </row>
    <row r="5470" spans="1:23" hidden="1" x14ac:dyDescent="0.45">
      <c r="A5470" s="1" t="s">
        <v>5397</v>
      </c>
      <c r="B5470" t="s">
        <v>7067</v>
      </c>
      <c r="C5470" t="s">
        <v>7633</v>
      </c>
      <c r="D5470" t="s">
        <v>8300</v>
      </c>
      <c r="E5470" t="s">
        <v>10057</v>
      </c>
      <c r="F5470" t="s">
        <v>10305</v>
      </c>
      <c r="G5470">
        <v>15</v>
      </c>
      <c r="H5470" t="s">
        <v>10310</v>
      </c>
      <c r="I5470" t="s">
        <v>10325</v>
      </c>
      <c r="K5470" t="s">
        <v>10333</v>
      </c>
      <c r="L5470">
        <v>1957</v>
      </c>
      <c r="N5470">
        <v>48.634039999999999</v>
      </c>
      <c r="P5470">
        <v>12.483689999999999</v>
      </c>
      <c r="R5470" t="s">
        <v>11038</v>
      </c>
      <c r="S5470" t="s">
        <v>10310</v>
      </c>
      <c r="W5470" t="s">
        <v>11249</v>
      </c>
    </row>
    <row r="5471" spans="1:23" hidden="1" x14ac:dyDescent="0.45">
      <c r="A5471" s="1" t="s">
        <v>5398</v>
      </c>
      <c r="B5471" t="s">
        <v>7067</v>
      </c>
      <c r="C5471" t="s">
        <v>7634</v>
      </c>
      <c r="D5471" t="s">
        <v>8301</v>
      </c>
      <c r="E5471" t="s">
        <v>10058</v>
      </c>
      <c r="F5471" t="s">
        <v>10305</v>
      </c>
      <c r="G5471">
        <v>26</v>
      </c>
      <c r="H5471" t="s">
        <v>10310</v>
      </c>
      <c r="I5471" t="s">
        <v>10325</v>
      </c>
      <c r="K5471" t="s">
        <v>10333</v>
      </c>
      <c r="L5471">
        <v>1925</v>
      </c>
      <c r="N5471">
        <v>48.358590500000012</v>
      </c>
      <c r="P5471">
        <v>11.882192099999999</v>
      </c>
      <c r="R5471" t="s">
        <v>11038</v>
      </c>
      <c r="S5471" t="s">
        <v>10310</v>
      </c>
      <c r="W5471" t="s">
        <v>11249</v>
      </c>
    </row>
    <row r="5472" spans="1:23" hidden="1" x14ac:dyDescent="0.45">
      <c r="A5472" s="1" t="s">
        <v>5399</v>
      </c>
      <c r="B5472" t="s">
        <v>7029</v>
      </c>
      <c r="D5472" t="s">
        <v>8302</v>
      </c>
      <c r="E5472" t="s">
        <v>10059</v>
      </c>
      <c r="F5472" t="s">
        <v>10305</v>
      </c>
      <c r="G5472">
        <v>16.399999999999999</v>
      </c>
      <c r="H5472" t="s">
        <v>10310</v>
      </c>
      <c r="I5472" t="s">
        <v>10325</v>
      </c>
      <c r="K5472" t="s">
        <v>10333</v>
      </c>
      <c r="L5472">
        <v>1963</v>
      </c>
      <c r="N5472">
        <v>50.123918000000003</v>
      </c>
      <c r="P5472">
        <v>7.2259149999999996</v>
      </c>
      <c r="R5472" t="s">
        <v>11038</v>
      </c>
      <c r="S5472" t="s">
        <v>10310</v>
      </c>
      <c r="W5472" t="s">
        <v>11249</v>
      </c>
    </row>
    <row r="5473" spans="1:23" hidden="1" x14ac:dyDescent="0.45">
      <c r="A5473" s="1" t="s">
        <v>5400</v>
      </c>
      <c r="B5473" t="s">
        <v>7113</v>
      </c>
      <c r="D5473" t="s">
        <v>8303</v>
      </c>
      <c r="E5473" t="s">
        <v>10060</v>
      </c>
      <c r="F5473" t="s">
        <v>10305</v>
      </c>
      <c r="G5473">
        <v>9.6999999999999993</v>
      </c>
      <c r="H5473" t="s">
        <v>10310</v>
      </c>
      <c r="I5473" t="s">
        <v>10325</v>
      </c>
      <c r="K5473" t="s">
        <v>10333</v>
      </c>
      <c r="L5473">
        <v>1952</v>
      </c>
      <c r="N5473">
        <v>48.596746000000003</v>
      </c>
      <c r="P5473">
        <v>10.8789</v>
      </c>
      <c r="R5473" t="s">
        <v>11038</v>
      </c>
      <c r="S5473" t="s">
        <v>10310</v>
      </c>
      <c r="W5473" t="s">
        <v>11249</v>
      </c>
    </row>
    <row r="5474" spans="1:23" hidden="1" x14ac:dyDescent="0.45">
      <c r="A5474" s="1" t="s">
        <v>5401</v>
      </c>
      <c r="B5474" t="s">
        <v>7029</v>
      </c>
      <c r="D5474" t="s">
        <v>8304</v>
      </c>
      <c r="E5474" t="s">
        <v>10061</v>
      </c>
      <c r="F5474" t="s">
        <v>10305</v>
      </c>
      <c r="G5474">
        <v>18.399999999999999</v>
      </c>
      <c r="H5474" t="s">
        <v>10310</v>
      </c>
      <c r="I5474" t="s">
        <v>10325</v>
      </c>
      <c r="K5474" t="s">
        <v>10333</v>
      </c>
      <c r="L5474">
        <v>1966</v>
      </c>
      <c r="N5474">
        <v>49.976669999999999</v>
      </c>
      <c r="P5474">
        <v>7.127777</v>
      </c>
      <c r="R5474" t="s">
        <v>11038</v>
      </c>
      <c r="S5474" t="s">
        <v>10310</v>
      </c>
      <c r="W5474" t="s">
        <v>11249</v>
      </c>
    </row>
    <row r="5475" spans="1:23" hidden="1" x14ac:dyDescent="0.45">
      <c r="A5475" s="1" t="s">
        <v>5402</v>
      </c>
      <c r="B5475" t="s">
        <v>7067</v>
      </c>
      <c r="C5475" t="s">
        <v>7635</v>
      </c>
      <c r="D5475" t="s">
        <v>8305</v>
      </c>
      <c r="E5475" t="s">
        <v>10062</v>
      </c>
      <c r="F5475" t="s">
        <v>10305</v>
      </c>
      <c r="G5475">
        <v>17.8</v>
      </c>
      <c r="H5475" t="s">
        <v>10310</v>
      </c>
      <c r="I5475" t="s">
        <v>10325</v>
      </c>
      <c r="K5475" t="s">
        <v>10333</v>
      </c>
      <c r="L5475">
        <v>1951</v>
      </c>
      <c r="N5475">
        <v>51.536512999999999</v>
      </c>
      <c r="P5475">
        <v>14.382898000000001</v>
      </c>
      <c r="R5475" t="s">
        <v>11038</v>
      </c>
      <c r="S5475" t="s">
        <v>10310</v>
      </c>
      <c r="W5475" t="s">
        <v>11249</v>
      </c>
    </row>
    <row r="5476" spans="1:23" hidden="1" x14ac:dyDescent="0.45">
      <c r="A5476" s="1" t="s">
        <v>5403</v>
      </c>
      <c r="B5476" t="s">
        <v>7029</v>
      </c>
      <c r="D5476" t="s">
        <v>8306</v>
      </c>
      <c r="E5476" t="s">
        <v>10063</v>
      </c>
      <c r="F5476" t="s">
        <v>10305</v>
      </c>
      <c r="G5476">
        <v>12.1</v>
      </c>
      <c r="H5476" t="s">
        <v>10310</v>
      </c>
      <c r="I5476" t="s">
        <v>10325</v>
      </c>
      <c r="K5476" t="s">
        <v>10333</v>
      </c>
      <c r="L5476">
        <v>1985</v>
      </c>
      <c r="N5476">
        <v>49.566954000000003</v>
      </c>
      <c r="P5476">
        <v>6.5923479999999994</v>
      </c>
      <c r="R5476" t="s">
        <v>11038</v>
      </c>
      <c r="S5476" t="s">
        <v>10310</v>
      </c>
      <c r="W5476" t="s">
        <v>11249</v>
      </c>
    </row>
    <row r="5477" spans="1:23" hidden="1" x14ac:dyDescent="0.45">
      <c r="A5477" s="1" t="s">
        <v>5404</v>
      </c>
      <c r="B5477" t="s">
        <v>7029</v>
      </c>
      <c r="D5477" t="s">
        <v>8307</v>
      </c>
      <c r="E5477" t="s">
        <v>10064</v>
      </c>
      <c r="F5477" t="s">
        <v>10305</v>
      </c>
      <c r="G5477">
        <v>14</v>
      </c>
      <c r="H5477" t="s">
        <v>10310</v>
      </c>
      <c r="I5477" t="s">
        <v>10325</v>
      </c>
      <c r="K5477" t="s">
        <v>10333</v>
      </c>
      <c r="L5477">
        <v>1938</v>
      </c>
      <c r="N5477">
        <v>50.628506999999999</v>
      </c>
      <c r="P5477">
        <v>6.4791109999999996</v>
      </c>
      <c r="R5477" t="s">
        <v>11038</v>
      </c>
      <c r="S5477" t="s">
        <v>10310</v>
      </c>
      <c r="W5477" t="s">
        <v>11249</v>
      </c>
    </row>
    <row r="5478" spans="1:23" hidden="1" x14ac:dyDescent="0.45">
      <c r="A5478" s="1" t="s">
        <v>5405</v>
      </c>
      <c r="B5478" t="s">
        <v>7029</v>
      </c>
      <c r="D5478" t="s">
        <v>8307</v>
      </c>
      <c r="E5478" t="s">
        <v>10064</v>
      </c>
      <c r="F5478" t="s">
        <v>10305</v>
      </c>
      <c r="G5478">
        <v>16</v>
      </c>
      <c r="H5478" t="s">
        <v>10310</v>
      </c>
      <c r="I5478" t="s">
        <v>10325</v>
      </c>
      <c r="K5478" t="s">
        <v>10333</v>
      </c>
      <c r="L5478">
        <v>1905</v>
      </c>
      <c r="N5478">
        <v>50.628568000000001</v>
      </c>
      <c r="P5478">
        <v>6.4517760000000024</v>
      </c>
      <c r="R5478" t="s">
        <v>11038</v>
      </c>
      <c r="S5478" t="s">
        <v>10310</v>
      </c>
      <c r="W5478" t="s">
        <v>11249</v>
      </c>
    </row>
    <row r="5479" spans="1:23" hidden="1" x14ac:dyDescent="0.45">
      <c r="A5479" s="1" t="s">
        <v>5406</v>
      </c>
      <c r="B5479" t="s">
        <v>7113</v>
      </c>
      <c r="D5479" t="s">
        <v>8308</v>
      </c>
      <c r="E5479" t="s">
        <v>10065</v>
      </c>
      <c r="F5479" t="s">
        <v>10305</v>
      </c>
      <c r="G5479">
        <v>10</v>
      </c>
      <c r="H5479" t="s">
        <v>10310</v>
      </c>
      <c r="I5479" t="s">
        <v>10325</v>
      </c>
      <c r="K5479" t="s">
        <v>10333</v>
      </c>
      <c r="L5479">
        <v>1982</v>
      </c>
      <c r="N5479">
        <v>48.603155999999998</v>
      </c>
      <c r="P5479">
        <v>10.582724000000001</v>
      </c>
      <c r="R5479" t="s">
        <v>11038</v>
      </c>
      <c r="S5479" t="s">
        <v>10310</v>
      </c>
      <c r="W5479" t="s">
        <v>11249</v>
      </c>
    </row>
    <row r="5480" spans="1:23" hidden="1" x14ac:dyDescent="0.45">
      <c r="A5480" s="1" t="s">
        <v>5407</v>
      </c>
      <c r="B5480" t="s">
        <v>7099</v>
      </c>
      <c r="D5480" t="s">
        <v>8309</v>
      </c>
      <c r="E5480" t="s">
        <v>10066</v>
      </c>
      <c r="F5480" t="s">
        <v>10305</v>
      </c>
      <c r="G5480">
        <v>19.8</v>
      </c>
      <c r="H5480" t="s">
        <v>10310</v>
      </c>
      <c r="I5480" t="s">
        <v>10325</v>
      </c>
      <c r="K5480" t="s">
        <v>10333</v>
      </c>
      <c r="L5480">
        <v>1971</v>
      </c>
      <c r="N5480">
        <v>48.750317000000003</v>
      </c>
      <c r="P5480">
        <v>11.412153</v>
      </c>
      <c r="R5480" t="s">
        <v>11038</v>
      </c>
      <c r="S5480" t="s">
        <v>10310</v>
      </c>
      <c r="W5480" t="s">
        <v>11249</v>
      </c>
    </row>
    <row r="5481" spans="1:23" hidden="1" x14ac:dyDescent="0.45">
      <c r="A5481" s="1" t="s">
        <v>5408</v>
      </c>
      <c r="B5481" t="s">
        <v>7067</v>
      </c>
      <c r="C5481" t="s">
        <v>7636</v>
      </c>
      <c r="D5481" t="s">
        <v>8310</v>
      </c>
      <c r="E5481" t="s">
        <v>10067</v>
      </c>
      <c r="F5481" t="s">
        <v>10305</v>
      </c>
      <c r="G5481">
        <v>16.7</v>
      </c>
      <c r="H5481" t="s">
        <v>10310</v>
      </c>
      <c r="I5481" t="s">
        <v>10325</v>
      </c>
      <c r="K5481" t="s">
        <v>10333</v>
      </c>
      <c r="L5481">
        <v>1975</v>
      </c>
      <c r="N5481">
        <v>48.084026000000001</v>
      </c>
      <c r="P5481">
        <v>10.864936</v>
      </c>
      <c r="R5481" t="s">
        <v>11038</v>
      </c>
      <c r="S5481" t="s">
        <v>10310</v>
      </c>
      <c r="W5481" t="s">
        <v>11249</v>
      </c>
    </row>
    <row r="5482" spans="1:23" hidden="1" x14ac:dyDescent="0.45">
      <c r="A5482" s="1" t="s">
        <v>5409</v>
      </c>
      <c r="B5482" t="s">
        <v>7061</v>
      </c>
      <c r="D5482" t="s">
        <v>8311</v>
      </c>
      <c r="E5482" t="s">
        <v>10011</v>
      </c>
      <c r="F5482" t="s">
        <v>10305</v>
      </c>
      <c r="G5482">
        <v>14.5</v>
      </c>
      <c r="H5482" t="s">
        <v>10310</v>
      </c>
      <c r="I5482" t="s">
        <v>10325</v>
      </c>
      <c r="K5482" t="s">
        <v>10333</v>
      </c>
      <c r="L5482">
        <v>1924</v>
      </c>
      <c r="N5482">
        <v>48.061264899999998</v>
      </c>
      <c r="P5482">
        <v>10.1284379</v>
      </c>
      <c r="R5482" t="s">
        <v>11038</v>
      </c>
      <c r="S5482" t="s">
        <v>10310</v>
      </c>
      <c r="W5482" t="s">
        <v>11249</v>
      </c>
    </row>
    <row r="5483" spans="1:23" hidden="1" x14ac:dyDescent="0.45">
      <c r="A5483" s="1" t="s">
        <v>5410</v>
      </c>
      <c r="B5483" t="s">
        <v>7029</v>
      </c>
      <c r="D5483" t="s">
        <v>8312</v>
      </c>
      <c r="E5483" t="s">
        <v>10068</v>
      </c>
      <c r="F5483" t="s">
        <v>10305</v>
      </c>
      <c r="G5483">
        <v>16</v>
      </c>
      <c r="H5483" t="s">
        <v>10310</v>
      </c>
      <c r="I5483" t="s">
        <v>10325</v>
      </c>
      <c r="K5483" t="s">
        <v>10333</v>
      </c>
      <c r="L5483">
        <v>1951</v>
      </c>
      <c r="N5483">
        <v>50.365855000000003</v>
      </c>
      <c r="P5483">
        <v>7.5817100000000002</v>
      </c>
      <c r="R5483" t="s">
        <v>11038</v>
      </c>
      <c r="S5483" t="s">
        <v>10310</v>
      </c>
      <c r="W5483" t="s">
        <v>11249</v>
      </c>
    </row>
    <row r="5484" spans="1:23" hidden="1" x14ac:dyDescent="0.45">
      <c r="A5484" s="1" t="s">
        <v>5411</v>
      </c>
      <c r="B5484" t="s">
        <v>7114</v>
      </c>
      <c r="D5484" t="s">
        <v>8313</v>
      </c>
      <c r="E5484" t="s">
        <v>10069</v>
      </c>
      <c r="F5484" t="s">
        <v>10305</v>
      </c>
      <c r="G5484">
        <v>10.1</v>
      </c>
      <c r="H5484" t="s">
        <v>10310</v>
      </c>
      <c r="I5484" t="s">
        <v>10325</v>
      </c>
      <c r="K5484" t="s">
        <v>10333</v>
      </c>
      <c r="L5484">
        <v>1965</v>
      </c>
      <c r="N5484">
        <v>48.558394</v>
      </c>
      <c r="P5484">
        <v>10.411764</v>
      </c>
      <c r="R5484" t="s">
        <v>11038</v>
      </c>
      <c r="S5484" t="s">
        <v>10310</v>
      </c>
      <c r="W5484" t="s">
        <v>11249</v>
      </c>
    </row>
    <row r="5485" spans="1:23" hidden="1" x14ac:dyDescent="0.45">
      <c r="A5485" s="1" t="s">
        <v>5412</v>
      </c>
      <c r="B5485" t="s">
        <v>7067</v>
      </c>
      <c r="C5485" t="s">
        <v>7637</v>
      </c>
      <c r="D5485" t="s">
        <v>8314</v>
      </c>
      <c r="E5485" t="s">
        <v>10070</v>
      </c>
      <c r="F5485" t="s">
        <v>10305</v>
      </c>
      <c r="G5485">
        <v>10.1</v>
      </c>
      <c r="H5485" t="s">
        <v>10310</v>
      </c>
      <c r="I5485" t="s">
        <v>10325</v>
      </c>
      <c r="K5485" t="s">
        <v>10333</v>
      </c>
      <c r="L5485">
        <v>1966</v>
      </c>
      <c r="N5485">
        <v>47.715980000000002</v>
      </c>
      <c r="P5485">
        <v>10.825785</v>
      </c>
      <c r="R5485" t="s">
        <v>11038</v>
      </c>
      <c r="S5485" t="s">
        <v>10310</v>
      </c>
      <c r="W5485" t="s">
        <v>11249</v>
      </c>
    </row>
    <row r="5486" spans="1:23" hidden="1" x14ac:dyDescent="0.45">
      <c r="A5486" s="1" t="s">
        <v>5413</v>
      </c>
      <c r="B5486" t="s">
        <v>7067</v>
      </c>
      <c r="C5486" t="s">
        <v>7638</v>
      </c>
      <c r="D5486" t="s">
        <v>8314</v>
      </c>
      <c r="E5486" t="s">
        <v>10070</v>
      </c>
      <c r="F5486" t="s">
        <v>10305</v>
      </c>
      <c r="G5486">
        <v>19.2</v>
      </c>
      <c r="H5486" t="s">
        <v>10310</v>
      </c>
      <c r="I5486" t="s">
        <v>10325</v>
      </c>
      <c r="K5486" t="s">
        <v>10333</v>
      </c>
      <c r="L5486">
        <v>1971</v>
      </c>
      <c r="N5486">
        <v>47.692726</v>
      </c>
      <c r="P5486">
        <v>10.797592</v>
      </c>
      <c r="R5486" t="s">
        <v>11038</v>
      </c>
      <c r="S5486" t="s">
        <v>10310</v>
      </c>
      <c r="W5486" t="s">
        <v>11249</v>
      </c>
    </row>
    <row r="5487" spans="1:23" hidden="1" x14ac:dyDescent="0.45">
      <c r="A5487" s="1" t="s">
        <v>5414</v>
      </c>
      <c r="B5487" t="s">
        <v>7113</v>
      </c>
      <c r="D5487" t="s">
        <v>8315</v>
      </c>
      <c r="E5487" t="s">
        <v>10071</v>
      </c>
      <c r="F5487" t="s">
        <v>10305</v>
      </c>
      <c r="G5487">
        <v>11.3</v>
      </c>
      <c r="H5487" t="s">
        <v>10310</v>
      </c>
      <c r="I5487" t="s">
        <v>10325</v>
      </c>
      <c r="K5487" t="s">
        <v>10333</v>
      </c>
      <c r="L5487">
        <v>1922</v>
      </c>
      <c r="N5487">
        <v>48.546993999999998</v>
      </c>
      <c r="P5487">
        <v>10.865069999999999</v>
      </c>
      <c r="R5487" t="s">
        <v>11038</v>
      </c>
      <c r="S5487" t="s">
        <v>10310</v>
      </c>
      <c r="W5487" t="s">
        <v>11249</v>
      </c>
    </row>
    <row r="5488" spans="1:23" hidden="1" x14ac:dyDescent="0.45">
      <c r="A5488" s="1" t="s">
        <v>5415</v>
      </c>
      <c r="B5488" t="s">
        <v>7067</v>
      </c>
      <c r="C5488" t="s">
        <v>7639</v>
      </c>
      <c r="D5488" t="s">
        <v>8316</v>
      </c>
      <c r="E5488" t="s">
        <v>10072</v>
      </c>
      <c r="F5488" t="s">
        <v>10305</v>
      </c>
      <c r="G5488">
        <v>12</v>
      </c>
      <c r="H5488" t="s">
        <v>10310</v>
      </c>
      <c r="I5488" t="s">
        <v>10325</v>
      </c>
      <c r="K5488" t="s">
        <v>10333</v>
      </c>
      <c r="L5488">
        <v>1978</v>
      </c>
      <c r="N5488">
        <v>48.2704497</v>
      </c>
      <c r="P5488">
        <v>10.977346300000001</v>
      </c>
      <c r="R5488" t="s">
        <v>11038</v>
      </c>
      <c r="S5488" t="s">
        <v>10310</v>
      </c>
      <c r="W5488" t="s">
        <v>11249</v>
      </c>
    </row>
    <row r="5489" spans="1:23" hidden="1" x14ac:dyDescent="0.45">
      <c r="A5489" s="1" t="s">
        <v>5416</v>
      </c>
      <c r="B5489" t="s">
        <v>7067</v>
      </c>
      <c r="C5489" t="s">
        <v>7640</v>
      </c>
      <c r="D5489" t="s">
        <v>8291</v>
      </c>
      <c r="E5489" t="s">
        <v>10073</v>
      </c>
      <c r="F5489" t="s">
        <v>10305</v>
      </c>
      <c r="G5489">
        <v>22.3</v>
      </c>
      <c r="H5489" t="s">
        <v>10310</v>
      </c>
      <c r="I5489" t="s">
        <v>10325</v>
      </c>
      <c r="K5489" t="s">
        <v>10333</v>
      </c>
      <c r="L5489">
        <v>1929</v>
      </c>
      <c r="N5489">
        <v>48.441320000000012</v>
      </c>
      <c r="P5489">
        <v>11.992330000000001</v>
      </c>
      <c r="R5489" t="s">
        <v>11038</v>
      </c>
      <c r="S5489" t="s">
        <v>10310</v>
      </c>
      <c r="W5489" t="s">
        <v>11249</v>
      </c>
    </row>
    <row r="5490" spans="1:23" hidden="1" x14ac:dyDescent="0.45">
      <c r="A5490" s="1" t="s">
        <v>5417</v>
      </c>
      <c r="B5490" t="s">
        <v>7029</v>
      </c>
      <c r="D5490" t="s">
        <v>8317</v>
      </c>
      <c r="E5490" t="s">
        <v>10074</v>
      </c>
      <c r="F5490" t="s">
        <v>10305</v>
      </c>
      <c r="G5490">
        <v>16.399999999999999</v>
      </c>
      <c r="H5490" t="s">
        <v>10310</v>
      </c>
      <c r="I5490" t="s">
        <v>10325</v>
      </c>
      <c r="K5490" t="s">
        <v>10333</v>
      </c>
      <c r="L5490">
        <v>1965</v>
      </c>
      <c r="N5490">
        <v>52.521937000000001</v>
      </c>
      <c r="P5490">
        <v>10.360381</v>
      </c>
      <c r="R5490" t="s">
        <v>11038</v>
      </c>
      <c r="S5490" t="s">
        <v>10310</v>
      </c>
      <c r="W5490" t="s">
        <v>11249</v>
      </c>
    </row>
    <row r="5491" spans="1:23" hidden="1" x14ac:dyDescent="0.45">
      <c r="A5491" s="1" t="s">
        <v>5418</v>
      </c>
      <c r="B5491" t="s">
        <v>7029</v>
      </c>
      <c r="D5491" t="s">
        <v>8318</v>
      </c>
      <c r="E5491" t="s">
        <v>10075</v>
      </c>
      <c r="F5491" t="s">
        <v>10305</v>
      </c>
      <c r="G5491">
        <v>16.399999999999999</v>
      </c>
      <c r="H5491" t="s">
        <v>10310</v>
      </c>
      <c r="I5491" t="s">
        <v>10325</v>
      </c>
      <c r="K5491" t="s">
        <v>10333</v>
      </c>
      <c r="L5491">
        <v>1966</v>
      </c>
      <c r="N5491">
        <v>50.087361999999999</v>
      </c>
      <c r="P5491">
        <v>7.1358090000000001</v>
      </c>
      <c r="R5491" t="s">
        <v>11038</v>
      </c>
      <c r="S5491" t="s">
        <v>10310</v>
      </c>
      <c r="W5491" t="s">
        <v>11249</v>
      </c>
    </row>
    <row r="5492" spans="1:23" hidden="1" x14ac:dyDescent="0.45">
      <c r="A5492" s="1" t="s">
        <v>5419</v>
      </c>
      <c r="B5492" t="s">
        <v>7067</v>
      </c>
      <c r="C5492" t="s">
        <v>7641</v>
      </c>
      <c r="D5492" t="s">
        <v>8319</v>
      </c>
      <c r="E5492" t="s">
        <v>10076</v>
      </c>
      <c r="F5492" t="s">
        <v>10305</v>
      </c>
      <c r="G5492">
        <v>16.2</v>
      </c>
      <c r="H5492" t="s">
        <v>10310</v>
      </c>
      <c r="I5492" t="s">
        <v>10325</v>
      </c>
      <c r="K5492" t="s">
        <v>10333</v>
      </c>
      <c r="L5492">
        <v>1951</v>
      </c>
      <c r="N5492">
        <v>48.603913200000001</v>
      </c>
      <c r="P5492">
        <v>12.3023425</v>
      </c>
      <c r="R5492" t="s">
        <v>11038</v>
      </c>
      <c r="S5492" t="s">
        <v>10310</v>
      </c>
      <c r="W5492" t="s">
        <v>11249</v>
      </c>
    </row>
    <row r="5493" spans="1:23" hidden="1" x14ac:dyDescent="0.45">
      <c r="A5493" s="1" t="s">
        <v>5420</v>
      </c>
      <c r="B5493" t="s">
        <v>7067</v>
      </c>
      <c r="C5493" t="s">
        <v>7642</v>
      </c>
      <c r="D5493" t="s">
        <v>8320</v>
      </c>
      <c r="E5493" t="s">
        <v>10077</v>
      </c>
      <c r="F5493" t="s">
        <v>10305</v>
      </c>
      <c r="G5493">
        <v>14.8</v>
      </c>
      <c r="H5493" t="s">
        <v>10310</v>
      </c>
      <c r="I5493" t="s">
        <v>10325</v>
      </c>
      <c r="K5493" t="s">
        <v>10333</v>
      </c>
      <c r="L5493">
        <v>1957</v>
      </c>
      <c r="N5493">
        <v>48.622456</v>
      </c>
      <c r="P5493">
        <v>12.398037</v>
      </c>
      <c r="R5493" t="s">
        <v>11038</v>
      </c>
      <c r="S5493" t="s">
        <v>10310</v>
      </c>
      <c r="W5493" t="s">
        <v>11249</v>
      </c>
    </row>
    <row r="5494" spans="1:23" hidden="1" x14ac:dyDescent="0.45">
      <c r="A5494" s="1" t="s">
        <v>5421</v>
      </c>
      <c r="B5494" t="s">
        <v>7067</v>
      </c>
      <c r="C5494" t="s">
        <v>7643</v>
      </c>
      <c r="D5494" t="s">
        <v>8321</v>
      </c>
      <c r="E5494" t="s">
        <v>10078</v>
      </c>
      <c r="F5494" t="s">
        <v>10305</v>
      </c>
      <c r="G5494">
        <v>27</v>
      </c>
      <c r="H5494" t="s">
        <v>10310</v>
      </c>
      <c r="I5494" t="s">
        <v>10325</v>
      </c>
      <c r="K5494" t="s">
        <v>10333</v>
      </c>
      <c r="L5494">
        <v>1924</v>
      </c>
      <c r="N5494">
        <v>48.306686399999997</v>
      </c>
      <c r="P5494">
        <v>11.858847000000001</v>
      </c>
      <c r="R5494" t="s">
        <v>11038</v>
      </c>
      <c r="S5494" t="s">
        <v>10310</v>
      </c>
      <c r="W5494" t="s">
        <v>11249</v>
      </c>
    </row>
    <row r="5495" spans="1:23" hidden="1" x14ac:dyDescent="0.45">
      <c r="A5495" s="1" t="s">
        <v>5422</v>
      </c>
      <c r="B5495" t="s">
        <v>7113</v>
      </c>
      <c r="D5495" t="s">
        <v>8322</v>
      </c>
      <c r="E5495" t="s">
        <v>10079</v>
      </c>
      <c r="F5495" t="s">
        <v>10305</v>
      </c>
      <c r="G5495">
        <v>11.9</v>
      </c>
      <c r="H5495" t="s">
        <v>10310</v>
      </c>
      <c r="I5495" t="s">
        <v>10325</v>
      </c>
      <c r="K5495" t="s">
        <v>10333</v>
      </c>
      <c r="L5495">
        <v>1954</v>
      </c>
      <c r="N5495">
        <v>48.646422999999999</v>
      </c>
      <c r="P5495">
        <v>10.879085999999999</v>
      </c>
      <c r="R5495" t="s">
        <v>11038</v>
      </c>
      <c r="S5495" t="s">
        <v>10310</v>
      </c>
      <c r="W5495" t="s">
        <v>11249</v>
      </c>
    </row>
    <row r="5496" spans="1:23" hidden="1" x14ac:dyDescent="0.45">
      <c r="A5496" s="1" t="s">
        <v>5423</v>
      </c>
      <c r="B5496" t="s">
        <v>7067</v>
      </c>
      <c r="C5496" t="s">
        <v>7644</v>
      </c>
      <c r="D5496" t="s">
        <v>8323</v>
      </c>
      <c r="E5496" t="s">
        <v>10080</v>
      </c>
      <c r="F5496" t="s">
        <v>10305</v>
      </c>
      <c r="G5496">
        <v>12.6</v>
      </c>
      <c r="H5496" t="s">
        <v>10310</v>
      </c>
      <c r="I5496" t="s">
        <v>10325</v>
      </c>
      <c r="K5496" t="s">
        <v>10333</v>
      </c>
      <c r="L5496">
        <v>1984</v>
      </c>
      <c r="N5496">
        <v>48.667862</v>
      </c>
      <c r="P5496">
        <v>12.660026999999999</v>
      </c>
      <c r="R5496" t="s">
        <v>11038</v>
      </c>
      <c r="S5496" t="s">
        <v>10310</v>
      </c>
      <c r="W5496" t="s">
        <v>11249</v>
      </c>
    </row>
    <row r="5497" spans="1:23" hidden="1" x14ac:dyDescent="0.45">
      <c r="A5497" s="1" t="s">
        <v>5424</v>
      </c>
      <c r="B5497" t="s">
        <v>7067</v>
      </c>
      <c r="C5497" t="s">
        <v>7645</v>
      </c>
      <c r="D5497" t="s">
        <v>8324</v>
      </c>
      <c r="E5497" t="s">
        <v>10081</v>
      </c>
      <c r="F5497" t="s">
        <v>10305</v>
      </c>
      <c r="G5497">
        <v>12.6</v>
      </c>
      <c r="H5497" t="s">
        <v>10310</v>
      </c>
      <c r="I5497" t="s">
        <v>10325</v>
      </c>
      <c r="K5497" t="s">
        <v>10333</v>
      </c>
      <c r="L5497">
        <v>1994</v>
      </c>
      <c r="N5497">
        <v>49.794340000000012</v>
      </c>
      <c r="P5497">
        <v>10.1813</v>
      </c>
      <c r="R5497" t="s">
        <v>11038</v>
      </c>
      <c r="S5497" t="s">
        <v>10310</v>
      </c>
      <c r="W5497" t="s">
        <v>11249</v>
      </c>
    </row>
    <row r="5498" spans="1:23" hidden="1" x14ac:dyDescent="0.45">
      <c r="A5498" s="1" t="s">
        <v>5425</v>
      </c>
      <c r="B5498" t="s">
        <v>7067</v>
      </c>
      <c r="C5498" t="s">
        <v>7646</v>
      </c>
      <c r="D5498" t="s">
        <v>8325</v>
      </c>
      <c r="E5498" t="s">
        <v>10082</v>
      </c>
      <c r="F5498" t="s">
        <v>10305</v>
      </c>
      <c r="G5498">
        <v>12.1</v>
      </c>
      <c r="H5498" t="s">
        <v>10310</v>
      </c>
      <c r="I5498" t="s">
        <v>10325</v>
      </c>
      <c r="K5498" t="s">
        <v>10333</v>
      </c>
      <c r="L5498">
        <v>1984</v>
      </c>
      <c r="N5498">
        <v>48.210619999999999</v>
      </c>
      <c r="P5498">
        <v>10.904933</v>
      </c>
      <c r="R5498" t="s">
        <v>11038</v>
      </c>
      <c r="S5498" t="s">
        <v>10310</v>
      </c>
      <c r="W5498" t="s">
        <v>11249</v>
      </c>
    </row>
    <row r="5499" spans="1:23" hidden="1" x14ac:dyDescent="0.45">
      <c r="A5499" s="1" t="s">
        <v>5426</v>
      </c>
      <c r="B5499" t="s">
        <v>7113</v>
      </c>
      <c r="D5499" t="s">
        <v>8326</v>
      </c>
      <c r="E5499" t="s">
        <v>10083</v>
      </c>
      <c r="F5499" t="s">
        <v>10305</v>
      </c>
      <c r="G5499">
        <v>10.9</v>
      </c>
      <c r="H5499" t="s">
        <v>10310</v>
      </c>
      <c r="I5499" t="s">
        <v>10325</v>
      </c>
      <c r="K5499" t="s">
        <v>10333</v>
      </c>
      <c r="L5499">
        <v>1956</v>
      </c>
      <c r="N5499">
        <v>48.692383</v>
      </c>
      <c r="P5499">
        <v>10.897786</v>
      </c>
      <c r="R5499" t="s">
        <v>11038</v>
      </c>
      <c r="S5499" t="s">
        <v>10310</v>
      </c>
      <c r="W5499" t="s">
        <v>11249</v>
      </c>
    </row>
    <row r="5500" spans="1:23" hidden="1" x14ac:dyDescent="0.45">
      <c r="A5500" s="1" t="s">
        <v>5427</v>
      </c>
      <c r="B5500" t="s">
        <v>7099</v>
      </c>
      <c r="D5500" t="s">
        <v>8327</v>
      </c>
      <c r="E5500" t="s">
        <v>10084</v>
      </c>
      <c r="F5500" t="s">
        <v>10305</v>
      </c>
      <c r="G5500">
        <v>18.899999999999999</v>
      </c>
      <c r="H5500" t="s">
        <v>10310</v>
      </c>
      <c r="I5500" t="s">
        <v>10325</v>
      </c>
      <c r="K5500" t="s">
        <v>10333</v>
      </c>
      <c r="L5500">
        <v>1968</v>
      </c>
      <c r="N5500">
        <v>48.735931999999998</v>
      </c>
      <c r="P5500">
        <v>11.020923</v>
      </c>
      <c r="R5500" t="s">
        <v>11038</v>
      </c>
      <c r="S5500" t="s">
        <v>10310</v>
      </c>
      <c r="W5500" t="s">
        <v>11249</v>
      </c>
    </row>
    <row r="5501" spans="1:23" hidden="1" x14ac:dyDescent="0.45">
      <c r="A5501" s="1" t="s">
        <v>5428</v>
      </c>
      <c r="B5501" t="s">
        <v>7067</v>
      </c>
      <c r="C5501" t="s">
        <v>7647</v>
      </c>
      <c r="D5501" t="s">
        <v>8328</v>
      </c>
      <c r="E5501" t="s">
        <v>10085</v>
      </c>
      <c r="F5501" t="s">
        <v>10305</v>
      </c>
      <c r="G5501">
        <v>12</v>
      </c>
      <c r="H5501" t="s">
        <v>10310</v>
      </c>
      <c r="I5501" t="s">
        <v>10325</v>
      </c>
      <c r="K5501" t="s">
        <v>10333</v>
      </c>
      <c r="L5501">
        <v>1981</v>
      </c>
      <c r="N5501">
        <v>48.148375000000001</v>
      </c>
      <c r="P5501">
        <v>10.867023</v>
      </c>
      <c r="R5501" t="s">
        <v>11038</v>
      </c>
      <c r="S5501" t="s">
        <v>10310</v>
      </c>
      <c r="W5501" t="s">
        <v>11249</v>
      </c>
    </row>
    <row r="5502" spans="1:23" hidden="1" x14ac:dyDescent="0.45">
      <c r="A5502" s="1" t="s">
        <v>5429</v>
      </c>
      <c r="B5502" t="s">
        <v>7067</v>
      </c>
      <c r="C5502" t="s">
        <v>7648</v>
      </c>
      <c r="D5502" t="s">
        <v>8328</v>
      </c>
      <c r="E5502" t="s">
        <v>10085</v>
      </c>
      <c r="F5502" t="s">
        <v>10305</v>
      </c>
      <c r="G5502">
        <v>12.2</v>
      </c>
      <c r="H5502" t="s">
        <v>10310</v>
      </c>
      <c r="I5502" t="s">
        <v>10325</v>
      </c>
      <c r="K5502" t="s">
        <v>10333</v>
      </c>
      <c r="L5502">
        <v>1980</v>
      </c>
      <c r="N5502">
        <v>48.180228999999997</v>
      </c>
      <c r="P5502">
        <v>10.8833102</v>
      </c>
      <c r="R5502" t="s">
        <v>11038</v>
      </c>
      <c r="S5502" t="s">
        <v>10310</v>
      </c>
      <c r="W5502" t="s">
        <v>11249</v>
      </c>
    </row>
    <row r="5503" spans="1:23" hidden="1" x14ac:dyDescent="0.45">
      <c r="A5503" s="1" t="s">
        <v>5430</v>
      </c>
      <c r="B5503" t="s">
        <v>7067</v>
      </c>
      <c r="C5503" t="s">
        <v>7649</v>
      </c>
      <c r="D5503" t="s">
        <v>8329</v>
      </c>
      <c r="E5503" t="s">
        <v>10086</v>
      </c>
      <c r="F5503" t="s">
        <v>10305</v>
      </c>
      <c r="G5503">
        <v>12.3</v>
      </c>
      <c r="H5503" t="s">
        <v>10310</v>
      </c>
      <c r="I5503" t="s">
        <v>10325</v>
      </c>
      <c r="K5503" t="s">
        <v>10333</v>
      </c>
      <c r="L5503">
        <v>1983</v>
      </c>
      <c r="N5503">
        <v>48.237448999999998</v>
      </c>
      <c r="P5503">
        <v>10.92718</v>
      </c>
      <c r="R5503" t="s">
        <v>11038</v>
      </c>
      <c r="S5503" t="s">
        <v>10310</v>
      </c>
      <c r="W5503" t="s">
        <v>11249</v>
      </c>
    </row>
    <row r="5504" spans="1:23" hidden="1" x14ac:dyDescent="0.45">
      <c r="A5504" s="1" t="s">
        <v>5431</v>
      </c>
      <c r="B5504" t="s">
        <v>7115</v>
      </c>
      <c r="C5504" t="s">
        <v>7650</v>
      </c>
      <c r="D5504" t="s">
        <v>8330</v>
      </c>
      <c r="E5504" t="s">
        <v>10087</v>
      </c>
      <c r="F5504" t="s">
        <v>10305</v>
      </c>
      <c r="G5504">
        <v>10.5</v>
      </c>
      <c r="H5504" t="s">
        <v>10310</v>
      </c>
      <c r="I5504" t="s">
        <v>10325</v>
      </c>
      <c r="K5504" t="s">
        <v>10333</v>
      </c>
      <c r="L5504">
        <v>1959</v>
      </c>
      <c r="N5504">
        <v>47.803187000000001</v>
      </c>
      <c r="P5504">
        <v>10.904254</v>
      </c>
      <c r="R5504" t="s">
        <v>11038</v>
      </c>
      <c r="S5504" t="s">
        <v>10310</v>
      </c>
      <c r="W5504" t="s">
        <v>11249</v>
      </c>
    </row>
    <row r="5505" spans="1:23" hidden="1" x14ac:dyDescent="0.45">
      <c r="A5505" s="1" t="s">
        <v>5432</v>
      </c>
      <c r="B5505" t="s">
        <v>7067</v>
      </c>
      <c r="C5505" t="s">
        <v>7651</v>
      </c>
      <c r="D5505" t="s">
        <v>8330</v>
      </c>
      <c r="E5505" t="s">
        <v>10087</v>
      </c>
      <c r="F5505" t="s">
        <v>10305</v>
      </c>
      <c r="G5505">
        <v>16.600000000000001</v>
      </c>
      <c r="H5505" t="s">
        <v>10310</v>
      </c>
      <c r="I5505" t="s">
        <v>10325</v>
      </c>
      <c r="K5505" t="s">
        <v>10333</v>
      </c>
      <c r="L5505">
        <v>1960</v>
      </c>
      <c r="N5505">
        <v>47.800199300000003</v>
      </c>
      <c r="P5505">
        <v>10.902643400000001</v>
      </c>
      <c r="R5505" t="s">
        <v>11038</v>
      </c>
      <c r="S5505" t="s">
        <v>10310</v>
      </c>
      <c r="W5505" t="s">
        <v>11249</v>
      </c>
    </row>
    <row r="5506" spans="1:23" hidden="1" x14ac:dyDescent="0.45">
      <c r="A5506" s="1" t="s">
        <v>5433</v>
      </c>
      <c r="B5506" t="s">
        <v>7067</v>
      </c>
      <c r="C5506" t="s">
        <v>7652</v>
      </c>
      <c r="D5506" t="s">
        <v>8331</v>
      </c>
      <c r="E5506" t="s">
        <v>10088</v>
      </c>
      <c r="F5506" t="s">
        <v>10305</v>
      </c>
      <c r="G5506">
        <v>11.2</v>
      </c>
      <c r="H5506" t="s">
        <v>10310</v>
      </c>
      <c r="I5506" t="s">
        <v>10325</v>
      </c>
      <c r="K5506" t="s">
        <v>10333</v>
      </c>
      <c r="L5506">
        <v>1924</v>
      </c>
      <c r="N5506">
        <v>47.996297239999997</v>
      </c>
      <c r="P5506">
        <v>11.485427870000001</v>
      </c>
      <c r="R5506" t="s">
        <v>11038</v>
      </c>
      <c r="S5506" t="s">
        <v>10310</v>
      </c>
      <c r="W5506" t="s">
        <v>11249</v>
      </c>
    </row>
    <row r="5507" spans="1:23" hidden="1" x14ac:dyDescent="0.45">
      <c r="A5507" s="1" t="s">
        <v>5434</v>
      </c>
      <c r="B5507" t="s">
        <v>7061</v>
      </c>
      <c r="D5507" t="s">
        <v>8332</v>
      </c>
      <c r="E5507" t="s">
        <v>10089</v>
      </c>
      <c r="F5507" t="s">
        <v>10305</v>
      </c>
      <c r="G5507">
        <v>12.3</v>
      </c>
      <c r="H5507" t="s">
        <v>10310</v>
      </c>
      <c r="I5507" t="s">
        <v>10325</v>
      </c>
      <c r="K5507" t="s">
        <v>10333</v>
      </c>
      <c r="L5507">
        <v>1920</v>
      </c>
      <c r="N5507">
        <v>48.007950000000001</v>
      </c>
      <c r="P5507">
        <v>10.118537</v>
      </c>
      <c r="R5507" t="s">
        <v>11038</v>
      </c>
      <c r="S5507" t="s">
        <v>10310</v>
      </c>
      <c r="W5507" t="s">
        <v>11249</v>
      </c>
    </row>
    <row r="5508" spans="1:23" hidden="1" x14ac:dyDescent="0.45">
      <c r="A5508" s="1" t="s">
        <v>5435</v>
      </c>
      <c r="B5508" t="s">
        <v>7108</v>
      </c>
      <c r="D5508" t="s">
        <v>8333</v>
      </c>
      <c r="E5508" t="s">
        <v>10090</v>
      </c>
      <c r="F5508" t="s">
        <v>10305</v>
      </c>
      <c r="G5508">
        <v>18</v>
      </c>
      <c r="H5508" t="s">
        <v>10310</v>
      </c>
      <c r="I5508" t="s">
        <v>10325</v>
      </c>
      <c r="K5508" t="s">
        <v>10333</v>
      </c>
      <c r="L5508">
        <v>1951</v>
      </c>
      <c r="N5508">
        <v>48.515233000000002</v>
      </c>
      <c r="P5508">
        <v>12.101041</v>
      </c>
      <c r="R5508" t="s">
        <v>11038</v>
      </c>
      <c r="S5508" t="s">
        <v>10310</v>
      </c>
      <c r="W5508" t="s">
        <v>11249</v>
      </c>
    </row>
    <row r="5509" spans="1:23" hidden="1" x14ac:dyDescent="0.45">
      <c r="A5509" s="1" t="s">
        <v>5436</v>
      </c>
      <c r="B5509" t="s">
        <v>7029</v>
      </c>
      <c r="D5509" t="s">
        <v>8334</v>
      </c>
      <c r="E5509" t="s">
        <v>10091</v>
      </c>
      <c r="F5509" t="s">
        <v>10305</v>
      </c>
      <c r="G5509">
        <v>18.8</v>
      </c>
      <c r="H5509" t="s">
        <v>10310</v>
      </c>
      <c r="I5509" t="s">
        <v>10325</v>
      </c>
      <c r="K5509" t="s">
        <v>10333</v>
      </c>
      <c r="L5509">
        <v>1962</v>
      </c>
      <c r="N5509">
        <v>49.728028999999999</v>
      </c>
      <c r="P5509">
        <v>6.6244509999999996</v>
      </c>
      <c r="R5509" t="s">
        <v>11038</v>
      </c>
      <c r="S5509" t="s">
        <v>10310</v>
      </c>
      <c r="W5509" t="s">
        <v>11249</v>
      </c>
    </row>
    <row r="5510" spans="1:23" hidden="1" x14ac:dyDescent="0.45">
      <c r="A5510" s="1" t="s">
        <v>5437</v>
      </c>
      <c r="B5510" t="s">
        <v>7067</v>
      </c>
      <c r="C5510" t="s">
        <v>7653</v>
      </c>
      <c r="D5510" t="s">
        <v>8335</v>
      </c>
      <c r="E5510" t="s">
        <v>10092</v>
      </c>
      <c r="F5510" t="s">
        <v>10305</v>
      </c>
      <c r="G5510">
        <v>12.8</v>
      </c>
      <c r="H5510" t="s">
        <v>10310</v>
      </c>
      <c r="I5510" t="s">
        <v>10325</v>
      </c>
      <c r="K5510" t="s">
        <v>10333</v>
      </c>
      <c r="L5510">
        <v>1955</v>
      </c>
      <c r="N5510">
        <v>47.554693999999998</v>
      </c>
      <c r="P5510">
        <v>11.291366</v>
      </c>
      <c r="R5510" t="s">
        <v>11038</v>
      </c>
      <c r="S5510" t="s">
        <v>10310</v>
      </c>
      <c r="W5510" t="s">
        <v>11249</v>
      </c>
    </row>
    <row r="5511" spans="1:23" hidden="1" x14ac:dyDescent="0.45">
      <c r="A5511" s="1" t="s">
        <v>5438</v>
      </c>
      <c r="B5511" t="s">
        <v>7067</v>
      </c>
      <c r="C5511" t="s">
        <v>7654</v>
      </c>
      <c r="D5511" t="s">
        <v>8336</v>
      </c>
      <c r="E5511" t="s">
        <v>10093</v>
      </c>
      <c r="F5511" t="s">
        <v>10305</v>
      </c>
      <c r="G5511">
        <v>12.6</v>
      </c>
      <c r="H5511" t="s">
        <v>10310</v>
      </c>
      <c r="I5511" t="s">
        <v>10325</v>
      </c>
      <c r="K5511" t="s">
        <v>10333</v>
      </c>
      <c r="L5511">
        <v>1988</v>
      </c>
      <c r="N5511">
        <v>48.696072200000003</v>
      </c>
      <c r="P5511">
        <v>12.797761899999999</v>
      </c>
      <c r="R5511" t="s">
        <v>11038</v>
      </c>
      <c r="S5511" t="s">
        <v>10310</v>
      </c>
      <c r="W5511" t="s">
        <v>11249</v>
      </c>
    </row>
    <row r="5512" spans="1:23" hidden="1" x14ac:dyDescent="0.45">
      <c r="A5512" s="1" t="s">
        <v>5439</v>
      </c>
      <c r="B5512" t="s">
        <v>7029</v>
      </c>
      <c r="D5512" t="s">
        <v>8337</v>
      </c>
      <c r="E5512" t="s">
        <v>10094</v>
      </c>
      <c r="F5512" t="s">
        <v>10305</v>
      </c>
      <c r="G5512">
        <v>13.6</v>
      </c>
      <c r="H5512" t="s">
        <v>10310</v>
      </c>
      <c r="I5512" t="s">
        <v>10325</v>
      </c>
      <c r="K5512" t="s">
        <v>10333</v>
      </c>
      <c r="L5512">
        <v>1964</v>
      </c>
      <c r="N5512">
        <v>49.951073999999998</v>
      </c>
      <c r="P5512">
        <v>7.0231660000000016</v>
      </c>
      <c r="R5512" t="s">
        <v>11038</v>
      </c>
      <c r="S5512" t="s">
        <v>10310</v>
      </c>
      <c r="W5512" t="s">
        <v>11249</v>
      </c>
    </row>
    <row r="5513" spans="1:23" hidden="1" x14ac:dyDescent="0.45">
      <c r="A5513" s="1" t="s">
        <v>5440</v>
      </c>
      <c r="B5513" t="s">
        <v>7116</v>
      </c>
      <c r="C5513" t="s">
        <v>7655</v>
      </c>
      <c r="D5513" t="s">
        <v>8338</v>
      </c>
      <c r="E5513" t="s">
        <v>10095</v>
      </c>
      <c r="F5513" t="s">
        <v>10305</v>
      </c>
      <c r="G5513">
        <v>18.95</v>
      </c>
      <c r="H5513" t="s">
        <v>10310</v>
      </c>
      <c r="I5513" t="s">
        <v>10325</v>
      </c>
      <c r="K5513" t="s">
        <v>10333</v>
      </c>
      <c r="L5513">
        <v>1920</v>
      </c>
      <c r="N5513">
        <v>48.153930000000003</v>
      </c>
      <c r="P5513">
        <v>12.652419999999999</v>
      </c>
      <c r="R5513" t="s">
        <v>11038</v>
      </c>
      <c r="S5513" t="s">
        <v>10310</v>
      </c>
      <c r="W5513" t="s">
        <v>11249</v>
      </c>
    </row>
    <row r="5514" spans="1:23" hidden="1" x14ac:dyDescent="0.45">
      <c r="A5514" s="1" t="s">
        <v>5441</v>
      </c>
      <c r="B5514" t="s">
        <v>7061</v>
      </c>
      <c r="C5514" t="s">
        <v>7656</v>
      </c>
      <c r="D5514" t="s">
        <v>8339</v>
      </c>
      <c r="E5514" t="s">
        <v>10096</v>
      </c>
      <c r="F5514" t="s">
        <v>10303</v>
      </c>
      <c r="G5514">
        <v>86</v>
      </c>
      <c r="H5514" t="s">
        <v>10310</v>
      </c>
      <c r="I5514" t="s">
        <v>10329</v>
      </c>
      <c r="K5514" t="s">
        <v>10333</v>
      </c>
      <c r="L5514">
        <v>1984</v>
      </c>
      <c r="N5514">
        <v>47.198858000000001</v>
      </c>
      <c r="P5514">
        <v>9.6696380000000008</v>
      </c>
      <c r="R5514" t="s">
        <v>11038</v>
      </c>
      <c r="S5514" t="s">
        <v>10310</v>
      </c>
      <c r="W5514" t="s">
        <v>11249</v>
      </c>
    </row>
    <row r="5515" spans="1:23" hidden="1" x14ac:dyDescent="0.45">
      <c r="A5515" s="1" t="s">
        <v>5442</v>
      </c>
      <c r="B5515" t="s">
        <v>7109</v>
      </c>
      <c r="C5515" t="s">
        <v>7625</v>
      </c>
      <c r="D5515" t="s">
        <v>8288</v>
      </c>
      <c r="E5515" t="s">
        <v>10044</v>
      </c>
      <c r="F5515" t="s">
        <v>10306</v>
      </c>
      <c r="G5515">
        <v>195</v>
      </c>
      <c r="H5515" t="s">
        <v>10310</v>
      </c>
      <c r="I5515" t="s">
        <v>10324</v>
      </c>
      <c r="K5515" t="s">
        <v>10333</v>
      </c>
      <c r="L5515">
        <v>2015</v>
      </c>
      <c r="N5515">
        <v>49.945331000000003</v>
      </c>
      <c r="P5515">
        <v>6.193905</v>
      </c>
      <c r="Q5515" t="s">
        <v>10985</v>
      </c>
      <c r="R5515" t="s">
        <v>11038</v>
      </c>
      <c r="S5515" t="s">
        <v>10310</v>
      </c>
      <c r="W5515" t="s">
        <v>11249</v>
      </c>
    </row>
    <row r="5516" spans="1:23" hidden="1" x14ac:dyDescent="0.45">
      <c r="A5516" s="1" t="s">
        <v>5443</v>
      </c>
      <c r="B5516" t="s">
        <v>7061</v>
      </c>
      <c r="D5516" t="s">
        <v>8287</v>
      </c>
      <c r="E5516" t="s">
        <v>10043</v>
      </c>
      <c r="F5516" t="s">
        <v>10303</v>
      </c>
      <c r="G5516">
        <v>12</v>
      </c>
      <c r="H5516" t="s">
        <v>10310</v>
      </c>
      <c r="I5516" t="s">
        <v>10324</v>
      </c>
      <c r="K5516" t="s">
        <v>10333</v>
      </c>
      <c r="L5516">
        <v>2017</v>
      </c>
      <c r="N5516">
        <v>47.073096</v>
      </c>
      <c r="P5516">
        <v>9.8737089999999998</v>
      </c>
      <c r="R5516" t="s">
        <v>11038</v>
      </c>
      <c r="S5516" t="s">
        <v>10310</v>
      </c>
      <c r="W5516" t="s">
        <v>11249</v>
      </c>
    </row>
    <row r="5517" spans="1:23" hidden="1" x14ac:dyDescent="0.45">
      <c r="A5517" s="1" t="s">
        <v>5444</v>
      </c>
      <c r="B5517" t="s">
        <v>7061</v>
      </c>
      <c r="D5517" t="s">
        <v>8340</v>
      </c>
      <c r="E5517" t="s">
        <v>10023</v>
      </c>
      <c r="F5517" t="s">
        <v>10303</v>
      </c>
      <c r="G5517">
        <v>360</v>
      </c>
      <c r="H5517" t="s">
        <v>10310</v>
      </c>
      <c r="I5517" t="s">
        <v>10324</v>
      </c>
      <c r="K5517" t="s">
        <v>10333</v>
      </c>
      <c r="L5517">
        <v>2018</v>
      </c>
      <c r="N5517">
        <v>46.936523000000001</v>
      </c>
      <c r="P5517">
        <v>10.06011</v>
      </c>
      <c r="R5517" t="s">
        <v>11038</v>
      </c>
      <c r="S5517" t="s">
        <v>10310</v>
      </c>
      <c r="W5517" t="s">
        <v>11249</v>
      </c>
    </row>
    <row r="5518" spans="1:23" hidden="1" x14ac:dyDescent="0.45">
      <c r="A5518" s="1" t="s">
        <v>5445</v>
      </c>
      <c r="B5518" t="s">
        <v>7117</v>
      </c>
      <c r="C5518" t="s">
        <v>7657</v>
      </c>
      <c r="D5518" t="s">
        <v>8341</v>
      </c>
      <c r="E5518" t="s">
        <v>10097</v>
      </c>
      <c r="F5518" t="s">
        <v>10305</v>
      </c>
      <c r="G5518">
        <v>875</v>
      </c>
      <c r="H5518" t="s">
        <v>10316</v>
      </c>
      <c r="I5518" t="s">
        <v>10323</v>
      </c>
      <c r="K5518" t="s">
        <v>10332</v>
      </c>
      <c r="L5518">
        <v>2000</v>
      </c>
      <c r="N5518">
        <v>51.182122</v>
      </c>
      <c r="P5518">
        <v>12.373286999999999</v>
      </c>
      <c r="Q5518" t="s">
        <v>10986</v>
      </c>
      <c r="R5518" t="s">
        <v>11037</v>
      </c>
      <c r="S5518" t="s">
        <v>10316</v>
      </c>
      <c r="W5518" t="s">
        <v>11249</v>
      </c>
    </row>
    <row r="5519" spans="1:23" hidden="1" x14ac:dyDescent="0.45">
      <c r="A5519" s="1" t="s">
        <v>5446</v>
      </c>
      <c r="B5519" t="s">
        <v>7061</v>
      </c>
      <c r="C5519" t="s">
        <v>7657</v>
      </c>
      <c r="D5519" t="s">
        <v>8342</v>
      </c>
      <c r="E5519" t="s">
        <v>10097</v>
      </c>
      <c r="F5519" t="s">
        <v>10305</v>
      </c>
      <c r="G5519">
        <v>875</v>
      </c>
      <c r="H5519" t="s">
        <v>10316</v>
      </c>
      <c r="I5519" t="s">
        <v>10323</v>
      </c>
      <c r="K5519" t="s">
        <v>10332</v>
      </c>
      <c r="L5519">
        <v>1999</v>
      </c>
      <c r="N5519">
        <v>51.182122</v>
      </c>
      <c r="P5519">
        <v>12.373286999999999</v>
      </c>
      <c r="Q5519" t="s">
        <v>10986</v>
      </c>
      <c r="R5519" t="s">
        <v>11037</v>
      </c>
      <c r="S5519" t="s">
        <v>10316</v>
      </c>
      <c r="W5519" t="s">
        <v>11249</v>
      </c>
    </row>
    <row r="5520" spans="1:23" hidden="1" x14ac:dyDescent="0.45">
      <c r="A5520" s="1" t="s">
        <v>5447</v>
      </c>
      <c r="B5520" t="s">
        <v>7117</v>
      </c>
      <c r="C5520" t="s">
        <v>7640</v>
      </c>
      <c r="D5520" t="s">
        <v>8343</v>
      </c>
      <c r="E5520" t="s">
        <v>10098</v>
      </c>
      <c r="F5520" t="s">
        <v>10305</v>
      </c>
      <c r="G5520">
        <v>465</v>
      </c>
      <c r="H5520" t="s">
        <v>10316</v>
      </c>
      <c r="I5520" t="s">
        <v>10323</v>
      </c>
      <c r="K5520" t="s">
        <v>10332</v>
      </c>
      <c r="L5520">
        <v>1979</v>
      </c>
      <c r="N5520">
        <v>51.416263170000001</v>
      </c>
      <c r="P5520">
        <v>14.56194878</v>
      </c>
      <c r="Q5520" t="s">
        <v>10987</v>
      </c>
      <c r="R5520" t="s">
        <v>11037</v>
      </c>
      <c r="S5520" t="s">
        <v>10316</v>
      </c>
      <c r="W5520" t="s">
        <v>11249</v>
      </c>
    </row>
    <row r="5521" spans="1:23" hidden="1" x14ac:dyDescent="0.45">
      <c r="A5521" s="1" t="s">
        <v>5448</v>
      </c>
      <c r="B5521" t="s">
        <v>7117</v>
      </c>
      <c r="C5521" t="s">
        <v>7640</v>
      </c>
      <c r="D5521" t="s">
        <v>8343</v>
      </c>
      <c r="E5521" t="s">
        <v>10098</v>
      </c>
      <c r="F5521" t="s">
        <v>10305</v>
      </c>
      <c r="G5521">
        <v>465</v>
      </c>
      <c r="H5521" t="s">
        <v>10316</v>
      </c>
      <c r="I5521" t="s">
        <v>10323</v>
      </c>
      <c r="K5521" t="s">
        <v>10332</v>
      </c>
      <c r="L5521">
        <v>1980</v>
      </c>
      <c r="N5521">
        <v>51.416263170000001</v>
      </c>
      <c r="P5521">
        <v>14.56194878</v>
      </c>
      <c r="Q5521" t="s">
        <v>10987</v>
      </c>
      <c r="R5521" t="s">
        <v>11037</v>
      </c>
      <c r="S5521" t="s">
        <v>10316</v>
      </c>
      <c r="W5521" t="s">
        <v>11249</v>
      </c>
    </row>
    <row r="5522" spans="1:23" hidden="1" x14ac:dyDescent="0.45">
      <c r="A5522" s="1" t="s">
        <v>5449</v>
      </c>
      <c r="B5522" t="s">
        <v>7117</v>
      </c>
      <c r="C5522" t="s">
        <v>7640</v>
      </c>
      <c r="D5522" t="s">
        <v>8343</v>
      </c>
      <c r="E5522" t="s">
        <v>10098</v>
      </c>
      <c r="F5522" t="s">
        <v>10305</v>
      </c>
      <c r="G5522">
        <v>857</v>
      </c>
      <c r="H5522" t="s">
        <v>10316</v>
      </c>
      <c r="I5522" t="s">
        <v>10323</v>
      </c>
      <c r="K5522" t="s">
        <v>10332</v>
      </c>
      <c r="L5522">
        <v>2000</v>
      </c>
      <c r="N5522">
        <v>51.416263170000001</v>
      </c>
      <c r="P5522">
        <v>14.56194878</v>
      </c>
      <c r="Q5522" t="s">
        <v>10987</v>
      </c>
      <c r="R5522" t="s">
        <v>11037</v>
      </c>
      <c r="S5522" t="s">
        <v>10316</v>
      </c>
      <c r="W5522" t="s">
        <v>11249</v>
      </c>
    </row>
    <row r="5523" spans="1:23" hidden="1" x14ac:dyDescent="0.45">
      <c r="A5523" s="1" t="s">
        <v>5450</v>
      </c>
      <c r="B5523" t="s">
        <v>7118</v>
      </c>
      <c r="D5523" t="s">
        <v>8344</v>
      </c>
      <c r="E5523" t="s">
        <v>10099</v>
      </c>
      <c r="F5523" t="s">
        <v>10305</v>
      </c>
      <c r="G5523">
        <v>56.8</v>
      </c>
      <c r="H5523" t="s">
        <v>10316</v>
      </c>
      <c r="I5523" t="s">
        <v>10323</v>
      </c>
      <c r="K5523" t="s">
        <v>10332</v>
      </c>
      <c r="L5523">
        <v>1988</v>
      </c>
      <c r="N5523">
        <v>50.856980999999998</v>
      </c>
      <c r="P5523">
        <v>12.923095999999999</v>
      </c>
      <c r="R5523" t="s">
        <v>11037</v>
      </c>
      <c r="S5523" t="s">
        <v>10316</v>
      </c>
      <c r="W5523" t="s">
        <v>11249</v>
      </c>
    </row>
    <row r="5524" spans="1:23" hidden="1" x14ac:dyDescent="0.45">
      <c r="A5524" s="1" t="s">
        <v>5451</v>
      </c>
      <c r="B5524" t="s">
        <v>7118</v>
      </c>
      <c r="D5524" t="s">
        <v>8345</v>
      </c>
      <c r="E5524" t="s">
        <v>10099</v>
      </c>
      <c r="F5524" t="s">
        <v>10305</v>
      </c>
      <c r="G5524">
        <v>90.8</v>
      </c>
      <c r="H5524" t="s">
        <v>10316</v>
      </c>
      <c r="I5524" t="s">
        <v>10323</v>
      </c>
      <c r="K5524" t="s">
        <v>10332</v>
      </c>
      <c r="L5524">
        <v>1990</v>
      </c>
      <c r="N5524">
        <v>50.856980999999998</v>
      </c>
      <c r="P5524">
        <v>12.923095999999999</v>
      </c>
      <c r="R5524" t="s">
        <v>11037</v>
      </c>
      <c r="S5524" t="s">
        <v>10316</v>
      </c>
      <c r="W5524" t="s">
        <v>11249</v>
      </c>
    </row>
    <row r="5525" spans="1:23" hidden="1" x14ac:dyDescent="0.45">
      <c r="A5525" s="1" t="s">
        <v>5452</v>
      </c>
      <c r="B5525" t="s">
        <v>7119</v>
      </c>
      <c r="D5525" t="s">
        <v>8346</v>
      </c>
      <c r="E5525" t="s">
        <v>10100</v>
      </c>
      <c r="F5525" t="s">
        <v>10305</v>
      </c>
      <c r="G5525">
        <v>74</v>
      </c>
      <c r="H5525" t="s">
        <v>10316</v>
      </c>
      <c r="I5525" t="s">
        <v>10323</v>
      </c>
      <c r="K5525" t="s">
        <v>10332</v>
      </c>
      <c r="L5525">
        <v>1999</v>
      </c>
      <c r="N5525">
        <v>51.760170000000002</v>
      </c>
      <c r="P5525">
        <v>14.370039999999999</v>
      </c>
      <c r="R5525" t="s">
        <v>11037</v>
      </c>
      <c r="S5525" t="s">
        <v>10316</v>
      </c>
      <c r="W5525" t="s">
        <v>11249</v>
      </c>
    </row>
    <row r="5526" spans="1:23" hidden="1" x14ac:dyDescent="0.45">
      <c r="A5526" s="1" t="s">
        <v>5453</v>
      </c>
      <c r="B5526" t="s">
        <v>7120</v>
      </c>
      <c r="D5526" t="s">
        <v>8347</v>
      </c>
      <c r="E5526" t="s">
        <v>10101</v>
      </c>
      <c r="F5526" t="s">
        <v>10305</v>
      </c>
      <c r="G5526">
        <v>67</v>
      </c>
      <c r="H5526" t="s">
        <v>10316</v>
      </c>
      <c r="I5526" t="s">
        <v>10323</v>
      </c>
      <c r="K5526" t="s">
        <v>10332</v>
      </c>
      <c r="L5526">
        <v>1936</v>
      </c>
      <c r="N5526">
        <v>51.111870000000003</v>
      </c>
      <c r="P5526">
        <v>12.076169999999999</v>
      </c>
      <c r="R5526" t="s">
        <v>11037</v>
      </c>
      <c r="S5526" t="s">
        <v>10316</v>
      </c>
      <c r="W5526" t="s">
        <v>11249</v>
      </c>
    </row>
    <row r="5527" spans="1:23" hidden="1" x14ac:dyDescent="0.45">
      <c r="A5527" s="1" t="s">
        <v>5454</v>
      </c>
      <c r="B5527" t="s">
        <v>7104</v>
      </c>
      <c r="D5527" t="s">
        <v>8348</v>
      </c>
      <c r="E5527" t="s">
        <v>10102</v>
      </c>
      <c r="F5527" t="s">
        <v>10305</v>
      </c>
      <c r="G5527">
        <v>176</v>
      </c>
      <c r="H5527" t="s">
        <v>10316</v>
      </c>
      <c r="I5527" t="s">
        <v>10323</v>
      </c>
      <c r="K5527" t="s">
        <v>10332</v>
      </c>
      <c r="L5527">
        <v>1959</v>
      </c>
      <c r="M5527" t="s">
        <v>10336</v>
      </c>
      <c r="N5527">
        <v>50.897599999999997</v>
      </c>
      <c r="P5527">
        <v>6.7930990000000024</v>
      </c>
      <c r="R5527" t="s">
        <v>11037</v>
      </c>
      <c r="S5527" t="s">
        <v>10316</v>
      </c>
      <c r="W5527" t="s">
        <v>11249</v>
      </c>
    </row>
    <row r="5528" spans="1:23" hidden="1" x14ac:dyDescent="0.45">
      <c r="A5528" s="1" t="s">
        <v>5455</v>
      </c>
      <c r="B5528" t="s">
        <v>7104</v>
      </c>
      <c r="D5528" t="s">
        <v>8349</v>
      </c>
      <c r="E5528" t="s">
        <v>10103</v>
      </c>
      <c r="F5528" t="s">
        <v>10305</v>
      </c>
      <c r="G5528">
        <v>129</v>
      </c>
      <c r="H5528" t="s">
        <v>10316</v>
      </c>
      <c r="I5528" t="s">
        <v>10323</v>
      </c>
      <c r="K5528" t="s">
        <v>10333</v>
      </c>
      <c r="L5528">
        <v>1957</v>
      </c>
      <c r="N5528">
        <v>51.057445180000002</v>
      </c>
      <c r="P5528">
        <v>6.5770803950000003</v>
      </c>
      <c r="R5528" t="s">
        <v>11037</v>
      </c>
      <c r="S5528" t="s">
        <v>10316</v>
      </c>
      <c r="W5528" t="s">
        <v>11249</v>
      </c>
    </row>
    <row r="5529" spans="1:23" hidden="1" x14ac:dyDescent="0.45">
      <c r="A5529" s="1" t="s">
        <v>5456</v>
      </c>
      <c r="B5529" t="s">
        <v>7104</v>
      </c>
      <c r="D5529" t="s">
        <v>8349</v>
      </c>
      <c r="E5529" t="s">
        <v>10103</v>
      </c>
      <c r="F5529" t="s">
        <v>10305</v>
      </c>
      <c r="G5529">
        <v>130</v>
      </c>
      <c r="H5529" t="s">
        <v>10316</v>
      </c>
      <c r="I5529" t="s">
        <v>10323</v>
      </c>
      <c r="K5529" t="s">
        <v>10333</v>
      </c>
      <c r="L5529">
        <v>1957</v>
      </c>
      <c r="N5529">
        <v>51.057445180000002</v>
      </c>
      <c r="P5529">
        <v>6.5770803950000003</v>
      </c>
      <c r="R5529" t="s">
        <v>11037</v>
      </c>
      <c r="S5529" t="s">
        <v>10316</v>
      </c>
      <c r="W5529" t="s">
        <v>11249</v>
      </c>
    </row>
    <row r="5530" spans="1:23" hidden="1" x14ac:dyDescent="0.45">
      <c r="A5530" s="1" t="s">
        <v>5457</v>
      </c>
      <c r="B5530" t="s">
        <v>7104</v>
      </c>
      <c r="D5530" t="s">
        <v>8349</v>
      </c>
      <c r="E5530" t="s">
        <v>10103</v>
      </c>
      <c r="F5530" t="s">
        <v>10305</v>
      </c>
      <c r="G5530">
        <v>124</v>
      </c>
      <c r="H5530" t="s">
        <v>10316</v>
      </c>
      <c r="I5530" t="s">
        <v>10323</v>
      </c>
      <c r="K5530" t="s">
        <v>10333</v>
      </c>
      <c r="L5530">
        <v>1960</v>
      </c>
      <c r="N5530">
        <v>51.057445180000002</v>
      </c>
      <c r="P5530">
        <v>6.5770803950000003</v>
      </c>
      <c r="R5530" t="s">
        <v>11037</v>
      </c>
      <c r="S5530" t="s">
        <v>10316</v>
      </c>
      <c r="W5530" t="s">
        <v>11249</v>
      </c>
    </row>
    <row r="5531" spans="1:23" hidden="1" x14ac:dyDescent="0.45">
      <c r="A5531" s="1" t="s">
        <v>5458</v>
      </c>
      <c r="B5531" t="s">
        <v>7104</v>
      </c>
      <c r="D5531" t="s">
        <v>8349</v>
      </c>
      <c r="E5531" t="s">
        <v>10104</v>
      </c>
      <c r="F5531" t="s">
        <v>10305</v>
      </c>
      <c r="G5531">
        <v>130</v>
      </c>
      <c r="H5531" t="s">
        <v>10316</v>
      </c>
      <c r="I5531" t="s">
        <v>10323</v>
      </c>
      <c r="K5531" t="s">
        <v>10333</v>
      </c>
      <c r="L5531">
        <v>1959</v>
      </c>
      <c r="N5531">
        <v>51.057445180000002</v>
      </c>
      <c r="P5531">
        <v>6.5770803950000003</v>
      </c>
      <c r="R5531" t="s">
        <v>11037</v>
      </c>
      <c r="S5531" t="s">
        <v>10316</v>
      </c>
      <c r="W5531" t="s">
        <v>11249</v>
      </c>
    </row>
    <row r="5532" spans="1:23" hidden="1" x14ac:dyDescent="0.45">
      <c r="A5532" s="1" t="s">
        <v>5459</v>
      </c>
      <c r="B5532" t="s">
        <v>7104</v>
      </c>
      <c r="D5532" t="s">
        <v>8349</v>
      </c>
      <c r="E5532" t="s">
        <v>10104</v>
      </c>
      <c r="F5532" t="s">
        <v>10305</v>
      </c>
      <c r="G5532">
        <v>132</v>
      </c>
      <c r="H5532" t="s">
        <v>10316</v>
      </c>
      <c r="I5532" t="s">
        <v>10323</v>
      </c>
      <c r="K5532" t="s">
        <v>10333</v>
      </c>
      <c r="L5532">
        <v>1960</v>
      </c>
      <c r="N5532">
        <v>51.057445180000002</v>
      </c>
      <c r="P5532">
        <v>6.5770803950000003</v>
      </c>
      <c r="R5532" t="s">
        <v>11037</v>
      </c>
      <c r="S5532" t="s">
        <v>10316</v>
      </c>
      <c r="W5532" t="s">
        <v>11249</v>
      </c>
    </row>
    <row r="5533" spans="1:23" hidden="1" x14ac:dyDescent="0.45">
      <c r="A5533" s="1" t="s">
        <v>5460</v>
      </c>
      <c r="B5533" t="s">
        <v>7104</v>
      </c>
      <c r="D5533" t="s">
        <v>8349</v>
      </c>
      <c r="E5533" t="s">
        <v>10103</v>
      </c>
      <c r="F5533" t="s">
        <v>10305</v>
      </c>
      <c r="G5533">
        <v>128</v>
      </c>
      <c r="H5533" t="s">
        <v>10316</v>
      </c>
      <c r="I5533" t="s">
        <v>10323</v>
      </c>
      <c r="K5533" t="s">
        <v>10333</v>
      </c>
      <c r="L5533">
        <v>1960</v>
      </c>
      <c r="N5533">
        <v>51.057445180000002</v>
      </c>
      <c r="P5533">
        <v>6.5770803950000003</v>
      </c>
      <c r="R5533" t="s">
        <v>11037</v>
      </c>
      <c r="S5533" t="s">
        <v>10316</v>
      </c>
      <c r="W5533" t="s">
        <v>11249</v>
      </c>
    </row>
    <row r="5534" spans="1:23" hidden="1" x14ac:dyDescent="0.45">
      <c r="A5534" s="1" t="s">
        <v>5461</v>
      </c>
      <c r="B5534" t="s">
        <v>7104</v>
      </c>
      <c r="D5534" t="s">
        <v>8349</v>
      </c>
      <c r="E5534" t="s">
        <v>10103</v>
      </c>
      <c r="F5534" t="s">
        <v>10305</v>
      </c>
      <c r="G5534">
        <v>136</v>
      </c>
      <c r="H5534" t="s">
        <v>10316</v>
      </c>
      <c r="I5534" t="s">
        <v>10323</v>
      </c>
      <c r="K5534" t="s">
        <v>10333</v>
      </c>
      <c r="L5534">
        <v>1962</v>
      </c>
      <c r="N5534">
        <v>51.057445180000002</v>
      </c>
      <c r="P5534">
        <v>6.5770803950000003</v>
      </c>
      <c r="R5534" t="s">
        <v>11037</v>
      </c>
      <c r="S5534" t="s">
        <v>10316</v>
      </c>
      <c r="W5534" t="s">
        <v>11249</v>
      </c>
    </row>
    <row r="5535" spans="1:23" hidden="1" x14ac:dyDescent="0.45">
      <c r="A5535" s="1" t="s">
        <v>5462</v>
      </c>
      <c r="B5535" t="s">
        <v>7104</v>
      </c>
      <c r="D5535" t="s">
        <v>8349</v>
      </c>
      <c r="E5535" t="s">
        <v>10104</v>
      </c>
      <c r="F5535" t="s">
        <v>10305</v>
      </c>
      <c r="G5535">
        <v>135</v>
      </c>
      <c r="H5535" t="s">
        <v>10316</v>
      </c>
      <c r="I5535" t="s">
        <v>10323</v>
      </c>
      <c r="K5535" t="s">
        <v>10333</v>
      </c>
      <c r="L5535">
        <v>1964</v>
      </c>
      <c r="N5535">
        <v>51.057445180000002</v>
      </c>
      <c r="P5535">
        <v>6.5770803950000003</v>
      </c>
      <c r="R5535" t="s">
        <v>11037</v>
      </c>
      <c r="S5535" t="s">
        <v>10316</v>
      </c>
      <c r="W5535" t="s">
        <v>11249</v>
      </c>
    </row>
    <row r="5536" spans="1:23" hidden="1" x14ac:dyDescent="0.45">
      <c r="A5536" s="1" t="s">
        <v>5463</v>
      </c>
      <c r="B5536" t="s">
        <v>7104</v>
      </c>
      <c r="D5536" t="s">
        <v>8349</v>
      </c>
      <c r="E5536" t="s">
        <v>10104</v>
      </c>
      <c r="F5536" t="s">
        <v>10305</v>
      </c>
      <c r="G5536">
        <v>138</v>
      </c>
      <c r="H5536" t="s">
        <v>10316</v>
      </c>
      <c r="I5536" t="s">
        <v>10323</v>
      </c>
      <c r="K5536" t="s">
        <v>10333</v>
      </c>
      <c r="L5536">
        <v>1962</v>
      </c>
      <c r="N5536">
        <v>51.057445180000002</v>
      </c>
      <c r="P5536">
        <v>6.5770803950000003</v>
      </c>
      <c r="R5536" t="s">
        <v>11037</v>
      </c>
      <c r="S5536" t="s">
        <v>10316</v>
      </c>
      <c r="W5536" t="s">
        <v>11249</v>
      </c>
    </row>
    <row r="5537" spans="1:23" hidden="1" x14ac:dyDescent="0.45">
      <c r="A5537" s="1" t="s">
        <v>5464</v>
      </c>
      <c r="B5537" t="s">
        <v>7104</v>
      </c>
      <c r="D5537" t="s">
        <v>8349</v>
      </c>
      <c r="E5537" t="s">
        <v>10104</v>
      </c>
      <c r="F5537" t="s">
        <v>10305</v>
      </c>
      <c r="G5537">
        <v>131</v>
      </c>
      <c r="H5537" t="s">
        <v>10316</v>
      </c>
      <c r="I5537" t="s">
        <v>10323</v>
      </c>
      <c r="K5537" t="s">
        <v>10333</v>
      </c>
      <c r="L5537">
        <v>1962</v>
      </c>
      <c r="N5537">
        <v>51.057445180000002</v>
      </c>
      <c r="P5537">
        <v>6.5770803950000003</v>
      </c>
      <c r="R5537" t="s">
        <v>11037</v>
      </c>
      <c r="S5537" t="s">
        <v>10316</v>
      </c>
      <c r="W5537" t="s">
        <v>11249</v>
      </c>
    </row>
    <row r="5538" spans="1:23" hidden="1" x14ac:dyDescent="0.45">
      <c r="A5538" s="1" t="s">
        <v>5465</v>
      </c>
      <c r="B5538" t="s">
        <v>7104</v>
      </c>
      <c r="D5538" t="s">
        <v>8349</v>
      </c>
      <c r="E5538" t="s">
        <v>10104</v>
      </c>
      <c r="F5538" t="s">
        <v>10305</v>
      </c>
      <c r="G5538">
        <v>133</v>
      </c>
      <c r="H5538" t="s">
        <v>10316</v>
      </c>
      <c r="I5538" t="s">
        <v>10323</v>
      </c>
      <c r="K5538" t="s">
        <v>10333</v>
      </c>
      <c r="L5538">
        <v>1964</v>
      </c>
      <c r="N5538">
        <v>51.057445180000002</v>
      </c>
      <c r="P5538">
        <v>6.5770803950000003</v>
      </c>
      <c r="R5538" t="s">
        <v>11037</v>
      </c>
      <c r="S5538" t="s">
        <v>10316</v>
      </c>
      <c r="W5538" t="s">
        <v>11249</v>
      </c>
    </row>
    <row r="5539" spans="1:23" hidden="1" x14ac:dyDescent="0.45">
      <c r="A5539" s="1" t="s">
        <v>5466</v>
      </c>
      <c r="B5539" t="s">
        <v>7104</v>
      </c>
      <c r="D5539" t="s">
        <v>8349</v>
      </c>
      <c r="E5539" t="s">
        <v>10104</v>
      </c>
      <c r="F5539" t="s">
        <v>10305</v>
      </c>
      <c r="G5539">
        <v>284</v>
      </c>
      <c r="H5539" t="s">
        <v>10316</v>
      </c>
      <c r="I5539" t="s">
        <v>10323</v>
      </c>
      <c r="K5539" t="s">
        <v>10332</v>
      </c>
      <c r="L5539">
        <v>1966</v>
      </c>
      <c r="M5539" t="s">
        <v>10336</v>
      </c>
      <c r="N5539">
        <v>51.057445180000002</v>
      </c>
      <c r="P5539">
        <v>6.5770803950000003</v>
      </c>
      <c r="Q5539" t="s">
        <v>10988</v>
      </c>
      <c r="R5539" t="s">
        <v>11037</v>
      </c>
      <c r="S5539" t="s">
        <v>10316</v>
      </c>
      <c r="W5539" t="s">
        <v>11249</v>
      </c>
    </row>
    <row r="5540" spans="1:23" hidden="1" x14ac:dyDescent="0.45">
      <c r="A5540" s="1" t="s">
        <v>5467</v>
      </c>
      <c r="B5540" t="s">
        <v>7104</v>
      </c>
      <c r="D5540" t="s">
        <v>8349</v>
      </c>
      <c r="E5540" t="s">
        <v>10104</v>
      </c>
      <c r="F5540" t="s">
        <v>10305</v>
      </c>
      <c r="G5540">
        <v>278</v>
      </c>
      <c r="H5540" t="s">
        <v>10316</v>
      </c>
      <c r="I5540" t="s">
        <v>10323</v>
      </c>
      <c r="K5540" t="s">
        <v>10333</v>
      </c>
      <c r="L5540">
        <v>1970</v>
      </c>
      <c r="N5540">
        <v>51.057445180000002</v>
      </c>
      <c r="P5540">
        <v>6.5770803950000003</v>
      </c>
      <c r="Q5540" t="s">
        <v>10988</v>
      </c>
      <c r="R5540" t="s">
        <v>11037</v>
      </c>
      <c r="S5540" t="s">
        <v>10316</v>
      </c>
      <c r="W5540" t="s">
        <v>11249</v>
      </c>
    </row>
    <row r="5541" spans="1:23" hidden="1" x14ac:dyDescent="0.45">
      <c r="A5541" s="1" t="s">
        <v>5468</v>
      </c>
      <c r="B5541" t="s">
        <v>7121</v>
      </c>
      <c r="D5541" t="s">
        <v>8350</v>
      </c>
      <c r="E5541" t="s">
        <v>10105</v>
      </c>
      <c r="F5541" t="s">
        <v>10305</v>
      </c>
      <c r="G5541">
        <v>352</v>
      </c>
      <c r="H5541" t="s">
        <v>10316</v>
      </c>
      <c r="I5541" t="s">
        <v>10323</v>
      </c>
      <c r="K5541" t="s">
        <v>10333</v>
      </c>
      <c r="L5541">
        <v>1985</v>
      </c>
      <c r="N5541">
        <v>52.172371560000002</v>
      </c>
      <c r="P5541">
        <v>10.976828729999999</v>
      </c>
      <c r="Q5541" t="s">
        <v>10989</v>
      </c>
      <c r="R5541" t="s">
        <v>11037</v>
      </c>
      <c r="S5541" t="s">
        <v>10316</v>
      </c>
      <c r="W5541" t="s">
        <v>11249</v>
      </c>
    </row>
    <row r="5542" spans="1:23" hidden="1" x14ac:dyDescent="0.45">
      <c r="A5542" s="1" t="s">
        <v>5469</v>
      </c>
      <c r="B5542" t="s">
        <v>7104</v>
      </c>
      <c r="D5542" t="s">
        <v>8351</v>
      </c>
      <c r="E5542" t="s">
        <v>10106</v>
      </c>
      <c r="F5542" t="s">
        <v>10305</v>
      </c>
      <c r="G5542">
        <v>40</v>
      </c>
      <c r="H5542" t="s">
        <v>10316</v>
      </c>
      <c r="I5542" t="s">
        <v>10323</v>
      </c>
      <c r="K5542" t="s">
        <v>10332</v>
      </c>
      <c r="L5542">
        <v>1992</v>
      </c>
      <c r="N5542">
        <v>50.860799999999998</v>
      </c>
      <c r="P5542">
        <v>6.8402000000000003</v>
      </c>
      <c r="R5542" t="s">
        <v>11037</v>
      </c>
      <c r="S5542" t="s">
        <v>10316</v>
      </c>
      <c r="W5542" t="s">
        <v>11249</v>
      </c>
    </row>
    <row r="5543" spans="1:23" hidden="1" x14ac:dyDescent="0.45">
      <c r="A5543" s="1" t="s">
        <v>5470</v>
      </c>
      <c r="B5543" t="s">
        <v>7104</v>
      </c>
      <c r="D5543" t="s">
        <v>8351</v>
      </c>
      <c r="E5543" t="s">
        <v>10106</v>
      </c>
      <c r="F5543" t="s">
        <v>10305</v>
      </c>
      <c r="G5543">
        <v>0</v>
      </c>
      <c r="H5543" t="s">
        <v>10316</v>
      </c>
      <c r="I5543" t="s">
        <v>10323</v>
      </c>
      <c r="K5543" t="s">
        <v>10332</v>
      </c>
      <c r="L5543">
        <v>1993</v>
      </c>
      <c r="N5543">
        <v>50.860799999999998</v>
      </c>
      <c r="P5543">
        <v>6.8402000000000003</v>
      </c>
      <c r="R5543" t="s">
        <v>11037</v>
      </c>
      <c r="S5543" t="s">
        <v>10316</v>
      </c>
      <c r="W5543" t="s">
        <v>11249</v>
      </c>
    </row>
    <row r="5544" spans="1:23" hidden="1" x14ac:dyDescent="0.45">
      <c r="A5544" s="1" t="s">
        <v>5471</v>
      </c>
      <c r="B5544" t="s">
        <v>7104</v>
      </c>
      <c r="D5544" t="s">
        <v>8351</v>
      </c>
      <c r="E5544" t="s">
        <v>10106</v>
      </c>
      <c r="F5544" t="s">
        <v>10305</v>
      </c>
      <c r="G5544">
        <v>45</v>
      </c>
      <c r="H5544" t="s">
        <v>10316</v>
      </c>
      <c r="I5544" t="s">
        <v>10323</v>
      </c>
      <c r="K5544" t="s">
        <v>10332</v>
      </c>
      <c r="L5544">
        <v>1993</v>
      </c>
      <c r="N5544">
        <v>50.860799999999998</v>
      </c>
      <c r="P5544">
        <v>6.8402000000000003</v>
      </c>
      <c r="R5544" t="s">
        <v>11037</v>
      </c>
      <c r="S5544" t="s">
        <v>10316</v>
      </c>
      <c r="W5544" t="s">
        <v>11249</v>
      </c>
    </row>
    <row r="5545" spans="1:23" hidden="1" x14ac:dyDescent="0.45">
      <c r="A5545" s="1" t="s">
        <v>5472</v>
      </c>
      <c r="B5545" t="s">
        <v>7104</v>
      </c>
      <c r="D5545" t="s">
        <v>8351</v>
      </c>
      <c r="E5545" t="s">
        <v>10106</v>
      </c>
      <c r="F5545" t="s">
        <v>10305</v>
      </c>
      <c r="G5545">
        <v>98</v>
      </c>
      <c r="H5545" t="s">
        <v>10316</v>
      </c>
      <c r="I5545" t="s">
        <v>10323</v>
      </c>
      <c r="K5545" t="s">
        <v>10332</v>
      </c>
      <c r="L5545">
        <v>1917</v>
      </c>
      <c r="N5545">
        <v>50.861379999999997</v>
      </c>
      <c r="P5545">
        <v>6.8406600000000024</v>
      </c>
      <c r="R5545" t="s">
        <v>11037</v>
      </c>
      <c r="S5545" t="s">
        <v>10316</v>
      </c>
      <c r="W5545" t="s">
        <v>11249</v>
      </c>
    </row>
    <row r="5546" spans="1:23" hidden="1" x14ac:dyDescent="0.45">
      <c r="A5546" s="1" t="s">
        <v>5473</v>
      </c>
      <c r="B5546" t="s">
        <v>7122</v>
      </c>
      <c r="D5546" t="s">
        <v>8352</v>
      </c>
      <c r="E5546" t="s">
        <v>10107</v>
      </c>
      <c r="F5546" t="s">
        <v>10305</v>
      </c>
      <c r="G5546">
        <v>33.5</v>
      </c>
      <c r="H5546" t="s">
        <v>10316</v>
      </c>
      <c r="I5546" t="s">
        <v>10323</v>
      </c>
      <c r="K5546" t="s">
        <v>10332</v>
      </c>
      <c r="L5546">
        <v>1989</v>
      </c>
      <c r="N5546">
        <v>51.279099000000002</v>
      </c>
      <c r="P5546">
        <v>9.4840119999999999</v>
      </c>
      <c r="R5546" t="s">
        <v>11037</v>
      </c>
      <c r="S5546" t="s">
        <v>10316</v>
      </c>
      <c r="W5546" t="s">
        <v>11249</v>
      </c>
    </row>
    <row r="5547" spans="1:23" hidden="1" x14ac:dyDescent="0.45">
      <c r="A5547" s="1" t="s">
        <v>5474</v>
      </c>
      <c r="B5547" t="s">
        <v>7123</v>
      </c>
      <c r="D5547" t="s">
        <v>8353</v>
      </c>
      <c r="E5547" t="s">
        <v>10108</v>
      </c>
      <c r="F5547" t="s">
        <v>10305</v>
      </c>
      <c r="G5547">
        <v>75.3</v>
      </c>
      <c r="H5547" t="s">
        <v>10316</v>
      </c>
      <c r="I5547" t="s">
        <v>10323</v>
      </c>
      <c r="K5547" t="s">
        <v>10332</v>
      </c>
      <c r="L5547">
        <v>2010</v>
      </c>
      <c r="N5547">
        <v>51.017809999999997</v>
      </c>
      <c r="P5547">
        <v>6.9643499999999996</v>
      </c>
      <c r="R5547" t="s">
        <v>11037</v>
      </c>
      <c r="S5547" t="s">
        <v>10316</v>
      </c>
      <c r="W5547" t="s">
        <v>11249</v>
      </c>
    </row>
    <row r="5548" spans="1:23" hidden="1" x14ac:dyDescent="0.45">
      <c r="A5548" s="1" t="s">
        <v>5475</v>
      </c>
      <c r="B5548" t="s">
        <v>7120</v>
      </c>
      <c r="D5548" t="s">
        <v>8354</v>
      </c>
      <c r="E5548" t="s">
        <v>10109</v>
      </c>
      <c r="F5548" t="s">
        <v>10305</v>
      </c>
      <c r="G5548">
        <v>60</v>
      </c>
      <c r="H5548" t="s">
        <v>10316</v>
      </c>
      <c r="I5548" t="s">
        <v>10323</v>
      </c>
      <c r="K5548" t="s">
        <v>10332</v>
      </c>
      <c r="L5548">
        <v>1968</v>
      </c>
      <c r="N5548">
        <v>51.07114395</v>
      </c>
      <c r="P5548">
        <v>12.260814010000001</v>
      </c>
      <c r="R5548" t="s">
        <v>11037</v>
      </c>
      <c r="S5548" t="s">
        <v>10316</v>
      </c>
      <c r="W5548" t="s">
        <v>11249</v>
      </c>
    </row>
    <row r="5549" spans="1:23" hidden="1" x14ac:dyDescent="0.45">
      <c r="A5549" s="1" t="s">
        <v>5476</v>
      </c>
      <c r="B5549" t="s">
        <v>7104</v>
      </c>
      <c r="D5549" t="s">
        <v>8349</v>
      </c>
      <c r="E5549" t="s">
        <v>10110</v>
      </c>
      <c r="F5549" t="s">
        <v>10305</v>
      </c>
      <c r="G5549">
        <v>294</v>
      </c>
      <c r="H5549" t="s">
        <v>10316</v>
      </c>
      <c r="I5549" t="s">
        <v>10323</v>
      </c>
      <c r="K5549" t="s">
        <v>10333</v>
      </c>
      <c r="L5549">
        <v>1972</v>
      </c>
      <c r="N5549">
        <v>51.039475000000003</v>
      </c>
      <c r="P5549">
        <v>6.6150410000000024</v>
      </c>
      <c r="Q5549" t="s">
        <v>10990</v>
      </c>
      <c r="R5549" t="s">
        <v>11037</v>
      </c>
      <c r="S5549" t="s">
        <v>10316</v>
      </c>
      <c r="W5549" t="s">
        <v>11249</v>
      </c>
    </row>
    <row r="5550" spans="1:23" hidden="1" x14ac:dyDescent="0.45">
      <c r="A5550" s="1" t="s">
        <v>5477</v>
      </c>
      <c r="B5550" t="s">
        <v>7104</v>
      </c>
      <c r="D5550" t="s">
        <v>8349</v>
      </c>
      <c r="E5550" t="s">
        <v>10110</v>
      </c>
      <c r="F5550" t="s">
        <v>10305</v>
      </c>
      <c r="G5550">
        <v>294</v>
      </c>
      <c r="H5550" t="s">
        <v>10316</v>
      </c>
      <c r="I5550" t="s">
        <v>10323</v>
      </c>
      <c r="K5550" t="s">
        <v>10333</v>
      </c>
      <c r="L5550">
        <v>1972</v>
      </c>
      <c r="N5550">
        <v>51.039475000000003</v>
      </c>
      <c r="P5550">
        <v>6.6150410000000024</v>
      </c>
      <c r="Q5550" t="s">
        <v>10990</v>
      </c>
      <c r="R5550" t="s">
        <v>11037</v>
      </c>
      <c r="S5550" t="s">
        <v>10316</v>
      </c>
      <c r="W5550" t="s">
        <v>11249</v>
      </c>
    </row>
    <row r="5551" spans="1:23" hidden="1" x14ac:dyDescent="0.45">
      <c r="A5551" s="1" t="s">
        <v>5478</v>
      </c>
      <c r="B5551" t="s">
        <v>7104</v>
      </c>
      <c r="D5551" t="s">
        <v>8349</v>
      </c>
      <c r="E5551" t="s">
        <v>10110</v>
      </c>
      <c r="F5551" t="s">
        <v>10305</v>
      </c>
      <c r="G5551">
        <v>292</v>
      </c>
      <c r="H5551" t="s">
        <v>10316</v>
      </c>
      <c r="I5551" t="s">
        <v>10323</v>
      </c>
      <c r="K5551" t="s">
        <v>10333</v>
      </c>
      <c r="L5551">
        <v>1973</v>
      </c>
      <c r="N5551">
        <v>51.039475000000003</v>
      </c>
      <c r="P5551">
        <v>6.6150410000000024</v>
      </c>
      <c r="Q5551" t="s">
        <v>10990</v>
      </c>
      <c r="R5551" t="s">
        <v>11037</v>
      </c>
      <c r="S5551" t="s">
        <v>10316</v>
      </c>
      <c r="W5551" t="s">
        <v>11249</v>
      </c>
    </row>
    <row r="5552" spans="1:23" hidden="1" x14ac:dyDescent="0.45">
      <c r="A5552" s="1" t="s">
        <v>5479</v>
      </c>
      <c r="B5552" t="s">
        <v>7104</v>
      </c>
      <c r="D5552" t="s">
        <v>8349</v>
      </c>
      <c r="E5552" t="s">
        <v>10110</v>
      </c>
      <c r="F5552" t="s">
        <v>10305</v>
      </c>
      <c r="G5552">
        <v>607</v>
      </c>
      <c r="H5552" t="s">
        <v>10316</v>
      </c>
      <c r="I5552" t="s">
        <v>10323</v>
      </c>
      <c r="K5552" t="s">
        <v>10332</v>
      </c>
      <c r="L5552">
        <v>1975</v>
      </c>
      <c r="N5552">
        <v>51.039475000000003</v>
      </c>
      <c r="P5552">
        <v>6.6150410000000024</v>
      </c>
      <c r="Q5552" t="s">
        <v>10990</v>
      </c>
      <c r="R5552" t="s">
        <v>11037</v>
      </c>
      <c r="S5552" t="s">
        <v>10316</v>
      </c>
      <c r="W5552" t="s">
        <v>11249</v>
      </c>
    </row>
    <row r="5553" spans="1:23" hidden="1" x14ac:dyDescent="0.45">
      <c r="A5553" s="1" t="s">
        <v>5480</v>
      </c>
      <c r="B5553" t="s">
        <v>7104</v>
      </c>
      <c r="D5553" t="s">
        <v>8349</v>
      </c>
      <c r="E5553" t="s">
        <v>10110</v>
      </c>
      <c r="F5553" t="s">
        <v>10305</v>
      </c>
      <c r="G5553">
        <v>604</v>
      </c>
      <c r="H5553" t="s">
        <v>10316</v>
      </c>
      <c r="I5553" t="s">
        <v>10323</v>
      </c>
      <c r="K5553" t="s">
        <v>10332</v>
      </c>
      <c r="L5553">
        <v>1976</v>
      </c>
      <c r="N5553">
        <v>51.039475000000003</v>
      </c>
      <c r="P5553">
        <v>6.6150410000000024</v>
      </c>
      <c r="Q5553" t="s">
        <v>10990</v>
      </c>
      <c r="R5553" t="s">
        <v>11037</v>
      </c>
      <c r="S5553" t="s">
        <v>10316</v>
      </c>
      <c r="W5553" t="s">
        <v>11249</v>
      </c>
    </row>
    <row r="5554" spans="1:23" hidden="1" x14ac:dyDescent="0.45">
      <c r="A5554" s="1" t="s">
        <v>5481</v>
      </c>
      <c r="B5554" t="s">
        <v>7104</v>
      </c>
      <c r="D5554" t="s">
        <v>8355</v>
      </c>
      <c r="E5554" t="s">
        <v>9993</v>
      </c>
      <c r="F5554" t="s">
        <v>10305</v>
      </c>
      <c r="G5554">
        <v>297</v>
      </c>
      <c r="H5554" t="s">
        <v>10316</v>
      </c>
      <c r="I5554" t="s">
        <v>10323</v>
      </c>
      <c r="K5554" t="s">
        <v>10332</v>
      </c>
      <c r="L5554">
        <v>1968</v>
      </c>
      <c r="N5554">
        <v>50.995691999999998</v>
      </c>
      <c r="P5554">
        <v>6.6690389999999997</v>
      </c>
      <c r="Q5554" t="s">
        <v>10991</v>
      </c>
      <c r="R5554" t="s">
        <v>11037</v>
      </c>
      <c r="S5554" t="s">
        <v>10316</v>
      </c>
      <c r="W5554" t="s">
        <v>11249</v>
      </c>
    </row>
    <row r="5555" spans="1:23" hidden="1" x14ac:dyDescent="0.45">
      <c r="A5555" s="1" t="s">
        <v>5482</v>
      </c>
      <c r="B5555" t="s">
        <v>7104</v>
      </c>
      <c r="D5555" t="s">
        <v>8355</v>
      </c>
      <c r="E5555" t="s">
        <v>9993</v>
      </c>
      <c r="F5555" t="s">
        <v>10305</v>
      </c>
      <c r="G5555">
        <v>299</v>
      </c>
      <c r="H5555" t="s">
        <v>10316</v>
      </c>
      <c r="I5555" t="s">
        <v>10323</v>
      </c>
      <c r="K5555" t="s">
        <v>10332</v>
      </c>
      <c r="L5555">
        <v>1971</v>
      </c>
      <c r="N5555">
        <v>50.995691999999998</v>
      </c>
      <c r="P5555">
        <v>6.6690389999999997</v>
      </c>
      <c r="Q5555" t="s">
        <v>10991</v>
      </c>
      <c r="R5555" t="s">
        <v>11037</v>
      </c>
      <c r="S5555" t="s">
        <v>10316</v>
      </c>
      <c r="W5555" t="s">
        <v>11249</v>
      </c>
    </row>
    <row r="5556" spans="1:23" hidden="1" x14ac:dyDescent="0.45">
      <c r="A5556" s="1" t="s">
        <v>5483</v>
      </c>
      <c r="B5556" t="s">
        <v>7104</v>
      </c>
      <c r="D5556" t="s">
        <v>8355</v>
      </c>
      <c r="E5556" t="s">
        <v>9993</v>
      </c>
      <c r="F5556" t="s">
        <v>10305</v>
      </c>
      <c r="G5556">
        <v>648</v>
      </c>
      <c r="H5556" t="s">
        <v>10316</v>
      </c>
      <c r="I5556" t="s">
        <v>10323</v>
      </c>
      <c r="K5556" t="s">
        <v>10332</v>
      </c>
      <c r="L5556">
        <v>1974</v>
      </c>
      <c r="N5556">
        <v>50.995691999999998</v>
      </c>
      <c r="P5556">
        <v>6.6690389999999997</v>
      </c>
      <c r="Q5556" t="s">
        <v>10991</v>
      </c>
      <c r="R5556" t="s">
        <v>11037</v>
      </c>
      <c r="S5556" t="s">
        <v>10316</v>
      </c>
      <c r="W5556" t="s">
        <v>11249</v>
      </c>
    </row>
    <row r="5557" spans="1:23" hidden="1" x14ac:dyDescent="0.45">
      <c r="A5557" s="1" t="s">
        <v>5484</v>
      </c>
      <c r="B5557" t="s">
        <v>7104</v>
      </c>
      <c r="D5557" t="s">
        <v>8355</v>
      </c>
      <c r="E5557" t="s">
        <v>9993</v>
      </c>
      <c r="F5557" t="s">
        <v>10305</v>
      </c>
      <c r="G5557">
        <v>628</v>
      </c>
      <c r="H5557" t="s">
        <v>10316</v>
      </c>
      <c r="I5557" t="s">
        <v>10323</v>
      </c>
      <c r="K5557" t="s">
        <v>10332</v>
      </c>
      <c r="L5557">
        <v>1974</v>
      </c>
      <c r="N5557">
        <v>50.995691999999998</v>
      </c>
      <c r="P5557">
        <v>6.6690389999999997</v>
      </c>
      <c r="Q5557" t="s">
        <v>10991</v>
      </c>
      <c r="R5557" t="s">
        <v>11037</v>
      </c>
      <c r="S5557" t="s">
        <v>10316</v>
      </c>
      <c r="W5557" t="s">
        <v>11249</v>
      </c>
    </row>
    <row r="5558" spans="1:23" hidden="1" x14ac:dyDescent="0.45">
      <c r="A5558" s="1" t="s">
        <v>5485</v>
      </c>
      <c r="B5558" t="s">
        <v>7104</v>
      </c>
      <c r="D5558" t="s">
        <v>8355</v>
      </c>
      <c r="E5558" t="s">
        <v>9993</v>
      </c>
      <c r="F5558" t="s">
        <v>10305</v>
      </c>
      <c r="G5558">
        <v>944</v>
      </c>
      <c r="H5558" t="s">
        <v>10316</v>
      </c>
      <c r="I5558" t="s">
        <v>10323</v>
      </c>
      <c r="K5558" t="s">
        <v>10332</v>
      </c>
      <c r="L5558">
        <v>2002</v>
      </c>
      <c r="N5558">
        <v>50.995691999999998</v>
      </c>
      <c r="P5558">
        <v>6.6690389999999997</v>
      </c>
      <c r="Q5558" t="s">
        <v>10991</v>
      </c>
      <c r="R5558" t="s">
        <v>11037</v>
      </c>
      <c r="S5558" t="s">
        <v>10316</v>
      </c>
      <c r="W5558" t="s">
        <v>11249</v>
      </c>
    </row>
    <row r="5559" spans="1:23" hidden="1" x14ac:dyDescent="0.45">
      <c r="A5559" s="1" t="s">
        <v>5486</v>
      </c>
      <c r="B5559" t="s">
        <v>7104</v>
      </c>
      <c r="D5559" t="s">
        <v>8355</v>
      </c>
      <c r="E5559" t="s">
        <v>9993</v>
      </c>
      <c r="F5559" t="s">
        <v>10305</v>
      </c>
      <c r="G5559">
        <v>125</v>
      </c>
      <c r="H5559" t="s">
        <v>10316</v>
      </c>
      <c r="I5559" t="s">
        <v>10323</v>
      </c>
      <c r="K5559" t="s">
        <v>10333</v>
      </c>
      <c r="L5559">
        <v>1963</v>
      </c>
      <c r="N5559">
        <v>50.995691999999998</v>
      </c>
      <c r="P5559">
        <v>6.6690389999999997</v>
      </c>
      <c r="Q5559" t="s">
        <v>10991</v>
      </c>
      <c r="R5559" t="s">
        <v>11037</v>
      </c>
      <c r="S5559" t="s">
        <v>10316</v>
      </c>
      <c r="W5559" t="s">
        <v>11249</v>
      </c>
    </row>
    <row r="5560" spans="1:23" hidden="1" x14ac:dyDescent="0.45">
      <c r="A5560" s="1" t="s">
        <v>5487</v>
      </c>
      <c r="B5560" t="s">
        <v>7104</v>
      </c>
      <c r="D5560" t="s">
        <v>8355</v>
      </c>
      <c r="E5560" t="s">
        <v>9993</v>
      </c>
      <c r="F5560" t="s">
        <v>10305</v>
      </c>
      <c r="G5560">
        <v>125</v>
      </c>
      <c r="H5560" t="s">
        <v>10316</v>
      </c>
      <c r="I5560" t="s">
        <v>10323</v>
      </c>
      <c r="K5560" t="s">
        <v>10333</v>
      </c>
      <c r="L5560">
        <v>1963</v>
      </c>
      <c r="N5560">
        <v>50.995691999999998</v>
      </c>
      <c r="P5560">
        <v>6.6690389999999997</v>
      </c>
      <c r="Q5560" t="s">
        <v>10991</v>
      </c>
      <c r="R5560" t="s">
        <v>11037</v>
      </c>
      <c r="S5560" t="s">
        <v>10316</v>
      </c>
      <c r="W5560" t="s">
        <v>11249</v>
      </c>
    </row>
    <row r="5561" spans="1:23" hidden="1" x14ac:dyDescent="0.45">
      <c r="A5561" s="1" t="s">
        <v>5488</v>
      </c>
      <c r="B5561" t="s">
        <v>7104</v>
      </c>
      <c r="D5561" t="s">
        <v>8355</v>
      </c>
      <c r="E5561" t="s">
        <v>9993</v>
      </c>
      <c r="F5561" t="s">
        <v>10305</v>
      </c>
      <c r="G5561">
        <v>295</v>
      </c>
      <c r="H5561" t="s">
        <v>10316</v>
      </c>
      <c r="I5561" t="s">
        <v>10323</v>
      </c>
      <c r="K5561" t="s">
        <v>10332</v>
      </c>
      <c r="L5561">
        <v>1965</v>
      </c>
      <c r="N5561">
        <v>50.995691999999998</v>
      </c>
      <c r="P5561">
        <v>6.6690389999999997</v>
      </c>
      <c r="Q5561" t="s">
        <v>10991</v>
      </c>
      <c r="R5561" t="s">
        <v>11037</v>
      </c>
      <c r="S5561" t="s">
        <v>10316</v>
      </c>
      <c r="W5561" t="s">
        <v>11249</v>
      </c>
    </row>
    <row r="5562" spans="1:23" hidden="1" x14ac:dyDescent="0.45">
      <c r="A5562" s="1" t="s">
        <v>5489</v>
      </c>
      <c r="B5562" t="s">
        <v>7104</v>
      </c>
      <c r="D5562" t="s">
        <v>8355</v>
      </c>
      <c r="E5562" t="s">
        <v>9993</v>
      </c>
      <c r="F5562" t="s">
        <v>10305</v>
      </c>
      <c r="G5562">
        <v>295</v>
      </c>
      <c r="H5562" t="s">
        <v>10316</v>
      </c>
      <c r="I5562" t="s">
        <v>10323</v>
      </c>
      <c r="K5562" t="s">
        <v>10333</v>
      </c>
      <c r="L5562">
        <v>1970</v>
      </c>
      <c r="N5562">
        <v>50.995691999999998</v>
      </c>
      <c r="P5562">
        <v>6.6690389999999997</v>
      </c>
      <c r="Q5562" t="s">
        <v>10991</v>
      </c>
      <c r="R5562" t="s">
        <v>11037</v>
      </c>
      <c r="S5562" t="s">
        <v>10316</v>
      </c>
      <c r="W5562" t="s">
        <v>11249</v>
      </c>
    </row>
    <row r="5563" spans="1:23" hidden="1" x14ac:dyDescent="0.45">
      <c r="A5563" s="1" t="s">
        <v>5490</v>
      </c>
      <c r="B5563" t="s">
        <v>7104</v>
      </c>
      <c r="D5563" t="s">
        <v>8355</v>
      </c>
      <c r="E5563" t="s">
        <v>9993</v>
      </c>
      <c r="F5563" t="s">
        <v>10305</v>
      </c>
      <c r="G5563">
        <v>15</v>
      </c>
      <c r="H5563" t="s">
        <v>10316</v>
      </c>
      <c r="I5563" t="s">
        <v>10323</v>
      </c>
      <c r="K5563" t="s">
        <v>10332</v>
      </c>
      <c r="L5563">
        <v>1939</v>
      </c>
      <c r="N5563">
        <v>50.945597999999997</v>
      </c>
      <c r="P5563">
        <v>6.6635759999999991</v>
      </c>
      <c r="R5563" t="s">
        <v>11037</v>
      </c>
      <c r="S5563" t="s">
        <v>10316</v>
      </c>
      <c r="W5563" t="s">
        <v>11249</v>
      </c>
    </row>
    <row r="5564" spans="1:23" hidden="1" x14ac:dyDescent="0.45">
      <c r="A5564" s="1" t="s">
        <v>5491</v>
      </c>
      <c r="B5564" t="s">
        <v>7117</v>
      </c>
      <c r="C5564" t="s">
        <v>7658</v>
      </c>
      <c r="D5564" t="s">
        <v>8356</v>
      </c>
      <c r="E5564" t="s">
        <v>10111</v>
      </c>
      <c r="F5564" t="s">
        <v>10305</v>
      </c>
      <c r="G5564">
        <v>465</v>
      </c>
      <c r="H5564" t="s">
        <v>10316</v>
      </c>
      <c r="I5564" t="s">
        <v>10323</v>
      </c>
      <c r="K5564" t="s">
        <v>10332</v>
      </c>
      <c r="L5564">
        <v>1981</v>
      </c>
      <c r="N5564">
        <v>51.834440989999997</v>
      </c>
      <c r="P5564">
        <v>14.459037779999999</v>
      </c>
      <c r="Q5564" t="s">
        <v>10992</v>
      </c>
      <c r="R5564" t="s">
        <v>11037</v>
      </c>
      <c r="S5564" t="s">
        <v>10316</v>
      </c>
      <c r="W5564" t="s">
        <v>11249</v>
      </c>
    </row>
    <row r="5565" spans="1:23" hidden="1" x14ac:dyDescent="0.45">
      <c r="A5565" s="1" t="s">
        <v>5492</v>
      </c>
      <c r="B5565" t="s">
        <v>7117</v>
      </c>
      <c r="C5565" t="s">
        <v>7658</v>
      </c>
      <c r="D5565" t="s">
        <v>8356</v>
      </c>
      <c r="E5565" t="s">
        <v>10111</v>
      </c>
      <c r="F5565" t="s">
        <v>10305</v>
      </c>
      <c r="G5565">
        <v>465</v>
      </c>
      <c r="H5565" t="s">
        <v>10316</v>
      </c>
      <c r="I5565" t="s">
        <v>10323</v>
      </c>
      <c r="K5565" t="s">
        <v>10332</v>
      </c>
      <c r="L5565">
        <v>1982</v>
      </c>
      <c r="N5565">
        <v>51.834440989999997</v>
      </c>
      <c r="P5565">
        <v>14.459037779999999</v>
      </c>
      <c r="Q5565" t="s">
        <v>10992</v>
      </c>
      <c r="R5565" t="s">
        <v>11037</v>
      </c>
      <c r="S5565" t="s">
        <v>10316</v>
      </c>
      <c r="W5565" t="s">
        <v>11249</v>
      </c>
    </row>
    <row r="5566" spans="1:23" hidden="1" x14ac:dyDescent="0.45">
      <c r="A5566" s="1" t="s">
        <v>5493</v>
      </c>
      <c r="B5566" t="s">
        <v>7117</v>
      </c>
      <c r="C5566" t="s">
        <v>7658</v>
      </c>
      <c r="D5566" t="s">
        <v>8356</v>
      </c>
      <c r="E5566" t="s">
        <v>10111</v>
      </c>
      <c r="F5566" t="s">
        <v>10305</v>
      </c>
      <c r="G5566">
        <v>465</v>
      </c>
      <c r="H5566" t="s">
        <v>10316</v>
      </c>
      <c r="I5566" t="s">
        <v>10323</v>
      </c>
      <c r="K5566" t="s">
        <v>10332</v>
      </c>
      <c r="L5566">
        <v>1984</v>
      </c>
      <c r="N5566">
        <v>51.834440989999997</v>
      </c>
      <c r="P5566">
        <v>14.459037779999999</v>
      </c>
      <c r="Q5566" t="s">
        <v>10992</v>
      </c>
      <c r="R5566" t="s">
        <v>11037</v>
      </c>
      <c r="S5566" t="s">
        <v>10316</v>
      </c>
      <c r="W5566" t="s">
        <v>11249</v>
      </c>
    </row>
    <row r="5567" spans="1:23" hidden="1" x14ac:dyDescent="0.45">
      <c r="A5567" s="1" t="s">
        <v>5494</v>
      </c>
      <c r="B5567" t="s">
        <v>7117</v>
      </c>
      <c r="C5567" t="s">
        <v>7658</v>
      </c>
      <c r="D5567" t="s">
        <v>8356</v>
      </c>
      <c r="E5567" t="s">
        <v>10111</v>
      </c>
      <c r="F5567" t="s">
        <v>10305</v>
      </c>
      <c r="G5567">
        <v>465</v>
      </c>
      <c r="H5567" t="s">
        <v>10316</v>
      </c>
      <c r="I5567" t="s">
        <v>10323</v>
      </c>
      <c r="K5567" t="s">
        <v>10332</v>
      </c>
      <c r="L5567">
        <v>1985</v>
      </c>
      <c r="N5567">
        <v>51.834440989999997</v>
      </c>
      <c r="P5567">
        <v>14.459037779999999</v>
      </c>
      <c r="Q5567" t="s">
        <v>10992</v>
      </c>
      <c r="R5567" t="s">
        <v>11037</v>
      </c>
      <c r="S5567" t="s">
        <v>10316</v>
      </c>
      <c r="W5567" t="s">
        <v>11249</v>
      </c>
    </row>
    <row r="5568" spans="1:23" hidden="1" x14ac:dyDescent="0.45">
      <c r="A5568" s="1" t="s">
        <v>5495</v>
      </c>
      <c r="B5568" t="s">
        <v>7117</v>
      </c>
      <c r="C5568" t="s">
        <v>7658</v>
      </c>
      <c r="D5568" t="s">
        <v>8356</v>
      </c>
      <c r="E5568" t="s">
        <v>10111</v>
      </c>
      <c r="F5568" t="s">
        <v>10305</v>
      </c>
      <c r="G5568">
        <v>465</v>
      </c>
      <c r="H5568" t="s">
        <v>10316</v>
      </c>
      <c r="I5568" t="s">
        <v>10323</v>
      </c>
      <c r="K5568" t="s">
        <v>10332</v>
      </c>
      <c r="L5568">
        <v>1987</v>
      </c>
      <c r="N5568">
        <v>51.834440989999997</v>
      </c>
      <c r="P5568">
        <v>14.459037779999999</v>
      </c>
      <c r="Q5568" t="s">
        <v>10992</v>
      </c>
      <c r="R5568" t="s">
        <v>11037</v>
      </c>
      <c r="S5568" t="s">
        <v>10316</v>
      </c>
      <c r="W5568" t="s">
        <v>11249</v>
      </c>
    </row>
    <row r="5569" spans="1:23" hidden="1" x14ac:dyDescent="0.45">
      <c r="A5569" s="1" t="s">
        <v>5496</v>
      </c>
      <c r="B5569" t="s">
        <v>7117</v>
      </c>
      <c r="C5569" t="s">
        <v>7658</v>
      </c>
      <c r="D5569" t="s">
        <v>8356</v>
      </c>
      <c r="E5569" t="s">
        <v>10111</v>
      </c>
      <c r="F5569" t="s">
        <v>10305</v>
      </c>
      <c r="G5569">
        <v>465</v>
      </c>
      <c r="H5569" t="s">
        <v>10316</v>
      </c>
      <c r="I5569" t="s">
        <v>10323</v>
      </c>
      <c r="K5569" t="s">
        <v>10332</v>
      </c>
      <c r="L5569">
        <v>1989</v>
      </c>
      <c r="N5569">
        <v>51.834440989999997</v>
      </c>
      <c r="P5569">
        <v>14.459037779999999</v>
      </c>
      <c r="Q5569" t="s">
        <v>10992</v>
      </c>
      <c r="R5569" t="s">
        <v>11037</v>
      </c>
      <c r="S5569" t="s">
        <v>10316</v>
      </c>
      <c r="W5569" t="s">
        <v>11249</v>
      </c>
    </row>
    <row r="5570" spans="1:23" hidden="1" x14ac:dyDescent="0.45">
      <c r="A5570" s="1" t="s">
        <v>5497</v>
      </c>
      <c r="B5570" t="s">
        <v>7067</v>
      </c>
      <c r="D5570" t="s">
        <v>8357</v>
      </c>
      <c r="E5570" t="s">
        <v>10112</v>
      </c>
      <c r="F5570" t="s">
        <v>10305</v>
      </c>
      <c r="G5570">
        <v>450</v>
      </c>
      <c r="H5570" t="s">
        <v>10316</v>
      </c>
      <c r="I5570" t="s">
        <v>10323</v>
      </c>
      <c r="K5570" t="s">
        <v>10332</v>
      </c>
      <c r="L5570">
        <v>1996</v>
      </c>
      <c r="N5570">
        <v>51.398454630000003</v>
      </c>
      <c r="P5570">
        <v>11.950420100000001</v>
      </c>
      <c r="Q5570" t="s">
        <v>10993</v>
      </c>
      <c r="R5570" t="s">
        <v>11037</v>
      </c>
      <c r="S5570" t="s">
        <v>10316</v>
      </c>
      <c r="W5570" t="s">
        <v>11249</v>
      </c>
    </row>
    <row r="5571" spans="1:23" hidden="1" x14ac:dyDescent="0.45">
      <c r="A5571" s="1" t="s">
        <v>5498</v>
      </c>
      <c r="B5571" t="s">
        <v>7067</v>
      </c>
      <c r="D5571" t="s">
        <v>8357</v>
      </c>
      <c r="E5571" t="s">
        <v>10112</v>
      </c>
      <c r="F5571" t="s">
        <v>10305</v>
      </c>
      <c r="G5571">
        <v>450</v>
      </c>
      <c r="H5571" t="s">
        <v>10316</v>
      </c>
      <c r="I5571" t="s">
        <v>10323</v>
      </c>
      <c r="K5571" t="s">
        <v>10332</v>
      </c>
      <c r="L5571">
        <v>1996</v>
      </c>
      <c r="N5571">
        <v>51.398454630000003</v>
      </c>
      <c r="P5571">
        <v>11.950420100000001</v>
      </c>
      <c r="Q5571" t="s">
        <v>10993</v>
      </c>
      <c r="R5571" t="s">
        <v>11037</v>
      </c>
      <c r="S5571" t="s">
        <v>10316</v>
      </c>
      <c r="W5571" t="s">
        <v>11249</v>
      </c>
    </row>
    <row r="5572" spans="1:23" hidden="1" x14ac:dyDescent="0.45">
      <c r="A5572" s="1" t="s">
        <v>5499</v>
      </c>
      <c r="B5572" t="s">
        <v>7117</v>
      </c>
      <c r="C5572" t="s">
        <v>7659</v>
      </c>
      <c r="D5572" t="s">
        <v>8358</v>
      </c>
      <c r="E5572" t="s">
        <v>10113</v>
      </c>
      <c r="F5572" t="s">
        <v>10305</v>
      </c>
      <c r="G5572">
        <v>750</v>
      </c>
      <c r="H5572" t="s">
        <v>10316</v>
      </c>
      <c r="I5572" t="s">
        <v>10323</v>
      </c>
      <c r="K5572" t="s">
        <v>10332</v>
      </c>
      <c r="L5572">
        <v>1997</v>
      </c>
      <c r="N5572">
        <v>51.534820279999998</v>
      </c>
      <c r="P5572">
        <v>14.353122709999999</v>
      </c>
      <c r="Q5572" t="s">
        <v>10994</v>
      </c>
      <c r="R5572" t="s">
        <v>11037</v>
      </c>
      <c r="S5572" t="s">
        <v>10316</v>
      </c>
      <c r="W5572" t="s">
        <v>11249</v>
      </c>
    </row>
    <row r="5573" spans="1:23" hidden="1" x14ac:dyDescent="0.45">
      <c r="A5573" s="1" t="s">
        <v>5500</v>
      </c>
      <c r="B5573" t="s">
        <v>7117</v>
      </c>
      <c r="C5573" t="s">
        <v>7659</v>
      </c>
      <c r="D5573" t="s">
        <v>8358</v>
      </c>
      <c r="E5573" t="s">
        <v>10113</v>
      </c>
      <c r="F5573" t="s">
        <v>10305</v>
      </c>
      <c r="G5573">
        <v>750</v>
      </c>
      <c r="H5573" t="s">
        <v>10316</v>
      </c>
      <c r="I5573" t="s">
        <v>10323</v>
      </c>
      <c r="K5573" t="s">
        <v>10332</v>
      </c>
      <c r="L5573">
        <v>1998</v>
      </c>
      <c r="N5573">
        <v>51.534820279999998</v>
      </c>
      <c r="P5573">
        <v>14.353122709999999</v>
      </c>
      <c r="Q5573" t="s">
        <v>10994</v>
      </c>
      <c r="R5573" t="s">
        <v>11037</v>
      </c>
      <c r="S5573" t="s">
        <v>10316</v>
      </c>
      <c r="W5573" t="s">
        <v>11249</v>
      </c>
    </row>
    <row r="5574" spans="1:23" hidden="1" x14ac:dyDescent="0.45">
      <c r="A5574" s="1" t="s">
        <v>5501</v>
      </c>
      <c r="B5574" t="s">
        <v>7120</v>
      </c>
      <c r="D5574" t="s">
        <v>8359</v>
      </c>
      <c r="E5574" t="s">
        <v>10114</v>
      </c>
      <c r="F5574" t="s">
        <v>10305</v>
      </c>
      <c r="G5574">
        <v>31</v>
      </c>
      <c r="H5574" t="s">
        <v>10316</v>
      </c>
      <c r="I5574" t="s">
        <v>10323</v>
      </c>
      <c r="K5574" t="s">
        <v>10332</v>
      </c>
      <c r="L5574">
        <v>1994</v>
      </c>
      <c r="N5574">
        <v>51.166640000000001</v>
      </c>
      <c r="P5574">
        <v>12.076219999999999</v>
      </c>
      <c r="R5574" t="s">
        <v>11037</v>
      </c>
      <c r="S5574" t="s">
        <v>10316</v>
      </c>
      <c r="W5574" t="s">
        <v>11249</v>
      </c>
    </row>
    <row r="5575" spans="1:23" hidden="1" x14ac:dyDescent="0.45">
      <c r="A5575" s="1" t="s">
        <v>5502</v>
      </c>
      <c r="B5575" t="s">
        <v>7104</v>
      </c>
      <c r="D5575" t="s">
        <v>8360</v>
      </c>
      <c r="E5575" t="s">
        <v>10115</v>
      </c>
      <c r="F5575" t="s">
        <v>10305</v>
      </c>
      <c r="G5575">
        <v>123</v>
      </c>
      <c r="H5575" t="s">
        <v>10316</v>
      </c>
      <c r="I5575" t="s">
        <v>10323</v>
      </c>
      <c r="K5575" t="s">
        <v>10332</v>
      </c>
      <c r="L5575">
        <v>1955</v>
      </c>
      <c r="N5575">
        <v>50.839167000000003</v>
      </c>
      <c r="P5575">
        <v>6.3211110000000001</v>
      </c>
      <c r="R5575" t="s">
        <v>11037</v>
      </c>
      <c r="S5575" t="s">
        <v>10316</v>
      </c>
      <c r="W5575" t="s">
        <v>11249</v>
      </c>
    </row>
    <row r="5576" spans="1:23" hidden="1" x14ac:dyDescent="0.45">
      <c r="A5576" s="1" t="s">
        <v>5503</v>
      </c>
      <c r="B5576" t="s">
        <v>7104</v>
      </c>
      <c r="D5576" t="s">
        <v>8360</v>
      </c>
      <c r="E5576" t="s">
        <v>10115</v>
      </c>
      <c r="F5576" t="s">
        <v>10305</v>
      </c>
      <c r="G5576">
        <v>135</v>
      </c>
      <c r="H5576" t="s">
        <v>10316</v>
      </c>
      <c r="I5576" t="s">
        <v>10323</v>
      </c>
      <c r="K5576" t="s">
        <v>10333</v>
      </c>
      <c r="L5576">
        <v>1959</v>
      </c>
      <c r="N5576">
        <v>50.839167000000003</v>
      </c>
      <c r="P5576">
        <v>6.3211110000000001</v>
      </c>
      <c r="R5576" t="s">
        <v>11037</v>
      </c>
      <c r="S5576" t="s">
        <v>10316</v>
      </c>
      <c r="W5576" t="s">
        <v>11249</v>
      </c>
    </row>
    <row r="5577" spans="1:23" hidden="1" x14ac:dyDescent="0.45">
      <c r="A5577" s="1" t="s">
        <v>5504</v>
      </c>
      <c r="B5577" t="s">
        <v>7104</v>
      </c>
      <c r="D5577" t="s">
        <v>8360</v>
      </c>
      <c r="E5577" t="s">
        <v>10115</v>
      </c>
      <c r="F5577" t="s">
        <v>10305</v>
      </c>
      <c r="G5577">
        <v>321</v>
      </c>
      <c r="H5577" t="s">
        <v>10316</v>
      </c>
      <c r="I5577" t="s">
        <v>10323</v>
      </c>
      <c r="K5577" t="s">
        <v>10333</v>
      </c>
      <c r="L5577">
        <v>1965</v>
      </c>
      <c r="N5577">
        <v>50.839167000000003</v>
      </c>
      <c r="P5577">
        <v>6.3211110000000001</v>
      </c>
      <c r="Q5577" t="s">
        <v>10995</v>
      </c>
      <c r="R5577" t="s">
        <v>11037</v>
      </c>
      <c r="S5577" t="s">
        <v>10316</v>
      </c>
      <c r="W5577" t="s">
        <v>11249</v>
      </c>
    </row>
    <row r="5578" spans="1:23" hidden="1" x14ac:dyDescent="0.45">
      <c r="A5578" s="1" t="s">
        <v>5505</v>
      </c>
      <c r="B5578" t="s">
        <v>7104</v>
      </c>
      <c r="D5578" t="s">
        <v>8360</v>
      </c>
      <c r="E5578" t="s">
        <v>10115</v>
      </c>
      <c r="F5578" t="s">
        <v>10305</v>
      </c>
      <c r="G5578">
        <v>321</v>
      </c>
      <c r="H5578" t="s">
        <v>10316</v>
      </c>
      <c r="I5578" t="s">
        <v>10323</v>
      </c>
      <c r="K5578" t="s">
        <v>10333</v>
      </c>
      <c r="L5578">
        <v>1967</v>
      </c>
      <c r="N5578">
        <v>50.839167000000003</v>
      </c>
      <c r="P5578">
        <v>6.3211110000000001</v>
      </c>
      <c r="Q5578" t="s">
        <v>10995</v>
      </c>
      <c r="R5578" t="s">
        <v>11037</v>
      </c>
      <c r="S5578" t="s">
        <v>10316</v>
      </c>
      <c r="W5578" t="s">
        <v>11249</v>
      </c>
    </row>
    <row r="5579" spans="1:23" hidden="1" x14ac:dyDescent="0.45">
      <c r="A5579" s="1" t="s">
        <v>5506</v>
      </c>
      <c r="B5579" t="s">
        <v>7104</v>
      </c>
      <c r="D5579" t="s">
        <v>8360</v>
      </c>
      <c r="E5579" t="s">
        <v>10115</v>
      </c>
      <c r="F5579" t="s">
        <v>10305</v>
      </c>
      <c r="G5579">
        <v>663</v>
      </c>
      <c r="H5579" t="s">
        <v>10316</v>
      </c>
      <c r="I5579" t="s">
        <v>10323</v>
      </c>
      <c r="K5579" t="s">
        <v>10332</v>
      </c>
      <c r="L5579">
        <v>1974</v>
      </c>
      <c r="N5579">
        <v>50.839167000000003</v>
      </c>
      <c r="P5579">
        <v>6.3211110000000001</v>
      </c>
      <c r="Q5579" t="s">
        <v>10995</v>
      </c>
      <c r="R5579" t="s">
        <v>11037</v>
      </c>
      <c r="S5579" t="s">
        <v>10316</v>
      </c>
      <c r="W5579" t="s">
        <v>11249</v>
      </c>
    </row>
    <row r="5580" spans="1:23" hidden="1" x14ac:dyDescent="0.45">
      <c r="A5580" s="1" t="s">
        <v>5507</v>
      </c>
      <c r="B5580" t="s">
        <v>7104</v>
      </c>
      <c r="D5580" t="s">
        <v>8360</v>
      </c>
      <c r="E5580" t="s">
        <v>10115</v>
      </c>
      <c r="F5580" t="s">
        <v>10305</v>
      </c>
      <c r="G5580">
        <v>656</v>
      </c>
      <c r="H5580" t="s">
        <v>10316</v>
      </c>
      <c r="I5580" t="s">
        <v>10323</v>
      </c>
      <c r="K5580" t="s">
        <v>10332</v>
      </c>
      <c r="L5580">
        <v>1975</v>
      </c>
      <c r="N5580">
        <v>50.839167000000003</v>
      </c>
      <c r="P5580">
        <v>6.3211110000000001</v>
      </c>
      <c r="Q5580" t="s">
        <v>10995</v>
      </c>
      <c r="R5580" t="s">
        <v>11037</v>
      </c>
      <c r="S5580" t="s">
        <v>10316</v>
      </c>
      <c r="W5580" t="s">
        <v>11249</v>
      </c>
    </row>
    <row r="5581" spans="1:23" hidden="1" x14ac:dyDescent="0.45">
      <c r="A5581" s="1" t="s">
        <v>5508</v>
      </c>
      <c r="B5581" t="s">
        <v>7124</v>
      </c>
      <c r="C5581" t="s">
        <v>7660</v>
      </c>
      <c r="D5581" t="s">
        <v>8361</v>
      </c>
      <c r="E5581" t="s">
        <v>10116</v>
      </c>
      <c r="F5581" t="s">
        <v>10305</v>
      </c>
      <c r="G5581">
        <v>19.5</v>
      </c>
      <c r="H5581" t="s">
        <v>10316</v>
      </c>
      <c r="I5581" t="s">
        <v>10323</v>
      </c>
      <c r="K5581" t="s">
        <v>10332</v>
      </c>
      <c r="L5581">
        <v>2010</v>
      </c>
      <c r="N5581">
        <v>50.705500000000001</v>
      </c>
      <c r="P5581">
        <v>6.6536200000000001</v>
      </c>
      <c r="R5581" t="s">
        <v>11037</v>
      </c>
      <c r="S5581" t="s">
        <v>10316</v>
      </c>
      <c r="W5581" t="s">
        <v>11249</v>
      </c>
    </row>
    <row r="5582" spans="1:23" hidden="1" x14ac:dyDescent="0.45">
      <c r="A5582" s="1" t="s">
        <v>5509</v>
      </c>
      <c r="B5582" t="s">
        <v>7125</v>
      </c>
      <c r="C5582" t="s">
        <v>7661</v>
      </c>
      <c r="D5582" t="s">
        <v>8362</v>
      </c>
      <c r="E5582" t="s">
        <v>10117</v>
      </c>
      <c r="F5582" t="s">
        <v>10305</v>
      </c>
      <c r="G5582">
        <v>14.5</v>
      </c>
      <c r="H5582" t="s">
        <v>10316</v>
      </c>
      <c r="I5582" t="s">
        <v>10323</v>
      </c>
      <c r="K5582" t="s">
        <v>10332</v>
      </c>
      <c r="L5582">
        <v>1979</v>
      </c>
      <c r="N5582">
        <v>50.658029999999997</v>
      </c>
      <c r="P5582">
        <v>6.8101200000000004</v>
      </c>
      <c r="R5582" t="s">
        <v>11037</v>
      </c>
      <c r="S5582" t="s">
        <v>10316</v>
      </c>
      <c r="W5582" t="s">
        <v>11249</v>
      </c>
    </row>
    <row r="5583" spans="1:23" hidden="1" x14ac:dyDescent="0.45">
      <c r="A5583" s="1" t="s">
        <v>5510</v>
      </c>
      <c r="B5583" t="s">
        <v>7125</v>
      </c>
      <c r="C5583" t="s">
        <v>7662</v>
      </c>
      <c r="D5583" t="s">
        <v>8363</v>
      </c>
      <c r="E5583" t="s">
        <v>10118</v>
      </c>
      <c r="F5583" t="s">
        <v>10305</v>
      </c>
      <c r="G5583">
        <v>23.22</v>
      </c>
      <c r="H5583" t="s">
        <v>10316</v>
      </c>
      <c r="I5583" t="s">
        <v>10323</v>
      </c>
      <c r="K5583" t="s">
        <v>10332</v>
      </c>
      <c r="L5583">
        <v>2004</v>
      </c>
      <c r="N5583">
        <v>50.915170000000003</v>
      </c>
      <c r="P5583">
        <v>6.3693499999999998</v>
      </c>
      <c r="R5583" t="s">
        <v>11037</v>
      </c>
      <c r="S5583" t="s">
        <v>10316</v>
      </c>
      <c r="W5583" t="s">
        <v>11249</v>
      </c>
    </row>
    <row r="5584" spans="1:23" hidden="1" x14ac:dyDescent="0.45">
      <c r="A5584" s="1" t="s">
        <v>5511</v>
      </c>
      <c r="B5584" t="s">
        <v>7125</v>
      </c>
      <c r="C5584" t="s">
        <v>7663</v>
      </c>
      <c r="D5584" t="s">
        <v>8364</v>
      </c>
      <c r="E5584" t="s">
        <v>10119</v>
      </c>
      <c r="F5584" t="s">
        <v>10305</v>
      </c>
      <c r="G5584">
        <v>20.3</v>
      </c>
      <c r="H5584" t="s">
        <v>10316</v>
      </c>
      <c r="I5584" t="s">
        <v>10323</v>
      </c>
      <c r="K5584" t="s">
        <v>10332</v>
      </c>
      <c r="L5584">
        <v>2014</v>
      </c>
      <c r="N5584">
        <v>51.697839999999999</v>
      </c>
      <c r="P5584">
        <v>11.758100000000001</v>
      </c>
      <c r="R5584" t="s">
        <v>11037</v>
      </c>
      <c r="S5584" t="s">
        <v>10316</v>
      </c>
      <c r="W5584" t="s">
        <v>11249</v>
      </c>
    </row>
    <row r="5585" spans="1:23" hidden="1" x14ac:dyDescent="0.45">
      <c r="A5585" s="1" t="s">
        <v>5512</v>
      </c>
      <c r="B5585" t="s">
        <v>7126</v>
      </c>
      <c r="C5585" t="s">
        <v>7664</v>
      </c>
      <c r="D5585" t="s">
        <v>8365</v>
      </c>
      <c r="E5585" t="s">
        <v>9993</v>
      </c>
      <c r="F5585" t="s">
        <v>10305</v>
      </c>
      <c r="G5585">
        <v>10</v>
      </c>
      <c r="H5585" t="s">
        <v>10316</v>
      </c>
      <c r="I5585" t="s">
        <v>10323</v>
      </c>
      <c r="K5585" t="s">
        <v>10332</v>
      </c>
      <c r="L5585">
        <v>1995</v>
      </c>
      <c r="N5585">
        <v>50.945639999999997</v>
      </c>
      <c r="P5585">
        <v>6.6650300000000016</v>
      </c>
      <c r="R5585" t="s">
        <v>11037</v>
      </c>
      <c r="S5585" t="s">
        <v>10316</v>
      </c>
      <c r="W5585" t="s">
        <v>11249</v>
      </c>
    </row>
    <row r="5586" spans="1:23" hidden="1" x14ac:dyDescent="0.45">
      <c r="A5586" s="1" t="s">
        <v>5513</v>
      </c>
      <c r="B5586" t="s">
        <v>7126</v>
      </c>
      <c r="C5586" t="s">
        <v>7664</v>
      </c>
      <c r="D5586" t="s">
        <v>8365</v>
      </c>
      <c r="E5586" t="s">
        <v>9993</v>
      </c>
      <c r="F5586" t="s">
        <v>10305</v>
      </c>
      <c r="G5586">
        <v>10</v>
      </c>
      <c r="H5586" t="s">
        <v>10316</v>
      </c>
      <c r="I5586" t="s">
        <v>10323</v>
      </c>
      <c r="K5586" t="s">
        <v>10332</v>
      </c>
      <c r="L5586">
        <v>1995</v>
      </c>
      <c r="N5586">
        <v>50.945639999999997</v>
      </c>
      <c r="P5586">
        <v>6.6650300000000016</v>
      </c>
      <c r="R5586" t="s">
        <v>11037</v>
      </c>
      <c r="S5586" t="s">
        <v>10316</v>
      </c>
      <c r="W5586" t="s">
        <v>11249</v>
      </c>
    </row>
    <row r="5587" spans="1:23" hidden="1" x14ac:dyDescent="0.45">
      <c r="A5587" s="1" t="s">
        <v>5514</v>
      </c>
      <c r="B5587" t="s">
        <v>7127</v>
      </c>
      <c r="C5587" t="s">
        <v>7665</v>
      </c>
      <c r="D5587" t="s">
        <v>8366</v>
      </c>
      <c r="E5587" t="s">
        <v>10120</v>
      </c>
      <c r="F5587" t="s">
        <v>10305</v>
      </c>
      <c r="G5587">
        <v>23.3</v>
      </c>
      <c r="H5587" t="s">
        <v>10316</v>
      </c>
      <c r="I5587" t="s">
        <v>10323</v>
      </c>
      <c r="K5587" t="s">
        <v>10332</v>
      </c>
      <c r="L5587">
        <v>1993</v>
      </c>
      <c r="N5587">
        <v>51.048850000000002</v>
      </c>
      <c r="P5587">
        <v>12.110379999999999</v>
      </c>
      <c r="R5587" t="s">
        <v>11037</v>
      </c>
      <c r="S5587" t="s">
        <v>10316</v>
      </c>
      <c r="W5587" t="s">
        <v>11249</v>
      </c>
    </row>
    <row r="5588" spans="1:23" hidden="1" x14ac:dyDescent="0.45">
      <c r="A5588" s="1" t="s">
        <v>5515</v>
      </c>
      <c r="B5588" t="s">
        <v>7104</v>
      </c>
      <c r="C5588" t="s">
        <v>7666</v>
      </c>
      <c r="D5588" t="s">
        <v>8349</v>
      </c>
      <c r="E5588" t="s">
        <v>10121</v>
      </c>
      <c r="F5588" t="s">
        <v>10305</v>
      </c>
      <c r="G5588">
        <v>1060</v>
      </c>
      <c r="H5588" t="s">
        <v>10316</v>
      </c>
      <c r="I5588" t="s">
        <v>10323</v>
      </c>
      <c r="K5588" t="s">
        <v>10333</v>
      </c>
      <c r="L5588">
        <v>2012</v>
      </c>
      <c r="N5588">
        <v>51.036499999999997</v>
      </c>
      <c r="P5588">
        <v>6.6133199999999999</v>
      </c>
      <c r="Q5588" t="s">
        <v>10990</v>
      </c>
      <c r="R5588" t="s">
        <v>11037</v>
      </c>
      <c r="S5588" t="s">
        <v>10316</v>
      </c>
      <c r="W5588" t="s">
        <v>11249</v>
      </c>
    </row>
    <row r="5589" spans="1:23" hidden="1" x14ac:dyDescent="0.45">
      <c r="A5589" s="1" t="s">
        <v>5516</v>
      </c>
      <c r="B5589" t="s">
        <v>7104</v>
      </c>
      <c r="C5589" t="s">
        <v>7666</v>
      </c>
      <c r="D5589" t="s">
        <v>8349</v>
      </c>
      <c r="E5589" t="s">
        <v>10121</v>
      </c>
      <c r="F5589" t="s">
        <v>10305</v>
      </c>
      <c r="G5589">
        <v>1060</v>
      </c>
      <c r="H5589" t="s">
        <v>10316</v>
      </c>
      <c r="I5589" t="s">
        <v>10323</v>
      </c>
      <c r="K5589" t="s">
        <v>10333</v>
      </c>
      <c r="L5589">
        <v>2012</v>
      </c>
      <c r="N5589">
        <v>51.036499999999997</v>
      </c>
      <c r="P5589">
        <v>6.6133199999999999</v>
      </c>
      <c r="Q5589" t="s">
        <v>10990</v>
      </c>
      <c r="R5589" t="s">
        <v>11037</v>
      </c>
      <c r="S5589" t="s">
        <v>10316</v>
      </c>
      <c r="W5589" t="s">
        <v>11249</v>
      </c>
    </row>
    <row r="5590" spans="1:23" hidden="1" x14ac:dyDescent="0.45">
      <c r="A5590" s="1" t="s">
        <v>5517</v>
      </c>
      <c r="B5590" t="s">
        <v>7117</v>
      </c>
      <c r="C5590" t="s">
        <v>7640</v>
      </c>
      <c r="D5590" t="s">
        <v>8343</v>
      </c>
      <c r="E5590" t="s">
        <v>10098</v>
      </c>
      <c r="F5590" t="s">
        <v>10305</v>
      </c>
      <c r="G5590">
        <v>640</v>
      </c>
      <c r="H5590" t="s">
        <v>10316</v>
      </c>
      <c r="I5590" t="s">
        <v>10323</v>
      </c>
      <c r="K5590" t="s">
        <v>10333</v>
      </c>
      <c r="L5590">
        <v>2012</v>
      </c>
      <c r="N5590">
        <v>51.419179999999997</v>
      </c>
      <c r="P5590">
        <v>14.569800000000001</v>
      </c>
      <c r="Q5590" t="s">
        <v>10987</v>
      </c>
      <c r="R5590" t="s">
        <v>11037</v>
      </c>
      <c r="S5590" t="s">
        <v>10316</v>
      </c>
      <c r="W5590" t="s">
        <v>11249</v>
      </c>
    </row>
    <row r="5591" spans="1:23" hidden="1" x14ac:dyDescent="0.45">
      <c r="A5591" s="1" t="s">
        <v>5518</v>
      </c>
      <c r="B5591" t="s">
        <v>7128</v>
      </c>
      <c r="D5591" t="s">
        <v>8367</v>
      </c>
      <c r="E5591" t="s">
        <v>9953</v>
      </c>
      <c r="F5591" t="s">
        <v>10305</v>
      </c>
      <c r="G5591">
        <v>27.5</v>
      </c>
      <c r="H5591" t="s">
        <v>10316</v>
      </c>
      <c r="I5591" t="s">
        <v>10323</v>
      </c>
      <c r="K5591" t="s">
        <v>10332</v>
      </c>
      <c r="L5591">
        <v>1964</v>
      </c>
      <c r="N5591">
        <v>51.440890000000003</v>
      </c>
      <c r="P5591">
        <v>6.7054300000000024</v>
      </c>
      <c r="R5591" t="s">
        <v>11037</v>
      </c>
      <c r="S5591" t="s">
        <v>10316</v>
      </c>
      <c r="W5591" t="s">
        <v>11249</v>
      </c>
    </row>
    <row r="5592" spans="1:23" hidden="1" x14ac:dyDescent="0.45">
      <c r="A5592" s="1" t="s">
        <v>5519</v>
      </c>
      <c r="B5592" t="s">
        <v>7129</v>
      </c>
      <c r="C5592" t="s">
        <v>7667</v>
      </c>
      <c r="D5592" t="s">
        <v>8368</v>
      </c>
      <c r="E5592" t="s">
        <v>10122</v>
      </c>
      <c r="F5592" t="s">
        <v>10305</v>
      </c>
      <c r="G5592">
        <v>45</v>
      </c>
      <c r="H5592" t="s">
        <v>10316</v>
      </c>
      <c r="I5592" t="s">
        <v>10323</v>
      </c>
      <c r="K5592" t="s">
        <v>10332</v>
      </c>
      <c r="L5592">
        <v>1979</v>
      </c>
      <c r="N5592">
        <v>51.462749000000002</v>
      </c>
      <c r="P5592">
        <v>11.714028000000001</v>
      </c>
      <c r="R5592" t="s">
        <v>11037</v>
      </c>
      <c r="S5592" t="s">
        <v>10316</v>
      </c>
      <c r="W5592" t="s">
        <v>11249</v>
      </c>
    </row>
    <row r="5593" spans="1:23" hidden="1" x14ac:dyDescent="0.45">
      <c r="A5593" s="1" t="s">
        <v>5520</v>
      </c>
      <c r="B5593" t="s">
        <v>7130</v>
      </c>
      <c r="C5593" t="s">
        <v>7668</v>
      </c>
      <c r="D5593" t="s">
        <v>8369</v>
      </c>
      <c r="E5593" t="s">
        <v>10123</v>
      </c>
      <c r="F5593" t="s">
        <v>10305</v>
      </c>
      <c r="G5593">
        <v>9.3000000000000007</v>
      </c>
      <c r="H5593" t="s">
        <v>10316</v>
      </c>
      <c r="I5593" t="s">
        <v>10323</v>
      </c>
      <c r="K5593" t="s">
        <v>10332</v>
      </c>
      <c r="L5593">
        <v>1983</v>
      </c>
      <c r="N5593">
        <v>50.777009999999997</v>
      </c>
      <c r="P5593">
        <v>6.4860499999999996</v>
      </c>
      <c r="R5593" t="s">
        <v>11037</v>
      </c>
      <c r="S5593" t="s">
        <v>10316</v>
      </c>
      <c r="W5593" t="s">
        <v>11249</v>
      </c>
    </row>
    <row r="5594" spans="1:23" hidden="1" x14ac:dyDescent="0.45">
      <c r="A5594" s="1" t="s">
        <v>5521</v>
      </c>
      <c r="B5594" t="s">
        <v>7117</v>
      </c>
      <c r="C5594" t="s">
        <v>7669</v>
      </c>
      <c r="D5594" t="s">
        <v>8370</v>
      </c>
      <c r="E5594" t="s">
        <v>10124</v>
      </c>
      <c r="F5594" t="s">
        <v>10305</v>
      </c>
      <c r="G5594">
        <v>37.5</v>
      </c>
      <c r="H5594" t="s">
        <v>10307</v>
      </c>
      <c r="I5594" t="s">
        <v>10322</v>
      </c>
      <c r="K5594" t="s">
        <v>10333</v>
      </c>
      <c r="L5594">
        <v>1990</v>
      </c>
      <c r="N5594">
        <v>52.589500010000002</v>
      </c>
      <c r="P5594">
        <v>13.5586524</v>
      </c>
      <c r="R5594" t="s">
        <v>11037</v>
      </c>
      <c r="S5594" t="s">
        <v>10307</v>
      </c>
      <c r="W5594" t="s">
        <v>11249</v>
      </c>
    </row>
    <row r="5595" spans="1:23" hidden="1" x14ac:dyDescent="0.45">
      <c r="A5595" s="1" t="s">
        <v>5522</v>
      </c>
      <c r="B5595" t="s">
        <v>7117</v>
      </c>
      <c r="C5595" t="s">
        <v>7669</v>
      </c>
      <c r="D5595" t="s">
        <v>8370</v>
      </c>
      <c r="E5595" t="s">
        <v>10124</v>
      </c>
      <c r="F5595" t="s">
        <v>10305</v>
      </c>
      <c r="G5595">
        <v>37.5</v>
      </c>
      <c r="H5595" t="s">
        <v>10307</v>
      </c>
      <c r="I5595" t="s">
        <v>10322</v>
      </c>
      <c r="K5595" t="s">
        <v>10333</v>
      </c>
      <c r="L5595">
        <v>1990</v>
      </c>
      <c r="N5595">
        <v>52.589500010000002</v>
      </c>
      <c r="P5595">
        <v>13.5586524</v>
      </c>
      <c r="R5595" t="s">
        <v>11037</v>
      </c>
      <c r="S5595" t="s">
        <v>10307</v>
      </c>
      <c r="W5595" t="s">
        <v>11249</v>
      </c>
    </row>
    <row r="5596" spans="1:23" hidden="1" x14ac:dyDescent="0.45">
      <c r="A5596" s="1" t="s">
        <v>5523</v>
      </c>
      <c r="B5596" t="s">
        <v>7117</v>
      </c>
      <c r="C5596" t="s">
        <v>7669</v>
      </c>
      <c r="D5596" t="s">
        <v>8370</v>
      </c>
      <c r="E5596" t="s">
        <v>10124</v>
      </c>
      <c r="F5596" t="s">
        <v>10305</v>
      </c>
      <c r="G5596">
        <v>37.5</v>
      </c>
      <c r="H5596" t="s">
        <v>10307</v>
      </c>
      <c r="I5596" t="s">
        <v>10322</v>
      </c>
      <c r="K5596" t="s">
        <v>10333</v>
      </c>
      <c r="L5596">
        <v>1990</v>
      </c>
      <c r="N5596">
        <v>52.589500010000002</v>
      </c>
      <c r="P5596">
        <v>13.5586524</v>
      </c>
      <c r="R5596" t="s">
        <v>11037</v>
      </c>
      <c r="S5596" t="s">
        <v>10307</v>
      </c>
      <c r="W5596" t="s">
        <v>11249</v>
      </c>
    </row>
    <row r="5597" spans="1:23" hidden="1" x14ac:dyDescent="0.45">
      <c r="A5597" s="1" t="s">
        <v>5524</v>
      </c>
      <c r="B5597" t="s">
        <v>7117</v>
      </c>
      <c r="C5597" t="s">
        <v>7669</v>
      </c>
      <c r="D5597" t="s">
        <v>8370</v>
      </c>
      <c r="E5597" t="s">
        <v>10124</v>
      </c>
      <c r="F5597" t="s">
        <v>10305</v>
      </c>
      <c r="G5597">
        <v>37.5</v>
      </c>
      <c r="H5597" t="s">
        <v>10307</v>
      </c>
      <c r="I5597" t="s">
        <v>10322</v>
      </c>
      <c r="K5597" t="s">
        <v>10333</v>
      </c>
      <c r="L5597">
        <v>1990</v>
      </c>
      <c r="N5597">
        <v>52.589500010000002</v>
      </c>
      <c r="P5597">
        <v>13.5586524</v>
      </c>
      <c r="R5597" t="s">
        <v>11037</v>
      </c>
      <c r="S5597" t="s">
        <v>10307</v>
      </c>
      <c r="W5597" t="s">
        <v>11249</v>
      </c>
    </row>
    <row r="5598" spans="1:23" hidden="1" x14ac:dyDescent="0.45">
      <c r="A5598" s="1" t="s">
        <v>5525</v>
      </c>
      <c r="B5598" t="s">
        <v>7023</v>
      </c>
      <c r="C5598" t="s">
        <v>7512</v>
      </c>
      <c r="D5598" t="s">
        <v>8127</v>
      </c>
      <c r="E5598" t="s">
        <v>9905</v>
      </c>
      <c r="F5598" t="s">
        <v>10305</v>
      </c>
      <c r="G5598">
        <v>11</v>
      </c>
      <c r="H5598" t="s">
        <v>10307</v>
      </c>
      <c r="I5598" t="s">
        <v>10323</v>
      </c>
      <c r="K5598" t="s">
        <v>10332</v>
      </c>
      <c r="L5598">
        <v>1947</v>
      </c>
      <c r="N5598">
        <v>51.985129999999998</v>
      </c>
      <c r="P5598">
        <v>9.8224599999999995</v>
      </c>
      <c r="R5598" t="s">
        <v>11037</v>
      </c>
      <c r="S5598" t="s">
        <v>10307</v>
      </c>
      <c r="W5598" t="s">
        <v>11249</v>
      </c>
    </row>
    <row r="5599" spans="1:23" hidden="1" x14ac:dyDescent="0.45">
      <c r="A5599" s="1" t="s">
        <v>5526</v>
      </c>
      <c r="B5599" t="s">
        <v>7061</v>
      </c>
      <c r="C5599" t="s">
        <v>7544</v>
      </c>
      <c r="D5599" t="s">
        <v>8170</v>
      </c>
      <c r="E5599" t="s">
        <v>9947</v>
      </c>
      <c r="F5599" t="s">
        <v>10305</v>
      </c>
      <c r="G5599">
        <v>65</v>
      </c>
      <c r="H5599" t="s">
        <v>10307</v>
      </c>
      <c r="I5599" t="s">
        <v>10322</v>
      </c>
      <c r="K5599" t="s">
        <v>10332</v>
      </c>
      <c r="L5599">
        <v>1997</v>
      </c>
      <c r="N5599">
        <v>48.717610999999998</v>
      </c>
      <c r="P5599">
        <v>9.3749169999999999</v>
      </c>
      <c r="R5599" t="s">
        <v>11037</v>
      </c>
      <c r="S5599" t="s">
        <v>10307</v>
      </c>
      <c r="W5599" t="s">
        <v>11249</v>
      </c>
    </row>
    <row r="5600" spans="1:23" hidden="1" x14ac:dyDescent="0.45">
      <c r="A5600" s="1" t="s">
        <v>5527</v>
      </c>
      <c r="B5600" t="s">
        <v>7061</v>
      </c>
      <c r="C5600" t="s">
        <v>7544</v>
      </c>
      <c r="D5600" t="s">
        <v>8170</v>
      </c>
      <c r="E5600" t="s">
        <v>9947</v>
      </c>
      <c r="F5600" t="s">
        <v>10305</v>
      </c>
      <c r="G5600">
        <v>50</v>
      </c>
      <c r="H5600" t="s">
        <v>10307</v>
      </c>
      <c r="I5600" t="s">
        <v>10322</v>
      </c>
      <c r="K5600" t="s">
        <v>10333</v>
      </c>
      <c r="L5600">
        <v>1971</v>
      </c>
      <c r="N5600">
        <v>48.717610999999998</v>
      </c>
      <c r="P5600">
        <v>9.3749169999999999</v>
      </c>
      <c r="R5600" t="s">
        <v>11037</v>
      </c>
      <c r="S5600" t="s">
        <v>10307</v>
      </c>
      <c r="W5600" t="s">
        <v>11249</v>
      </c>
    </row>
    <row r="5601" spans="1:23" hidden="1" x14ac:dyDescent="0.45">
      <c r="A5601" s="1" t="s">
        <v>5528</v>
      </c>
      <c r="B5601" t="s">
        <v>7061</v>
      </c>
      <c r="C5601" t="s">
        <v>7544</v>
      </c>
      <c r="D5601" t="s">
        <v>8170</v>
      </c>
      <c r="E5601" t="s">
        <v>9947</v>
      </c>
      <c r="F5601" t="s">
        <v>10305</v>
      </c>
      <c r="G5601">
        <v>57</v>
      </c>
      <c r="H5601" t="s">
        <v>10307</v>
      </c>
      <c r="I5601" t="s">
        <v>10322</v>
      </c>
      <c r="K5601" t="s">
        <v>10333</v>
      </c>
      <c r="L5601">
        <v>1973</v>
      </c>
      <c r="N5601">
        <v>48.717610999999998</v>
      </c>
      <c r="P5601">
        <v>9.3749169999999999</v>
      </c>
      <c r="R5601" t="s">
        <v>11037</v>
      </c>
      <c r="S5601" t="s">
        <v>10307</v>
      </c>
      <c r="W5601" t="s">
        <v>11249</v>
      </c>
    </row>
    <row r="5602" spans="1:23" hidden="1" x14ac:dyDescent="0.45">
      <c r="A5602" s="1" t="s">
        <v>5529</v>
      </c>
      <c r="B5602" t="s">
        <v>7061</v>
      </c>
      <c r="C5602" t="s">
        <v>7544</v>
      </c>
      <c r="D5602" t="s">
        <v>8170</v>
      </c>
      <c r="E5602" t="s">
        <v>9947</v>
      </c>
      <c r="F5602" t="s">
        <v>10305</v>
      </c>
      <c r="G5602">
        <v>81</v>
      </c>
      <c r="H5602" t="s">
        <v>10307</v>
      </c>
      <c r="I5602" t="s">
        <v>10322</v>
      </c>
      <c r="K5602" t="s">
        <v>10333</v>
      </c>
      <c r="L5602">
        <v>1975</v>
      </c>
      <c r="N5602">
        <v>48.717610999999998</v>
      </c>
      <c r="P5602">
        <v>9.3749169999999999</v>
      </c>
      <c r="R5602" t="s">
        <v>11037</v>
      </c>
      <c r="S5602" t="s">
        <v>10307</v>
      </c>
      <c r="W5602" t="s">
        <v>11249</v>
      </c>
    </row>
    <row r="5603" spans="1:23" hidden="1" x14ac:dyDescent="0.45">
      <c r="A5603" s="1" t="s">
        <v>5530</v>
      </c>
      <c r="B5603" t="s">
        <v>7131</v>
      </c>
      <c r="C5603" t="s">
        <v>7670</v>
      </c>
      <c r="D5603" t="s">
        <v>8371</v>
      </c>
      <c r="E5603" t="s">
        <v>10125</v>
      </c>
      <c r="F5603" t="s">
        <v>10305</v>
      </c>
      <c r="G5603">
        <v>15.1</v>
      </c>
      <c r="H5603" t="s">
        <v>10307</v>
      </c>
      <c r="I5603" t="s">
        <v>10323</v>
      </c>
      <c r="K5603" t="s">
        <v>10332</v>
      </c>
      <c r="L5603">
        <v>1993</v>
      </c>
      <c r="N5603">
        <v>53.856250000000003</v>
      </c>
      <c r="P5603">
        <v>13.710100000000001</v>
      </c>
      <c r="R5603" t="s">
        <v>11037</v>
      </c>
      <c r="S5603" t="s">
        <v>10307</v>
      </c>
      <c r="W5603" t="s">
        <v>11249</v>
      </c>
    </row>
    <row r="5604" spans="1:23" hidden="1" x14ac:dyDescent="0.45">
      <c r="A5604" s="1" t="s">
        <v>5531</v>
      </c>
      <c r="B5604" t="s">
        <v>7132</v>
      </c>
      <c r="C5604" t="s">
        <v>7671</v>
      </c>
      <c r="D5604" t="s">
        <v>8372</v>
      </c>
      <c r="E5604" t="s">
        <v>10126</v>
      </c>
      <c r="F5604" t="s">
        <v>10305</v>
      </c>
      <c r="G5604">
        <v>30.7</v>
      </c>
      <c r="H5604" t="s">
        <v>10307</v>
      </c>
      <c r="I5604" t="s">
        <v>10322</v>
      </c>
      <c r="K5604" t="s">
        <v>10332</v>
      </c>
      <c r="L5604">
        <v>2004</v>
      </c>
      <c r="N5604">
        <v>48.40099</v>
      </c>
      <c r="P5604">
        <v>10.93576</v>
      </c>
      <c r="R5604" t="s">
        <v>11037</v>
      </c>
      <c r="S5604" t="s">
        <v>10307</v>
      </c>
      <c r="W5604" t="s">
        <v>11249</v>
      </c>
    </row>
    <row r="5605" spans="1:23" hidden="1" x14ac:dyDescent="0.45">
      <c r="A5605" s="1" t="s">
        <v>5532</v>
      </c>
      <c r="B5605" t="s">
        <v>7133</v>
      </c>
      <c r="C5605" t="s">
        <v>7672</v>
      </c>
      <c r="D5605" t="s">
        <v>8373</v>
      </c>
      <c r="E5605" t="s">
        <v>10127</v>
      </c>
      <c r="F5605" t="s">
        <v>10305</v>
      </c>
      <c r="G5605">
        <v>17.8</v>
      </c>
      <c r="H5605" t="s">
        <v>10307</v>
      </c>
      <c r="I5605" t="s">
        <v>10323</v>
      </c>
      <c r="K5605" t="s">
        <v>10332</v>
      </c>
      <c r="L5605">
        <v>1994</v>
      </c>
      <c r="N5605">
        <v>51.983192000000003</v>
      </c>
      <c r="P5605">
        <v>11.87656</v>
      </c>
      <c r="R5605" t="s">
        <v>11037</v>
      </c>
      <c r="S5605" t="s">
        <v>10307</v>
      </c>
      <c r="W5605" t="s">
        <v>11249</v>
      </c>
    </row>
    <row r="5606" spans="1:23" hidden="1" x14ac:dyDescent="0.45">
      <c r="A5606" s="1" t="s">
        <v>5533</v>
      </c>
      <c r="B5606" t="s">
        <v>7089</v>
      </c>
      <c r="D5606" t="s">
        <v>8374</v>
      </c>
      <c r="E5606" t="s">
        <v>10128</v>
      </c>
      <c r="F5606" t="s">
        <v>10305</v>
      </c>
      <c r="G5606">
        <v>12.2</v>
      </c>
      <c r="H5606" t="s">
        <v>10307</v>
      </c>
      <c r="I5606" t="s">
        <v>10323</v>
      </c>
      <c r="K5606" t="s">
        <v>10332</v>
      </c>
      <c r="N5606">
        <v>51.258830000000003</v>
      </c>
      <c r="P5606">
        <v>9.4334100000000003</v>
      </c>
      <c r="R5606" t="s">
        <v>11037</v>
      </c>
      <c r="S5606" t="s">
        <v>10307</v>
      </c>
      <c r="W5606" t="s">
        <v>11249</v>
      </c>
    </row>
    <row r="5607" spans="1:23" hidden="1" x14ac:dyDescent="0.45">
      <c r="A5607" s="1" t="s">
        <v>5534</v>
      </c>
      <c r="B5607" t="s">
        <v>7089</v>
      </c>
      <c r="D5607" t="s">
        <v>8374</v>
      </c>
      <c r="E5607" t="s">
        <v>10128</v>
      </c>
      <c r="F5607" t="s">
        <v>10305</v>
      </c>
      <c r="G5607">
        <v>78</v>
      </c>
      <c r="H5607" t="s">
        <v>10307</v>
      </c>
      <c r="I5607" t="s">
        <v>10321</v>
      </c>
      <c r="K5607" t="s">
        <v>10332</v>
      </c>
      <c r="L5607">
        <v>2011</v>
      </c>
      <c r="N5607">
        <v>51.253079999999997</v>
      </c>
      <c r="P5607">
        <v>9.4379000000000008</v>
      </c>
      <c r="R5607" t="s">
        <v>11037</v>
      </c>
      <c r="S5607" t="s">
        <v>10307</v>
      </c>
      <c r="W5607" t="s">
        <v>11249</v>
      </c>
    </row>
    <row r="5608" spans="1:23" hidden="1" x14ac:dyDescent="0.45">
      <c r="A5608" s="1" t="s">
        <v>5535</v>
      </c>
      <c r="B5608" t="s">
        <v>7063</v>
      </c>
      <c r="C5608" t="s">
        <v>7673</v>
      </c>
      <c r="D5608" t="s">
        <v>8375</v>
      </c>
      <c r="E5608" t="s">
        <v>9911</v>
      </c>
      <c r="F5608" t="s">
        <v>10305</v>
      </c>
      <c r="G5608">
        <v>444</v>
      </c>
      <c r="H5608" t="s">
        <v>10307</v>
      </c>
      <c r="I5608" t="s">
        <v>10321</v>
      </c>
      <c r="K5608" t="s">
        <v>10332</v>
      </c>
      <c r="L5608">
        <v>1996</v>
      </c>
      <c r="N5608">
        <v>52.511723529999998</v>
      </c>
      <c r="P5608">
        <v>13.420915600000001</v>
      </c>
      <c r="Q5608" t="s">
        <v>10996</v>
      </c>
      <c r="R5608" t="s">
        <v>11037</v>
      </c>
      <c r="S5608" t="s">
        <v>10307</v>
      </c>
      <c r="W5608" t="s">
        <v>11249</v>
      </c>
    </row>
    <row r="5609" spans="1:23" hidden="1" x14ac:dyDescent="0.45">
      <c r="A5609" s="1" t="s">
        <v>5536</v>
      </c>
      <c r="B5609" t="s">
        <v>7063</v>
      </c>
      <c r="C5609" t="s">
        <v>7674</v>
      </c>
      <c r="D5609" t="s">
        <v>8376</v>
      </c>
      <c r="E5609" t="s">
        <v>9911</v>
      </c>
      <c r="F5609" t="s">
        <v>10305</v>
      </c>
      <c r="G5609">
        <v>144</v>
      </c>
      <c r="H5609" t="s">
        <v>10307</v>
      </c>
      <c r="I5609" t="s">
        <v>10323</v>
      </c>
      <c r="K5609" t="s">
        <v>10332</v>
      </c>
      <c r="L5609">
        <v>1975</v>
      </c>
      <c r="N5609">
        <v>52.521856239999998</v>
      </c>
      <c r="P5609">
        <v>13.31109524</v>
      </c>
      <c r="R5609" t="s">
        <v>11037</v>
      </c>
      <c r="S5609" t="s">
        <v>10307</v>
      </c>
      <c r="W5609" t="s">
        <v>11249</v>
      </c>
    </row>
    <row r="5610" spans="1:23" hidden="1" x14ac:dyDescent="0.45">
      <c r="A5610" s="1" t="s">
        <v>5537</v>
      </c>
      <c r="B5610" t="s">
        <v>7063</v>
      </c>
      <c r="C5610" t="s">
        <v>7675</v>
      </c>
      <c r="D5610" t="s">
        <v>8377</v>
      </c>
      <c r="E5610" t="s">
        <v>9911</v>
      </c>
      <c r="F5610" t="s">
        <v>10305</v>
      </c>
      <c r="G5610">
        <v>144</v>
      </c>
      <c r="H5610" t="s">
        <v>10307</v>
      </c>
      <c r="I5610" t="s">
        <v>10323</v>
      </c>
      <c r="K5610" t="s">
        <v>10332</v>
      </c>
      <c r="L5610">
        <v>1972</v>
      </c>
      <c r="N5610">
        <v>52.425208040000001</v>
      </c>
      <c r="P5610">
        <v>13.30976486</v>
      </c>
      <c r="Q5610" t="s">
        <v>10997</v>
      </c>
      <c r="R5610" t="s">
        <v>11037</v>
      </c>
      <c r="S5610" t="s">
        <v>10307</v>
      </c>
      <c r="W5610" t="s">
        <v>11249</v>
      </c>
    </row>
    <row r="5611" spans="1:23" hidden="1" x14ac:dyDescent="0.45">
      <c r="A5611" s="1" t="s">
        <v>5538</v>
      </c>
      <c r="B5611" t="s">
        <v>7063</v>
      </c>
      <c r="C5611" t="s">
        <v>7675</v>
      </c>
      <c r="D5611" t="s">
        <v>8377</v>
      </c>
      <c r="E5611" t="s">
        <v>9911</v>
      </c>
      <c r="F5611" t="s">
        <v>10305</v>
      </c>
      <c r="G5611">
        <v>144</v>
      </c>
      <c r="H5611" t="s">
        <v>10307</v>
      </c>
      <c r="I5611" t="s">
        <v>10323</v>
      </c>
      <c r="K5611" t="s">
        <v>10332</v>
      </c>
      <c r="L5611">
        <v>1974</v>
      </c>
      <c r="N5611">
        <v>52.425208040000001</v>
      </c>
      <c r="P5611">
        <v>13.30976486</v>
      </c>
      <c r="Q5611" t="s">
        <v>10997</v>
      </c>
      <c r="R5611" t="s">
        <v>11037</v>
      </c>
      <c r="S5611" t="s">
        <v>10307</v>
      </c>
      <c r="W5611" t="s">
        <v>11249</v>
      </c>
    </row>
    <row r="5612" spans="1:23" hidden="1" x14ac:dyDescent="0.45">
      <c r="A5612" s="1" t="s">
        <v>5539</v>
      </c>
      <c r="B5612" t="s">
        <v>7134</v>
      </c>
      <c r="C5612" t="s">
        <v>7675</v>
      </c>
      <c r="D5612" t="s">
        <v>8377</v>
      </c>
      <c r="E5612" t="s">
        <v>9911</v>
      </c>
      <c r="F5612" t="s">
        <v>10305</v>
      </c>
      <c r="G5612">
        <v>144</v>
      </c>
      <c r="H5612" t="s">
        <v>10307</v>
      </c>
      <c r="I5612" t="s">
        <v>10323</v>
      </c>
      <c r="K5612" t="s">
        <v>10332</v>
      </c>
      <c r="N5612">
        <v>52.425208040000001</v>
      </c>
      <c r="P5612">
        <v>13.30976486</v>
      </c>
      <c r="R5612" t="s">
        <v>11037</v>
      </c>
      <c r="S5612" t="s">
        <v>10307</v>
      </c>
      <c r="W5612" t="s">
        <v>11249</v>
      </c>
    </row>
    <row r="5613" spans="1:23" hidden="1" x14ac:dyDescent="0.45">
      <c r="A5613" s="1" t="s">
        <v>5540</v>
      </c>
      <c r="B5613" t="s">
        <v>7063</v>
      </c>
      <c r="C5613" t="s">
        <v>7676</v>
      </c>
      <c r="D5613" t="s">
        <v>8378</v>
      </c>
      <c r="E5613" t="s">
        <v>9911</v>
      </c>
      <c r="F5613" t="s">
        <v>10305</v>
      </c>
      <c r="G5613">
        <v>164</v>
      </c>
      <c r="H5613" t="s">
        <v>10307</v>
      </c>
      <c r="I5613" t="s">
        <v>10323</v>
      </c>
      <c r="K5613" t="s">
        <v>10332</v>
      </c>
      <c r="L5613">
        <v>1981</v>
      </c>
      <c r="M5613" t="s">
        <v>10336</v>
      </c>
      <c r="N5613">
        <v>52.48891639</v>
      </c>
      <c r="P5613">
        <v>13.49696159</v>
      </c>
      <c r="Q5613" t="s">
        <v>10998</v>
      </c>
      <c r="R5613" t="s">
        <v>11037</v>
      </c>
      <c r="S5613" t="s">
        <v>10307</v>
      </c>
      <c r="W5613" t="s">
        <v>11249</v>
      </c>
    </row>
    <row r="5614" spans="1:23" hidden="1" x14ac:dyDescent="0.45">
      <c r="A5614" s="1" t="s">
        <v>5541</v>
      </c>
      <c r="B5614" t="s">
        <v>7135</v>
      </c>
      <c r="D5614" t="s">
        <v>8379</v>
      </c>
      <c r="E5614" t="s">
        <v>10129</v>
      </c>
      <c r="F5614" t="s">
        <v>10305</v>
      </c>
      <c r="G5614">
        <v>140.5</v>
      </c>
      <c r="H5614" t="s">
        <v>10307</v>
      </c>
      <c r="I5614" t="s">
        <v>10321</v>
      </c>
      <c r="K5614" t="s">
        <v>10332</v>
      </c>
      <c r="L5614">
        <v>1994</v>
      </c>
      <c r="M5614" t="s">
        <v>10335</v>
      </c>
      <c r="N5614">
        <v>51.802608999999997</v>
      </c>
      <c r="P5614">
        <v>11.751511000000001</v>
      </c>
      <c r="R5614" t="s">
        <v>11037</v>
      </c>
      <c r="S5614" t="s">
        <v>10307</v>
      </c>
      <c r="W5614" t="s">
        <v>11249</v>
      </c>
    </row>
    <row r="5615" spans="1:23" hidden="1" x14ac:dyDescent="0.45">
      <c r="A5615" s="1" t="s">
        <v>5542</v>
      </c>
      <c r="B5615" t="s">
        <v>7136</v>
      </c>
      <c r="D5615" t="s">
        <v>8380</v>
      </c>
      <c r="E5615" t="s">
        <v>10130</v>
      </c>
      <c r="F5615" t="s">
        <v>10305</v>
      </c>
      <c r="G5615">
        <v>23</v>
      </c>
      <c r="H5615" t="s">
        <v>10307</v>
      </c>
      <c r="I5615" t="s">
        <v>10323</v>
      </c>
      <c r="K5615" t="s">
        <v>10332</v>
      </c>
      <c r="L5615">
        <v>1977</v>
      </c>
      <c r="N5615">
        <v>52.033503000000003</v>
      </c>
      <c r="P5615">
        <v>8.5390610000000002</v>
      </c>
      <c r="R5615" t="s">
        <v>11037</v>
      </c>
      <c r="S5615" t="s">
        <v>10307</v>
      </c>
      <c r="W5615" t="s">
        <v>11249</v>
      </c>
    </row>
    <row r="5616" spans="1:23" hidden="1" x14ac:dyDescent="0.45">
      <c r="A5616" s="1" t="s">
        <v>5543</v>
      </c>
      <c r="B5616" t="s">
        <v>7067</v>
      </c>
      <c r="D5616" t="s">
        <v>8381</v>
      </c>
      <c r="E5616" t="s">
        <v>10130</v>
      </c>
      <c r="F5616" t="s">
        <v>10305</v>
      </c>
      <c r="G5616">
        <v>55</v>
      </c>
      <c r="H5616" t="s">
        <v>10307</v>
      </c>
      <c r="I5616" t="s">
        <v>10322</v>
      </c>
      <c r="K5616" t="s">
        <v>10333</v>
      </c>
      <c r="L5616">
        <v>1975</v>
      </c>
      <c r="N5616">
        <v>51.983960000000003</v>
      </c>
      <c r="P5616">
        <v>8.45139</v>
      </c>
      <c r="R5616" t="s">
        <v>11037</v>
      </c>
      <c r="S5616" t="s">
        <v>10307</v>
      </c>
      <c r="W5616" t="s">
        <v>11249</v>
      </c>
    </row>
    <row r="5617" spans="1:23" hidden="1" x14ac:dyDescent="0.45">
      <c r="A5617" s="1" t="s">
        <v>5544</v>
      </c>
      <c r="B5617" t="s">
        <v>7136</v>
      </c>
      <c r="D5617" t="s">
        <v>8382</v>
      </c>
      <c r="E5617" t="s">
        <v>10130</v>
      </c>
      <c r="F5617" t="s">
        <v>10305</v>
      </c>
      <c r="G5617">
        <v>37.5</v>
      </c>
      <c r="H5617" t="s">
        <v>10307</v>
      </c>
      <c r="I5617" t="s">
        <v>10321</v>
      </c>
      <c r="K5617" t="s">
        <v>10332</v>
      </c>
      <c r="L5617">
        <v>2005</v>
      </c>
      <c r="N5617">
        <v>52.033503000000003</v>
      </c>
      <c r="P5617">
        <v>8.5390610000000002</v>
      </c>
      <c r="R5617" t="s">
        <v>11037</v>
      </c>
      <c r="S5617" t="s">
        <v>10307</v>
      </c>
      <c r="W5617" t="s">
        <v>11249</v>
      </c>
    </row>
    <row r="5618" spans="1:23" hidden="1" x14ac:dyDescent="0.45">
      <c r="A5618" s="1" t="s">
        <v>5545</v>
      </c>
      <c r="B5618" t="s">
        <v>7136</v>
      </c>
      <c r="D5618" t="s">
        <v>8380</v>
      </c>
      <c r="E5618" t="s">
        <v>10130</v>
      </c>
      <c r="F5618" t="s">
        <v>10305</v>
      </c>
      <c r="G5618">
        <v>41</v>
      </c>
      <c r="H5618" t="s">
        <v>10307</v>
      </c>
      <c r="I5618" t="s">
        <v>10323</v>
      </c>
      <c r="K5618" t="s">
        <v>10332</v>
      </c>
      <c r="L5618">
        <v>1966</v>
      </c>
      <c r="N5618">
        <v>52.033503000000003</v>
      </c>
      <c r="P5618">
        <v>8.5390610000000002</v>
      </c>
      <c r="R5618" t="s">
        <v>11037</v>
      </c>
      <c r="S5618" t="s">
        <v>10307</v>
      </c>
      <c r="W5618" t="s">
        <v>11249</v>
      </c>
    </row>
    <row r="5619" spans="1:23" hidden="1" x14ac:dyDescent="0.45">
      <c r="A5619" s="1" t="s">
        <v>5546</v>
      </c>
      <c r="B5619" t="s">
        <v>7044</v>
      </c>
      <c r="D5619" t="s">
        <v>8383</v>
      </c>
      <c r="E5619" t="s">
        <v>10131</v>
      </c>
      <c r="F5619" t="s">
        <v>10305</v>
      </c>
      <c r="G5619">
        <v>106</v>
      </c>
      <c r="H5619" t="s">
        <v>10307</v>
      </c>
      <c r="I5619" t="s">
        <v>10321</v>
      </c>
      <c r="K5619" t="s">
        <v>10332</v>
      </c>
      <c r="L5619">
        <v>2000</v>
      </c>
      <c r="M5619" t="s">
        <v>10335</v>
      </c>
      <c r="N5619">
        <v>51.633861000000003</v>
      </c>
      <c r="P5619">
        <v>12.299357000000001</v>
      </c>
      <c r="R5619" t="s">
        <v>11037</v>
      </c>
      <c r="S5619" t="s">
        <v>10307</v>
      </c>
      <c r="W5619" t="s">
        <v>11249</v>
      </c>
    </row>
    <row r="5620" spans="1:23" hidden="1" x14ac:dyDescent="0.45">
      <c r="A5620" s="1" t="s">
        <v>5547</v>
      </c>
      <c r="B5620" t="s">
        <v>7076</v>
      </c>
      <c r="D5620" t="s">
        <v>8384</v>
      </c>
      <c r="E5620" t="s">
        <v>10132</v>
      </c>
      <c r="F5620" t="s">
        <v>10305</v>
      </c>
      <c r="G5620">
        <v>20.7</v>
      </c>
      <c r="H5620" t="s">
        <v>10307</v>
      </c>
      <c r="I5620" t="s">
        <v>10323</v>
      </c>
      <c r="K5620" t="s">
        <v>10332</v>
      </c>
      <c r="L5620">
        <v>2004</v>
      </c>
      <c r="N5620">
        <v>51.483333330000001</v>
      </c>
      <c r="P5620">
        <v>7.2166666670000001</v>
      </c>
      <c r="R5620" t="s">
        <v>11037</v>
      </c>
      <c r="S5620" t="s">
        <v>10307</v>
      </c>
      <c r="W5620" t="s">
        <v>11249</v>
      </c>
    </row>
    <row r="5621" spans="1:23" hidden="1" x14ac:dyDescent="0.45">
      <c r="A5621" s="1" t="s">
        <v>5548</v>
      </c>
      <c r="B5621" t="s">
        <v>7137</v>
      </c>
      <c r="D5621" t="s">
        <v>8385</v>
      </c>
      <c r="E5621" t="s">
        <v>10132</v>
      </c>
      <c r="F5621" t="s">
        <v>10305</v>
      </c>
      <c r="G5621">
        <v>44</v>
      </c>
      <c r="H5621" t="s">
        <v>10307</v>
      </c>
      <c r="I5621" t="s">
        <v>10323</v>
      </c>
      <c r="K5621" t="s">
        <v>10332</v>
      </c>
      <c r="L5621">
        <v>2013</v>
      </c>
      <c r="N5621">
        <v>51.507950000000001</v>
      </c>
      <c r="P5621">
        <v>7.2502899999999997</v>
      </c>
      <c r="R5621" t="s">
        <v>11037</v>
      </c>
      <c r="S5621" t="s">
        <v>10307</v>
      </c>
      <c r="W5621" t="s">
        <v>11249</v>
      </c>
    </row>
    <row r="5622" spans="1:23" hidden="1" x14ac:dyDescent="0.45">
      <c r="A5622" s="1" t="s">
        <v>5549</v>
      </c>
      <c r="B5622" t="s">
        <v>7138</v>
      </c>
      <c r="D5622" t="s">
        <v>8386</v>
      </c>
      <c r="E5622" t="s">
        <v>10133</v>
      </c>
      <c r="F5622" t="s">
        <v>10305</v>
      </c>
      <c r="G5622">
        <v>95</v>
      </c>
      <c r="H5622" t="s">
        <v>10307</v>
      </c>
      <c r="I5622" t="s">
        <v>10323</v>
      </c>
      <c r="K5622" t="s">
        <v>10332</v>
      </c>
      <c r="L5622">
        <v>2013</v>
      </c>
      <c r="N5622">
        <v>50.733820000000001</v>
      </c>
      <c r="P5622">
        <v>7.0805499999999997</v>
      </c>
      <c r="R5622" t="s">
        <v>11037</v>
      </c>
      <c r="S5622" t="s">
        <v>10307</v>
      </c>
      <c r="W5622" t="s">
        <v>11249</v>
      </c>
    </row>
    <row r="5623" spans="1:23" hidden="1" x14ac:dyDescent="0.45">
      <c r="A5623" s="1" t="s">
        <v>5550</v>
      </c>
      <c r="B5623" t="s">
        <v>7138</v>
      </c>
      <c r="D5623" t="s">
        <v>8387</v>
      </c>
      <c r="E5623" t="s">
        <v>10133</v>
      </c>
      <c r="F5623" t="s">
        <v>10305</v>
      </c>
      <c r="G5623">
        <v>14.4</v>
      </c>
      <c r="H5623" t="s">
        <v>10307</v>
      </c>
      <c r="I5623" t="s">
        <v>10323</v>
      </c>
      <c r="K5623" t="s">
        <v>10332</v>
      </c>
      <c r="N5623">
        <v>50.733820000000001</v>
      </c>
      <c r="P5623">
        <v>7.0805499999999997</v>
      </c>
      <c r="R5623" t="s">
        <v>11037</v>
      </c>
      <c r="S5623" t="s">
        <v>10307</v>
      </c>
      <c r="W5623" t="s">
        <v>11249</v>
      </c>
    </row>
    <row r="5624" spans="1:23" hidden="1" x14ac:dyDescent="0.45">
      <c r="A5624" s="1" t="s">
        <v>5551</v>
      </c>
      <c r="B5624" t="s">
        <v>7139</v>
      </c>
      <c r="D5624" t="s">
        <v>8388</v>
      </c>
      <c r="E5624" t="s">
        <v>10134</v>
      </c>
      <c r="F5624" t="s">
        <v>10305</v>
      </c>
      <c r="G5624">
        <v>36</v>
      </c>
      <c r="H5624" t="s">
        <v>10307</v>
      </c>
      <c r="I5624" t="s">
        <v>10323</v>
      </c>
      <c r="K5624" t="s">
        <v>10332</v>
      </c>
      <c r="L5624">
        <v>1997</v>
      </c>
      <c r="N5624">
        <v>51.512174999999999</v>
      </c>
      <c r="P5624">
        <v>13.97109</v>
      </c>
      <c r="R5624" t="s">
        <v>11037</v>
      </c>
      <c r="S5624" t="s">
        <v>10307</v>
      </c>
      <c r="W5624" t="s">
        <v>11249</v>
      </c>
    </row>
    <row r="5625" spans="1:23" hidden="1" x14ac:dyDescent="0.45">
      <c r="A5625" s="1" t="s">
        <v>5552</v>
      </c>
      <c r="B5625" t="s">
        <v>7067</v>
      </c>
      <c r="D5625" t="s">
        <v>8389</v>
      </c>
      <c r="E5625" t="s">
        <v>10134</v>
      </c>
      <c r="F5625" t="s">
        <v>10305</v>
      </c>
      <c r="G5625">
        <v>160</v>
      </c>
      <c r="H5625" t="s">
        <v>10307</v>
      </c>
      <c r="I5625" t="s">
        <v>10321</v>
      </c>
      <c r="K5625" t="s">
        <v>10333</v>
      </c>
      <c r="L5625">
        <v>1994</v>
      </c>
      <c r="N5625">
        <v>52.394167000000003</v>
      </c>
      <c r="P5625">
        <v>12.418056</v>
      </c>
      <c r="R5625" t="s">
        <v>11037</v>
      </c>
      <c r="S5625" t="s">
        <v>10307</v>
      </c>
      <c r="W5625" t="s">
        <v>11249</v>
      </c>
    </row>
    <row r="5626" spans="1:23" hidden="1" x14ac:dyDescent="0.45">
      <c r="A5626" s="1" t="s">
        <v>5553</v>
      </c>
      <c r="B5626" t="s">
        <v>7064</v>
      </c>
      <c r="D5626" t="s">
        <v>8174</v>
      </c>
      <c r="E5626" t="s">
        <v>9949</v>
      </c>
      <c r="F5626" t="s">
        <v>10305</v>
      </c>
      <c r="G5626">
        <v>20</v>
      </c>
      <c r="H5626" t="s">
        <v>10307</v>
      </c>
      <c r="I5626" t="s">
        <v>10321</v>
      </c>
      <c r="K5626" t="s">
        <v>10332</v>
      </c>
      <c r="L5626">
        <v>1971</v>
      </c>
      <c r="M5626" t="s">
        <v>10336</v>
      </c>
      <c r="N5626">
        <v>52.278610999999998</v>
      </c>
      <c r="P5626">
        <v>10.514722000000001</v>
      </c>
      <c r="R5626" t="s">
        <v>11037</v>
      </c>
      <c r="S5626" t="s">
        <v>10307</v>
      </c>
      <c r="W5626" t="s">
        <v>11249</v>
      </c>
    </row>
    <row r="5627" spans="1:23" hidden="1" x14ac:dyDescent="0.45">
      <c r="A5627" s="1" t="s">
        <v>5554</v>
      </c>
      <c r="B5627" t="s">
        <v>7064</v>
      </c>
      <c r="D5627" t="s">
        <v>8174</v>
      </c>
      <c r="E5627" t="s">
        <v>9949</v>
      </c>
      <c r="F5627" t="s">
        <v>10305</v>
      </c>
      <c r="G5627">
        <v>74</v>
      </c>
      <c r="H5627" t="s">
        <v>10307</v>
      </c>
      <c r="I5627" t="s">
        <v>10321</v>
      </c>
      <c r="K5627" t="s">
        <v>10332</v>
      </c>
      <c r="L5627">
        <v>2010</v>
      </c>
      <c r="M5627" t="s">
        <v>10336</v>
      </c>
      <c r="N5627">
        <v>52.278610999999998</v>
      </c>
      <c r="P5627">
        <v>10.514722000000001</v>
      </c>
      <c r="R5627" t="s">
        <v>11037</v>
      </c>
      <c r="S5627" t="s">
        <v>10307</v>
      </c>
      <c r="W5627" t="s">
        <v>11249</v>
      </c>
    </row>
    <row r="5628" spans="1:23" hidden="1" x14ac:dyDescent="0.45">
      <c r="A5628" s="1" t="s">
        <v>5555</v>
      </c>
      <c r="B5628" t="s">
        <v>7064</v>
      </c>
      <c r="D5628" t="s">
        <v>8390</v>
      </c>
      <c r="E5628" t="s">
        <v>9949</v>
      </c>
      <c r="F5628" t="s">
        <v>10305</v>
      </c>
      <c r="G5628">
        <v>25</v>
      </c>
      <c r="H5628" t="s">
        <v>10307</v>
      </c>
      <c r="I5628" t="s">
        <v>10322</v>
      </c>
      <c r="K5628" t="s">
        <v>10332</v>
      </c>
      <c r="L5628">
        <v>1965</v>
      </c>
      <c r="N5628">
        <v>52.278610999999998</v>
      </c>
      <c r="P5628">
        <v>10.514722000000001</v>
      </c>
      <c r="R5628" t="s">
        <v>11037</v>
      </c>
      <c r="S5628" t="s">
        <v>10307</v>
      </c>
      <c r="W5628" t="s">
        <v>11249</v>
      </c>
    </row>
    <row r="5629" spans="1:23" hidden="1" x14ac:dyDescent="0.45">
      <c r="A5629" s="1" t="s">
        <v>5556</v>
      </c>
      <c r="B5629" t="s">
        <v>7066</v>
      </c>
      <c r="C5629" t="s">
        <v>7549</v>
      </c>
      <c r="D5629" t="s">
        <v>8175</v>
      </c>
      <c r="E5629" t="s">
        <v>9950</v>
      </c>
      <c r="F5629" t="s">
        <v>10305</v>
      </c>
      <c r="G5629">
        <v>155</v>
      </c>
      <c r="H5629" t="s">
        <v>10307</v>
      </c>
      <c r="I5629" t="s">
        <v>10323</v>
      </c>
      <c r="K5629" t="s">
        <v>10332</v>
      </c>
      <c r="N5629">
        <v>53.060080000000013</v>
      </c>
      <c r="P5629">
        <v>8.8732800000000029</v>
      </c>
      <c r="R5629" t="s">
        <v>11037</v>
      </c>
      <c r="S5629" t="s">
        <v>10307</v>
      </c>
      <c r="W5629" t="s">
        <v>11249</v>
      </c>
    </row>
    <row r="5630" spans="1:23" hidden="1" x14ac:dyDescent="0.45">
      <c r="A5630" s="1" t="s">
        <v>5557</v>
      </c>
      <c r="B5630" t="s">
        <v>7032</v>
      </c>
      <c r="C5630" t="s">
        <v>7518</v>
      </c>
      <c r="D5630" t="s">
        <v>8136</v>
      </c>
      <c r="E5630" t="s">
        <v>9914</v>
      </c>
      <c r="F5630" t="s">
        <v>10305</v>
      </c>
      <c r="G5630">
        <v>13.5</v>
      </c>
      <c r="H5630" t="s">
        <v>10307</v>
      </c>
      <c r="I5630" t="s">
        <v>10322</v>
      </c>
      <c r="K5630" t="s">
        <v>10332</v>
      </c>
      <c r="L5630">
        <v>1996</v>
      </c>
      <c r="N5630">
        <v>51.40845951</v>
      </c>
      <c r="P5630">
        <v>8.5999354090000004</v>
      </c>
      <c r="R5630" t="s">
        <v>11037</v>
      </c>
      <c r="S5630" t="s">
        <v>10307</v>
      </c>
      <c r="W5630" t="s">
        <v>11249</v>
      </c>
    </row>
    <row r="5631" spans="1:23" hidden="1" x14ac:dyDescent="0.45">
      <c r="A5631" s="1" t="s">
        <v>5558</v>
      </c>
      <c r="B5631" t="s">
        <v>7140</v>
      </c>
      <c r="C5631" t="s">
        <v>7588</v>
      </c>
      <c r="D5631" t="s">
        <v>8233</v>
      </c>
      <c r="E5631" t="s">
        <v>9994</v>
      </c>
      <c r="F5631" t="s">
        <v>10305</v>
      </c>
      <c r="G5631">
        <v>120</v>
      </c>
      <c r="H5631" t="s">
        <v>10307</v>
      </c>
      <c r="I5631" t="s">
        <v>10321</v>
      </c>
      <c r="K5631" t="s">
        <v>10332</v>
      </c>
      <c r="L5631">
        <v>2001</v>
      </c>
      <c r="N5631">
        <v>48.186211999999998</v>
      </c>
      <c r="P5631">
        <v>12.845768</v>
      </c>
      <c r="Q5631" t="s">
        <v>10999</v>
      </c>
      <c r="R5631" t="s">
        <v>11037</v>
      </c>
      <c r="S5631" t="s">
        <v>10307</v>
      </c>
      <c r="W5631" t="s">
        <v>11249</v>
      </c>
    </row>
    <row r="5632" spans="1:23" hidden="1" x14ac:dyDescent="0.45">
      <c r="A5632" s="1" t="s">
        <v>5559</v>
      </c>
      <c r="B5632" t="s">
        <v>7140</v>
      </c>
      <c r="C5632" t="s">
        <v>7588</v>
      </c>
      <c r="D5632" t="s">
        <v>8233</v>
      </c>
      <c r="E5632" t="s">
        <v>9994</v>
      </c>
      <c r="F5632" t="s">
        <v>10305</v>
      </c>
      <c r="G5632">
        <v>50</v>
      </c>
      <c r="H5632" t="s">
        <v>10307</v>
      </c>
      <c r="I5632" t="s">
        <v>10323</v>
      </c>
      <c r="K5632" t="s">
        <v>10332</v>
      </c>
      <c r="L5632">
        <v>1979</v>
      </c>
      <c r="N5632">
        <v>48.186211999999998</v>
      </c>
      <c r="P5632">
        <v>12.845768</v>
      </c>
      <c r="R5632" t="s">
        <v>11037</v>
      </c>
      <c r="S5632" t="s">
        <v>10307</v>
      </c>
      <c r="W5632" t="s">
        <v>11249</v>
      </c>
    </row>
    <row r="5633" spans="1:23" hidden="1" x14ac:dyDescent="0.45">
      <c r="A5633" s="1" t="s">
        <v>5560</v>
      </c>
      <c r="B5633" t="s">
        <v>7141</v>
      </c>
      <c r="D5633" t="s">
        <v>8391</v>
      </c>
      <c r="E5633" t="s">
        <v>10135</v>
      </c>
      <c r="F5633" t="s">
        <v>10305</v>
      </c>
      <c r="G5633">
        <v>73.099999999999994</v>
      </c>
      <c r="H5633" t="s">
        <v>10307</v>
      </c>
      <c r="I5633" t="s">
        <v>10323</v>
      </c>
      <c r="K5633" t="s">
        <v>10332</v>
      </c>
      <c r="L5633">
        <v>2002</v>
      </c>
      <c r="N5633">
        <v>48.176789999999997</v>
      </c>
      <c r="P5633">
        <v>12.730560000000001</v>
      </c>
      <c r="R5633" t="s">
        <v>11037</v>
      </c>
      <c r="S5633" t="s">
        <v>10307</v>
      </c>
      <c r="W5633" t="s">
        <v>11249</v>
      </c>
    </row>
    <row r="5634" spans="1:23" hidden="1" x14ac:dyDescent="0.45">
      <c r="A5634" s="1" t="s">
        <v>5561</v>
      </c>
      <c r="B5634" t="s">
        <v>7118</v>
      </c>
      <c r="D5634" t="s">
        <v>8392</v>
      </c>
      <c r="E5634" t="s">
        <v>10099</v>
      </c>
      <c r="F5634" t="s">
        <v>10305</v>
      </c>
      <c r="G5634">
        <v>57.2</v>
      </c>
      <c r="H5634" t="s">
        <v>10307</v>
      </c>
      <c r="I5634" t="s">
        <v>10323</v>
      </c>
      <c r="K5634" t="s">
        <v>10332</v>
      </c>
      <c r="L5634">
        <v>1986</v>
      </c>
      <c r="N5634">
        <v>50.856980999999998</v>
      </c>
      <c r="P5634">
        <v>12.923095999999999</v>
      </c>
      <c r="R5634" t="s">
        <v>11037</v>
      </c>
      <c r="S5634" t="s">
        <v>10307</v>
      </c>
      <c r="W5634" t="s">
        <v>11249</v>
      </c>
    </row>
    <row r="5635" spans="1:23" hidden="1" x14ac:dyDescent="0.45">
      <c r="A5635" s="1" t="s">
        <v>5562</v>
      </c>
      <c r="B5635" t="s">
        <v>7142</v>
      </c>
      <c r="D5635" t="s">
        <v>8393</v>
      </c>
      <c r="E5635" t="s">
        <v>10136</v>
      </c>
      <c r="F5635" t="s">
        <v>10305</v>
      </c>
      <c r="G5635">
        <v>39</v>
      </c>
      <c r="H5635" t="s">
        <v>10307</v>
      </c>
      <c r="I5635" t="s">
        <v>10323</v>
      </c>
      <c r="K5635" t="s">
        <v>10332</v>
      </c>
      <c r="L5635">
        <v>1996</v>
      </c>
      <c r="N5635">
        <v>51.82685</v>
      </c>
      <c r="P5635">
        <v>12.230029999999999</v>
      </c>
      <c r="R5635" t="s">
        <v>11037</v>
      </c>
      <c r="S5635" t="s">
        <v>10307</v>
      </c>
      <c r="W5635" t="s">
        <v>11249</v>
      </c>
    </row>
    <row r="5636" spans="1:23" hidden="1" x14ac:dyDescent="0.45">
      <c r="A5636" s="1" t="s">
        <v>5563</v>
      </c>
      <c r="B5636" t="s">
        <v>7076</v>
      </c>
      <c r="D5636" t="s">
        <v>8394</v>
      </c>
      <c r="E5636" t="s">
        <v>10137</v>
      </c>
      <c r="F5636" t="s">
        <v>10305</v>
      </c>
      <c r="G5636">
        <v>586</v>
      </c>
      <c r="H5636" t="s">
        <v>10307</v>
      </c>
      <c r="I5636" t="s">
        <v>10321</v>
      </c>
      <c r="K5636" t="s">
        <v>10332</v>
      </c>
      <c r="L5636">
        <v>2000</v>
      </c>
      <c r="M5636" t="s">
        <v>10335</v>
      </c>
      <c r="N5636">
        <v>51.079079999999998</v>
      </c>
      <c r="P5636">
        <v>6.8287100000000009</v>
      </c>
      <c r="Q5636" t="s">
        <v>11000</v>
      </c>
      <c r="R5636" t="s">
        <v>11037</v>
      </c>
      <c r="S5636" t="s">
        <v>10307</v>
      </c>
      <c r="W5636" t="s">
        <v>11249</v>
      </c>
    </row>
    <row r="5637" spans="1:23" hidden="1" x14ac:dyDescent="0.45">
      <c r="A5637" s="1" t="s">
        <v>5564</v>
      </c>
      <c r="B5637" t="s">
        <v>7076</v>
      </c>
      <c r="D5637" t="s">
        <v>8395</v>
      </c>
      <c r="E5637" t="s">
        <v>9952</v>
      </c>
      <c r="F5637" t="s">
        <v>10305</v>
      </c>
      <c r="G5637">
        <v>26</v>
      </c>
      <c r="H5637" t="s">
        <v>10307</v>
      </c>
      <c r="I5637" t="s">
        <v>10323</v>
      </c>
      <c r="K5637" t="s">
        <v>10332</v>
      </c>
      <c r="L5637">
        <v>2004</v>
      </c>
      <c r="N5637">
        <v>51.519730000000003</v>
      </c>
      <c r="P5637">
        <v>7.4769699999999997</v>
      </c>
      <c r="R5637" t="s">
        <v>11037</v>
      </c>
      <c r="S5637" t="s">
        <v>10307</v>
      </c>
      <c r="W5637" t="s">
        <v>11249</v>
      </c>
    </row>
    <row r="5638" spans="1:23" hidden="1" x14ac:dyDescent="0.45">
      <c r="A5638" s="1" t="s">
        <v>5565</v>
      </c>
      <c r="B5638" t="s">
        <v>7143</v>
      </c>
      <c r="C5638" t="s">
        <v>7677</v>
      </c>
      <c r="D5638" t="s">
        <v>8396</v>
      </c>
      <c r="E5638" t="s">
        <v>10138</v>
      </c>
      <c r="F5638" t="s">
        <v>10305</v>
      </c>
      <c r="G5638">
        <v>260</v>
      </c>
      <c r="H5638" t="s">
        <v>10307</v>
      </c>
      <c r="I5638" t="s">
        <v>10321</v>
      </c>
      <c r="K5638" t="s">
        <v>10332</v>
      </c>
      <c r="L5638">
        <v>1995</v>
      </c>
      <c r="N5638">
        <v>51.042119</v>
      </c>
      <c r="P5638">
        <v>13.708596999999999</v>
      </c>
      <c r="Q5638" t="s">
        <v>11001</v>
      </c>
      <c r="R5638" t="s">
        <v>11037</v>
      </c>
      <c r="S5638" t="s">
        <v>10307</v>
      </c>
      <c r="W5638" t="s">
        <v>11249</v>
      </c>
    </row>
    <row r="5639" spans="1:23" hidden="1" x14ac:dyDescent="0.45">
      <c r="A5639" s="1" t="s">
        <v>5566</v>
      </c>
      <c r="B5639" t="s">
        <v>7068</v>
      </c>
      <c r="C5639" t="s">
        <v>7678</v>
      </c>
      <c r="D5639" t="s">
        <v>8397</v>
      </c>
      <c r="E5639" t="s">
        <v>9953</v>
      </c>
      <c r="F5639" t="s">
        <v>10305</v>
      </c>
      <c r="G5639">
        <v>40</v>
      </c>
      <c r="H5639" t="s">
        <v>10307</v>
      </c>
      <c r="I5639" t="s">
        <v>10323</v>
      </c>
      <c r="K5639" t="s">
        <v>10332</v>
      </c>
      <c r="L5639">
        <v>2002</v>
      </c>
      <c r="N5639">
        <v>51.390661999999999</v>
      </c>
      <c r="P5639">
        <v>6.7477830000000001</v>
      </c>
      <c r="R5639" t="s">
        <v>11037</v>
      </c>
      <c r="S5639" t="s">
        <v>10307</v>
      </c>
      <c r="W5639" t="s">
        <v>11249</v>
      </c>
    </row>
    <row r="5640" spans="1:23" hidden="1" x14ac:dyDescent="0.45">
      <c r="A5640" s="1" t="s">
        <v>5567</v>
      </c>
      <c r="B5640" t="s">
        <v>7068</v>
      </c>
      <c r="C5640" t="s">
        <v>7678</v>
      </c>
      <c r="D5640" t="s">
        <v>8397</v>
      </c>
      <c r="E5640" t="s">
        <v>9953</v>
      </c>
      <c r="F5640" t="s">
        <v>10305</v>
      </c>
      <c r="G5640">
        <v>234</v>
      </c>
      <c r="H5640" t="s">
        <v>10307</v>
      </c>
      <c r="I5640" t="s">
        <v>10321</v>
      </c>
      <c r="K5640" t="s">
        <v>10332</v>
      </c>
      <c r="L5640">
        <v>2005</v>
      </c>
      <c r="N5640">
        <v>51.390661999999999</v>
      </c>
      <c r="P5640">
        <v>6.7477830000000001</v>
      </c>
      <c r="Q5640" t="s">
        <v>11002</v>
      </c>
      <c r="R5640" t="s">
        <v>11037</v>
      </c>
      <c r="S5640" t="s">
        <v>10307</v>
      </c>
      <c r="W5640" t="s">
        <v>11249</v>
      </c>
    </row>
    <row r="5641" spans="1:23" hidden="1" x14ac:dyDescent="0.45">
      <c r="A5641" s="1" t="s">
        <v>5568</v>
      </c>
      <c r="B5641" t="s">
        <v>7144</v>
      </c>
      <c r="C5641" t="s">
        <v>7679</v>
      </c>
      <c r="D5641" t="s">
        <v>8398</v>
      </c>
      <c r="E5641" t="s">
        <v>10139</v>
      </c>
      <c r="F5641" t="s">
        <v>10305</v>
      </c>
      <c r="G5641">
        <v>100</v>
      </c>
      <c r="H5641" t="s">
        <v>10307</v>
      </c>
      <c r="I5641" t="s">
        <v>10321</v>
      </c>
      <c r="K5641" t="s">
        <v>10332</v>
      </c>
      <c r="L5641">
        <v>2000</v>
      </c>
      <c r="N5641">
        <v>51.221380000000003</v>
      </c>
      <c r="P5641">
        <v>6.7313100000000006</v>
      </c>
      <c r="Q5641" t="s">
        <v>11003</v>
      </c>
      <c r="R5641" t="s">
        <v>11037</v>
      </c>
      <c r="S5641" t="s">
        <v>10307</v>
      </c>
      <c r="W5641" t="s">
        <v>11249</v>
      </c>
    </row>
    <row r="5642" spans="1:23" hidden="1" x14ac:dyDescent="0.45">
      <c r="A5642" s="1" t="s">
        <v>5569</v>
      </c>
      <c r="B5642" t="s">
        <v>7144</v>
      </c>
      <c r="C5642" t="s">
        <v>7679</v>
      </c>
      <c r="D5642" t="s">
        <v>8398</v>
      </c>
      <c r="E5642" t="s">
        <v>10139</v>
      </c>
      <c r="F5642" t="s">
        <v>10305</v>
      </c>
      <c r="G5642">
        <v>64.7</v>
      </c>
      <c r="H5642" t="s">
        <v>10307</v>
      </c>
      <c r="I5642" t="s">
        <v>10322</v>
      </c>
      <c r="K5642" t="s">
        <v>10333</v>
      </c>
      <c r="L5642">
        <v>1975</v>
      </c>
      <c r="N5642">
        <v>51.221159999999998</v>
      </c>
      <c r="P5642">
        <v>6.7319300000000002</v>
      </c>
      <c r="Q5642" t="s">
        <v>11003</v>
      </c>
      <c r="R5642" t="s">
        <v>11037</v>
      </c>
      <c r="S5642" t="s">
        <v>10307</v>
      </c>
      <c r="W5642" t="s">
        <v>11249</v>
      </c>
    </row>
    <row r="5643" spans="1:23" hidden="1" x14ac:dyDescent="0.45">
      <c r="A5643" s="1" t="s">
        <v>5570</v>
      </c>
      <c r="B5643" t="s">
        <v>7144</v>
      </c>
      <c r="C5643" t="s">
        <v>7679</v>
      </c>
      <c r="D5643" t="s">
        <v>8398</v>
      </c>
      <c r="E5643" t="s">
        <v>10139</v>
      </c>
      <c r="F5643" t="s">
        <v>10305</v>
      </c>
      <c r="G5643">
        <v>66.7</v>
      </c>
      <c r="H5643" t="s">
        <v>10307</v>
      </c>
      <c r="I5643" t="s">
        <v>10322</v>
      </c>
      <c r="K5643" t="s">
        <v>10333</v>
      </c>
      <c r="L5643">
        <v>1974</v>
      </c>
      <c r="N5643">
        <v>51.221159999999998</v>
      </c>
      <c r="P5643">
        <v>6.7319300000000002</v>
      </c>
      <c r="Q5643" t="s">
        <v>11003</v>
      </c>
      <c r="R5643" t="s">
        <v>11037</v>
      </c>
      <c r="S5643" t="s">
        <v>10307</v>
      </c>
      <c r="W5643" t="s">
        <v>11249</v>
      </c>
    </row>
    <row r="5644" spans="1:23" hidden="1" x14ac:dyDescent="0.45">
      <c r="A5644" s="1" t="s">
        <v>5571</v>
      </c>
      <c r="B5644" t="s">
        <v>7144</v>
      </c>
      <c r="C5644" t="s">
        <v>7679</v>
      </c>
      <c r="D5644" t="s">
        <v>8398</v>
      </c>
      <c r="E5644" t="s">
        <v>10139</v>
      </c>
      <c r="F5644" t="s">
        <v>10305</v>
      </c>
      <c r="G5644">
        <v>293</v>
      </c>
      <c r="H5644" t="s">
        <v>10307</v>
      </c>
      <c r="I5644" t="s">
        <v>10323</v>
      </c>
      <c r="K5644" t="s">
        <v>10332</v>
      </c>
      <c r="L5644">
        <v>1977</v>
      </c>
      <c r="N5644">
        <v>51.221380000000003</v>
      </c>
      <c r="P5644">
        <v>6.7313100000000006</v>
      </c>
      <c r="Q5644" t="s">
        <v>11003</v>
      </c>
      <c r="R5644" t="s">
        <v>11037</v>
      </c>
      <c r="S5644" t="s">
        <v>10307</v>
      </c>
      <c r="W5644" t="s">
        <v>11249</v>
      </c>
    </row>
    <row r="5645" spans="1:23" hidden="1" x14ac:dyDescent="0.45">
      <c r="A5645" s="1" t="s">
        <v>5572</v>
      </c>
      <c r="B5645" t="s">
        <v>7033</v>
      </c>
      <c r="C5645" t="s">
        <v>7680</v>
      </c>
      <c r="D5645" t="s">
        <v>8137</v>
      </c>
      <c r="E5645" t="s">
        <v>9915</v>
      </c>
      <c r="F5645" t="s">
        <v>10305</v>
      </c>
      <c r="G5645">
        <v>4</v>
      </c>
      <c r="H5645" t="s">
        <v>10307</v>
      </c>
      <c r="I5645" t="s">
        <v>10323</v>
      </c>
      <c r="K5645" t="s">
        <v>10332</v>
      </c>
      <c r="L5645">
        <v>1977</v>
      </c>
      <c r="N5645">
        <v>48.266930000000002</v>
      </c>
      <c r="P5645">
        <v>9.7262599999999999</v>
      </c>
      <c r="R5645" t="s">
        <v>11037</v>
      </c>
      <c r="S5645" t="s">
        <v>10307</v>
      </c>
      <c r="W5645" t="s">
        <v>11249</v>
      </c>
    </row>
    <row r="5646" spans="1:23" hidden="1" x14ac:dyDescent="0.45">
      <c r="A5646" s="1" t="s">
        <v>5573</v>
      </c>
      <c r="B5646" t="s">
        <v>7145</v>
      </c>
      <c r="C5646" t="s">
        <v>7681</v>
      </c>
      <c r="D5646" t="s">
        <v>8399</v>
      </c>
      <c r="E5646" t="s">
        <v>10140</v>
      </c>
      <c r="F5646" t="s">
        <v>10305</v>
      </c>
      <c r="G5646">
        <v>46.6</v>
      </c>
      <c r="H5646" t="s">
        <v>10307</v>
      </c>
      <c r="I5646" t="s">
        <v>10323</v>
      </c>
      <c r="K5646" t="s">
        <v>10332</v>
      </c>
      <c r="L5646">
        <v>1993</v>
      </c>
      <c r="N5646">
        <v>51.465609999999998</v>
      </c>
      <c r="P5646">
        <v>12.592040000000001</v>
      </c>
      <c r="R5646" t="s">
        <v>11037</v>
      </c>
      <c r="S5646" t="s">
        <v>10307</v>
      </c>
      <c r="W5646" t="s">
        <v>11249</v>
      </c>
    </row>
    <row r="5647" spans="1:23" hidden="1" x14ac:dyDescent="0.45">
      <c r="A5647" s="1" t="s">
        <v>5574</v>
      </c>
      <c r="B5647" t="s">
        <v>7067</v>
      </c>
      <c r="D5647" t="s">
        <v>8400</v>
      </c>
      <c r="E5647" t="s">
        <v>10141</v>
      </c>
      <c r="F5647" t="s">
        <v>10305</v>
      </c>
      <c r="G5647">
        <v>321</v>
      </c>
      <c r="H5647" t="s">
        <v>10307</v>
      </c>
      <c r="I5647" t="s">
        <v>10322</v>
      </c>
      <c r="K5647" t="s">
        <v>10333</v>
      </c>
      <c r="L5647">
        <v>1978</v>
      </c>
      <c r="N5647">
        <v>53.189689999999999</v>
      </c>
      <c r="P5647">
        <v>8.40869</v>
      </c>
      <c r="Q5647" t="s">
        <v>11004</v>
      </c>
      <c r="R5647" t="s">
        <v>11037</v>
      </c>
      <c r="S5647" t="s">
        <v>10307</v>
      </c>
      <c r="W5647" t="s">
        <v>11249</v>
      </c>
    </row>
    <row r="5648" spans="1:23" hidden="1" x14ac:dyDescent="0.45">
      <c r="A5648" s="1" t="s">
        <v>5575</v>
      </c>
      <c r="B5648" t="s">
        <v>7146</v>
      </c>
      <c r="C5648" t="s">
        <v>7682</v>
      </c>
      <c r="D5648" t="s">
        <v>8401</v>
      </c>
      <c r="E5648" t="s">
        <v>10142</v>
      </c>
      <c r="F5648" t="s">
        <v>10305</v>
      </c>
      <c r="G5648">
        <v>57</v>
      </c>
      <c r="H5648" t="s">
        <v>10307</v>
      </c>
      <c r="I5648" t="s">
        <v>10323</v>
      </c>
      <c r="K5648" t="s">
        <v>10332</v>
      </c>
      <c r="L5648">
        <v>2007</v>
      </c>
      <c r="N5648">
        <v>49.984000000000002</v>
      </c>
      <c r="P5648">
        <v>10.65137</v>
      </c>
      <c r="R5648" t="s">
        <v>11037</v>
      </c>
      <c r="S5648" t="s">
        <v>10307</v>
      </c>
      <c r="W5648" t="s">
        <v>11249</v>
      </c>
    </row>
    <row r="5649" spans="1:23" hidden="1" x14ac:dyDescent="0.45">
      <c r="A5649" s="1" t="s">
        <v>5576</v>
      </c>
      <c r="B5649" t="s">
        <v>7034</v>
      </c>
      <c r="D5649" t="s">
        <v>8138</v>
      </c>
      <c r="E5649" t="s">
        <v>9916</v>
      </c>
      <c r="F5649" t="s">
        <v>10305</v>
      </c>
      <c r="G5649">
        <v>433</v>
      </c>
      <c r="H5649" t="s">
        <v>10307</v>
      </c>
      <c r="I5649" t="s">
        <v>10323</v>
      </c>
      <c r="K5649" t="s">
        <v>10333</v>
      </c>
      <c r="L5649">
        <v>1973</v>
      </c>
      <c r="N5649">
        <v>53.342170000000003</v>
      </c>
      <c r="P5649">
        <v>7.2062399999999984</v>
      </c>
      <c r="R5649" t="s">
        <v>11037</v>
      </c>
      <c r="S5649" t="s">
        <v>10307</v>
      </c>
      <c r="W5649" t="s">
        <v>11249</v>
      </c>
    </row>
    <row r="5650" spans="1:23" hidden="1" x14ac:dyDescent="0.45">
      <c r="A5650" s="1" t="s">
        <v>5577</v>
      </c>
      <c r="B5650" t="s">
        <v>7147</v>
      </c>
      <c r="D5650" t="s">
        <v>8402</v>
      </c>
      <c r="E5650" t="s">
        <v>10143</v>
      </c>
      <c r="F5650" t="s">
        <v>10305</v>
      </c>
      <c r="G5650">
        <v>11</v>
      </c>
      <c r="H5650" t="s">
        <v>10307</v>
      </c>
      <c r="I5650" t="s">
        <v>10323</v>
      </c>
      <c r="K5650" t="s">
        <v>10332</v>
      </c>
      <c r="L5650">
        <v>1996</v>
      </c>
      <c r="N5650">
        <v>50.978566999999998</v>
      </c>
      <c r="P5650">
        <v>11.05158</v>
      </c>
      <c r="R5650" t="s">
        <v>11037</v>
      </c>
      <c r="S5650" t="s">
        <v>10307</v>
      </c>
      <c r="W5650" t="s">
        <v>11249</v>
      </c>
    </row>
    <row r="5651" spans="1:23" hidden="1" x14ac:dyDescent="0.45">
      <c r="A5651" s="1" t="s">
        <v>5578</v>
      </c>
      <c r="B5651" t="s">
        <v>7147</v>
      </c>
      <c r="D5651" t="s">
        <v>8403</v>
      </c>
      <c r="E5651" t="s">
        <v>10143</v>
      </c>
      <c r="F5651" t="s">
        <v>10305</v>
      </c>
      <c r="G5651">
        <v>76.5</v>
      </c>
      <c r="H5651" t="s">
        <v>10307</v>
      </c>
      <c r="I5651" t="s">
        <v>10321</v>
      </c>
      <c r="K5651" t="s">
        <v>10332</v>
      </c>
      <c r="L5651">
        <v>1999</v>
      </c>
      <c r="N5651">
        <v>50.989612000000001</v>
      </c>
      <c r="P5651">
        <v>11.027635</v>
      </c>
      <c r="R5651" t="s">
        <v>11037</v>
      </c>
      <c r="S5651" t="s">
        <v>10307</v>
      </c>
      <c r="W5651" t="s">
        <v>11249</v>
      </c>
    </row>
    <row r="5652" spans="1:23" hidden="1" x14ac:dyDescent="0.45">
      <c r="A5652" s="1" t="s">
        <v>5579</v>
      </c>
      <c r="B5652" t="s">
        <v>7147</v>
      </c>
      <c r="D5652" t="s">
        <v>8403</v>
      </c>
      <c r="E5652" t="s">
        <v>10143</v>
      </c>
      <c r="F5652" t="s">
        <v>10305</v>
      </c>
      <c r="G5652">
        <v>32.6</v>
      </c>
      <c r="H5652" t="s">
        <v>10307</v>
      </c>
      <c r="I5652" t="s">
        <v>10321</v>
      </c>
      <c r="K5652" t="s">
        <v>10332</v>
      </c>
      <c r="L5652">
        <v>2014</v>
      </c>
      <c r="N5652">
        <v>50.989612000000001</v>
      </c>
      <c r="P5652">
        <v>11.027635</v>
      </c>
      <c r="R5652" t="s">
        <v>11037</v>
      </c>
      <c r="S5652" t="s">
        <v>10307</v>
      </c>
      <c r="W5652" t="s">
        <v>11249</v>
      </c>
    </row>
    <row r="5653" spans="1:23" hidden="1" x14ac:dyDescent="0.45">
      <c r="A5653" s="1" t="s">
        <v>5580</v>
      </c>
      <c r="B5653" t="s">
        <v>7073</v>
      </c>
      <c r="C5653" t="s">
        <v>7556</v>
      </c>
      <c r="D5653" t="s">
        <v>8184</v>
      </c>
      <c r="E5653" t="s">
        <v>9955</v>
      </c>
      <c r="F5653" t="s">
        <v>10305</v>
      </c>
      <c r="G5653">
        <v>21.6</v>
      </c>
      <c r="H5653" t="s">
        <v>10307</v>
      </c>
      <c r="I5653" t="s">
        <v>10321</v>
      </c>
      <c r="K5653" t="s">
        <v>10332</v>
      </c>
      <c r="L5653">
        <v>2005</v>
      </c>
      <c r="N5653">
        <v>49.592970000000001</v>
      </c>
      <c r="P5653">
        <v>11.001620000000001</v>
      </c>
      <c r="R5653" t="s">
        <v>11037</v>
      </c>
      <c r="S5653" t="s">
        <v>10307</v>
      </c>
      <c r="W5653" t="s">
        <v>11249</v>
      </c>
    </row>
    <row r="5654" spans="1:23" hidden="1" x14ac:dyDescent="0.45">
      <c r="A5654" s="1" t="s">
        <v>5581</v>
      </c>
      <c r="B5654" t="s">
        <v>7073</v>
      </c>
      <c r="C5654" t="s">
        <v>7556</v>
      </c>
      <c r="D5654" t="s">
        <v>8404</v>
      </c>
      <c r="E5654" t="s">
        <v>9955</v>
      </c>
      <c r="F5654" t="s">
        <v>10305</v>
      </c>
      <c r="G5654">
        <v>6.7</v>
      </c>
      <c r="H5654" t="s">
        <v>10307</v>
      </c>
      <c r="I5654" t="s">
        <v>10321</v>
      </c>
      <c r="K5654" t="s">
        <v>10332</v>
      </c>
      <c r="L5654">
        <v>2014</v>
      </c>
      <c r="N5654">
        <v>49.593491999999998</v>
      </c>
      <c r="P5654">
        <v>11.001092999999999</v>
      </c>
      <c r="R5654" t="s">
        <v>11037</v>
      </c>
      <c r="S5654" t="s">
        <v>10307</v>
      </c>
      <c r="W5654" t="s">
        <v>11249</v>
      </c>
    </row>
    <row r="5655" spans="1:23" hidden="1" x14ac:dyDescent="0.45">
      <c r="A5655" s="1" t="s">
        <v>5582</v>
      </c>
      <c r="B5655" t="s">
        <v>7148</v>
      </c>
      <c r="D5655" t="s">
        <v>8405</v>
      </c>
      <c r="E5655" t="s">
        <v>10144</v>
      </c>
      <c r="F5655" t="s">
        <v>10305</v>
      </c>
      <c r="G5655">
        <v>48</v>
      </c>
      <c r="H5655" t="s">
        <v>10307</v>
      </c>
      <c r="I5655" t="s">
        <v>10321</v>
      </c>
      <c r="K5655" t="s">
        <v>10332</v>
      </c>
      <c r="L5655">
        <v>1997</v>
      </c>
      <c r="N5655">
        <v>52.345999999999997</v>
      </c>
      <c r="P5655">
        <v>14.545999999999999</v>
      </c>
      <c r="R5655" t="s">
        <v>11037</v>
      </c>
      <c r="S5655" t="s">
        <v>10307</v>
      </c>
      <c r="W5655" t="s">
        <v>11249</v>
      </c>
    </row>
    <row r="5656" spans="1:23" hidden="1" x14ac:dyDescent="0.45">
      <c r="A5656" s="1" t="s">
        <v>5583</v>
      </c>
      <c r="B5656" t="s">
        <v>7036</v>
      </c>
      <c r="C5656" t="s">
        <v>7683</v>
      </c>
      <c r="D5656" t="s">
        <v>8406</v>
      </c>
      <c r="E5656" t="s">
        <v>9919</v>
      </c>
      <c r="F5656" t="s">
        <v>10305</v>
      </c>
      <c r="G5656">
        <v>70</v>
      </c>
      <c r="H5656" t="s">
        <v>10307</v>
      </c>
      <c r="I5656" t="s">
        <v>10323</v>
      </c>
      <c r="K5656" t="s">
        <v>10332</v>
      </c>
      <c r="L5656">
        <v>2004</v>
      </c>
      <c r="N5656">
        <v>50.085599999999999</v>
      </c>
      <c r="P5656">
        <v>8.6278500000000005</v>
      </c>
      <c r="R5656" t="s">
        <v>11037</v>
      </c>
      <c r="S5656" t="s">
        <v>10307</v>
      </c>
      <c r="W5656" t="s">
        <v>11249</v>
      </c>
    </row>
    <row r="5657" spans="1:23" hidden="1" x14ac:dyDescent="0.45">
      <c r="A5657" s="1" t="s">
        <v>5584</v>
      </c>
      <c r="B5657" t="s">
        <v>7036</v>
      </c>
      <c r="C5657" t="s">
        <v>7558</v>
      </c>
      <c r="D5657" t="s">
        <v>8186</v>
      </c>
      <c r="E5657" t="s">
        <v>9919</v>
      </c>
      <c r="F5657" t="s">
        <v>10305</v>
      </c>
      <c r="G5657">
        <v>99</v>
      </c>
      <c r="H5657" t="s">
        <v>10307</v>
      </c>
      <c r="I5657" t="s">
        <v>10323</v>
      </c>
      <c r="K5657" t="s">
        <v>10332</v>
      </c>
      <c r="L5657">
        <v>1994</v>
      </c>
      <c r="N5657">
        <v>50.09843</v>
      </c>
      <c r="P5657">
        <v>8.6531300000000009</v>
      </c>
      <c r="R5657" t="s">
        <v>11037</v>
      </c>
      <c r="S5657" t="s">
        <v>10307</v>
      </c>
      <c r="W5657" t="s">
        <v>11249</v>
      </c>
    </row>
    <row r="5658" spans="1:23" hidden="1" x14ac:dyDescent="0.45">
      <c r="A5658" s="1" t="s">
        <v>5585</v>
      </c>
      <c r="B5658" t="s">
        <v>7036</v>
      </c>
      <c r="C5658" t="s">
        <v>7684</v>
      </c>
      <c r="D5658" t="s">
        <v>8406</v>
      </c>
      <c r="E5658" t="s">
        <v>9919</v>
      </c>
      <c r="F5658" t="s">
        <v>10305</v>
      </c>
      <c r="G5658">
        <v>56</v>
      </c>
      <c r="H5658" t="s">
        <v>10307</v>
      </c>
      <c r="I5658" t="s">
        <v>10323</v>
      </c>
      <c r="K5658" t="s">
        <v>10332</v>
      </c>
      <c r="N5658">
        <v>50.085599999999999</v>
      </c>
      <c r="P5658">
        <v>8.6278500000000005</v>
      </c>
      <c r="R5658" t="s">
        <v>11037</v>
      </c>
      <c r="S5658" t="s">
        <v>10307</v>
      </c>
      <c r="W5658" t="s">
        <v>11249</v>
      </c>
    </row>
    <row r="5659" spans="1:23" hidden="1" x14ac:dyDescent="0.45">
      <c r="A5659" s="1" t="s">
        <v>5586</v>
      </c>
      <c r="B5659" t="s">
        <v>7149</v>
      </c>
      <c r="D5659" t="s">
        <v>8407</v>
      </c>
      <c r="E5659" t="s">
        <v>10145</v>
      </c>
      <c r="F5659" t="s">
        <v>10305</v>
      </c>
      <c r="G5659">
        <v>38.6</v>
      </c>
      <c r="H5659" t="s">
        <v>10307</v>
      </c>
      <c r="I5659" t="s">
        <v>10321</v>
      </c>
      <c r="K5659" t="s">
        <v>10332</v>
      </c>
      <c r="L5659">
        <v>1998</v>
      </c>
      <c r="N5659">
        <v>48.020738000000001</v>
      </c>
      <c r="P5659">
        <v>7.8458800000000002</v>
      </c>
      <c r="R5659" t="s">
        <v>11037</v>
      </c>
      <c r="S5659" t="s">
        <v>10307</v>
      </c>
      <c r="W5659" t="s">
        <v>11249</v>
      </c>
    </row>
    <row r="5660" spans="1:23" hidden="1" x14ac:dyDescent="0.45">
      <c r="A5660" s="1" t="s">
        <v>5587</v>
      </c>
      <c r="B5660" t="s">
        <v>7150</v>
      </c>
      <c r="C5660" t="s">
        <v>7685</v>
      </c>
      <c r="D5660" t="s">
        <v>8408</v>
      </c>
      <c r="E5660" t="s">
        <v>10146</v>
      </c>
      <c r="F5660" t="s">
        <v>10305</v>
      </c>
      <c r="G5660">
        <v>74</v>
      </c>
      <c r="H5660" t="s">
        <v>10307</v>
      </c>
      <c r="I5660" t="s">
        <v>10323</v>
      </c>
      <c r="K5660" t="s">
        <v>10332</v>
      </c>
      <c r="L5660">
        <v>1996</v>
      </c>
      <c r="N5660">
        <v>50.907600000000002</v>
      </c>
      <c r="P5660">
        <v>12.061019999999999</v>
      </c>
      <c r="R5660" t="s">
        <v>11037</v>
      </c>
      <c r="S5660" t="s">
        <v>10307</v>
      </c>
      <c r="W5660" t="s">
        <v>11249</v>
      </c>
    </row>
    <row r="5661" spans="1:23" hidden="1" x14ac:dyDescent="0.45">
      <c r="A5661" s="1" t="s">
        <v>5588</v>
      </c>
      <c r="B5661" t="s">
        <v>7151</v>
      </c>
      <c r="C5661" t="s">
        <v>7686</v>
      </c>
      <c r="D5661" t="s">
        <v>8409</v>
      </c>
      <c r="E5661" t="s">
        <v>10147</v>
      </c>
      <c r="F5661" t="s">
        <v>10305</v>
      </c>
      <c r="G5661">
        <v>18.8</v>
      </c>
      <c r="H5661" t="s">
        <v>10307</v>
      </c>
      <c r="I5661" t="s">
        <v>10323</v>
      </c>
      <c r="K5661" t="s">
        <v>10332</v>
      </c>
      <c r="L5661">
        <v>1998</v>
      </c>
      <c r="N5661">
        <v>51.553370000000001</v>
      </c>
      <c r="P5661">
        <v>9.9337400000000002</v>
      </c>
      <c r="R5661" t="s">
        <v>11037</v>
      </c>
      <c r="S5661" t="s">
        <v>10307</v>
      </c>
      <c r="W5661" t="s">
        <v>11249</v>
      </c>
    </row>
    <row r="5662" spans="1:23" hidden="1" x14ac:dyDescent="0.45">
      <c r="A5662" s="1" t="s">
        <v>5589</v>
      </c>
      <c r="B5662" t="s">
        <v>7152</v>
      </c>
      <c r="D5662" t="s">
        <v>8410</v>
      </c>
      <c r="E5662" t="s">
        <v>10148</v>
      </c>
      <c r="F5662" t="s">
        <v>10305</v>
      </c>
      <c r="G5662">
        <v>14.7</v>
      </c>
      <c r="H5662" t="s">
        <v>10307</v>
      </c>
      <c r="I5662" t="s">
        <v>10322</v>
      </c>
      <c r="K5662" t="s">
        <v>10332</v>
      </c>
      <c r="L5662">
        <v>1996</v>
      </c>
      <c r="N5662">
        <v>54.070390000000003</v>
      </c>
      <c r="P5662">
        <v>13.398860000000001</v>
      </c>
      <c r="R5662" t="s">
        <v>11037</v>
      </c>
      <c r="S5662" t="s">
        <v>10307</v>
      </c>
      <c r="W5662" t="s">
        <v>11249</v>
      </c>
    </row>
    <row r="5663" spans="1:23" hidden="1" x14ac:dyDescent="0.45">
      <c r="A5663" s="1" t="s">
        <v>5590</v>
      </c>
      <c r="B5663" t="s">
        <v>7153</v>
      </c>
      <c r="D5663" t="s">
        <v>8242</v>
      </c>
      <c r="E5663" t="s">
        <v>8714</v>
      </c>
      <c r="F5663" t="s">
        <v>10305</v>
      </c>
      <c r="G5663">
        <v>30</v>
      </c>
      <c r="H5663" t="s">
        <v>10307</v>
      </c>
      <c r="I5663" t="s">
        <v>10323</v>
      </c>
      <c r="K5663" t="s">
        <v>10332</v>
      </c>
      <c r="L5663">
        <v>2017</v>
      </c>
      <c r="N5663">
        <v>47.539709999999999</v>
      </c>
      <c r="P5663">
        <v>7.7069229999999997</v>
      </c>
      <c r="R5663" t="s">
        <v>11037</v>
      </c>
      <c r="S5663" t="s">
        <v>10307</v>
      </c>
      <c r="W5663" t="s">
        <v>11249</v>
      </c>
    </row>
    <row r="5664" spans="1:23" hidden="1" x14ac:dyDescent="0.45">
      <c r="A5664" s="1" t="s">
        <v>5591</v>
      </c>
      <c r="B5664" t="s">
        <v>7067</v>
      </c>
      <c r="D5664" t="s">
        <v>8188</v>
      </c>
      <c r="E5664" t="s">
        <v>9958</v>
      </c>
      <c r="F5664" t="s">
        <v>10305</v>
      </c>
      <c r="G5664">
        <v>572</v>
      </c>
      <c r="H5664" t="s">
        <v>10307</v>
      </c>
      <c r="I5664" t="s">
        <v>10323</v>
      </c>
      <c r="K5664" t="s">
        <v>10333</v>
      </c>
      <c r="L5664">
        <v>1977</v>
      </c>
      <c r="N5664">
        <v>50.088553000000012</v>
      </c>
      <c r="P5664">
        <v>8.9533990000000028</v>
      </c>
      <c r="Q5664" t="s">
        <v>10946</v>
      </c>
      <c r="R5664" t="s">
        <v>11037</v>
      </c>
      <c r="S5664" t="s">
        <v>10307</v>
      </c>
      <c r="W5664" t="s">
        <v>11249</v>
      </c>
    </row>
    <row r="5665" spans="1:23" hidden="1" x14ac:dyDescent="0.45">
      <c r="A5665" s="1" t="s">
        <v>5592</v>
      </c>
      <c r="B5665" t="s">
        <v>7154</v>
      </c>
      <c r="C5665" t="s">
        <v>7687</v>
      </c>
      <c r="D5665" t="s">
        <v>8411</v>
      </c>
      <c r="E5665" t="s">
        <v>9920</v>
      </c>
      <c r="F5665" t="s">
        <v>10305</v>
      </c>
      <c r="G5665">
        <v>25</v>
      </c>
      <c r="H5665" t="s">
        <v>10307</v>
      </c>
      <c r="I5665" t="s">
        <v>10323</v>
      </c>
      <c r="K5665" t="s">
        <v>10332</v>
      </c>
      <c r="L5665">
        <v>1994</v>
      </c>
      <c r="N5665">
        <v>51.907325999999998</v>
      </c>
      <c r="P5665">
        <v>8.4088349999999998</v>
      </c>
      <c r="R5665" t="s">
        <v>11037</v>
      </c>
      <c r="S5665" t="s">
        <v>10307</v>
      </c>
      <c r="W5665" t="s">
        <v>11249</v>
      </c>
    </row>
    <row r="5666" spans="1:23" hidden="1" x14ac:dyDescent="0.45">
      <c r="A5666" s="1" t="s">
        <v>5593</v>
      </c>
      <c r="B5666" t="s">
        <v>7038</v>
      </c>
      <c r="D5666" t="s">
        <v>8143</v>
      </c>
      <c r="E5666" t="s">
        <v>9921</v>
      </c>
      <c r="F5666" t="s">
        <v>10305</v>
      </c>
      <c r="G5666">
        <v>230</v>
      </c>
      <c r="H5666" t="s">
        <v>10307</v>
      </c>
      <c r="I5666" t="s">
        <v>10323</v>
      </c>
      <c r="K5666" t="s">
        <v>10333</v>
      </c>
      <c r="L5666">
        <v>1980</v>
      </c>
      <c r="N5666">
        <v>51.411029999999997</v>
      </c>
      <c r="P5666">
        <v>7.4917100000000003</v>
      </c>
      <c r="Q5666" t="s">
        <v>11005</v>
      </c>
      <c r="R5666" t="s">
        <v>11037</v>
      </c>
      <c r="S5666" t="s">
        <v>10307</v>
      </c>
      <c r="W5666" t="s">
        <v>11249</v>
      </c>
    </row>
    <row r="5667" spans="1:23" hidden="1" x14ac:dyDescent="0.45">
      <c r="A5667" s="1" t="s">
        <v>5594</v>
      </c>
      <c r="B5667" t="s">
        <v>7155</v>
      </c>
      <c r="C5667" t="s">
        <v>7688</v>
      </c>
      <c r="D5667" t="s">
        <v>8412</v>
      </c>
      <c r="E5667" t="s">
        <v>3512</v>
      </c>
      <c r="F5667" t="s">
        <v>10305</v>
      </c>
      <c r="G5667">
        <v>97</v>
      </c>
      <c r="H5667" t="s">
        <v>10307</v>
      </c>
      <c r="I5667" t="s">
        <v>10323</v>
      </c>
      <c r="K5667" t="s">
        <v>10332</v>
      </c>
      <c r="L5667">
        <v>2005</v>
      </c>
      <c r="N5667">
        <v>51.480960000000003</v>
      </c>
      <c r="P5667">
        <v>11.964270000000001</v>
      </c>
      <c r="R5667" t="s">
        <v>11037</v>
      </c>
      <c r="S5667" t="s">
        <v>10307</v>
      </c>
      <c r="W5667" t="s">
        <v>11249</v>
      </c>
    </row>
    <row r="5668" spans="1:23" hidden="1" x14ac:dyDescent="0.45">
      <c r="A5668" s="1" t="s">
        <v>5595</v>
      </c>
      <c r="B5668" t="s">
        <v>7156</v>
      </c>
      <c r="C5668" t="s">
        <v>7689</v>
      </c>
      <c r="D5668" t="s">
        <v>8412</v>
      </c>
      <c r="E5668" t="s">
        <v>3512</v>
      </c>
      <c r="F5668" t="s">
        <v>10305</v>
      </c>
      <c r="G5668">
        <v>56.1</v>
      </c>
      <c r="H5668" t="s">
        <v>10307</v>
      </c>
      <c r="I5668" t="s">
        <v>10321</v>
      </c>
      <c r="K5668" t="s">
        <v>10332</v>
      </c>
      <c r="L5668">
        <v>2013</v>
      </c>
      <c r="N5668">
        <v>51.523530000000001</v>
      </c>
      <c r="P5668">
        <v>11.94337</v>
      </c>
      <c r="R5668" t="s">
        <v>11037</v>
      </c>
      <c r="S5668" t="s">
        <v>10307</v>
      </c>
      <c r="W5668" t="s">
        <v>11249</v>
      </c>
    </row>
    <row r="5669" spans="1:23" hidden="1" x14ac:dyDescent="0.45">
      <c r="A5669" s="1" t="s">
        <v>5596</v>
      </c>
      <c r="B5669" t="s">
        <v>7075</v>
      </c>
      <c r="C5669" t="s">
        <v>7559</v>
      </c>
      <c r="D5669" t="s">
        <v>8144</v>
      </c>
      <c r="E5669" t="s">
        <v>9922</v>
      </c>
      <c r="F5669" t="s">
        <v>10305</v>
      </c>
      <c r="G5669">
        <v>127</v>
      </c>
      <c r="H5669" t="s">
        <v>10307</v>
      </c>
      <c r="I5669" t="s">
        <v>10321</v>
      </c>
      <c r="K5669" t="s">
        <v>10332</v>
      </c>
      <c r="L5669">
        <v>2009</v>
      </c>
      <c r="N5669">
        <v>53.526727549999997</v>
      </c>
      <c r="P5669">
        <v>10.06583691</v>
      </c>
      <c r="R5669" t="s">
        <v>11037</v>
      </c>
      <c r="S5669" t="s">
        <v>10307</v>
      </c>
      <c r="W5669" t="s">
        <v>11249</v>
      </c>
    </row>
    <row r="5670" spans="1:23" hidden="1" x14ac:dyDescent="0.45">
      <c r="A5670" s="1" t="s">
        <v>5597</v>
      </c>
      <c r="B5670" t="s">
        <v>7157</v>
      </c>
      <c r="C5670" t="s">
        <v>7690</v>
      </c>
      <c r="D5670" t="s">
        <v>8413</v>
      </c>
      <c r="E5670" t="s">
        <v>9922</v>
      </c>
      <c r="F5670" t="s">
        <v>10305</v>
      </c>
      <c r="G5670">
        <v>22.5</v>
      </c>
      <c r="H5670" t="s">
        <v>10307</v>
      </c>
      <c r="I5670" t="s">
        <v>10323</v>
      </c>
      <c r="K5670" t="s">
        <v>10332</v>
      </c>
      <c r="L5670">
        <v>1993</v>
      </c>
      <c r="N5670">
        <v>53.517684000000003</v>
      </c>
      <c r="P5670">
        <v>9.9507930000000009</v>
      </c>
      <c r="R5670" t="s">
        <v>11037</v>
      </c>
      <c r="S5670" t="s">
        <v>10307</v>
      </c>
      <c r="W5670" t="s">
        <v>11249</v>
      </c>
    </row>
    <row r="5671" spans="1:23" hidden="1" x14ac:dyDescent="0.45">
      <c r="A5671" s="1" t="s">
        <v>5598</v>
      </c>
      <c r="B5671" t="s">
        <v>7158</v>
      </c>
      <c r="C5671" t="s">
        <v>7691</v>
      </c>
      <c r="D5671" t="s">
        <v>8190</v>
      </c>
      <c r="E5671" t="s">
        <v>10149</v>
      </c>
      <c r="F5671" t="s">
        <v>10305</v>
      </c>
      <c r="G5671">
        <v>407</v>
      </c>
      <c r="H5671" t="s">
        <v>10307</v>
      </c>
      <c r="I5671" t="s">
        <v>10321</v>
      </c>
      <c r="K5671" t="s">
        <v>10333</v>
      </c>
      <c r="L5671">
        <v>2008</v>
      </c>
      <c r="N5671">
        <v>51.673949999999998</v>
      </c>
      <c r="P5671">
        <v>7.9291499999999999</v>
      </c>
      <c r="Q5671" t="s">
        <v>11006</v>
      </c>
      <c r="R5671" t="s">
        <v>11037</v>
      </c>
      <c r="S5671" t="s">
        <v>10307</v>
      </c>
      <c r="W5671" t="s">
        <v>11249</v>
      </c>
    </row>
    <row r="5672" spans="1:23" hidden="1" x14ac:dyDescent="0.45">
      <c r="A5672" s="1" t="s">
        <v>5599</v>
      </c>
      <c r="B5672" t="s">
        <v>7158</v>
      </c>
      <c r="C5672" t="s">
        <v>7691</v>
      </c>
      <c r="D5672" t="s">
        <v>8190</v>
      </c>
      <c r="E5672" t="s">
        <v>10149</v>
      </c>
      <c r="F5672" t="s">
        <v>10305</v>
      </c>
      <c r="G5672">
        <v>410</v>
      </c>
      <c r="H5672" t="s">
        <v>10307</v>
      </c>
      <c r="I5672" t="s">
        <v>10321</v>
      </c>
      <c r="K5672" t="s">
        <v>10333</v>
      </c>
      <c r="L5672">
        <v>2008</v>
      </c>
      <c r="N5672">
        <v>51.673949999999998</v>
      </c>
      <c r="P5672">
        <v>7.9291499999999999</v>
      </c>
      <c r="Q5672" t="s">
        <v>11006</v>
      </c>
      <c r="R5672" t="s">
        <v>11037</v>
      </c>
      <c r="S5672" t="s">
        <v>10307</v>
      </c>
      <c r="W5672" t="s">
        <v>11249</v>
      </c>
    </row>
    <row r="5673" spans="1:23" hidden="1" x14ac:dyDescent="0.45">
      <c r="A5673" s="1" t="s">
        <v>5600</v>
      </c>
      <c r="B5673" t="s">
        <v>7077</v>
      </c>
      <c r="D5673" t="s">
        <v>8414</v>
      </c>
      <c r="E5673" t="s">
        <v>9961</v>
      </c>
      <c r="F5673" t="s">
        <v>10305</v>
      </c>
      <c r="G5673">
        <v>230</v>
      </c>
      <c r="H5673" t="s">
        <v>10307</v>
      </c>
      <c r="I5673" t="s">
        <v>10321</v>
      </c>
      <c r="K5673" t="s">
        <v>10332</v>
      </c>
      <c r="L5673">
        <v>1998</v>
      </c>
      <c r="N5673">
        <v>52.372917000000001</v>
      </c>
      <c r="P5673">
        <v>9.7141940000000009</v>
      </c>
      <c r="R5673" t="s">
        <v>11037</v>
      </c>
      <c r="S5673" t="s">
        <v>10307</v>
      </c>
      <c r="W5673" t="s">
        <v>11249</v>
      </c>
    </row>
    <row r="5674" spans="1:23" hidden="1" x14ac:dyDescent="0.45">
      <c r="A5674" s="1" t="s">
        <v>5601</v>
      </c>
      <c r="B5674" t="s">
        <v>7077</v>
      </c>
      <c r="D5674" t="s">
        <v>8191</v>
      </c>
      <c r="E5674" t="s">
        <v>9961</v>
      </c>
      <c r="F5674" t="s">
        <v>10305</v>
      </c>
      <c r="G5674">
        <v>102</v>
      </c>
      <c r="H5674" t="s">
        <v>10307</v>
      </c>
      <c r="I5674" t="s">
        <v>10323</v>
      </c>
      <c r="K5674" t="s">
        <v>10332</v>
      </c>
      <c r="L5674">
        <v>1975</v>
      </c>
      <c r="N5674">
        <v>52.42</v>
      </c>
      <c r="P5674">
        <v>9.6486110000000007</v>
      </c>
      <c r="Q5674" t="s">
        <v>11007</v>
      </c>
      <c r="R5674" t="s">
        <v>11037</v>
      </c>
      <c r="S5674" t="s">
        <v>10307</v>
      </c>
      <c r="W5674" t="s">
        <v>11249</v>
      </c>
    </row>
    <row r="5675" spans="1:23" hidden="1" x14ac:dyDescent="0.45">
      <c r="A5675" s="1" t="s">
        <v>5602</v>
      </c>
      <c r="B5675" t="s">
        <v>7159</v>
      </c>
      <c r="D5675" t="s">
        <v>8415</v>
      </c>
      <c r="E5675" t="s">
        <v>10006</v>
      </c>
      <c r="F5675" t="s">
        <v>10305</v>
      </c>
      <c r="G5675">
        <v>417</v>
      </c>
      <c r="H5675" t="s">
        <v>10307</v>
      </c>
      <c r="I5675" t="s">
        <v>10321</v>
      </c>
      <c r="K5675" t="s">
        <v>10333</v>
      </c>
      <c r="L5675">
        <v>2007</v>
      </c>
      <c r="N5675">
        <v>51.403129999999997</v>
      </c>
      <c r="P5675">
        <v>7.4154999999999998</v>
      </c>
      <c r="Q5675" t="s">
        <v>11008</v>
      </c>
      <c r="R5675" t="s">
        <v>11037</v>
      </c>
      <c r="S5675" t="s">
        <v>10307</v>
      </c>
      <c r="W5675" t="s">
        <v>11249</v>
      </c>
    </row>
    <row r="5676" spans="1:23" hidden="1" x14ac:dyDescent="0.45">
      <c r="A5676" s="1" t="s">
        <v>5603</v>
      </c>
      <c r="B5676" t="s">
        <v>7160</v>
      </c>
      <c r="D5676" t="s">
        <v>8416</v>
      </c>
      <c r="E5676" t="s">
        <v>10150</v>
      </c>
      <c r="F5676" t="s">
        <v>10305</v>
      </c>
      <c r="G5676">
        <v>69</v>
      </c>
      <c r="H5676" t="s">
        <v>10307</v>
      </c>
      <c r="I5676" t="s">
        <v>10321</v>
      </c>
      <c r="K5676" t="s">
        <v>10332</v>
      </c>
      <c r="L5676">
        <v>2009</v>
      </c>
      <c r="M5676" t="s">
        <v>10335</v>
      </c>
      <c r="N5676">
        <v>50.894010000000002</v>
      </c>
      <c r="P5676">
        <v>9.9972399999999997</v>
      </c>
      <c r="R5676" t="s">
        <v>11037</v>
      </c>
      <c r="S5676" t="s">
        <v>10307</v>
      </c>
      <c r="W5676" t="s">
        <v>11249</v>
      </c>
    </row>
    <row r="5677" spans="1:23" hidden="1" x14ac:dyDescent="0.45">
      <c r="A5677" s="1" t="s">
        <v>5604</v>
      </c>
      <c r="B5677" t="s">
        <v>7079</v>
      </c>
      <c r="D5677" t="s">
        <v>8199</v>
      </c>
      <c r="E5677" t="s">
        <v>9966</v>
      </c>
      <c r="F5677" t="s">
        <v>10305</v>
      </c>
      <c r="G5677">
        <v>96.5</v>
      </c>
      <c r="H5677" t="s">
        <v>10307</v>
      </c>
      <c r="I5677" t="s">
        <v>10323</v>
      </c>
      <c r="K5677" t="s">
        <v>10332</v>
      </c>
      <c r="L5677">
        <v>2012</v>
      </c>
      <c r="N5677">
        <v>50.09178</v>
      </c>
      <c r="P5677">
        <v>8.5310500000000005</v>
      </c>
      <c r="R5677" t="s">
        <v>11037</v>
      </c>
      <c r="S5677" t="s">
        <v>10307</v>
      </c>
      <c r="W5677" t="s">
        <v>11249</v>
      </c>
    </row>
    <row r="5678" spans="1:23" hidden="1" x14ac:dyDescent="0.45">
      <c r="A5678" s="1" t="s">
        <v>5605</v>
      </c>
      <c r="B5678" t="s">
        <v>7079</v>
      </c>
      <c r="D5678" t="s">
        <v>8199</v>
      </c>
      <c r="E5678" t="s">
        <v>9966</v>
      </c>
      <c r="F5678" t="s">
        <v>10305</v>
      </c>
      <c r="G5678">
        <v>86</v>
      </c>
      <c r="H5678" t="s">
        <v>10307</v>
      </c>
      <c r="I5678" t="s">
        <v>10323</v>
      </c>
      <c r="K5678" t="s">
        <v>10332</v>
      </c>
      <c r="L5678">
        <v>2003</v>
      </c>
      <c r="N5678">
        <v>50.09178</v>
      </c>
      <c r="P5678">
        <v>8.5310500000000005</v>
      </c>
      <c r="R5678" t="s">
        <v>11037</v>
      </c>
      <c r="S5678" t="s">
        <v>10307</v>
      </c>
      <c r="W5678" t="s">
        <v>11249</v>
      </c>
    </row>
    <row r="5679" spans="1:23" hidden="1" x14ac:dyDescent="0.45">
      <c r="A5679" s="1" t="s">
        <v>5606</v>
      </c>
      <c r="B5679" t="s">
        <v>7161</v>
      </c>
      <c r="D5679" t="s">
        <v>8417</v>
      </c>
      <c r="E5679" t="s">
        <v>10151</v>
      </c>
      <c r="F5679" t="s">
        <v>10305</v>
      </c>
      <c r="G5679">
        <v>182</v>
      </c>
      <c r="H5679" t="s">
        <v>10307</v>
      </c>
      <c r="I5679" t="s">
        <v>10321</v>
      </c>
      <c r="K5679" t="s">
        <v>10332</v>
      </c>
      <c r="L5679">
        <v>1996</v>
      </c>
      <c r="N5679">
        <v>50.896881</v>
      </c>
      <c r="P5679">
        <v>11.585703000000001</v>
      </c>
      <c r="R5679" t="s">
        <v>11037</v>
      </c>
      <c r="S5679" t="s">
        <v>10307</v>
      </c>
      <c r="W5679" t="s">
        <v>11249</v>
      </c>
    </row>
    <row r="5680" spans="1:23" hidden="1" x14ac:dyDescent="0.45">
      <c r="A5680" s="1" t="s">
        <v>5607</v>
      </c>
      <c r="B5680" t="s">
        <v>7080</v>
      </c>
      <c r="D5680" t="s">
        <v>8200</v>
      </c>
      <c r="E5680" t="s">
        <v>9967</v>
      </c>
      <c r="F5680" t="s">
        <v>10305</v>
      </c>
      <c r="G5680">
        <v>11.6</v>
      </c>
      <c r="H5680" t="s">
        <v>10307</v>
      </c>
      <c r="I5680" t="s">
        <v>10323</v>
      </c>
      <c r="K5680" t="s">
        <v>10332</v>
      </c>
      <c r="L5680">
        <v>1989</v>
      </c>
      <c r="N5680">
        <v>49.434659000000003</v>
      </c>
      <c r="P5680">
        <v>7.7602339999999996</v>
      </c>
      <c r="R5680" t="s">
        <v>11037</v>
      </c>
      <c r="S5680" t="s">
        <v>10307</v>
      </c>
      <c r="W5680" t="s">
        <v>11249</v>
      </c>
    </row>
    <row r="5681" spans="1:23" hidden="1" x14ac:dyDescent="0.45">
      <c r="A5681" s="1" t="s">
        <v>5608</v>
      </c>
      <c r="B5681" t="s">
        <v>7061</v>
      </c>
      <c r="C5681" t="s">
        <v>7563</v>
      </c>
      <c r="D5681" t="s">
        <v>8201</v>
      </c>
      <c r="E5681" t="s">
        <v>9924</v>
      </c>
      <c r="F5681" t="s">
        <v>10305</v>
      </c>
      <c r="G5681">
        <v>353</v>
      </c>
      <c r="H5681" t="s">
        <v>10307</v>
      </c>
      <c r="I5681" t="s">
        <v>10321</v>
      </c>
      <c r="K5681" t="s">
        <v>10333</v>
      </c>
      <c r="L5681">
        <v>1998</v>
      </c>
      <c r="N5681">
        <v>49.012500000000003</v>
      </c>
      <c r="P5681">
        <v>8.302778</v>
      </c>
      <c r="Q5681" t="s">
        <v>11009</v>
      </c>
      <c r="R5681" t="s">
        <v>11037</v>
      </c>
      <c r="S5681" t="s">
        <v>10307</v>
      </c>
      <c r="W5681" t="s">
        <v>11249</v>
      </c>
    </row>
    <row r="5682" spans="1:23" hidden="1" x14ac:dyDescent="0.45">
      <c r="A5682" s="1" t="s">
        <v>5609</v>
      </c>
      <c r="B5682" t="s">
        <v>7162</v>
      </c>
      <c r="D5682" t="s">
        <v>8201</v>
      </c>
      <c r="E5682" t="s">
        <v>9924</v>
      </c>
      <c r="F5682" t="s">
        <v>10305</v>
      </c>
      <c r="G5682">
        <v>37</v>
      </c>
      <c r="H5682" t="s">
        <v>10307</v>
      </c>
      <c r="I5682" t="s">
        <v>10323</v>
      </c>
      <c r="K5682" t="s">
        <v>10332</v>
      </c>
      <c r="L5682">
        <v>1984</v>
      </c>
      <c r="N5682">
        <v>49.014443999999997</v>
      </c>
      <c r="P5682">
        <v>8.3480559999999997</v>
      </c>
      <c r="R5682" t="s">
        <v>11037</v>
      </c>
      <c r="S5682" t="s">
        <v>10307</v>
      </c>
      <c r="W5682" t="s">
        <v>11249</v>
      </c>
    </row>
    <row r="5683" spans="1:23" hidden="1" x14ac:dyDescent="0.45">
      <c r="A5683" s="1" t="s">
        <v>5610</v>
      </c>
      <c r="B5683" t="s">
        <v>7122</v>
      </c>
      <c r="D5683" t="s">
        <v>8352</v>
      </c>
      <c r="E5683" t="s">
        <v>10107</v>
      </c>
      <c r="F5683" t="s">
        <v>10305</v>
      </c>
      <c r="G5683">
        <v>48.31</v>
      </c>
      <c r="H5683" t="s">
        <v>10307</v>
      </c>
      <c r="I5683" t="s">
        <v>10323</v>
      </c>
      <c r="K5683" t="s">
        <v>10332</v>
      </c>
      <c r="L5683">
        <v>1988</v>
      </c>
      <c r="N5683">
        <v>51.279099000000002</v>
      </c>
      <c r="P5683">
        <v>9.4840119999999999</v>
      </c>
      <c r="R5683" t="s">
        <v>11037</v>
      </c>
      <c r="S5683" t="s">
        <v>10307</v>
      </c>
      <c r="W5683" t="s">
        <v>11249</v>
      </c>
    </row>
    <row r="5684" spans="1:23" hidden="1" x14ac:dyDescent="0.45">
      <c r="A5684" s="1" t="s">
        <v>5611</v>
      </c>
      <c r="B5684" t="s">
        <v>7163</v>
      </c>
      <c r="D5684" t="s">
        <v>8418</v>
      </c>
      <c r="E5684" t="s">
        <v>9968</v>
      </c>
      <c r="F5684" t="s">
        <v>10305</v>
      </c>
      <c r="G5684">
        <v>21.5</v>
      </c>
      <c r="H5684" t="s">
        <v>10307</v>
      </c>
      <c r="I5684" t="s">
        <v>10323</v>
      </c>
      <c r="K5684" t="s">
        <v>10332</v>
      </c>
      <c r="L5684">
        <v>2005</v>
      </c>
      <c r="N5684">
        <v>54.327536000000002</v>
      </c>
      <c r="P5684">
        <v>10.12674</v>
      </c>
      <c r="R5684" t="s">
        <v>11037</v>
      </c>
      <c r="S5684" t="s">
        <v>10307</v>
      </c>
      <c r="W5684" t="s">
        <v>11249</v>
      </c>
    </row>
    <row r="5685" spans="1:23" hidden="1" x14ac:dyDescent="0.45">
      <c r="A5685" s="1" t="s">
        <v>5612</v>
      </c>
      <c r="B5685" t="s">
        <v>7164</v>
      </c>
      <c r="D5685" t="s">
        <v>8419</v>
      </c>
      <c r="E5685" t="s">
        <v>10152</v>
      </c>
      <c r="F5685" t="s">
        <v>10305</v>
      </c>
      <c r="G5685">
        <v>125</v>
      </c>
      <c r="H5685" t="s">
        <v>10307</v>
      </c>
      <c r="I5685" t="s">
        <v>10321</v>
      </c>
      <c r="K5685" t="s">
        <v>10333</v>
      </c>
      <c r="L5685">
        <v>1981</v>
      </c>
      <c r="N5685">
        <v>52.195070000000001</v>
      </c>
      <c r="P5685">
        <v>8.6481999999999992</v>
      </c>
      <c r="R5685" t="s">
        <v>11037</v>
      </c>
      <c r="S5685" t="s">
        <v>10307</v>
      </c>
      <c r="W5685" t="s">
        <v>11249</v>
      </c>
    </row>
    <row r="5686" spans="1:23" hidden="1" x14ac:dyDescent="0.45">
      <c r="A5686" s="1" t="s">
        <v>5613</v>
      </c>
      <c r="B5686" t="s">
        <v>7123</v>
      </c>
      <c r="D5686" t="s">
        <v>8420</v>
      </c>
      <c r="E5686" t="s">
        <v>10108</v>
      </c>
      <c r="F5686" t="s">
        <v>10305</v>
      </c>
      <c r="G5686">
        <v>35</v>
      </c>
      <c r="H5686" t="s">
        <v>10307</v>
      </c>
      <c r="I5686" t="s">
        <v>10321</v>
      </c>
      <c r="K5686" t="s">
        <v>10332</v>
      </c>
      <c r="L5686">
        <v>1994</v>
      </c>
      <c r="N5686">
        <v>50.916969999999999</v>
      </c>
      <c r="P5686">
        <v>6.9572500000000002</v>
      </c>
      <c r="R5686" t="s">
        <v>11037</v>
      </c>
      <c r="S5686" t="s">
        <v>10307</v>
      </c>
      <c r="W5686" t="s">
        <v>11249</v>
      </c>
    </row>
    <row r="5687" spans="1:23" hidden="1" x14ac:dyDescent="0.45">
      <c r="A5687" s="1" t="s">
        <v>5614</v>
      </c>
      <c r="B5687" t="s">
        <v>7123</v>
      </c>
      <c r="D5687" t="s">
        <v>8421</v>
      </c>
      <c r="E5687" t="s">
        <v>10108</v>
      </c>
      <c r="F5687" t="s">
        <v>10305</v>
      </c>
      <c r="G5687">
        <v>413</v>
      </c>
      <c r="H5687" t="s">
        <v>10307</v>
      </c>
      <c r="I5687" t="s">
        <v>10321</v>
      </c>
      <c r="K5687" t="s">
        <v>10332</v>
      </c>
      <c r="L5687">
        <v>2005</v>
      </c>
      <c r="N5687">
        <v>50.974919999999997</v>
      </c>
      <c r="P5687">
        <v>6.9880300000000002</v>
      </c>
      <c r="Q5687" t="s">
        <v>11010</v>
      </c>
      <c r="R5687" t="s">
        <v>11037</v>
      </c>
      <c r="S5687" t="s">
        <v>10307</v>
      </c>
      <c r="W5687" t="s">
        <v>11249</v>
      </c>
    </row>
    <row r="5688" spans="1:23" hidden="1" x14ac:dyDescent="0.45">
      <c r="A5688" s="1" t="s">
        <v>5615</v>
      </c>
      <c r="B5688" t="s">
        <v>7123</v>
      </c>
      <c r="D5688" t="s">
        <v>8353</v>
      </c>
      <c r="E5688" t="s">
        <v>10108</v>
      </c>
      <c r="F5688" t="s">
        <v>10305</v>
      </c>
      <c r="G5688">
        <v>108</v>
      </c>
      <c r="H5688" t="s">
        <v>10307</v>
      </c>
      <c r="I5688" t="s">
        <v>10321</v>
      </c>
      <c r="K5688" t="s">
        <v>10332</v>
      </c>
      <c r="L5688">
        <v>2004</v>
      </c>
      <c r="N5688">
        <v>51.017809999999997</v>
      </c>
      <c r="P5688">
        <v>6.9643499999999996</v>
      </c>
      <c r="Q5688" t="s">
        <v>11011</v>
      </c>
      <c r="R5688" t="s">
        <v>11037</v>
      </c>
      <c r="S5688" t="s">
        <v>10307</v>
      </c>
      <c r="W5688" t="s">
        <v>11249</v>
      </c>
    </row>
    <row r="5689" spans="1:23" hidden="1" x14ac:dyDescent="0.45">
      <c r="A5689" s="1" t="s">
        <v>5616</v>
      </c>
      <c r="B5689" t="s">
        <v>7165</v>
      </c>
      <c r="D5689" t="s">
        <v>8422</v>
      </c>
      <c r="E5689" t="s">
        <v>10153</v>
      </c>
      <c r="F5689" t="s">
        <v>10305</v>
      </c>
      <c r="G5689">
        <v>800</v>
      </c>
      <c r="H5689" t="s">
        <v>10307</v>
      </c>
      <c r="I5689" t="s">
        <v>10321</v>
      </c>
      <c r="K5689" t="s">
        <v>10333</v>
      </c>
      <c r="L5689">
        <v>2007</v>
      </c>
      <c r="N5689">
        <v>50.861708</v>
      </c>
      <c r="P5689">
        <v>6.8423530000000001</v>
      </c>
      <c r="Q5689" t="s">
        <v>11012</v>
      </c>
      <c r="R5689" t="s">
        <v>11037</v>
      </c>
      <c r="S5689" t="s">
        <v>10307</v>
      </c>
      <c r="W5689" t="s">
        <v>11249</v>
      </c>
    </row>
    <row r="5690" spans="1:23" hidden="1" x14ac:dyDescent="0.45">
      <c r="A5690" s="1" t="s">
        <v>5617</v>
      </c>
      <c r="B5690" t="s">
        <v>7034</v>
      </c>
      <c r="D5690" t="s">
        <v>8422</v>
      </c>
      <c r="E5690" t="s">
        <v>10153</v>
      </c>
      <c r="F5690" t="s">
        <v>10305</v>
      </c>
      <c r="G5690">
        <v>430</v>
      </c>
      <c r="H5690" t="s">
        <v>10307</v>
      </c>
      <c r="I5690" t="s">
        <v>10321</v>
      </c>
      <c r="K5690" t="s">
        <v>10333</v>
      </c>
      <c r="L5690">
        <v>2013</v>
      </c>
      <c r="N5690">
        <v>50.861708</v>
      </c>
      <c r="P5690">
        <v>6.8423530000000001</v>
      </c>
      <c r="Q5690" t="s">
        <v>11013</v>
      </c>
      <c r="R5690" t="s">
        <v>11037</v>
      </c>
      <c r="S5690" t="s">
        <v>10307</v>
      </c>
      <c r="W5690" t="s">
        <v>11249</v>
      </c>
    </row>
    <row r="5691" spans="1:23" hidden="1" x14ac:dyDescent="0.45">
      <c r="A5691" s="1" t="s">
        <v>5618</v>
      </c>
      <c r="B5691" t="s">
        <v>7133</v>
      </c>
      <c r="C5691" t="s">
        <v>7692</v>
      </c>
      <c r="D5691" t="s">
        <v>8423</v>
      </c>
      <c r="E5691" t="s">
        <v>10154</v>
      </c>
      <c r="F5691" t="s">
        <v>10305</v>
      </c>
      <c r="G5691">
        <v>25.8</v>
      </c>
      <c r="H5691" t="s">
        <v>10307</v>
      </c>
      <c r="I5691" t="s">
        <v>10323</v>
      </c>
      <c r="K5691" t="s">
        <v>10332</v>
      </c>
      <c r="L5691">
        <v>1999</v>
      </c>
      <c r="N5691">
        <v>51.339182999999998</v>
      </c>
      <c r="P5691">
        <v>6.6642380000000001</v>
      </c>
      <c r="R5691" t="s">
        <v>11037</v>
      </c>
      <c r="S5691" t="s">
        <v>10307</v>
      </c>
      <c r="W5691" t="s">
        <v>11249</v>
      </c>
    </row>
    <row r="5692" spans="1:23" hidden="1" x14ac:dyDescent="0.45">
      <c r="A5692" s="1" t="s">
        <v>5619</v>
      </c>
      <c r="B5692" t="s">
        <v>7133</v>
      </c>
      <c r="C5692" t="s">
        <v>7692</v>
      </c>
      <c r="D5692" t="s">
        <v>8423</v>
      </c>
      <c r="E5692" t="s">
        <v>10154</v>
      </c>
      <c r="F5692" t="s">
        <v>10305</v>
      </c>
      <c r="G5692">
        <v>14</v>
      </c>
      <c r="H5692" t="s">
        <v>10307</v>
      </c>
      <c r="I5692" t="s">
        <v>10328</v>
      </c>
      <c r="K5692" t="s">
        <v>10332</v>
      </c>
      <c r="L5692">
        <v>1999</v>
      </c>
      <c r="N5692">
        <v>51.339182999999998</v>
      </c>
      <c r="P5692">
        <v>6.6642380000000001</v>
      </c>
      <c r="R5692" t="s">
        <v>11037</v>
      </c>
      <c r="S5692" t="s">
        <v>10307</v>
      </c>
      <c r="W5692" t="s">
        <v>11249</v>
      </c>
    </row>
    <row r="5693" spans="1:23" hidden="1" x14ac:dyDescent="0.45">
      <c r="A5693" s="1" t="s">
        <v>5620</v>
      </c>
      <c r="B5693" t="s">
        <v>7034</v>
      </c>
      <c r="D5693" t="s">
        <v>8149</v>
      </c>
      <c r="E5693" t="s">
        <v>9927</v>
      </c>
      <c r="F5693" t="s">
        <v>10305</v>
      </c>
      <c r="G5693">
        <v>56</v>
      </c>
      <c r="H5693" t="s">
        <v>10307</v>
      </c>
      <c r="I5693" t="s">
        <v>10322</v>
      </c>
      <c r="K5693" t="s">
        <v>10333</v>
      </c>
      <c r="L5693">
        <v>1973</v>
      </c>
      <c r="N5693">
        <v>52.545850000000002</v>
      </c>
      <c r="P5693">
        <v>9.1136300000000006</v>
      </c>
      <c r="R5693" t="s">
        <v>11037</v>
      </c>
      <c r="S5693" t="s">
        <v>10307</v>
      </c>
      <c r="W5693" t="s">
        <v>11249</v>
      </c>
    </row>
    <row r="5694" spans="1:23" hidden="1" x14ac:dyDescent="0.45">
      <c r="A5694" s="1" t="s">
        <v>5621</v>
      </c>
      <c r="B5694" t="s">
        <v>7034</v>
      </c>
      <c r="D5694" t="s">
        <v>8149</v>
      </c>
      <c r="E5694" t="s">
        <v>9927</v>
      </c>
      <c r="F5694" t="s">
        <v>10305</v>
      </c>
      <c r="G5694">
        <v>431</v>
      </c>
      <c r="H5694" t="s">
        <v>10307</v>
      </c>
      <c r="I5694" t="s">
        <v>10323</v>
      </c>
      <c r="K5694" t="s">
        <v>10333</v>
      </c>
      <c r="L5694">
        <v>1973</v>
      </c>
      <c r="N5694">
        <v>52.545850000000002</v>
      </c>
      <c r="P5694">
        <v>9.1136300000000006</v>
      </c>
      <c r="R5694" t="s">
        <v>11037</v>
      </c>
      <c r="S5694" t="s">
        <v>10307</v>
      </c>
      <c r="W5694" t="s">
        <v>11249</v>
      </c>
    </row>
    <row r="5695" spans="1:23" hidden="1" x14ac:dyDescent="0.45">
      <c r="A5695" s="1" t="s">
        <v>5622</v>
      </c>
      <c r="B5695" t="s">
        <v>7031</v>
      </c>
      <c r="D5695" t="s">
        <v>8424</v>
      </c>
      <c r="E5695" t="s">
        <v>10155</v>
      </c>
      <c r="F5695" t="s">
        <v>10305</v>
      </c>
      <c r="G5695">
        <v>167</v>
      </c>
      <c r="H5695" t="s">
        <v>10307</v>
      </c>
      <c r="I5695" t="s">
        <v>10321</v>
      </c>
      <c r="K5695" t="s">
        <v>10332</v>
      </c>
      <c r="L5695">
        <v>1996</v>
      </c>
      <c r="N5695">
        <v>51.351190000000003</v>
      </c>
      <c r="P5695">
        <v>12.37843</v>
      </c>
      <c r="Q5695" t="s">
        <v>11014</v>
      </c>
      <c r="R5695" t="s">
        <v>11037</v>
      </c>
      <c r="S5695" t="s">
        <v>10307</v>
      </c>
      <c r="W5695" t="s">
        <v>11249</v>
      </c>
    </row>
    <row r="5696" spans="1:23" hidden="1" x14ac:dyDescent="0.45">
      <c r="A5696" s="1" t="s">
        <v>5623</v>
      </c>
      <c r="B5696" t="s">
        <v>7166</v>
      </c>
      <c r="D5696" t="s">
        <v>8425</v>
      </c>
      <c r="E5696" t="s">
        <v>10156</v>
      </c>
      <c r="F5696" t="s">
        <v>10305</v>
      </c>
      <c r="G5696">
        <v>39</v>
      </c>
      <c r="H5696" t="s">
        <v>10307</v>
      </c>
      <c r="I5696" t="s">
        <v>10321</v>
      </c>
      <c r="K5696" t="s">
        <v>10333</v>
      </c>
      <c r="L5696">
        <v>1998</v>
      </c>
      <c r="N5696">
        <v>51.299759999999999</v>
      </c>
      <c r="P5696">
        <v>12.019299999999999</v>
      </c>
      <c r="R5696" t="s">
        <v>11037</v>
      </c>
      <c r="S5696" t="s">
        <v>10307</v>
      </c>
      <c r="W5696" t="s">
        <v>11249</v>
      </c>
    </row>
    <row r="5697" spans="1:23" hidden="1" x14ac:dyDescent="0.45">
      <c r="A5697" s="1" t="s">
        <v>5624</v>
      </c>
      <c r="B5697" t="s">
        <v>7166</v>
      </c>
      <c r="D5697" t="s">
        <v>8425</v>
      </c>
      <c r="E5697" t="s">
        <v>10156</v>
      </c>
      <c r="F5697" t="s">
        <v>10305</v>
      </c>
      <c r="G5697">
        <v>35</v>
      </c>
      <c r="H5697" t="s">
        <v>10307</v>
      </c>
      <c r="I5697" t="s">
        <v>10321</v>
      </c>
      <c r="K5697" t="s">
        <v>10332</v>
      </c>
      <c r="L5697">
        <v>1994</v>
      </c>
      <c r="N5697">
        <v>51.299759999999999</v>
      </c>
      <c r="P5697">
        <v>12.019299999999999</v>
      </c>
      <c r="R5697" t="s">
        <v>11037</v>
      </c>
      <c r="S5697" t="s">
        <v>10307</v>
      </c>
      <c r="W5697" t="s">
        <v>11249</v>
      </c>
    </row>
    <row r="5698" spans="1:23" hidden="1" x14ac:dyDescent="0.45">
      <c r="A5698" s="1" t="s">
        <v>5625</v>
      </c>
      <c r="B5698" t="s">
        <v>7167</v>
      </c>
      <c r="D5698" t="s">
        <v>8425</v>
      </c>
      <c r="E5698" t="s">
        <v>10156</v>
      </c>
      <c r="F5698" t="s">
        <v>10305</v>
      </c>
      <c r="G5698">
        <v>35</v>
      </c>
      <c r="H5698" t="s">
        <v>10307</v>
      </c>
      <c r="I5698" t="s">
        <v>10321</v>
      </c>
      <c r="K5698" t="s">
        <v>10332</v>
      </c>
      <c r="L5698">
        <v>1994</v>
      </c>
      <c r="N5698">
        <v>51.299759999999999</v>
      </c>
      <c r="P5698">
        <v>12.019299999999999</v>
      </c>
      <c r="R5698" t="s">
        <v>11037</v>
      </c>
      <c r="S5698" t="s">
        <v>10307</v>
      </c>
      <c r="W5698" t="s">
        <v>11249</v>
      </c>
    </row>
    <row r="5699" spans="1:23" hidden="1" x14ac:dyDescent="0.45">
      <c r="A5699" s="1" t="s">
        <v>5626</v>
      </c>
      <c r="B5699" t="s">
        <v>7166</v>
      </c>
      <c r="D5699" t="s">
        <v>8425</v>
      </c>
      <c r="E5699" t="s">
        <v>10156</v>
      </c>
      <c r="F5699" t="s">
        <v>10305</v>
      </c>
      <c r="G5699">
        <v>37</v>
      </c>
      <c r="H5699" t="s">
        <v>10307</v>
      </c>
      <c r="I5699" t="s">
        <v>10321</v>
      </c>
      <c r="K5699" t="s">
        <v>10332</v>
      </c>
      <c r="L5699">
        <v>1994</v>
      </c>
      <c r="N5699">
        <v>51.299759999999999</v>
      </c>
      <c r="P5699">
        <v>12.019299999999999</v>
      </c>
      <c r="R5699" t="s">
        <v>11037</v>
      </c>
      <c r="S5699" t="s">
        <v>10307</v>
      </c>
      <c r="W5699" t="s">
        <v>11249</v>
      </c>
    </row>
    <row r="5700" spans="1:23" hidden="1" x14ac:dyDescent="0.45">
      <c r="A5700" s="1" t="s">
        <v>5627</v>
      </c>
      <c r="B5700" t="s">
        <v>7082</v>
      </c>
      <c r="C5700" t="s">
        <v>7693</v>
      </c>
      <c r="D5700" t="s">
        <v>8204</v>
      </c>
      <c r="E5700" t="s">
        <v>9970</v>
      </c>
      <c r="F5700" t="s">
        <v>10305</v>
      </c>
      <c r="G5700">
        <v>25</v>
      </c>
      <c r="H5700" t="s">
        <v>10307</v>
      </c>
      <c r="I5700" t="s">
        <v>10323</v>
      </c>
      <c r="K5700" t="s">
        <v>10332</v>
      </c>
      <c r="L5700">
        <v>1981</v>
      </c>
      <c r="M5700" t="s">
        <v>10335</v>
      </c>
      <c r="N5700">
        <v>51.014429999999997</v>
      </c>
      <c r="P5700">
        <v>6.98733</v>
      </c>
      <c r="R5700" t="s">
        <v>11037</v>
      </c>
      <c r="S5700" t="s">
        <v>10307</v>
      </c>
      <c r="W5700" t="s">
        <v>11249</v>
      </c>
    </row>
    <row r="5701" spans="1:23" hidden="1" x14ac:dyDescent="0.45">
      <c r="A5701" s="1" t="s">
        <v>5628</v>
      </c>
      <c r="B5701" t="s">
        <v>7076</v>
      </c>
      <c r="D5701" t="s">
        <v>8426</v>
      </c>
      <c r="E5701" t="s">
        <v>10157</v>
      </c>
      <c r="F5701" t="s">
        <v>10305</v>
      </c>
      <c r="G5701">
        <v>116</v>
      </c>
      <c r="H5701" t="s">
        <v>10307</v>
      </c>
      <c r="I5701" t="s">
        <v>10321</v>
      </c>
      <c r="K5701" t="s">
        <v>10332</v>
      </c>
      <c r="L5701">
        <v>1974</v>
      </c>
      <c r="N5701">
        <v>52.481878000000002</v>
      </c>
      <c r="P5701">
        <v>7.3066579999999997</v>
      </c>
      <c r="Q5701" t="s">
        <v>11015</v>
      </c>
      <c r="R5701" t="s">
        <v>11037</v>
      </c>
      <c r="S5701" t="s">
        <v>10307</v>
      </c>
      <c r="W5701" t="s">
        <v>11249</v>
      </c>
    </row>
    <row r="5702" spans="1:23" hidden="1" x14ac:dyDescent="0.45">
      <c r="A5702" s="1" t="s">
        <v>5629</v>
      </c>
      <c r="B5702" t="s">
        <v>7076</v>
      </c>
      <c r="D5702" t="s">
        <v>8426</v>
      </c>
      <c r="E5702" t="s">
        <v>10157</v>
      </c>
      <c r="F5702" t="s">
        <v>10305</v>
      </c>
      <c r="G5702">
        <v>116</v>
      </c>
      <c r="H5702" t="s">
        <v>10307</v>
      </c>
      <c r="I5702" t="s">
        <v>10321</v>
      </c>
      <c r="K5702" t="s">
        <v>10332</v>
      </c>
      <c r="L5702">
        <v>1973</v>
      </c>
      <c r="N5702">
        <v>52.481878000000002</v>
      </c>
      <c r="P5702">
        <v>7.3066579999999997</v>
      </c>
      <c r="Q5702" t="s">
        <v>11015</v>
      </c>
      <c r="R5702" t="s">
        <v>11037</v>
      </c>
      <c r="S5702" t="s">
        <v>10307</v>
      </c>
      <c r="W5702" t="s">
        <v>11249</v>
      </c>
    </row>
    <row r="5703" spans="1:23" hidden="1" x14ac:dyDescent="0.45">
      <c r="A5703" s="1" t="s">
        <v>5630</v>
      </c>
      <c r="B5703" t="s">
        <v>7076</v>
      </c>
      <c r="D5703" t="s">
        <v>8426</v>
      </c>
      <c r="E5703" t="s">
        <v>10157</v>
      </c>
      <c r="F5703" t="s">
        <v>10305</v>
      </c>
      <c r="G5703">
        <v>359</v>
      </c>
      <c r="H5703" t="s">
        <v>10307</v>
      </c>
      <c r="I5703" t="s">
        <v>10321</v>
      </c>
      <c r="K5703" t="s">
        <v>10332</v>
      </c>
      <c r="L5703">
        <v>1973</v>
      </c>
      <c r="N5703">
        <v>52.481878000000002</v>
      </c>
      <c r="P5703">
        <v>7.3066579999999997</v>
      </c>
      <c r="Q5703" t="s">
        <v>11015</v>
      </c>
      <c r="R5703" t="s">
        <v>11037</v>
      </c>
      <c r="S5703" t="s">
        <v>10307</v>
      </c>
      <c r="W5703" t="s">
        <v>11249</v>
      </c>
    </row>
    <row r="5704" spans="1:23" hidden="1" x14ac:dyDescent="0.45">
      <c r="A5704" s="1" t="s">
        <v>5631</v>
      </c>
      <c r="B5704" t="s">
        <v>7076</v>
      </c>
      <c r="D5704" t="s">
        <v>8426</v>
      </c>
      <c r="E5704" t="s">
        <v>10157</v>
      </c>
      <c r="F5704" t="s">
        <v>10305</v>
      </c>
      <c r="G5704">
        <v>359</v>
      </c>
      <c r="H5704" t="s">
        <v>10307</v>
      </c>
      <c r="I5704" t="s">
        <v>10321</v>
      </c>
      <c r="K5704" t="s">
        <v>10332</v>
      </c>
      <c r="L5704">
        <v>1974</v>
      </c>
      <c r="N5704">
        <v>52.481878000000002</v>
      </c>
      <c r="P5704">
        <v>7.3066579999999997</v>
      </c>
      <c r="Q5704" t="s">
        <v>11015</v>
      </c>
      <c r="R5704" t="s">
        <v>11037</v>
      </c>
      <c r="S5704" t="s">
        <v>10307</v>
      </c>
      <c r="W5704" t="s">
        <v>11249</v>
      </c>
    </row>
    <row r="5705" spans="1:23" hidden="1" x14ac:dyDescent="0.45">
      <c r="A5705" s="1" t="s">
        <v>5632</v>
      </c>
      <c r="B5705" t="s">
        <v>7076</v>
      </c>
      <c r="D5705" t="s">
        <v>8426</v>
      </c>
      <c r="E5705" t="s">
        <v>10157</v>
      </c>
      <c r="F5705" t="s">
        <v>10305</v>
      </c>
      <c r="G5705">
        <v>887</v>
      </c>
      <c r="H5705" t="s">
        <v>10307</v>
      </c>
      <c r="I5705" t="s">
        <v>10321</v>
      </c>
      <c r="K5705" t="s">
        <v>10332</v>
      </c>
      <c r="L5705">
        <v>2010</v>
      </c>
      <c r="N5705">
        <v>52.481878000000002</v>
      </c>
      <c r="P5705">
        <v>7.3066579999999997</v>
      </c>
      <c r="Q5705" t="s">
        <v>11015</v>
      </c>
      <c r="R5705" t="s">
        <v>11037</v>
      </c>
      <c r="S5705" t="s">
        <v>10307</v>
      </c>
      <c r="W5705" t="s">
        <v>11249</v>
      </c>
    </row>
    <row r="5706" spans="1:23" hidden="1" x14ac:dyDescent="0.45">
      <c r="A5706" s="1" t="s">
        <v>5633</v>
      </c>
      <c r="B5706" t="s">
        <v>7168</v>
      </c>
      <c r="C5706" t="s">
        <v>7694</v>
      </c>
      <c r="D5706" t="s">
        <v>8427</v>
      </c>
      <c r="E5706" t="s">
        <v>10158</v>
      </c>
      <c r="F5706" t="s">
        <v>10305</v>
      </c>
      <c r="G5706">
        <v>47</v>
      </c>
      <c r="H5706" t="s">
        <v>10307</v>
      </c>
      <c r="I5706" t="s">
        <v>10322</v>
      </c>
      <c r="K5706" t="s">
        <v>10332</v>
      </c>
      <c r="L5706">
        <v>1992</v>
      </c>
      <c r="N5706">
        <v>49.513950000000001</v>
      </c>
      <c r="P5706">
        <v>8.4315100000000012</v>
      </c>
      <c r="R5706" t="s">
        <v>11037</v>
      </c>
      <c r="S5706" t="s">
        <v>10307</v>
      </c>
      <c r="W5706" t="s">
        <v>11249</v>
      </c>
    </row>
    <row r="5707" spans="1:23" hidden="1" x14ac:dyDescent="0.45">
      <c r="A5707" s="1" t="s">
        <v>5634</v>
      </c>
      <c r="B5707" t="s">
        <v>7168</v>
      </c>
      <c r="C5707" t="s">
        <v>7695</v>
      </c>
      <c r="D5707" t="s">
        <v>8427</v>
      </c>
      <c r="E5707" t="s">
        <v>10158</v>
      </c>
      <c r="F5707" t="s">
        <v>10305</v>
      </c>
      <c r="G5707">
        <v>497.5</v>
      </c>
      <c r="H5707" t="s">
        <v>10307</v>
      </c>
      <c r="I5707" t="s">
        <v>10321</v>
      </c>
      <c r="K5707" t="s">
        <v>10332</v>
      </c>
      <c r="L5707">
        <v>2005</v>
      </c>
      <c r="M5707" t="s">
        <v>10335</v>
      </c>
      <c r="N5707">
        <v>49.513730000000002</v>
      </c>
      <c r="P5707">
        <v>8.4315560000000005</v>
      </c>
      <c r="Q5707" t="s">
        <v>11016</v>
      </c>
      <c r="R5707" t="s">
        <v>11037</v>
      </c>
      <c r="S5707" t="s">
        <v>10307</v>
      </c>
      <c r="W5707" t="s">
        <v>11249</v>
      </c>
    </row>
    <row r="5708" spans="1:23" hidden="1" x14ac:dyDescent="0.45">
      <c r="A5708" s="1" t="s">
        <v>5635</v>
      </c>
      <c r="B5708" t="s">
        <v>7168</v>
      </c>
      <c r="C5708" t="s">
        <v>7696</v>
      </c>
      <c r="D5708" t="s">
        <v>8427</v>
      </c>
      <c r="E5708" t="s">
        <v>10158</v>
      </c>
      <c r="F5708" t="s">
        <v>10305</v>
      </c>
      <c r="G5708">
        <v>410</v>
      </c>
      <c r="H5708" t="s">
        <v>10307</v>
      </c>
      <c r="I5708" t="s">
        <v>10321</v>
      </c>
      <c r="K5708" t="s">
        <v>10332</v>
      </c>
      <c r="L5708">
        <v>1997</v>
      </c>
      <c r="M5708" t="s">
        <v>10335</v>
      </c>
      <c r="N5708">
        <v>49.513617000000004</v>
      </c>
      <c r="P5708">
        <v>8.4316029999999991</v>
      </c>
      <c r="Q5708" t="s">
        <v>11017</v>
      </c>
      <c r="R5708" t="s">
        <v>11037</v>
      </c>
      <c r="S5708" t="s">
        <v>10307</v>
      </c>
      <c r="W5708" t="s">
        <v>11249</v>
      </c>
    </row>
    <row r="5709" spans="1:23" hidden="1" x14ac:dyDescent="0.45">
      <c r="A5709" s="1" t="s">
        <v>5636</v>
      </c>
      <c r="B5709" t="s">
        <v>7169</v>
      </c>
      <c r="D5709" t="s">
        <v>7916</v>
      </c>
      <c r="E5709" t="s">
        <v>10159</v>
      </c>
      <c r="F5709" t="s">
        <v>10305</v>
      </c>
      <c r="G5709">
        <v>434.2</v>
      </c>
      <c r="H5709" t="s">
        <v>10307</v>
      </c>
      <c r="I5709" t="s">
        <v>10321</v>
      </c>
      <c r="K5709" t="s">
        <v>10332</v>
      </c>
      <c r="L5709">
        <v>2000</v>
      </c>
      <c r="N5709">
        <v>50.026426000000001</v>
      </c>
      <c r="P5709">
        <v>8.2379350000000002</v>
      </c>
      <c r="Q5709" t="s">
        <v>11018</v>
      </c>
      <c r="R5709" t="s">
        <v>11037</v>
      </c>
      <c r="S5709" t="s">
        <v>10307</v>
      </c>
      <c r="W5709" t="s">
        <v>11249</v>
      </c>
    </row>
    <row r="5710" spans="1:23" hidden="1" x14ac:dyDescent="0.45">
      <c r="A5710" s="1" t="s">
        <v>5637</v>
      </c>
      <c r="B5710" t="s">
        <v>7169</v>
      </c>
      <c r="D5710" t="s">
        <v>7916</v>
      </c>
      <c r="E5710" t="s">
        <v>10159</v>
      </c>
      <c r="F5710" t="s">
        <v>10305</v>
      </c>
      <c r="G5710">
        <v>335</v>
      </c>
      <c r="H5710" t="s">
        <v>10307</v>
      </c>
      <c r="I5710" t="s">
        <v>10321</v>
      </c>
      <c r="K5710" t="s">
        <v>10332</v>
      </c>
      <c r="L5710">
        <v>1976</v>
      </c>
      <c r="N5710">
        <v>50.025199999999998</v>
      </c>
      <c r="P5710">
        <v>8.2429199999999998</v>
      </c>
      <c r="Q5710" t="s">
        <v>11018</v>
      </c>
      <c r="R5710" t="s">
        <v>11037</v>
      </c>
      <c r="S5710" t="s">
        <v>10307</v>
      </c>
      <c r="W5710" t="s">
        <v>11249</v>
      </c>
    </row>
    <row r="5711" spans="1:23" hidden="1" x14ac:dyDescent="0.45">
      <c r="A5711" s="1" t="s">
        <v>5638</v>
      </c>
      <c r="B5711" t="s">
        <v>7084</v>
      </c>
      <c r="C5711" t="s">
        <v>7569</v>
      </c>
      <c r="D5711" t="s">
        <v>8207</v>
      </c>
      <c r="E5711" t="s">
        <v>9971</v>
      </c>
      <c r="F5711" t="s">
        <v>10305</v>
      </c>
      <c r="G5711">
        <v>61.13</v>
      </c>
      <c r="H5711" t="s">
        <v>10307</v>
      </c>
      <c r="I5711" t="s">
        <v>10321</v>
      </c>
      <c r="K5711" t="s">
        <v>10332</v>
      </c>
      <c r="L5711">
        <v>1973</v>
      </c>
      <c r="M5711" t="s">
        <v>10335</v>
      </c>
      <c r="N5711">
        <v>51.680370000000003</v>
      </c>
      <c r="P5711">
        <v>7.0968800000000014</v>
      </c>
      <c r="R5711" t="s">
        <v>11037</v>
      </c>
      <c r="S5711" t="s">
        <v>10307</v>
      </c>
      <c r="W5711" t="s">
        <v>11249</v>
      </c>
    </row>
    <row r="5712" spans="1:23" hidden="1" x14ac:dyDescent="0.45">
      <c r="A5712" s="1" t="s">
        <v>5639</v>
      </c>
      <c r="B5712" t="s">
        <v>7084</v>
      </c>
      <c r="C5712" t="s">
        <v>7569</v>
      </c>
      <c r="D5712" t="s">
        <v>8207</v>
      </c>
      <c r="E5712" t="s">
        <v>9971</v>
      </c>
      <c r="F5712" t="s">
        <v>10305</v>
      </c>
      <c r="G5712">
        <v>77.569999999999993</v>
      </c>
      <c r="H5712" t="s">
        <v>10307</v>
      </c>
      <c r="I5712" t="s">
        <v>10321</v>
      </c>
      <c r="K5712" t="s">
        <v>10332</v>
      </c>
      <c r="L5712">
        <v>1974</v>
      </c>
      <c r="M5712" t="s">
        <v>10335</v>
      </c>
      <c r="N5712">
        <v>51.680370000000003</v>
      </c>
      <c r="P5712">
        <v>7.0968800000000014</v>
      </c>
      <c r="R5712" t="s">
        <v>11037</v>
      </c>
      <c r="S5712" t="s">
        <v>10307</v>
      </c>
      <c r="W5712" t="s">
        <v>11249</v>
      </c>
    </row>
    <row r="5713" spans="1:23" hidden="1" x14ac:dyDescent="0.45">
      <c r="A5713" s="1" t="s">
        <v>5640</v>
      </c>
      <c r="B5713" t="s">
        <v>7088</v>
      </c>
      <c r="D5713" t="s">
        <v>8428</v>
      </c>
      <c r="E5713" t="s">
        <v>10160</v>
      </c>
      <c r="F5713" t="s">
        <v>10305</v>
      </c>
      <c r="G5713">
        <v>80</v>
      </c>
      <c r="H5713" t="s">
        <v>10307</v>
      </c>
      <c r="I5713" t="s">
        <v>10322</v>
      </c>
      <c r="K5713" t="s">
        <v>10332</v>
      </c>
      <c r="N5713">
        <v>48.188277999999997</v>
      </c>
      <c r="P5713">
        <v>11.594954</v>
      </c>
      <c r="R5713" t="s">
        <v>11037</v>
      </c>
      <c r="S5713" t="s">
        <v>10307</v>
      </c>
      <c r="W5713" t="s">
        <v>11249</v>
      </c>
    </row>
    <row r="5714" spans="1:23" hidden="1" x14ac:dyDescent="0.45">
      <c r="A5714" s="1" t="s">
        <v>5641</v>
      </c>
      <c r="B5714" t="s">
        <v>7088</v>
      </c>
      <c r="D5714" t="s">
        <v>8428</v>
      </c>
      <c r="E5714" t="s">
        <v>10160</v>
      </c>
      <c r="F5714" t="s">
        <v>10305</v>
      </c>
      <c r="G5714">
        <v>80</v>
      </c>
      <c r="H5714" t="s">
        <v>10307</v>
      </c>
      <c r="I5714" t="s">
        <v>10322</v>
      </c>
      <c r="K5714" t="s">
        <v>10333</v>
      </c>
      <c r="N5714">
        <v>48.188277999999997</v>
      </c>
      <c r="P5714">
        <v>11.594954</v>
      </c>
      <c r="R5714" t="s">
        <v>11037</v>
      </c>
      <c r="S5714" t="s">
        <v>10307</v>
      </c>
      <c r="W5714" t="s">
        <v>11249</v>
      </c>
    </row>
    <row r="5715" spans="1:23" hidden="1" x14ac:dyDescent="0.45">
      <c r="A5715" s="1" t="s">
        <v>5642</v>
      </c>
      <c r="B5715" t="s">
        <v>7088</v>
      </c>
      <c r="D5715" t="s">
        <v>8429</v>
      </c>
      <c r="E5715" t="s">
        <v>10160</v>
      </c>
      <c r="F5715" t="s">
        <v>10305</v>
      </c>
      <c r="G5715">
        <v>79.7</v>
      </c>
      <c r="H5715" t="s">
        <v>10307</v>
      </c>
      <c r="I5715" t="s">
        <v>10321</v>
      </c>
      <c r="K5715" t="s">
        <v>10332</v>
      </c>
      <c r="L5715">
        <v>1980</v>
      </c>
      <c r="N5715">
        <v>48.135125299999999</v>
      </c>
      <c r="P5715">
        <v>11.5819806</v>
      </c>
      <c r="R5715" t="s">
        <v>11037</v>
      </c>
      <c r="S5715" t="s">
        <v>10307</v>
      </c>
      <c r="W5715" t="s">
        <v>11249</v>
      </c>
    </row>
    <row r="5716" spans="1:23" hidden="1" x14ac:dyDescent="0.45">
      <c r="A5716" s="1" t="s">
        <v>5643</v>
      </c>
      <c r="B5716" t="s">
        <v>7088</v>
      </c>
      <c r="D5716" t="s">
        <v>8429</v>
      </c>
      <c r="E5716" t="s">
        <v>10160</v>
      </c>
      <c r="F5716" t="s">
        <v>10305</v>
      </c>
      <c r="G5716">
        <v>97.9</v>
      </c>
      <c r="H5716" t="s">
        <v>10307</v>
      </c>
      <c r="I5716" t="s">
        <v>10321</v>
      </c>
      <c r="K5716" t="s">
        <v>10332</v>
      </c>
      <c r="L5716">
        <v>1980</v>
      </c>
      <c r="N5716">
        <v>48.135125299999999</v>
      </c>
      <c r="P5716">
        <v>11.5819806</v>
      </c>
      <c r="Q5716" t="s">
        <v>11019</v>
      </c>
      <c r="R5716" t="s">
        <v>11037</v>
      </c>
      <c r="S5716" t="s">
        <v>10307</v>
      </c>
      <c r="W5716" t="s">
        <v>11249</v>
      </c>
    </row>
    <row r="5717" spans="1:23" hidden="1" x14ac:dyDescent="0.45">
      <c r="A5717" s="1" t="s">
        <v>5644</v>
      </c>
      <c r="B5717" t="s">
        <v>7088</v>
      </c>
      <c r="D5717" t="s">
        <v>8429</v>
      </c>
      <c r="E5717" t="s">
        <v>10160</v>
      </c>
      <c r="F5717" t="s">
        <v>10305</v>
      </c>
      <c r="G5717">
        <v>97.9</v>
      </c>
      <c r="H5717" t="s">
        <v>10307</v>
      </c>
      <c r="I5717" t="s">
        <v>10321</v>
      </c>
      <c r="K5717" t="s">
        <v>10332</v>
      </c>
      <c r="L5717">
        <v>1980</v>
      </c>
      <c r="N5717">
        <v>48.135125299999999</v>
      </c>
      <c r="P5717">
        <v>11.5819806</v>
      </c>
      <c r="Q5717" t="s">
        <v>11019</v>
      </c>
      <c r="R5717" t="s">
        <v>11037</v>
      </c>
      <c r="S5717" t="s">
        <v>10307</v>
      </c>
      <c r="W5717" t="s">
        <v>11249</v>
      </c>
    </row>
    <row r="5718" spans="1:23" hidden="1" x14ac:dyDescent="0.45">
      <c r="A5718" s="1" t="s">
        <v>5645</v>
      </c>
      <c r="B5718" t="s">
        <v>7088</v>
      </c>
      <c r="D5718" t="s">
        <v>8429</v>
      </c>
      <c r="E5718" t="s">
        <v>10160</v>
      </c>
      <c r="F5718" t="s">
        <v>10305</v>
      </c>
      <c r="G5718">
        <v>124.9</v>
      </c>
      <c r="H5718" t="s">
        <v>10307</v>
      </c>
      <c r="I5718" t="s">
        <v>10321</v>
      </c>
      <c r="K5718" t="s">
        <v>10332</v>
      </c>
      <c r="L5718">
        <v>2004</v>
      </c>
      <c r="N5718">
        <v>48.135125299999999</v>
      </c>
      <c r="P5718">
        <v>11.5819806</v>
      </c>
      <c r="Q5718" t="s">
        <v>11020</v>
      </c>
      <c r="R5718" t="s">
        <v>11037</v>
      </c>
      <c r="S5718" t="s">
        <v>10307</v>
      </c>
      <c r="W5718" t="s">
        <v>11249</v>
      </c>
    </row>
    <row r="5719" spans="1:23" hidden="1" x14ac:dyDescent="0.45">
      <c r="A5719" s="1" t="s">
        <v>5646</v>
      </c>
      <c r="B5719" t="s">
        <v>7088</v>
      </c>
      <c r="D5719" t="s">
        <v>8429</v>
      </c>
      <c r="E5719" t="s">
        <v>10160</v>
      </c>
      <c r="F5719" t="s">
        <v>10305</v>
      </c>
      <c r="G5719">
        <v>123.9</v>
      </c>
      <c r="H5719" t="s">
        <v>10307</v>
      </c>
      <c r="I5719" t="s">
        <v>10321</v>
      </c>
      <c r="K5719" t="s">
        <v>10332</v>
      </c>
      <c r="L5719">
        <v>2004</v>
      </c>
      <c r="N5719">
        <v>48.135125299999999</v>
      </c>
      <c r="P5719">
        <v>11.5819806</v>
      </c>
      <c r="Q5719" t="s">
        <v>11020</v>
      </c>
      <c r="R5719" t="s">
        <v>11037</v>
      </c>
      <c r="S5719" t="s">
        <v>10307</v>
      </c>
      <c r="W5719" t="s">
        <v>11249</v>
      </c>
    </row>
    <row r="5720" spans="1:23" hidden="1" x14ac:dyDescent="0.45">
      <c r="A5720" s="1" t="s">
        <v>5647</v>
      </c>
      <c r="B5720" t="s">
        <v>7088</v>
      </c>
      <c r="D5720" t="s">
        <v>8429</v>
      </c>
      <c r="E5720" t="s">
        <v>10160</v>
      </c>
      <c r="F5720" t="s">
        <v>10305</v>
      </c>
      <c r="G5720">
        <v>127.6</v>
      </c>
      <c r="H5720" t="s">
        <v>10307</v>
      </c>
      <c r="I5720" t="s">
        <v>10321</v>
      </c>
      <c r="K5720" t="s">
        <v>10332</v>
      </c>
      <c r="L5720">
        <v>2004</v>
      </c>
      <c r="N5720">
        <v>48.135125299999999</v>
      </c>
      <c r="P5720">
        <v>11.5819806</v>
      </c>
      <c r="Q5720" t="s">
        <v>11020</v>
      </c>
      <c r="R5720" t="s">
        <v>11037</v>
      </c>
      <c r="S5720" t="s">
        <v>10307</v>
      </c>
      <c r="W5720" t="s">
        <v>11249</v>
      </c>
    </row>
    <row r="5721" spans="1:23" hidden="1" x14ac:dyDescent="0.45">
      <c r="A5721" s="1" t="s">
        <v>5648</v>
      </c>
      <c r="B5721" t="s">
        <v>7170</v>
      </c>
      <c r="D5721" t="s">
        <v>8430</v>
      </c>
      <c r="E5721" t="s">
        <v>10161</v>
      </c>
      <c r="F5721" t="s">
        <v>10305</v>
      </c>
      <c r="G5721">
        <v>104.14</v>
      </c>
      <c r="H5721" t="s">
        <v>10307</v>
      </c>
      <c r="I5721" t="s">
        <v>10321</v>
      </c>
      <c r="K5721" t="s">
        <v>10332</v>
      </c>
      <c r="L5721">
        <v>2005</v>
      </c>
      <c r="N5721">
        <v>51.950085999999999</v>
      </c>
      <c r="P5721">
        <v>7.6412759999999986</v>
      </c>
      <c r="R5721" t="s">
        <v>11037</v>
      </c>
      <c r="S5721" t="s">
        <v>10307</v>
      </c>
      <c r="W5721" t="s">
        <v>11249</v>
      </c>
    </row>
    <row r="5722" spans="1:23" hidden="1" x14ac:dyDescent="0.45">
      <c r="A5722" s="1" t="s">
        <v>5649</v>
      </c>
      <c r="B5722" t="s">
        <v>7171</v>
      </c>
      <c r="D5722" t="s">
        <v>8431</v>
      </c>
      <c r="E5722" t="s">
        <v>10162</v>
      </c>
      <c r="F5722" t="s">
        <v>10305</v>
      </c>
      <c r="G5722">
        <v>75</v>
      </c>
      <c r="H5722" t="s">
        <v>10307</v>
      </c>
      <c r="I5722" t="s">
        <v>10321</v>
      </c>
      <c r="K5722" t="s">
        <v>10332</v>
      </c>
      <c r="L5722">
        <v>1997</v>
      </c>
      <c r="N5722">
        <v>53.5745</v>
      </c>
      <c r="P5722">
        <v>13.295142</v>
      </c>
      <c r="R5722" t="s">
        <v>11037</v>
      </c>
      <c r="S5722" t="s">
        <v>10307</v>
      </c>
      <c r="W5722" t="s">
        <v>11249</v>
      </c>
    </row>
    <row r="5723" spans="1:23" hidden="1" x14ac:dyDescent="0.45">
      <c r="A5723" s="1" t="s">
        <v>5650</v>
      </c>
      <c r="B5723" t="s">
        <v>7172</v>
      </c>
      <c r="C5723" t="s">
        <v>7697</v>
      </c>
      <c r="D5723" t="s">
        <v>8432</v>
      </c>
      <c r="E5723" t="s">
        <v>10163</v>
      </c>
      <c r="F5723" t="s">
        <v>10305</v>
      </c>
      <c r="G5723">
        <v>25.4</v>
      </c>
      <c r="H5723" t="s">
        <v>10307</v>
      </c>
      <c r="I5723" t="s">
        <v>10323</v>
      </c>
      <c r="K5723" t="s">
        <v>10332</v>
      </c>
      <c r="L5723">
        <v>1996</v>
      </c>
      <c r="N5723">
        <v>48.787889999999997</v>
      </c>
      <c r="P5723">
        <v>11.756169999999999</v>
      </c>
      <c r="R5723" t="s">
        <v>11037</v>
      </c>
      <c r="S5723" t="s">
        <v>10307</v>
      </c>
      <c r="W5723" t="s">
        <v>11249</v>
      </c>
    </row>
    <row r="5724" spans="1:23" hidden="1" x14ac:dyDescent="0.45">
      <c r="A5724" s="1" t="s">
        <v>5651</v>
      </c>
      <c r="B5724" t="s">
        <v>7117</v>
      </c>
      <c r="D5724" t="s">
        <v>8433</v>
      </c>
      <c r="E5724" t="s">
        <v>10164</v>
      </c>
      <c r="F5724" t="s">
        <v>10305</v>
      </c>
      <c r="G5724">
        <v>37.5</v>
      </c>
      <c r="H5724" t="s">
        <v>10307</v>
      </c>
      <c r="I5724" t="s">
        <v>10322</v>
      </c>
      <c r="K5724" t="s">
        <v>10333</v>
      </c>
      <c r="L5724">
        <v>1989</v>
      </c>
      <c r="N5724">
        <v>52.230150000000002</v>
      </c>
      <c r="P5724">
        <v>13.30195</v>
      </c>
      <c r="R5724" t="s">
        <v>11037</v>
      </c>
      <c r="S5724" t="s">
        <v>10307</v>
      </c>
      <c r="W5724" t="s">
        <v>11249</v>
      </c>
    </row>
    <row r="5725" spans="1:23" hidden="1" x14ac:dyDescent="0.45">
      <c r="A5725" s="1" t="s">
        <v>5652</v>
      </c>
      <c r="B5725" t="s">
        <v>7117</v>
      </c>
      <c r="D5725" t="s">
        <v>8433</v>
      </c>
      <c r="E5725" t="s">
        <v>10164</v>
      </c>
      <c r="F5725" t="s">
        <v>10305</v>
      </c>
      <c r="G5725">
        <v>37.5</v>
      </c>
      <c r="H5725" t="s">
        <v>10307</v>
      </c>
      <c r="I5725" t="s">
        <v>10322</v>
      </c>
      <c r="K5725" t="s">
        <v>10333</v>
      </c>
      <c r="N5725">
        <v>52.230150000000002</v>
      </c>
      <c r="P5725">
        <v>13.30195</v>
      </c>
      <c r="R5725" t="s">
        <v>11037</v>
      </c>
      <c r="S5725" t="s">
        <v>10307</v>
      </c>
      <c r="W5725" t="s">
        <v>11249</v>
      </c>
    </row>
    <row r="5726" spans="1:23" hidden="1" x14ac:dyDescent="0.45">
      <c r="A5726" s="1" t="s">
        <v>5653</v>
      </c>
      <c r="B5726" t="s">
        <v>7117</v>
      </c>
      <c r="D5726" t="s">
        <v>8433</v>
      </c>
      <c r="E5726" t="s">
        <v>10164</v>
      </c>
      <c r="F5726" t="s">
        <v>10305</v>
      </c>
      <c r="G5726">
        <v>37.5</v>
      </c>
      <c r="H5726" t="s">
        <v>10307</v>
      </c>
      <c r="I5726" t="s">
        <v>10322</v>
      </c>
      <c r="K5726" t="s">
        <v>10333</v>
      </c>
      <c r="N5726">
        <v>52.230150000000002</v>
      </c>
      <c r="P5726">
        <v>13.30195</v>
      </c>
      <c r="R5726" t="s">
        <v>11037</v>
      </c>
      <c r="S5726" t="s">
        <v>10307</v>
      </c>
      <c r="W5726" t="s">
        <v>11249</v>
      </c>
    </row>
    <row r="5727" spans="1:23" hidden="1" x14ac:dyDescent="0.45">
      <c r="A5727" s="1" t="s">
        <v>5654</v>
      </c>
      <c r="B5727" t="s">
        <v>7117</v>
      </c>
      <c r="D5727" t="s">
        <v>8433</v>
      </c>
      <c r="E5727" t="s">
        <v>10164</v>
      </c>
      <c r="F5727" t="s">
        <v>10305</v>
      </c>
      <c r="G5727">
        <v>37.5</v>
      </c>
      <c r="H5727" t="s">
        <v>10307</v>
      </c>
      <c r="I5727" t="s">
        <v>10322</v>
      </c>
      <c r="K5727" t="s">
        <v>10333</v>
      </c>
      <c r="N5727">
        <v>52.230150000000002</v>
      </c>
      <c r="P5727">
        <v>13.30195</v>
      </c>
      <c r="R5727" t="s">
        <v>11037</v>
      </c>
      <c r="S5727" t="s">
        <v>10307</v>
      </c>
      <c r="W5727" t="s">
        <v>11249</v>
      </c>
    </row>
    <row r="5728" spans="1:23" hidden="1" x14ac:dyDescent="0.45">
      <c r="A5728" s="1" t="s">
        <v>5655</v>
      </c>
      <c r="B5728" t="s">
        <v>7117</v>
      </c>
      <c r="D5728" t="s">
        <v>8433</v>
      </c>
      <c r="E5728" t="s">
        <v>10164</v>
      </c>
      <c r="F5728" t="s">
        <v>10305</v>
      </c>
      <c r="G5728">
        <v>36.5</v>
      </c>
      <c r="H5728" t="s">
        <v>10307</v>
      </c>
      <c r="I5728" t="s">
        <v>10322</v>
      </c>
      <c r="K5728" t="s">
        <v>10333</v>
      </c>
      <c r="L5728">
        <v>1987</v>
      </c>
      <c r="N5728">
        <v>52.230150000000002</v>
      </c>
      <c r="P5728">
        <v>13.30195</v>
      </c>
      <c r="R5728" t="s">
        <v>11037</v>
      </c>
      <c r="S5728" t="s">
        <v>10307</v>
      </c>
      <c r="W5728" t="s">
        <v>11249</v>
      </c>
    </row>
    <row r="5729" spans="1:23" hidden="1" x14ac:dyDescent="0.45">
      <c r="A5729" s="1" t="s">
        <v>5656</v>
      </c>
      <c r="B5729" t="s">
        <v>7117</v>
      </c>
      <c r="D5729" t="s">
        <v>8433</v>
      </c>
      <c r="E5729" t="s">
        <v>10164</v>
      </c>
      <c r="F5729" t="s">
        <v>10305</v>
      </c>
      <c r="G5729">
        <v>36.5</v>
      </c>
      <c r="H5729" t="s">
        <v>10307</v>
      </c>
      <c r="I5729" t="s">
        <v>10322</v>
      </c>
      <c r="K5729" t="s">
        <v>10333</v>
      </c>
      <c r="L5729">
        <v>1987</v>
      </c>
      <c r="N5729">
        <v>52.230150000000002</v>
      </c>
      <c r="P5729">
        <v>13.30195</v>
      </c>
      <c r="R5729" t="s">
        <v>11037</v>
      </c>
      <c r="S5729" t="s">
        <v>10307</v>
      </c>
      <c r="W5729" t="s">
        <v>11249</v>
      </c>
    </row>
    <row r="5730" spans="1:23" hidden="1" x14ac:dyDescent="0.45">
      <c r="A5730" s="1" t="s">
        <v>5657</v>
      </c>
      <c r="B5730" t="s">
        <v>7117</v>
      </c>
      <c r="D5730" t="s">
        <v>8433</v>
      </c>
      <c r="E5730" t="s">
        <v>10164</v>
      </c>
      <c r="F5730" t="s">
        <v>10305</v>
      </c>
      <c r="G5730">
        <v>36.5</v>
      </c>
      <c r="H5730" t="s">
        <v>10307</v>
      </c>
      <c r="I5730" t="s">
        <v>10322</v>
      </c>
      <c r="K5730" t="s">
        <v>10333</v>
      </c>
      <c r="L5730">
        <v>1987</v>
      </c>
      <c r="N5730">
        <v>52.230150000000002</v>
      </c>
      <c r="P5730">
        <v>13.30195</v>
      </c>
      <c r="R5730" t="s">
        <v>11037</v>
      </c>
      <c r="S5730" t="s">
        <v>10307</v>
      </c>
      <c r="W5730" t="s">
        <v>11249</v>
      </c>
    </row>
    <row r="5731" spans="1:23" hidden="1" x14ac:dyDescent="0.45">
      <c r="A5731" s="1" t="s">
        <v>5658</v>
      </c>
      <c r="B5731" t="s">
        <v>7117</v>
      </c>
      <c r="D5731" t="s">
        <v>8433</v>
      </c>
      <c r="E5731" t="s">
        <v>10164</v>
      </c>
      <c r="F5731" t="s">
        <v>10305</v>
      </c>
      <c r="G5731">
        <v>36.5</v>
      </c>
      <c r="H5731" t="s">
        <v>10307</v>
      </c>
      <c r="I5731" t="s">
        <v>10322</v>
      </c>
      <c r="K5731" t="s">
        <v>10333</v>
      </c>
      <c r="L5731">
        <v>1987</v>
      </c>
      <c r="N5731">
        <v>52.230150000000002</v>
      </c>
      <c r="P5731">
        <v>13.30195</v>
      </c>
      <c r="R5731" t="s">
        <v>11037</v>
      </c>
      <c r="S5731" t="s">
        <v>10307</v>
      </c>
      <c r="W5731" t="s">
        <v>11249</v>
      </c>
    </row>
    <row r="5732" spans="1:23" hidden="1" x14ac:dyDescent="0.45">
      <c r="A5732" s="1" t="s">
        <v>5659</v>
      </c>
      <c r="B5732" t="s">
        <v>7173</v>
      </c>
      <c r="C5732" t="s">
        <v>7698</v>
      </c>
      <c r="D5732" t="s">
        <v>8434</v>
      </c>
      <c r="E5732" t="s">
        <v>10165</v>
      </c>
      <c r="F5732" t="s">
        <v>10305</v>
      </c>
      <c r="G5732">
        <v>75</v>
      </c>
      <c r="H5732" t="s">
        <v>10307</v>
      </c>
      <c r="I5732" t="s">
        <v>10321</v>
      </c>
      <c r="K5732" t="s">
        <v>10332</v>
      </c>
      <c r="L5732">
        <v>2005</v>
      </c>
      <c r="N5732">
        <v>49.438611000000002</v>
      </c>
      <c r="P5732">
        <v>11.060556</v>
      </c>
      <c r="R5732" t="s">
        <v>11037</v>
      </c>
      <c r="S5732" t="s">
        <v>10307</v>
      </c>
      <c r="W5732" t="s">
        <v>11249</v>
      </c>
    </row>
    <row r="5733" spans="1:23" hidden="1" x14ac:dyDescent="0.45">
      <c r="A5733" s="1" t="s">
        <v>5660</v>
      </c>
      <c r="B5733" t="s">
        <v>7173</v>
      </c>
      <c r="C5733" t="s">
        <v>7698</v>
      </c>
      <c r="D5733" t="s">
        <v>8434</v>
      </c>
      <c r="E5733" t="s">
        <v>10165</v>
      </c>
      <c r="F5733" t="s">
        <v>10305</v>
      </c>
      <c r="G5733">
        <v>75</v>
      </c>
      <c r="H5733" t="s">
        <v>10307</v>
      </c>
      <c r="I5733" t="s">
        <v>10321</v>
      </c>
      <c r="K5733" t="s">
        <v>10332</v>
      </c>
      <c r="L5733">
        <v>2005</v>
      </c>
      <c r="N5733">
        <v>49.438611000000002</v>
      </c>
      <c r="P5733">
        <v>11.060556</v>
      </c>
      <c r="R5733" t="s">
        <v>11037</v>
      </c>
      <c r="S5733" t="s">
        <v>10307</v>
      </c>
      <c r="W5733" t="s">
        <v>11249</v>
      </c>
    </row>
    <row r="5734" spans="1:23" hidden="1" x14ac:dyDescent="0.45">
      <c r="A5734" s="1" t="s">
        <v>5661</v>
      </c>
      <c r="B5734" t="s">
        <v>7067</v>
      </c>
      <c r="D5734" t="s">
        <v>8435</v>
      </c>
      <c r="E5734" t="s">
        <v>10165</v>
      </c>
      <c r="F5734" t="s">
        <v>10305</v>
      </c>
      <c r="G5734">
        <v>383</v>
      </c>
      <c r="H5734" t="s">
        <v>10307</v>
      </c>
      <c r="I5734" t="s">
        <v>10321</v>
      </c>
      <c r="K5734" t="s">
        <v>10333</v>
      </c>
      <c r="L5734">
        <v>1973</v>
      </c>
      <c r="N5734">
        <v>49.420836000000001</v>
      </c>
      <c r="P5734">
        <v>11.007737000000001</v>
      </c>
      <c r="Q5734" t="s">
        <v>11021</v>
      </c>
      <c r="R5734" t="s">
        <v>11037</v>
      </c>
      <c r="S5734" t="s">
        <v>10307</v>
      </c>
      <c r="W5734" t="s">
        <v>11249</v>
      </c>
    </row>
    <row r="5735" spans="1:23" hidden="1" x14ac:dyDescent="0.45">
      <c r="A5735" s="1" t="s">
        <v>5662</v>
      </c>
      <c r="B5735" t="s">
        <v>7067</v>
      </c>
      <c r="D5735" t="s">
        <v>8435</v>
      </c>
      <c r="E5735" t="s">
        <v>10165</v>
      </c>
      <c r="F5735" t="s">
        <v>10305</v>
      </c>
      <c r="G5735">
        <v>440</v>
      </c>
      <c r="H5735" t="s">
        <v>10307</v>
      </c>
      <c r="I5735" t="s">
        <v>10321</v>
      </c>
      <c r="K5735" t="s">
        <v>10333</v>
      </c>
      <c r="L5735">
        <v>1976</v>
      </c>
      <c r="N5735">
        <v>49.420836000000001</v>
      </c>
      <c r="P5735">
        <v>11.007737000000001</v>
      </c>
      <c r="Q5735" t="s">
        <v>11021</v>
      </c>
      <c r="R5735" t="s">
        <v>11037</v>
      </c>
      <c r="S5735" t="s">
        <v>10307</v>
      </c>
      <c r="W5735" t="s">
        <v>11249</v>
      </c>
    </row>
    <row r="5736" spans="1:23" hidden="1" x14ac:dyDescent="0.45">
      <c r="A5736" s="1" t="s">
        <v>5663</v>
      </c>
      <c r="B5736" t="s">
        <v>7174</v>
      </c>
      <c r="D5736" t="s">
        <v>8436</v>
      </c>
      <c r="E5736" t="s">
        <v>10166</v>
      </c>
      <c r="F5736" t="s">
        <v>10305</v>
      </c>
      <c r="G5736">
        <v>23.1</v>
      </c>
      <c r="H5736" t="s">
        <v>10307</v>
      </c>
      <c r="I5736" t="s">
        <v>10323</v>
      </c>
      <c r="K5736" t="s">
        <v>10332</v>
      </c>
      <c r="L5736">
        <v>1971</v>
      </c>
      <c r="N5736">
        <v>51.470671000000003</v>
      </c>
      <c r="P5736">
        <v>6.8615979999999999</v>
      </c>
      <c r="R5736" t="s">
        <v>11037</v>
      </c>
      <c r="S5736" t="s">
        <v>10307</v>
      </c>
      <c r="W5736" t="s">
        <v>11249</v>
      </c>
    </row>
    <row r="5737" spans="1:23" hidden="1" x14ac:dyDescent="0.45">
      <c r="A5737" s="1" t="s">
        <v>5664</v>
      </c>
      <c r="B5737" t="s">
        <v>7174</v>
      </c>
      <c r="D5737" t="s">
        <v>8437</v>
      </c>
      <c r="E5737" t="s">
        <v>10166</v>
      </c>
      <c r="F5737" t="s">
        <v>10305</v>
      </c>
      <c r="G5737">
        <v>24.5</v>
      </c>
      <c r="H5737" t="s">
        <v>10307</v>
      </c>
      <c r="I5737" t="s">
        <v>10323</v>
      </c>
      <c r="K5737" t="s">
        <v>10332</v>
      </c>
      <c r="L5737">
        <v>1996</v>
      </c>
      <c r="N5737">
        <v>51.470671000000003</v>
      </c>
      <c r="P5737">
        <v>6.8615979999999999</v>
      </c>
      <c r="R5737" t="s">
        <v>11037</v>
      </c>
      <c r="S5737" t="s">
        <v>10307</v>
      </c>
      <c r="W5737" t="s">
        <v>11249</v>
      </c>
    </row>
    <row r="5738" spans="1:23" hidden="1" x14ac:dyDescent="0.45">
      <c r="A5738" s="1" t="s">
        <v>5665</v>
      </c>
      <c r="B5738" t="s">
        <v>7175</v>
      </c>
      <c r="D5738" t="s">
        <v>8438</v>
      </c>
      <c r="E5738" t="s">
        <v>10167</v>
      </c>
      <c r="F5738" t="s">
        <v>10305</v>
      </c>
      <c r="G5738">
        <v>40</v>
      </c>
      <c r="H5738" t="s">
        <v>10307</v>
      </c>
      <c r="I5738" t="s">
        <v>10321</v>
      </c>
      <c r="K5738" t="s">
        <v>10332</v>
      </c>
      <c r="L5738">
        <v>1920</v>
      </c>
      <c r="M5738" t="s">
        <v>10335</v>
      </c>
      <c r="N5738">
        <v>49.829349999999998</v>
      </c>
      <c r="P5738">
        <v>9.1482399999999995</v>
      </c>
      <c r="R5738" t="s">
        <v>11037</v>
      </c>
      <c r="S5738" t="s">
        <v>10307</v>
      </c>
      <c r="W5738" t="s">
        <v>11249</v>
      </c>
    </row>
    <row r="5739" spans="1:23" hidden="1" x14ac:dyDescent="0.45">
      <c r="A5739" s="1" t="s">
        <v>5666</v>
      </c>
      <c r="B5739" t="s">
        <v>7175</v>
      </c>
      <c r="D5739" t="s">
        <v>8438</v>
      </c>
      <c r="E5739" t="s">
        <v>10167</v>
      </c>
      <c r="F5739" t="s">
        <v>10305</v>
      </c>
      <c r="G5739">
        <v>60</v>
      </c>
      <c r="H5739" t="s">
        <v>10307</v>
      </c>
      <c r="I5739" t="s">
        <v>10321</v>
      </c>
      <c r="K5739" t="s">
        <v>10332</v>
      </c>
      <c r="L5739">
        <v>1995</v>
      </c>
      <c r="M5739" t="s">
        <v>10335</v>
      </c>
      <c r="N5739">
        <v>49.829349999999998</v>
      </c>
      <c r="P5739">
        <v>9.1482399999999995</v>
      </c>
      <c r="R5739" t="s">
        <v>11037</v>
      </c>
      <c r="S5739" t="s">
        <v>10307</v>
      </c>
      <c r="W5739" t="s">
        <v>11249</v>
      </c>
    </row>
    <row r="5740" spans="1:23" hidden="1" x14ac:dyDescent="0.45">
      <c r="A5740" s="1" t="s">
        <v>5667</v>
      </c>
      <c r="B5740" t="s">
        <v>7048</v>
      </c>
      <c r="C5740" t="s">
        <v>7533</v>
      </c>
      <c r="D5740" t="s">
        <v>8157</v>
      </c>
      <c r="E5740" t="s">
        <v>9934</v>
      </c>
      <c r="F5740" t="s">
        <v>10305</v>
      </c>
      <c r="G5740">
        <v>11.3</v>
      </c>
      <c r="H5740" t="s">
        <v>10307</v>
      </c>
      <c r="I5740" t="s">
        <v>10323</v>
      </c>
      <c r="K5740" t="s">
        <v>10332</v>
      </c>
      <c r="N5740">
        <v>48.883159999999997</v>
      </c>
      <c r="P5740">
        <v>8.6653000000000002</v>
      </c>
      <c r="R5740" t="s">
        <v>11037</v>
      </c>
      <c r="S5740" t="s">
        <v>10307</v>
      </c>
      <c r="W5740" t="s">
        <v>11249</v>
      </c>
    </row>
    <row r="5741" spans="1:23" hidden="1" x14ac:dyDescent="0.45">
      <c r="A5741" s="1" t="s">
        <v>5668</v>
      </c>
      <c r="B5741" t="s">
        <v>7048</v>
      </c>
      <c r="C5741" t="s">
        <v>7533</v>
      </c>
      <c r="D5741" t="s">
        <v>8157</v>
      </c>
      <c r="E5741" t="s">
        <v>9934</v>
      </c>
      <c r="F5741" t="s">
        <v>10305</v>
      </c>
      <c r="G5741">
        <v>41.2</v>
      </c>
      <c r="H5741" t="s">
        <v>10307</v>
      </c>
      <c r="I5741" t="s">
        <v>10321</v>
      </c>
      <c r="K5741" t="s">
        <v>10332</v>
      </c>
      <c r="L5741">
        <v>1980</v>
      </c>
      <c r="N5741">
        <v>48.883159999999997</v>
      </c>
      <c r="P5741">
        <v>8.6653000000000002</v>
      </c>
      <c r="R5741" t="s">
        <v>11037</v>
      </c>
      <c r="S5741" t="s">
        <v>10307</v>
      </c>
      <c r="W5741" t="s">
        <v>11249</v>
      </c>
    </row>
    <row r="5742" spans="1:23" hidden="1" x14ac:dyDescent="0.45">
      <c r="A5742" s="1" t="s">
        <v>5669</v>
      </c>
      <c r="B5742" t="s">
        <v>7160</v>
      </c>
      <c r="D5742" t="s">
        <v>8439</v>
      </c>
      <c r="E5742" t="s">
        <v>10168</v>
      </c>
      <c r="F5742" t="s">
        <v>10305</v>
      </c>
      <c r="G5742">
        <v>52</v>
      </c>
      <c r="H5742" t="s">
        <v>10307</v>
      </c>
      <c r="I5742" t="s">
        <v>10323</v>
      </c>
      <c r="K5742" t="s">
        <v>10332</v>
      </c>
      <c r="L5742">
        <v>2013</v>
      </c>
      <c r="N5742">
        <v>50.8379786</v>
      </c>
      <c r="P5742">
        <v>9.9987787000000008</v>
      </c>
      <c r="R5742" t="s">
        <v>11037</v>
      </c>
      <c r="S5742" t="s">
        <v>10307</v>
      </c>
      <c r="W5742" t="s">
        <v>11249</v>
      </c>
    </row>
    <row r="5743" spans="1:23" hidden="1" x14ac:dyDescent="0.45">
      <c r="A5743" s="1" t="s">
        <v>5670</v>
      </c>
      <c r="B5743" t="s">
        <v>7176</v>
      </c>
      <c r="D5743" t="s">
        <v>8324</v>
      </c>
      <c r="E5743" t="s">
        <v>10081</v>
      </c>
      <c r="F5743" t="s">
        <v>10305</v>
      </c>
      <c r="G5743">
        <v>118.5</v>
      </c>
      <c r="H5743" t="s">
        <v>10307</v>
      </c>
      <c r="I5743" t="s">
        <v>10321</v>
      </c>
      <c r="K5743" t="s">
        <v>10332</v>
      </c>
      <c r="L5743">
        <v>2010</v>
      </c>
      <c r="M5743" t="s">
        <v>10335</v>
      </c>
      <c r="N5743">
        <v>48.787419999999997</v>
      </c>
      <c r="P5743">
        <v>12.88246</v>
      </c>
      <c r="R5743" t="s">
        <v>11037</v>
      </c>
      <c r="S5743" t="s">
        <v>10307</v>
      </c>
      <c r="W5743" t="s">
        <v>11249</v>
      </c>
    </row>
    <row r="5744" spans="1:23" hidden="1" x14ac:dyDescent="0.45">
      <c r="A5744" s="1" t="s">
        <v>5671</v>
      </c>
      <c r="B5744" t="s">
        <v>7067</v>
      </c>
      <c r="D5744" t="s">
        <v>8210</v>
      </c>
      <c r="E5744" t="s">
        <v>9974</v>
      </c>
      <c r="F5744" t="s">
        <v>10305</v>
      </c>
      <c r="G5744">
        <v>65</v>
      </c>
      <c r="H5744" t="s">
        <v>10307</v>
      </c>
      <c r="I5744" t="s">
        <v>10322</v>
      </c>
      <c r="K5744" t="s">
        <v>10333</v>
      </c>
      <c r="L5744">
        <v>1974</v>
      </c>
      <c r="N5744">
        <v>52.190040000000003</v>
      </c>
      <c r="P5744">
        <v>8.9331800000000001</v>
      </c>
      <c r="R5744" t="s">
        <v>11037</v>
      </c>
      <c r="S5744" t="s">
        <v>10307</v>
      </c>
      <c r="W5744" t="s">
        <v>11249</v>
      </c>
    </row>
    <row r="5745" spans="1:23" hidden="1" x14ac:dyDescent="0.45">
      <c r="A5745" s="1" t="s">
        <v>5672</v>
      </c>
      <c r="B5745" t="s">
        <v>7067</v>
      </c>
      <c r="D5745" t="s">
        <v>8210</v>
      </c>
      <c r="E5745" t="s">
        <v>9974</v>
      </c>
      <c r="F5745" t="s">
        <v>10305</v>
      </c>
      <c r="G5745">
        <v>335</v>
      </c>
      <c r="H5745" t="s">
        <v>10307</v>
      </c>
      <c r="I5745" t="s">
        <v>10323</v>
      </c>
      <c r="K5745" t="s">
        <v>10333</v>
      </c>
      <c r="L5745">
        <v>1975</v>
      </c>
      <c r="N5745">
        <v>52.186959999999999</v>
      </c>
      <c r="P5745">
        <v>8.93018</v>
      </c>
      <c r="R5745" t="s">
        <v>11037</v>
      </c>
      <c r="S5745" t="s">
        <v>10307</v>
      </c>
      <c r="W5745" t="s">
        <v>11249</v>
      </c>
    </row>
    <row r="5746" spans="1:23" hidden="1" x14ac:dyDescent="0.45">
      <c r="A5746" s="1" t="s">
        <v>5673</v>
      </c>
      <c r="B5746" t="s">
        <v>7177</v>
      </c>
      <c r="D5746" t="s">
        <v>8440</v>
      </c>
      <c r="E5746" t="s">
        <v>10169</v>
      </c>
      <c r="F5746" t="s">
        <v>10305</v>
      </c>
      <c r="G5746">
        <v>81.8</v>
      </c>
      <c r="H5746" t="s">
        <v>10307</v>
      </c>
      <c r="I5746" t="s">
        <v>10323</v>
      </c>
      <c r="K5746" t="s">
        <v>10332</v>
      </c>
      <c r="L5746">
        <v>1996</v>
      </c>
      <c r="N5746">
        <v>52.366050000000001</v>
      </c>
      <c r="P5746">
        <v>13.11251</v>
      </c>
      <c r="R5746" t="s">
        <v>11037</v>
      </c>
      <c r="S5746" t="s">
        <v>10307</v>
      </c>
      <c r="W5746" t="s">
        <v>11249</v>
      </c>
    </row>
    <row r="5747" spans="1:23" hidden="1" x14ac:dyDescent="0.45">
      <c r="A5747" s="1" t="s">
        <v>5674</v>
      </c>
      <c r="B5747" t="s">
        <v>7178</v>
      </c>
      <c r="C5747" t="s">
        <v>7699</v>
      </c>
      <c r="D5747" t="s">
        <v>8441</v>
      </c>
      <c r="E5747" t="s">
        <v>10170</v>
      </c>
      <c r="F5747" t="s">
        <v>10305</v>
      </c>
      <c r="G5747">
        <v>9.84</v>
      </c>
      <c r="H5747" t="s">
        <v>10307</v>
      </c>
      <c r="I5747" t="s">
        <v>10328</v>
      </c>
      <c r="K5747" t="s">
        <v>10332</v>
      </c>
      <c r="L5747">
        <v>2011</v>
      </c>
      <c r="N5747">
        <v>48.493949999999998</v>
      </c>
      <c r="P5747">
        <v>9.1856299999999997</v>
      </c>
      <c r="R5747" t="s">
        <v>11037</v>
      </c>
      <c r="S5747" t="s">
        <v>10307</v>
      </c>
      <c r="W5747" t="s">
        <v>11249</v>
      </c>
    </row>
    <row r="5748" spans="1:23" hidden="1" x14ac:dyDescent="0.45">
      <c r="A5748" s="1" t="s">
        <v>5675</v>
      </c>
      <c r="B5748" t="s">
        <v>7135</v>
      </c>
      <c r="D5748" t="s">
        <v>8442</v>
      </c>
      <c r="E5748" t="s">
        <v>10171</v>
      </c>
      <c r="F5748" t="s">
        <v>10305</v>
      </c>
      <c r="G5748">
        <v>79</v>
      </c>
      <c r="H5748" t="s">
        <v>10307</v>
      </c>
      <c r="I5748" t="s">
        <v>10323</v>
      </c>
      <c r="K5748" t="s">
        <v>10332</v>
      </c>
      <c r="L5748">
        <v>1961</v>
      </c>
      <c r="N5748">
        <v>51.564890000000013</v>
      </c>
      <c r="P5748">
        <v>6.5782399999999992</v>
      </c>
      <c r="R5748" t="s">
        <v>11037</v>
      </c>
      <c r="S5748" t="s">
        <v>10307</v>
      </c>
      <c r="W5748" t="s">
        <v>11249</v>
      </c>
    </row>
    <row r="5749" spans="1:23" hidden="1" x14ac:dyDescent="0.45">
      <c r="A5749" s="1" t="s">
        <v>5676</v>
      </c>
      <c r="B5749" t="s">
        <v>7179</v>
      </c>
      <c r="C5749" t="s">
        <v>7700</v>
      </c>
      <c r="D5749" t="s">
        <v>8443</v>
      </c>
      <c r="E5749" t="s">
        <v>10172</v>
      </c>
      <c r="F5749" t="s">
        <v>10305</v>
      </c>
      <c r="G5749">
        <v>9.81</v>
      </c>
      <c r="H5749" t="s">
        <v>10307</v>
      </c>
      <c r="I5749" t="s">
        <v>10328</v>
      </c>
      <c r="K5749" t="s">
        <v>10332</v>
      </c>
      <c r="L5749">
        <v>2011</v>
      </c>
      <c r="N5749">
        <v>47.856133999999997</v>
      </c>
      <c r="P5749">
        <v>12.134085000000001</v>
      </c>
      <c r="R5749" t="s">
        <v>11037</v>
      </c>
      <c r="S5749" t="s">
        <v>10307</v>
      </c>
      <c r="W5749" t="s">
        <v>11249</v>
      </c>
    </row>
    <row r="5750" spans="1:23" hidden="1" x14ac:dyDescent="0.45">
      <c r="A5750" s="1" t="s">
        <v>5677</v>
      </c>
      <c r="B5750" t="s">
        <v>7179</v>
      </c>
      <c r="C5750" t="s">
        <v>7700</v>
      </c>
      <c r="D5750" t="s">
        <v>8443</v>
      </c>
      <c r="E5750" t="s">
        <v>10172</v>
      </c>
      <c r="F5750" t="s">
        <v>10305</v>
      </c>
      <c r="G5750">
        <v>9.1999999999999993</v>
      </c>
      <c r="H5750" t="s">
        <v>10307</v>
      </c>
      <c r="I5750" t="s">
        <v>10328</v>
      </c>
      <c r="K5750" t="s">
        <v>10332</v>
      </c>
      <c r="L5750">
        <v>2013</v>
      </c>
      <c r="N5750">
        <v>47.855930000000001</v>
      </c>
      <c r="P5750">
        <v>12.1341</v>
      </c>
      <c r="R5750" t="s">
        <v>11037</v>
      </c>
      <c r="S5750" t="s">
        <v>10307</v>
      </c>
      <c r="W5750" t="s">
        <v>11249</v>
      </c>
    </row>
    <row r="5751" spans="1:23" hidden="1" x14ac:dyDescent="0.45">
      <c r="A5751" s="1" t="s">
        <v>5678</v>
      </c>
      <c r="B5751" t="s">
        <v>7179</v>
      </c>
      <c r="C5751" t="s">
        <v>7701</v>
      </c>
      <c r="D5751" t="s">
        <v>8444</v>
      </c>
      <c r="E5751" t="s">
        <v>10172</v>
      </c>
      <c r="F5751" t="s">
        <v>10305</v>
      </c>
      <c r="G5751">
        <v>4.3</v>
      </c>
      <c r="H5751" t="s">
        <v>10307</v>
      </c>
      <c r="I5751" t="s">
        <v>10328</v>
      </c>
      <c r="K5751" t="s">
        <v>10332</v>
      </c>
      <c r="L5751">
        <v>2012</v>
      </c>
      <c r="N5751">
        <v>47.856133999999997</v>
      </c>
      <c r="P5751">
        <v>12.134085000000001</v>
      </c>
      <c r="R5751" t="s">
        <v>11037</v>
      </c>
      <c r="S5751" t="s">
        <v>10307</v>
      </c>
      <c r="W5751" t="s">
        <v>11249</v>
      </c>
    </row>
    <row r="5752" spans="1:23" hidden="1" x14ac:dyDescent="0.45">
      <c r="A5752" s="1" t="s">
        <v>5679</v>
      </c>
      <c r="B5752" t="s">
        <v>7180</v>
      </c>
      <c r="D5752" t="s">
        <v>8445</v>
      </c>
      <c r="E5752" t="s">
        <v>9976</v>
      </c>
      <c r="F5752" t="s">
        <v>10305</v>
      </c>
      <c r="G5752">
        <v>108</v>
      </c>
      <c r="H5752" t="s">
        <v>10307</v>
      </c>
      <c r="I5752" t="s">
        <v>10321</v>
      </c>
      <c r="K5752" t="s">
        <v>10332</v>
      </c>
      <c r="L5752">
        <v>1996</v>
      </c>
      <c r="N5752">
        <v>54.125454000000012</v>
      </c>
      <c r="P5752">
        <v>12.081897</v>
      </c>
      <c r="R5752" t="s">
        <v>11037</v>
      </c>
      <c r="S5752" t="s">
        <v>10307</v>
      </c>
      <c r="W5752" t="s">
        <v>11249</v>
      </c>
    </row>
    <row r="5753" spans="1:23" hidden="1" x14ac:dyDescent="0.45">
      <c r="A5753" s="1" t="s">
        <v>5680</v>
      </c>
      <c r="B5753" t="s">
        <v>7181</v>
      </c>
      <c r="D5753" t="s">
        <v>8446</v>
      </c>
      <c r="E5753" t="s">
        <v>10173</v>
      </c>
      <c r="F5753" t="s">
        <v>10305</v>
      </c>
      <c r="G5753">
        <v>26.5</v>
      </c>
      <c r="H5753" t="s">
        <v>10307</v>
      </c>
      <c r="I5753" t="s">
        <v>10323</v>
      </c>
      <c r="K5753" t="s">
        <v>10332</v>
      </c>
      <c r="L5753">
        <v>1936</v>
      </c>
      <c r="N5753">
        <v>50.686928000000002</v>
      </c>
      <c r="P5753">
        <v>11.329302999999999</v>
      </c>
      <c r="R5753" t="s">
        <v>11037</v>
      </c>
      <c r="S5753" t="s">
        <v>10307</v>
      </c>
      <c r="W5753" t="s">
        <v>11249</v>
      </c>
    </row>
    <row r="5754" spans="1:23" hidden="1" x14ac:dyDescent="0.45">
      <c r="A5754" s="1" t="s">
        <v>5681</v>
      </c>
      <c r="B5754" t="s">
        <v>7182</v>
      </c>
      <c r="D5754" t="s">
        <v>8447</v>
      </c>
      <c r="E5754" t="s">
        <v>10174</v>
      </c>
      <c r="F5754" t="s">
        <v>10305</v>
      </c>
      <c r="G5754">
        <v>112.1</v>
      </c>
      <c r="H5754" t="s">
        <v>10307</v>
      </c>
      <c r="I5754" t="s">
        <v>10321</v>
      </c>
      <c r="K5754" t="s">
        <v>10332</v>
      </c>
      <c r="L5754">
        <v>1999</v>
      </c>
      <c r="M5754" t="s">
        <v>10335</v>
      </c>
      <c r="N5754">
        <v>49.992040000000003</v>
      </c>
      <c r="P5754">
        <v>8.4141100000000009</v>
      </c>
      <c r="R5754" t="s">
        <v>11037</v>
      </c>
      <c r="S5754" t="s">
        <v>10307</v>
      </c>
      <c r="W5754" t="s">
        <v>11249</v>
      </c>
    </row>
    <row r="5755" spans="1:23" hidden="1" x14ac:dyDescent="0.45">
      <c r="A5755" s="1" t="s">
        <v>5682</v>
      </c>
      <c r="B5755" t="s">
        <v>7087</v>
      </c>
      <c r="D5755" t="s">
        <v>8213</v>
      </c>
      <c r="E5755" t="s">
        <v>9977</v>
      </c>
      <c r="F5755" t="s">
        <v>10305</v>
      </c>
      <c r="G5755">
        <v>75</v>
      </c>
      <c r="H5755" t="s">
        <v>10307</v>
      </c>
      <c r="I5755" t="s">
        <v>10321</v>
      </c>
      <c r="K5755" t="s">
        <v>10332</v>
      </c>
      <c r="L5755">
        <v>2005</v>
      </c>
      <c r="M5755" t="s">
        <v>10336</v>
      </c>
      <c r="N5755">
        <v>49.223899000000003</v>
      </c>
      <c r="P5755">
        <v>7.0148990000000024</v>
      </c>
      <c r="Q5755" t="s">
        <v>10961</v>
      </c>
      <c r="R5755" t="s">
        <v>11037</v>
      </c>
      <c r="S5755" t="s">
        <v>10307</v>
      </c>
      <c r="W5755" t="s">
        <v>11249</v>
      </c>
    </row>
    <row r="5756" spans="1:23" hidden="1" x14ac:dyDescent="0.45">
      <c r="A5756" s="1" t="s">
        <v>5683</v>
      </c>
      <c r="B5756" t="s">
        <v>7183</v>
      </c>
      <c r="C5756" t="s">
        <v>7702</v>
      </c>
      <c r="D5756" t="s">
        <v>8448</v>
      </c>
      <c r="E5756" t="s">
        <v>10175</v>
      </c>
      <c r="F5756" t="s">
        <v>10305</v>
      </c>
      <c r="G5756">
        <v>122</v>
      </c>
      <c r="H5756" t="s">
        <v>10307</v>
      </c>
      <c r="I5756" t="s">
        <v>10321</v>
      </c>
      <c r="K5756" t="s">
        <v>10332</v>
      </c>
      <c r="L5756">
        <v>1994</v>
      </c>
      <c r="M5756" t="s">
        <v>10335</v>
      </c>
      <c r="N5756">
        <v>51.476170000000003</v>
      </c>
      <c r="P5756">
        <v>13.889099999999999</v>
      </c>
      <c r="R5756" t="s">
        <v>11037</v>
      </c>
      <c r="S5756" t="s">
        <v>10307</v>
      </c>
      <c r="W5756" t="s">
        <v>11249</v>
      </c>
    </row>
    <row r="5757" spans="1:23" hidden="1" x14ac:dyDescent="0.45">
      <c r="A5757" s="1" t="s">
        <v>5684</v>
      </c>
      <c r="B5757" t="s">
        <v>7184</v>
      </c>
      <c r="D5757" t="s">
        <v>8449</v>
      </c>
      <c r="E5757" t="s">
        <v>10176</v>
      </c>
      <c r="F5757" t="s">
        <v>10305</v>
      </c>
      <c r="G5757">
        <v>44.9</v>
      </c>
      <c r="H5757" t="s">
        <v>10307</v>
      </c>
      <c r="I5757" t="s">
        <v>10323</v>
      </c>
      <c r="K5757" t="s">
        <v>10332</v>
      </c>
      <c r="L5757">
        <v>1994</v>
      </c>
      <c r="N5757">
        <v>53.577869999999997</v>
      </c>
      <c r="P5757">
        <v>11.396470000000001</v>
      </c>
      <c r="R5757" t="s">
        <v>11037</v>
      </c>
      <c r="S5757" t="s">
        <v>10307</v>
      </c>
      <c r="W5757" t="s">
        <v>11249</v>
      </c>
    </row>
    <row r="5758" spans="1:23" hidden="1" x14ac:dyDescent="0.45">
      <c r="A5758" s="1" t="s">
        <v>5685</v>
      </c>
      <c r="B5758" t="s">
        <v>7184</v>
      </c>
      <c r="D5758" t="s">
        <v>8450</v>
      </c>
      <c r="E5758" t="s">
        <v>10176</v>
      </c>
      <c r="F5758" t="s">
        <v>10305</v>
      </c>
      <c r="G5758">
        <v>23</v>
      </c>
      <c r="H5758" t="s">
        <v>10307</v>
      </c>
      <c r="I5758" t="s">
        <v>10323</v>
      </c>
      <c r="K5758" t="s">
        <v>10332</v>
      </c>
      <c r="L5758">
        <v>1994</v>
      </c>
      <c r="N5758">
        <v>53.653917000000007</v>
      </c>
      <c r="P5758">
        <v>11.372972000000001</v>
      </c>
      <c r="R5758" t="s">
        <v>11037</v>
      </c>
      <c r="S5758" t="s">
        <v>10307</v>
      </c>
      <c r="W5758" t="s">
        <v>11249</v>
      </c>
    </row>
    <row r="5759" spans="1:23" hidden="1" x14ac:dyDescent="0.45">
      <c r="A5759" s="1" t="s">
        <v>5686</v>
      </c>
      <c r="B5759" t="s">
        <v>7185</v>
      </c>
      <c r="C5759" t="s">
        <v>7703</v>
      </c>
      <c r="D5759" t="s">
        <v>8451</v>
      </c>
      <c r="E5759" t="s">
        <v>10177</v>
      </c>
      <c r="F5759" t="s">
        <v>10305</v>
      </c>
      <c r="G5759">
        <v>50</v>
      </c>
      <c r="H5759" t="s">
        <v>10307</v>
      </c>
      <c r="I5759" t="s">
        <v>10321</v>
      </c>
      <c r="K5759" t="s">
        <v>10333</v>
      </c>
      <c r="N5759">
        <v>51.516748</v>
      </c>
      <c r="P5759">
        <v>14.366559000000001</v>
      </c>
      <c r="R5759" t="s">
        <v>11037</v>
      </c>
      <c r="S5759" t="s">
        <v>10307</v>
      </c>
      <c r="W5759" t="s">
        <v>11249</v>
      </c>
    </row>
    <row r="5760" spans="1:23" hidden="1" x14ac:dyDescent="0.45">
      <c r="A5760" s="1" t="s">
        <v>5687</v>
      </c>
      <c r="B5760" t="s">
        <v>7186</v>
      </c>
      <c r="C5760" t="s">
        <v>7704</v>
      </c>
      <c r="D5760" t="s">
        <v>8452</v>
      </c>
      <c r="E5760" t="s">
        <v>10178</v>
      </c>
      <c r="F5760" t="s">
        <v>10305</v>
      </c>
      <c r="G5760">
        <v>190</v>
      </c>
      <c r="H5760" t="s">
        <v>10307</v>
      </c>
      <c r="I5760" t="s">
        <v>10323</v>
      </c>
      <c r="K5760" t="s">
        <v>10332</v>
      </c>
      <c r="N5760">
        <v>53.651919700000008</v>
      </c>
      <c r="P5760">
        <v>9.5078665000000004</v>
      </c>
      <c r="R5760" t="s">
        <v>11037</v>
      </c>
      <c r="S5760" t="s">
        <v>10307</v>
      </c>
      <c r="W5760" t="s">
        <v>11249</v>
      </c>
    </row>
    <row r="5761" spans="1:23" hidden="1" x14ac:dyDescent="0.45">
      <c r="A5761" s="1" t="s">
        <v>5688</v>
      </c>
      <c r="B5761" t="s">
        <v>7186</v>
      </c>
      <c r="C5761" t="s">
        <v>7704</v>
      </c>
      <c r="D5761" t="s">
        <v>8452</v>
      </c>
      <c r="E5761" t="s">
        <v>10178</v>
      </c>
      <c r="F5761" t="s">
        <v>10305</v>
      </c>
      <c r="G5761">
        <v>157</v>
      </c>
      <c r="H5761" t="s">
        <v>10307</v>
      </c>
      <c r="I5761" t="s">
        <v>10321</v>
      </c>
      <c r="K5761" t="s">
        <v>10332</v>
      </c>
      <c r="L5761">
        <v>2015</v>
      </c>
      <c r="M5761" t="s">
        <v>10335</v>
      </c>
      <c r="N5761">
        <v>53.651919700000008</v>
      </c>
      <c r="P5761">
        <v>9.5078665000000004</v>
      </c>
      <c r="R5761" t="s">
        <v>11037</v>
      </c>
      <c r="S5761" t="s">
        <v>10307</v>
      </c>
      <c r="W5761" t="s">
        <v>11249</v>
      </c>
    </row>
    <row r="5762" spans="1:23" hidden="1" x14ac:dyDescent="0.45">
      <c r="A5762" s="1" t="s">
        <v>5689</v>
      </c>
      <c r="B5762" t="s">
        <v>7187</v>
      </c>
      <c r="C5762" t="s">
        <v>7705</v>
      </c>
      <c r="D5762" t="s">
        <v>8453</v>
      </c>
      <c r="E5762" t="s">
        <v>10179</v>
      </c>
      <c r="F5762" t="s">
        <v>10305</v>
      </c>
      <c r="G5762">
        <v>100</v>
      </c>
      <c r="H5762" t="s">
        <v>10307</v>
      </c>
      <c r="I5762" t="s">
        <v>10321</v>
      </c>
      <c r="K5762" t="s">
        <v>10332</v>
      </c>
      <c r="L5762">
        <v>2015</v>
      </c>
      <c r="M5762" t="s">
        <v>10335</v>
      </c>
      <c r="N5762">
        <v>51.865527</v>
      </c>
      <c r="P5762">
        <v>11.573812999999999</v>
      </c>
      <c r="R5762" t="s">
        <v>11037</v>
      </c>
      <c r="S5762" t="s">
        <v>10307</v>
      </c>
      <c r="W5762" t="s">
        <v>11249</v>
      </c>
    </row>
    <row r="5763" spans="1:23" hidden="1" x14ac:dyDescent="0.45">
      <c r="A5763" s="1" t="s">
        <v>5690</v>
      </c>
      <c r="B5763" t="s">
        <v>7187</v>
      </c>
      <c r="C5763" t="s">
        <v>7705</v>
      </c>
      <c r="D5763" t="s">
        <v>8453</v>
      </c>
      <c r="E5763" t="s">
        <v>10179</v>
      </c>
      <c r="F5763" t="s">
        <v>10305</v>
      </c>
      <c r="G5763">
        <v>9</v>
      </c>
      <c r="H5763" t="s">
        <v>10307</v>
      </c>
      <c r="I5763" t="s">
        <v>10321</v>
      </c>
      <c r="K5763" t="s">
        <v>10332</v>
      </c>
      <c r="N5763">
        <v>51.594209999999997</v>
      </c>
      <c r="P5763">
        <v>11.572945000000001</v>
      </c>
      <c r="R5763" t="s">
        <v>11037</v>
      </c>
      <c r="S5763" t="s">
        <v>10307</v>
      </c>
      <c r="W5763" t="s">
        <v>11249</v>
      </c>
    </row>
    <row r="5764" spans="1:23" hidden="1" x14ac:dyDescent="0.45">
      <c r="A5764" s="1" t="s">
        <v>5691</v>
      </c>
      <c r="B5764" t="s">
        <v>7061</v>
      </c>
      <c r="C5764" t="s">
        <v>7572</v>
      </c>
      <c r="D5764" t="s">
        <v>8214</v>
      </c>
      <c r="E5764" t="s">
        <v>9978</v>
      </c>
      <c r="F5764" t="s">
        <v>10305</v>
      </c>
      <c r="G5764">
        <v>55</v>
      </c>
      <c r="H5764" t="s">
        <v>10307</v>
      </c>
      <c r="I5764" t="s">
        <v>10322</v>
      </c>
      <c r="K5764" t="s">
        <v>10333</v>
      </c>
      <c r="N5764">
        <v>48.782452999999997</v>
      </c>
      <c r="P5764">
        <v>9.2314830000000008</v>
      </c>
      <c r="R5764" t="s">
        <v>11037</v>
      </c>
      <c r="S5764" t="s">
        <v>10307</v>
      </c>
      <c r="W5764" t="s">
        <v>11249</v>
      </c>
    </row>
    <row r="5765" spans="1:23" hidden="1" x14ac:dyDescent="0.45">
      <c r="A5765" s="1" t="s">
        <v>5692</v>
      </c>
      <c r="B5765" t="s">
        <v>7188</v>
      </c>
      <c r="D5765" t="s">
        <v>8454</v>
      </c>
      <c r="E5765" t="s">
        <v>10180</v>
      </c>
      <c r="F5765" t="s">
        <v>10305</v>
      </c>
      <c r="G5765">
        <v>13.4</v>
      </c>
      <c r="H5765" t="s">
        <v>10307</v>
      </c>
      <c r="I5765" t="s">
        <v>10323</v>
      </c>
      <c r="K5765" t="s">
        <v>10332</v>
      </c>
      <c r="L5765">
        <v>2000</v>
      </c>
      <c r="N5765">
        <v>48.510854999999999</v>
      </c>
      <c r="P5765">
        <v>9.0714629999999996</v>
      </c>
      <c r="R5765" t="s">
        <v>11037</v>
      </c>
      <c r="S5765" t="s">
        <v>10307</v>
      </c>
      <c r="W5765" t="s">
        <v>11249</v>
      </c>
    </row>
    <row r="5766" spans="1:23" hidden="1" x14ac:dyDescent="0.45">
      <c r="A5766" s="1" t="s">
        <v>5693</v>
      </c>
      <c r="B5766" t="s">
        <v>7189</v>
      </c>
      <c r="D5766" t="s">
        <v>8289</v>
      </c>
      <c r="E5766" t="s">
        <v>10045</v>
      </c>
      <c r="F5766" t="s">
        <v>10305</v>
      </c>
      <c r="G5766">
        <v>846</v>
      </c>
      <c r="H5766" t="s">
        <v>10307</v>
      </c>
      <c r="I5766" t="s">
        <v>10321</v>
      </c>
      <c r="K5766" t="s">
        <v>10333</v>
      </c>
      <c r="L5766">
        <v>2010</v>
      </c>
      <c r="N5766">
        <v>48.767020000000002</v>
      </c>
      <c r="P5766">
        <v>11.580033</v>
      </c>
      <c r="Q5766" t="s">
        <v>11022</v>
      </c>
      <c r="R5766" t="s">
        <v>11037</v>
      </c>
      <c r="S5766" t="s">
        <v>10307</v>
      </c>
      <c r="W5766" t="s">
        <v>11249</v>
      </c>
    </row>
    <row r="5767" spans="1:23" hidden="1" x14ac:dyDescent="0.45">
      <c r="A5767" s="1" t="s">
        <v>5694</v>
      </c>
      <c r="B5767" t="s">
        <v>7067</v>
      </c>
      <c r="D5767" t="s">
        <v>8289</v>
      </c>
      <c r="E5767" t="s">
        <v>10045</v>
      </c>
      <c r="F5767" t="s">
        <v>10305</v>
      </c>
      <c r="G5767">
        <v>561</v>
      </c>
      <c r="H5767" t="s">
        <v>10307</v>
      </c>
      <c r="I5767" t="s">
        <v>10321</v>
      </c>
      <c r="K5767" t="s">
        <v>10333</v>
      </c>
      <c r="L5767">
        <v>2011</v>
      </c>
      <c r="N5767">
        <v>48.767020000000002</v>
      </c>
      <c r="P5767">
        <v>11.580033</v>
      </c>
      <c r="Q5767" t="s">
        <v>11022</v>
      </c>
      <c r="R5767" t="s">
        <v>11037</v>
      </c>
      <c r="S5767" t="s">
        <v>10307</v>
      </c>
      <c r="W5767" t="s">
        <v>11249</v>
      </c>
    </row>
    <row r="5768" spans="1:23" hidden="1" x14ac:dyDescent="0.45">
      <c r="A5768" s="1" t="s">
        <v>5695</v>
      </c>
      <c r="B5768" t="s">
        <v>7104</v>
      </c>
      <c r="D5768" t="s">
        <v>8360</v>
      </c>
      <c r="E5768" t="s">
        <v>10115</v>
      </c>
      <c r="F5768" t="s">
        <v>10305</v>
      </c>
      <c r="G5768">
        <v>200</v>
      </c>
      <c r="H5768" t="s">
        <v>10307</v>
      </c>
      <c r="I5768" t="s">
        <v>10322</v>
      </c>
      <c r="K5768" t="s">
        <v>10333</v>
      </c>
      <c r="L5768">
        <v>2006</v>
      </c>
      <c r="N5768">
        <v>50.839167000000003</v>
      </c>
      <c r="P5768">
        <v>6.3211110000000001</v>
      </c>
      <c r="Q5768" t="s">
        <v>10995</v>
      </c>
      <c r="R5768" t="s">
        <v>11037</v>
      </c>
      <c r="S5768" t="s">
        <v>10307</v>
      </c>
      <c r="W5768" t="s">
        <v>11249</v>
      </c>
    </row>
    <row r="5769" spans="1:23" hidden="1" x14ac:dyDescent="0.45">
      <c r="A5769" s="1" t="s">
        <v>5696</v>
      </c>
      <c r="B5769" t="s">
        <v>7104</v>
      </c>
      <c r="D5769" t="s">
        <v>8360</v>
      </c>
      <c r="E5769" t="s">
        <v>10115</v>
      </c>
      <c r="F5769" t="s">
        <v>10305</v>
      </c>
      <c r="G5769">
        <v>200</v>
      </c>
      <c r="H5769" t="s">
        <v>10307</v>
      </c>
      <c r="I5769" t="s">
        <v>10322</v>
      </c>
      <c r="K5769" t="s">
        <v>10333</v>
      </c>
      <c r="L5769">
        <v>2006</v>
      </c>
      <c r="N5769">
        <v>50.839167000000003</v>
      </c>
      <c r="P5769">
        <v>6.3211110000000001</v>
      </c>
      <c r="Q5769" t="s">
        <v>10995</v>
      </c>
      <c r="R5769" t="s">
        <v>11037</v>
      </c>
      <c r="S5769" t="s">
        <v>10307</v>
      </c>
      <c r="W5769" t="s">
        <v>11249</v>
      </c>
    </row>
    <row r="5770" spans="1:23" hidden="1" x14ac:dyDescent="0.45">
      <c r="A5770" s="1" t="s">
        <v>5697</v>
      </c>
      <c r="B5770" t="s">
        <v>7076</v>
      </c>
      <c r="D5770" t="s">
        <v>8221</v>
      </c>
      <c r="E5770" t="s">
        <v>9984</v>
      </c>
      <c r="F5770" t="s">
        <v>10305</v>
      </c>
      <c r="G5770">
        <v>55</v>
      </c>
      <c r="H5770" t="s">
        <v>10307</v>
      </c>
      <c r="I5770" t="s">
        <v>10321</v>
      </c>
      <c r="K5770" t="s">
        <v>10333</v>
      </c>
      <c r="L5770">
        <v>1973</v>
      </c>
      <c r="N5770">
        <v>51.672452999999997</v>
      </c>
      <c r="P5770">
        <v>7.7099469999999997</v>
      </c>
      <c r="Q5770" t="s">
        <v>10968</v>
      </c>
      <c r="R5770" t="s">
        <v>11037</v>
      </c>
      <c r="S5770" t="s">
        <v>10307</v>
      </c>
      <c r="W5770" t="s">
        <v>11249</v>
      </c>
    </row>
    <row r="5771" spans="1:23" hidden="1" x14ac:dyDescent="0.45">
      <c r="A5771" s="1" t="s">
        <v>5698</v>
      </c>
      <c r="B5771" t="s">
        <v>7076</v>
      </c>
      <c r="D5771" t="s">
        <v>8221</v>
      </c>
      <c r="E5771" t="s">
        <v>9984</v>
      </c>
      <c r="F5771" t="s">
        <v>10305</v>
      </c>
      <c r="G5771">
        <v>55</v>
      </c>
      <c r="H5771" t="s">
        <v>10307</v>
      </c>
      <c r="I5771" t="s">
        <v>10321</v>
      </c>
      <c r="K5771" t="s">
        <v>10333</v>
      </c>
      <c r="L5771">
        <v>1973</v>
      </c>
      <c r="N5771">
        <v>51.672452999999997</v>
      </c>
      <c r="P5771">
        <v>7.7099469999999997</v>
      </c>
      <c r="Q5771" t="s">
        <v>10968</v>
      </c>
      <c r="R5771" t="s">
        <v>11037</v>
      </c>
      <c r="S5771" t="s">
        <v>10307</v>
      </c>
      <c r="W5771" t="s">
        <v>11249</v>
      </c>
    </row>
    <row r="5772" spans="1:23" hidden="1" x14ac:dyDescent="0.45">
      <c r="A5772" s="1" t="s">
        <v>5699</v>
      </c>
      <c r="B5772" t="s">
        <v>7076</v>
      </c>
      <c r="D5772" t="s">
        <v>8221</v>
      </c>
      <c r="E5772" t="s">
        <v>9984</v>
      </c>
      <c r="F5772" t="s">
        <v>10305</v>
      </c>
      <c r="G5772">
        <v>55</v>
      </c>
      <c r="H5772" t="s">
        <v>10307</v>
      </c>
      <c r="I5772" t="s">
        <v>10323</v>
      </c>
      <c r="K5772" t="s">
        <v>10333</v>
      </c>
      <c r="L5772">
        <v>1973</v>
      </c>
      <c r="N5772">
        <v>51.672452999999997</v>
      </c>
      <c r="P5772">
        <v>7.7099469999999997</v>
      </c>
      <c r="Q5772" t="s">
        <v>10968</v>
      </c>
      <c r="R5772" t="s">
        <v>11037</v>
      </c>
      <c r="S5772" t="s">
        <v>10307</v>
      </c>
      <c r="W5772" t="s">
        <v>11249</v>
      </c>
    </row>
    <row r="5773" spans="1:23" hidden="1" x14ac:dyDescent="0.45">
      <c r="A5773" s="1" t="s">
        <v>5700</v>
      </c>
      <c r="B5773" t="s">
        <v>7076</v>
      </c>
      <c r="D5773" t="s">
        <v>8221</v>
      </c>
      <c r="E5773" t="s">
        <v>9984</v>
      </c>
      <c r="F5773" t="s">
        <v>10305</v>
      </c>
      <c r="G5773">
        <v>55</v>
      </c>
      <c r="H5773" t="s">
        <v>10307</v>
      </c>
      <c r="I5773" t="s">
        <v>10323</v>
      </c>
      <c r="K5773" t="s">
        <v>10333</v>
      </c>
      <c r="L5773">
        <v>1973</v>
      </c>
      <c r="N5773">
        <v>51.672452999999997</v>
      </c>
      <c r="P5773">
        <v>7.7099469999999997</v>
      </c>
      <c r="Q5773" t="s">
        <v>10968</v>
      </c>
      <c r="R5773" t="s">
        <v>11037</v>
      </c>
      <c r="S5773" t="s">
        <v>10307</v>
      </c>
      <c r="W5773" t="s">
        <v>11249</v>
      </c>
    </row>
    <row r="5774" spans="1:23" hidden="1" x14ac:dyDescent="0.45">
      <c r="A5774" s="1" t="s">
        <v>5701</v>
      </c>
      <c r="B5774" t="s">
        <v>7076</v>
      </c>
      <c r="D5774" t="s">
        <v>8221</v>
      </c>
      <c r="E5774" t="s">
        <v>9984</v>
      </c>
      <c r="F5774" t="s">
        <v>10305</v>
      </c>
      <c r="G5774">
        <v>355</v>
      </c>
      <c r="H5774" t="s">
        <v>10307</v>
      </c>
      <c r="I5774" t="s">
        <v>10323</v>
      </c>
      <c r="K5774" t="s">
        <v>10333</v>
      </c>
      <c r="L5774">
        <v>1973</v>
      </c>
      <c r="N5774">
        <v>51.672452999999997</v>
      </c>
      <c r="P5774">
        <v>7.7099469999999997</v>
      </c>
      <c r="Q5774" t="s">
        <v>10968</v>
      </c>
      <c r="R5774" t="s">
        <v>11037</v>
      </c>
      <c r="S5774" t="s">
        <v>10307</v>
      </c>
      <c r="W5774" t="s">
        <v>11249</v>
      </c>
    </row>
    <row r="5775" spans="1:23" hidden="1" x14ac:dyDescent="0.45">
      <c r="A5775" s="1" t="s">
        <v>5702</v>
      </c>
      <c r="B5775" t="s">
        <v>7076</v>
      </c>
      <c r="D5775" t="s">
        <v>8221</v>
      </c>
      <c r="E5775" t="s">
        <v>9984</v>
      </c>
      <c r="F5775" t="s">
        <v>10305</v>
      </c>
      <c r="G5775">
        <v>355</v>
      </c>
      <c r="H5775" t="s">
        <v>10307</v>
      </c>
      <c r="I5775" t="s">
        <v>10321</v>
      </c>
      <c r="K5775" t="s">
        <v>10333</v>
      </c>
      <c r="L5775">
        <v>1973</v>
      </c>
      <c r="N5775">
        <v>51.672452999999997</v>
      </c>
      <c r="P5775">
        <v>7.7099469999999997</v>
      </c>
      <c r="Q5775" t="s">
        <v>10968</v>
      </c>
      <c r="R5775" t="s">
        <v>11037</v>
      </c>
      <c r="S5775" t="s">
        <v>10307</v>
      </c>
      <c r="W5775" t="s">
        <v>11249</v>
      </c>
    </row>
    <row r="5776" spans="1:23" hidden="1" x14ac:dyDescent="0.45">
      <c r="A5776" s="1" t="s">
        <v>5703</v>
      </c>
      <c r="B5776" t="s">
        <v>7076</v>
      </c>
      <c r="D5776" t="s">
        <v>8221</v>
      </c>
      <c r="E5776" t="s">
        <v>9984</v>
      </c>
      <c r="F5776" t="s">
        <v>10305</v>
      </c>
      <c r="G5776">
        <v>355</v>
      </c>
      <c r="H5776" t="s">
        <v>10307</v>
      </c>
      <c r="I5776" t="s">
        <v>10321</v>
      </c>
      <c r="K5776" t="s">
        <v>10333</v>
      </c>
      <c r="L5776">
        <v>1973</v>
      </c>
      <c r="N5776">
        <v>51.672452999999997</v>
      </c>
      <c r="P5776">
        <v>7.7099469999999997</v>
      </c>
      <c r="Q5776" t="s">
        <v>10968</v>
      </c>
      <c r="R5776" t="s">
        <v>11037</v>
      </c>
      <c r="S5776" t="s">
        <v>10307</v>
      </c>
      <c r="W5776" t="s">
        <v>11249</v>
      </c>
    </row>
    <row r="5777" spans="1:23" hidden="1" x14ac:dyDescent="0.45">
      <c r="A5777" s="1" t="s">
        <v>5704</v>
      </c>
      <c r="B5777" t="s">
        <v>7076</v>
      </c>
      <c r="D5777" t="s">
        <v>8221</v>
      </c>
      <c r="E5777" t="s">
        <v>9984</v>
      </c>
      <c r="F5777" t="s">
        <v>10305</v>
      </c>
      <c r="G5777">
        <v>112</v>
      </c>
      <c r="H5777" t="s">
        <v>10307</v>
      </c>
      <c r="I5777" t="s">
        <v>10322</v>
      </c>
      <c r="K5777" t="s">
        <v>10333</v>
      </c>
      <c r="L5777">
        <v>1984</v>
      </c>
      <c r="N5777">
        <v>51.672452999999997</v>
      </c>
      <c r="P5777">
        <v>7.7099469999999997</v>
      </c>
      <c r="Q5777" t="s">
        <v>10968</v>
      </c>
      <c r="R5777" t="s">
        <v>11037</v>
      </c>
      <c r="S5777" t="s">
        <v>10307</v>
      </c>
      <c r="W5777" t="s">
        <v>11249</v>
      </c>
    </row>
    <row r="5778" spans="1:23" hidden="1" x14ac:dyDescent="0.45">
      <c r="A5778" s="1" t="s">
        <v>5705</v>
      </c>
      <c r="B5778" t="s">
        <v>7051</v>
      </c>
      <c r="D5778" t="s">
        <v>8160</v>
      </c>
      <c r="E5778" t="s">
        <v>9937</v>
      </c>
      <c r="F5778" t="s">
        <v>10305</v>
      </c>
      <c r="G5778">
        <v>25.015000000000001</v>
      </c>
      <c r="H5778" t="s">
        <v>10307</v>
      </c>
      <c r="I5778" t="s">
        <v>10323</v>
      </c>
      <c r="K5778" t="s">
        <v>10332</v>
      </c>
      <c r="L5778">
        <v>2006</v>
      </c>
      <c r="N5778">
        <v>50.040545999999999</v>
      </c>
      <c r="P5778">
        <v>8.2532479999999993</v>
      </c>
      <c r="R5778" t="s">
        <v>11037</v>
      </c>
      <c r="S5778" t="s">
        <v>10307</v>
      </c>
      <c r="W5778" t="s">
        <v>11249</v>
      </c>
    </row>
    <row r="5779" spans="1:23" hidden="1" x14ac:dyDescent="0.45">
      <c r="A5779" s="1" t="s">
        <v>5706</v>
      </c>
      <c r="B5779" t="s">
        <v>7044</v>
      </c>
      <c r="D5779" t="s">
        <v>8455</v>
      </c>
      <c r="E5779" t="s">
        <v>10181</v>
      </c>
      <c r="F5779" t="s">
        <v>10305</v>
      </c>
      <c r="G5779">
        <v>40</v>
      </c>
      <c r="H5779" t="s">
        <v>10307</v>
      </c>
      <c r="I5779" t="s">
        <v>10323</v>
      </c>
      <c r="K5779" t="s">
        <v>10333</v>
      </c>
      <c r="L5779">
        <v>1997</v>
      </c>
      <c r="N5779">
        <v>51.643127</v>
      </c>
      <c r="P5779">
        <v>12.228892</v>
      </c>
      <c r="R5779" t="s">
        <v>11037</v>
      </c>
      <c r="S5779" t="s">
        <v>10307</v>
      </c>
      <c r="W5779" t="s">
        <v>11249</v>
      </c>
    </row>
    <row r="5780" spans="1:23" hidden="1" x14ac:dyDescent="0.45">
      <c r="A5780" s="1" t="s">
        <v>5707</v>
      </c>
      <c r="B5780" t="s">
        <v>7146</v>
      </c>
      <c r="C5780" t="s">
        <v>7706</v>
      </c>
      <c r="D5780" t="s">
        <v>8456</v>
      </c>
      <c r="E5780" t="s">
        <v>10182</v>
      </c>
      <c r="F5780" t="s">
        <v>10305</v>
      </c>
      <c r="G5780">
        <v>59</v>
      </c>
      <c r="H5780" t="s">
        <v>10307</v>
      </c>
      <c r="I5780" t="s">
        <v>10323</v>
      </c>
      <c r="K5780" t="s">
        <v>10332</v>
      </c>
      <c r="L5780">
        <v>2007</v>
      </c>
      <c r="N5780">
        <v>49.069960000000002</v>
      </c>
      <c r="P5780">
        <v>8.3070199999999996</v>
      </c>
      <c r="R5780" t="s">
        <v>11037</v>
      </c>
      <c r="S5780" t="s">
        <v>10307</v>
      </c>
      <c r="W5780" t="s">
        <v>11249</v>
      </c>
    </row>
    <row r="5781" spans="1:23" hidden="1" x14ac:dyDescent="0.45">
      <c r="A5781" s="1" t="s">
        <v>5708</v>
      </c>
      <c r="B5781" t="s">
        <v>7090</v>
      </c>
      <c r="D5781" t="s">
        <v>8457</v>
      </c>
      <c r="E5781" t="s">
        <v>9987</v>
      </c>
      <c r="F5781" t="s">
        <v>10305</v>
      </c>
      <c r="G5781">
        <v>88.018999999999991</v>
      </c>
      <c r="H5781" t="s">
        <v>10307</v>
      </c>
      <c r="I5781" t="s">
        <v>10321</v>
      </c>
      <c r="K5781" t="s">
        <v>10332</v>
      </c>
      <c r="L5781">
        <v>2005</v>
      </c>
      <c r="N5781">
        <v>51.268889000000001</v>
      </c>
      <c r="P5781">
        <v>7.200278</v>
      </c>
      <c r="R5781" t="s">
        <v>11037</v>
      </c>
      <c r="S5781" t="s">
        <v>10307</v>
      </c>
      <c r="W5781" t="s">
        <v>11249</v>
      </c>
    </row>
    <row r="5782" spans="1:23" hidden="1" x14ac:dyDescent="0.45">
      <c r="A5782" s="1" t="s">
        <v>5709</v>
      </c>
      <c r="B5782" t="s">
        <v>7190</v>
      </c>
      <c r="C5782" t="s">
        <v>7707</v>
      </c>
      <c r="D5782" t="s">
        <v>8458</v>
      </c>
      <c r="E5782" t="s">
        <v>10183</v>
      </c>
      <c r="F5782" t="s">
        <v>10305</v>
      </c>
      <c r="G5782">
        <v>23</v>
      </c>
      <c r="H5782" t="s">
        <v>10307</v>
      </c>
      <c r="I5782" t="s">
        <v>10323</v>
      </c>
      <c r="K5782" t="s">
        <v>10332</v>
      </c>
      <c r="L5782">
        <v>1971</v>
      </c>
      <c r="N5782">
        <v>49.800041</v>
      </c>
      <c r="P5782">
        <v>9.9231359999999995</v>
      </c>
      <c r="R5782" t="s">
        <v>11037</v>
      </c>
      <c r="S5782" t="s">
        <v>10307</v>
      </c>
      <c r="W5782" t="s">
        <v>11249</v>
      </c>
    </row>
    <row r="5783" spans="1:23" hidden="1" x14ac:dyDescent="0.45">
      <c r="A5783" s="1" t="s">
        <v>5710</v>
      </c>
      <c r="B5783" t="s">
        <v>7190</v>
      </c>
      <c r="C5783" t="s">
        <v>7707</v>
      </c>
      <c r="D5783" t="s">
        <v>8458</v>
      </c>
      <c r="E5783" t="s">
        <v>10183</v>
      </c>
      <c r="F5783" t="s">
        <v>10305</v>
      </c>
      <c r="G5783">
        <v>25</v>
      </c>
      <c r="H5783" t="s">
        <v>10307</v>
      </c>
      <c r="I5783" t="s">
        <v>10323</v>
      </c>
      <c r="K5783" t="s">
        <v>10332</v>
      </c>
      <c r="L5783">
        <v>1993</v>
      </c>
      <c r="N5783">
        <v>49.800041</v>
      </c>
      <c r="P5783">
        <v>9.9231359999999995</v>
      </c>
      <c r="R5783" t="s">
        <v>11037</v>
      </c>
      <c r="S5783" t="s">
        <v>10307</v>
      </c>
      <c r="W5783" t="s">
        <v>11249</v>
      </c>
    </row>
    <row r="5784" spans="1:23" hidden="1" x14ac:dyDescent="0.45">
      <c r="A5784" s="1" t="s">
        <v>5711</v>
      </c>
      <c r="B5784" t="s">
        <v>7190</v>
      </c>
      <c r="C5784" t="s">
        <v>7707</v>
      </c>
      <c r="D5784" t="s">
        <v>8458</v>
      </c>
      <c r="E5784" t="s">
        <v>10183</v>
      </c>
      <c r="F5784" t="s">
        <v>10305</v>
      </c>
      <c r="G5784">
        <v>29.5</v>
      </c>
      <c r="H5784" t="s">
        <v>10307</v>
      </c>
      <c r="I5784" t="s">
        <v>10322</v>
      </c>
      <c r="K5784" t="s">
        <v>10332</v>
      </c>
      <c r="L5784">
        <v>2009</v>
      </c>
      <c r="N5784">
        <v>49.800041</v>
      </c>
      <c r="P5784">
        <v>9.9231359999999995</v>
      </c>
      <c r="R5784" t="s">
        <v>11037</v>
      </c>
      <c r="S5784" t="s">
        <v>10307</v>
      </c>
      <c r="W5784" t="s">
        <v>11249</v>
      </c>
    </row>
    <row r="5785" spans="1:23" hidden="1" x14ac:dyDescent="0.45">
      <c r="A5785" s="1" t="s">
        <v>5712</v>
      </c>
      <c r="B5785" t="s">
        <v>7190</v>
      </c>
      <c r="C5785" t="s">
        <v>7707</v>
      </c>
      <c r="D5785" t="s">
        <v>8458</v>
      </c>
      <c r="E5785" t="s">
        <v>10183</v>
      </c>
      <c r="F5785" t="s">
        <v>10305</v>
      </c>
      <c r="G5785">
        <v>44.5</v>
      </c>
      <c r="H5785" t="s">
        <v>10307</v>
      </c>
      <c r="I5785" t="s">
        <v>10322</v>
      </c>
      <c r="K5785" t="s">
        <v>10332</v>
      </c>
      <c r="L5785">
        <v>2005</v>
      </c>
      <c r="N5785">
        <v>49.800041</v>
      </c>
      <c r="P5785">
        <v>9.9231359999999995</v>
      </c>
      <c r="R5785" t="s">
        <v>11037</v>
      </c>
      <c r="S5785" t="s">
        <v>10307</v>
      </c>
      <c r="W5785" t="s">
        <v>11249</v>
      </c>
    </row>
    <row r="5786" spans="1:23" hidden="1" x14ac:dyDescent="0.45">
      <c r="A5786" s="1" t="s">
        <v>5713</v>
      </c>
      <c r="B5786" t="s">
        <v>7160</v>
      </c>
      <c r="D5786" t="s">
        <v>8459</v>
      </c>
      <c r="E5786" t="s">
        <v>10184</v>
      </c>
      <c r="F5786" t="s">
        <v>10305</v>
      </c>
      <c r="G5786">
        <v>27</v>
      </c>
      <c r="H5786" t="s">
        <v>10307</v>
      </c>
      <c r="I5786" t="s">
        <v>10323</v>
      </c>
      <c r="K5786" t="s">
        <v>10332</v>
      </c>
      <c r="L5786">
        <v>1996</v>
      </c>
      <c r="N5786">
        <v>52.298479999999998</v>
      </c>
      <c r="P5786">
        <v>11.67963</v>
      </c>
      <c r="R5786" t="s">
        <v>11037</v>
      </c>
      <c r="S5786" t="s">
        <v>10307</v>
      </c>
      <c r="W5786" t="s">
        <v>11249</v>
      </c>
    </row>
    <row r="5787" spans="1:23" hidden="1" x14ac:dyDescent="0.45">
      <c r="A5787" s="1" t="s">
        <v>5714</v>
      </c>
      <c r="B5787" t="s">
        <v>7124</v>
      </c>
      <c r="C5787" t="s">
        <v>7660</v>
      </c>
      <c r="D5787" t="s">
        <v>8460</v>
      </c>
      <c r="E5787" t="s">
        <v>10116</v>
      </c>
      <c r="F5787" t="s">
        <v>10305</v>
      </c>
      <c r="G5787">
        <v>15.1</v>
      </c>
      <c r="H5787" t="s">
        <v>10307</v>
      </c>
      <c r="I5787" t="s">
        <v>10323</v>
      </c>
      <c r="K5787" t="s">
        <v>10332</v>
      </c>
      <c r="L5787">
        <v>1996</v>
      </c>
      <c r="N5787">
        <v>50.705500000000001</v>
      </c>
      <c r="P5787">
        <v>6.6536200000000001</v>
      </c>
      <c r="R5787" t="s">
        <v>11037</v>
      </c>
      <c r="S5787" t="s">
        <v>10307</v>
      </c>
      <c r="W5787" t="s">
        <v>11249</v>
      </c>
    </row>
    <row r="5788" spans="1:23" hidden="1" x14ac:dyDescent="0.45">
      <c r="A5788" s="1" t="s">
        <v>5715</v>
      </c>
      <c r="B5788" t="s">
        <v>7191</v>
      </c>
      <c r="C5788" t="s">
        <v>7708</v>
      </c>
      <c r="D5788" t="s">
        <v>8461</v>
      </c>
      <c r="E5788" t="s">
        <v>10185</v>
      </c>
      <c r="F5788" t="s">
        <v>10305</v>
      </c>
      <c r="G5788">
        <v>29</v>
      </c>
      <c r="H5788" t="s">
        <v>10307</v>
      </c>
      <c r="I5788" t="s">
        <v>10323</v>
      </c>
      <c r="K5788" t="s">
        <v>10332</v>
      </c>
      <c r="L5788">
        <v>1967</v>
      </c>
      <c r="N5788">
        <v>48.38008</v>
      </c>
      <c r="P5788">
        <v>10.90143</v>
      </c>
      <c r="R5788" t="s">
        <v>11037</v>
      </c>
      <c r="S5788" t="s">
        <v>10307</v>
      </c>
      <c r="W5788" t="s">
        <v>11249</v>
      </c>
    </row>
    <row r="5789" spans="1:23" hidden="1" x14ac:dyDescent="0.45">
      <c r="A5789" s="1" t="s">
        <v>5716</v>
      </c>
      <c r="B5789" t="s">
        <v>7132</v>
      </c>
      <c r="C5789" t="s">
        <v>7709</v>
      </c>
      <c r="D5789" t="s">
        <v>8462</v>
      </c>
      <c r="E5789" t="s">
        <v>10126</v>
      </c>
      <c r="F5789" t="s">
        <v>10305</v>
      </c>
      <c r="G5789">
        <v>20.399999999999999</v>
      </c>
      <c r="H5789" t="s">
        <v>10307</v>
      </c>
      <c r="I5789" t="s">
        <v>10323</v>
      </c>
      <c r="K5789" t="s">
        <v>10332</v>
      </c>
      <c r="L5789">
        <v>1976</v>
      </c>
      <c r="N5789">
        <v>48.37509</v>
      </c>
      <c r="P5789">
        <v>10.90277</v>
      </c>
      <c r="R5789" t="s">
        <v>11037</v>
      </c>
      <c r="S5789" t="s">
        <v>10307</v>
      </c>
      <c r="W5789" t="s">
        <v>11249</v>
      </c>
    </row>
    <row r="5790" spans="1:23" hidden="1" x14ac:dyDescent="0.45">
      <c r="A5790" s="1" t="s">
        <v>5717</v>
      </c>
      <c r="B5790" t="s">
        <v>7161</v>
      </c>
      <c r="D5790" t="s">
        <v>8463</v>
      </c>
      <c r="E5790" t="s">
        <v>10186</v>
      </c>
      <c r="F5790" t="s">
        <v>10305</v>
      </c>
      <c r="G5790">
        <v>9.6999999999999993</v>
      </c>
      <c r="H5790" t="s">
        <v>10307</v>
      </c>
      <c r="I5790" t="s">
        <v>10323</v>
      </c>
      <c r="K5790" t="s">
        <v>10332</v>
      </c>
      <c r="L5790">
        <v>1994</v>
      </c>
      <c r="N5790">
        <v>50.800266000000001</v>
      </c>
      <c r="P5790">
        <v>10.220563</v>
      </c>
      <c r="R5790" t="s">
        <v>11037</v>
      </c>
      <c r="S5790" t="s">
        <v>10307</v>
      </c>
      <c r="W5790" t="s">
        <v>11249</v>
      </c>
    </row>
    <row r="5791" spans="1:23" hidden="1" x14ac:dyDescent="0.45">
      <c r="A5791" s="1" t="s">
        <v>5718</v>
      </c>
      <c r="B5791" t="s">
        <v>7192</v>
      </c>
      <c r="C5791" t="s">
        <v>7710</v>
      </c>
      <c r="D5791" t="s">
        <v>8464</v>
      </c>
      <c r="E5791" t="s">
        <v>10187</v>
      </c>
      <c r="F5791" t="s">
        <v>10305</v>
      </c>
      <c r="G5791">
        <v>11.4</v>
      </c>
      <c r="H5791" t="s">
        <v>10307</v>
      </c>
      <c r="I5791" t="s">
        <v>10323</v>
      </c>
      <c r="K5791" t="s">
        <v>10332</v>
      </c>
      <c r="L5791">
        <v>1999</v>
      </c>
      <c r="N5791">
        <v>49.81082</v>
      </c>
      <c r="P5791">
        <v>9.0116899999999998</v>
      </c>
      <c r="R5791" t="s">
        <v>11037</v>
      </c>
      <c r="S5791" t="s">
        <v>10307</v>
      </c>
      <c r="W5791" t="s">
        <v>11249</v>
      </c>
    </row>
    <row r="5792" spans="1:23" hidden="1" x14ac:dyDescent="0.45">
      <c r="A5792" s="1" t="s">
        <v>5719</v>
      </c>
      <c r="B5792" t="s">
        <v>7193</v>
      </c>
      <c r="C5792" t="s">
        <v>7711</v>
      </c>
      <c r="D5792" t="s">
        <v>8465</v>
      </c>
      <c r="E5792" t="s">
        <v>10188</v>
      </c>
      <c r="F5792" t="s">
        <v>10305</v>
      </c>
      <c r="G5792">
        <v>10.199999999999999</v>
      </c>
      <c r="H5792" t="s">
        <v>10307</v>
      </c>
      <c r="I5792" t="s">
        <v>10322</v>
      </c>
      <c r="K5792" t="s">
        <v>10332</v>
      </c>
      <c r="L5792">
        <v>1991</v>
      </c>
      <c r="N5792">
        <v>51.574420000000003</v>
      </c>
      <c r="P5792">
        <v>7.2979399999999996</v>
      </c>
      <c r="R5792" t="s">
        <v>11037</v>
      </c>
      <c r="S5792" t="s">
        <v>10307</v>
      </c>
      <c r="W5792" t="s">
        <v>11249</v>
      </c>
    </row>
    <row r="5793" spans="1:23" hidden="1" x14ac:dyDescent="0.45">
      <c r="A5793" s="1" t="s">
        <v>5720</v>
      </c>
      <c r="B5793" t="s">
        <v>7193</v>
      </c>
      <c r="C5793" t="s">
        <v>7711</v>
      </c>
      <c r="D5793" t="s">
        <v>8465</v>
      </c>
      <c r="E5793" t="s">
        <v>10188</v>
      </c>
      <c r="F5793" t="s">
        <v>10305</v>
      </c>
      <c r="G5793">
        <v>0.9</v>
      </c>
      <c r="H5793" t="s">
        <v>10307</v>
      </c>
      <c r="I5793" t="s">
        <v>10323</v>
      </c>
      <c r="K5793" t="s">
        <v>10332</v>
      </c>
      <c r="L5793">
        <v>2005</v>
      </c>
      <c r="N5793">
        <v>51.574420000000003</v>
      </c>
      <c r="P5793">
        <v>7.2979399999999996</v>
      </c>
      <c r="R5793" t="s">
        <v>11037</v>
      </c>
      <c r="S5793" t="s">
        <v>10307</v>
      </c>
      <c r="W5793" t="s">
        <v>11249</v>
      </c>
    </row>
    <row r="5794" spans="1:23" hidden="1" x14ac:dyDescent="0.45">
      <c r="A5794" s="1" t="s">
        <v>5721</v>
      </c>
      <c r="B5794" t="s">
        <v>7194</v>
      </c>
      <c r="C5794" t="s">
        <v>7712</v>
      </c>
      <c r="D5794" t="s">
        <v>8466</v>
      </c>
      <c r="E5794" t="s">
        <v>10189</v>
      </c>
      <c r="F5794" t="s">
        <v>10305</v>
      </c>
      <c r="G5794">
        <v>10</v>
      </c>
      <c r="H5794" t="s">
        <v>10307</v>
      </c>
      <c r="I5794" t="s">
        <v>10322</v>
      </c>
      <c r="K5794" t="s">
        <v>10332</v>
      </c>
      <c r="L5794">
        <v>1999</v>
      </c>
      <c r="N5794">
        <v>49.882818299999997</v>
      </c>
      <c r="P5794">
        <v>8.6287185849999997</v>
      </c>
      <c r="R5794" t="s">
        <v>11037</v>
      </c>
      <c r="S5794" t="s">
        <v>10307</v>
      </c>
      <c r="W5794" t="s">
        <v>11249</v>
      </c>
    </row>
    <row r="5795" spans="1:23" hidden="1" x14ac:dyDescent="0.45">
      <c r="A5795" s="1" t="s">
        <v>5722</v>
      </c>
      <c r="B5795" t="s">
        <v>7195</v>
      </c>
      <c r="C5795" t="s">
        <v>7713</v>
      </c>
      <c r="D5795" t="s">
        <v>8300</v>
      </c>
      <c r="E5795" t="s">
        <v>10057</v>
      </c>
      <c r="F5795" t="s">
        <v>10305</v>
      </c>
      <c r="G5795">
        <v>6.7</v>
      </c>
      <c r="H5795" t="s">
        <v>10307</v>
      </c>
      <c r="I5795" t="s">
        <v>10322</v>
      </c>
      <c r="K5795" t="s">
        <v>10332</v>
      </c>
      <c r="L5795">
        <v>1997</v>
      </c>
      <c r="N5795">
        <v>48.640307</v>
      </c>
      <c r="P5795">
        <v>12.463436</v>
      </c>
      <c r="R5795" t="s">
        <v>11037</v>
      </c>
      <c r="S5795" t="s">
        <v>10307</v>
      </c>
      <c r="W5795" t="s">
        <v>11249</v>
      </c>
    </row>
    <row r="5796" spans="1:23" hidden="1" x14ac:dyDescent="0.45">
      <c r="A5796" s="1" t="s">
        <v>5723</v>
      </c>
      <c r="B5796" t="s">
        <v>7195</v>
      </c>
      <c r="C5796" t="s">
        <v>7713</v>
      </c>
      <c r="D5796" t="s">
        <v>8300</v>
      </c>
      <c r="E5796" t="s">
        <v>10057</v>
      </c>
      <c r="F5796" t="s">
        <v>10305</v>
      </c>
      <c r="G5796">
        <v>6.7</v>
      </c>
      <c r="H5796" t="s">
        <v>10307</v>
      </c>
      <c r="I5796" t="s">
        <v>10322</v>
      </c>
      <c r="K5796" t="s">
        <v>10332</v>
      </c>
      <c r="L5796">
        <v>1997</v>
      </c>
      <c r="N5796">
        <v>48.640307</v>
      </c>
      <c r="P5796">
        <v>12.463436</v>
      </c>
      <c r="R5796" t="s">
        <v>11037</v>
      </c>
      <c r="S5796" t="s">
        <v>10307</v>
      </c>
      <c r="W5796" t="s">
        <v>11249</v>
      </c>
    </row>
    <row r="5797" spans="1:23" hidden="1" x14ac:dyDescent="0.45">
      <c r="A5797" s="1" t="s">
        <v>5724</v>
      </c>
      <c r="B5797" t="s">
        <v>7196</v>
      </c>
      <c r="C5797" t="s">
        <v>7714</v>
      </c>
      <c r="D5797" t="s">
        <v>8467</v>
      </c>
      <c r="E5797" t="s">
        <v>10123</v>
      </c>
      <c r="F5797" t="s">
        <v>10305</v>
      </c>
      <c r="G5797">
        <v>14</v>
      </c>
      <c r="H5797" t="s">
        <v>10307</v>
      </c>
      <c r="I5797" t="s">
        <v>10323</v>
      </c>
      <c r="K5797" t="s">
        <v>10332</v>
      </c>
      <c r="L5797">
        <v>1940</v>
      </c>
      <c r="N5797">
        <v>50.772840000000002</v>
      </c>
      <c r="P5797">
        <v>6.49003</v>
      </c>
      <c r="R5797" t="s">
        <v>11037</v>
      </c>
      <c r="S5797" t="s">
        <v>10307</v>
      </c>
      <c r="W5797" t="s">
        <v>11249</v>
      </c>
    </row>
    <row r="5798" spans="1:23" hidden="1" x14ac:dyDescent="0.45">
      <c r="A5798" s="1" t="s">
        <v>5725</v>
      </c>
      <c r="B5798" t="s">
        <v>7197</v>
      </c>
      <c r="C5798" t="s">
        <v>7715</v>
      </c>
      <c r="D5798" t="s">
        <v>8468</v>
      </c>
      <c r="E5798" t="s">
        <v>10190</v>
      </c>
      <c r="F5798" t="s">
        <v>10305</v>
      </c>
      <c r="G5798">
        <v>10.199999999999999</v>
      </c>
      <c r="H5798" t="s">
        <v>10307</v>
      </c>
      <c r="I5798" t="s">
        <v>10323</v>
      </c>
      <c r="K5798" t="s">
        <v>10332</v>
      </c>
      <c r="L5798">
        <v>2000</v>
      </c>
      <c r="N5798">
        <v>51.216859999999997</v>
      </c>
      <c r="P5798">
        <v>6.94733</v>
      </c>
      <c r="R5798" t="s">
        <v>11037</v>
      </c>
      <c r="S5798" t="s">
        <v>10307</v>
      </c>
      <c r="W5798" t="s">
        <v>11249</v>
      </c>
    </row>
    <row r="5799" spans="1:23" hidden="1" x14ac:dyDescent="0.45">
      <c r="A5799" s="1" t="s">
        <v>5726</v>
      </c>
      <c r="B5799" t="s">
        <v>7029</v>
      </c>
      <c r="C5799" t="s">
        <v>7716</v>
      </c>
      <c r="D5799" t="s">
        <v>8469</v>
      </c>
      <c r="E5799" t="s">
        <v>10191</v>
      </c>
      <c r="F5799" t="s">
        <v>10305</v>
      </c>
      <c r="G5799">
        <v>13.5</v>
      </c>
      <c r="H5799" t="s">
        <v>10307</v>
      </c>
      <c r="I5799" t="s">
        <v>10323</v>
      </c>
      <c r="K5799" t="s">
        <v>10332</v>
      </c>
      <c r="L5799">
        <v>2001</v>
      </c>
      <c r="N5799">
        <v>49.421579999999999</v>
      </c>
      <c r="P5799">
        <v>8.672839999999999</v>
      </c>
      <c r="R5799" t="s">
        <v>11037</v>
      </c>
      <c r="S5799" t="s">
        <v>10307</v>
      </c>
      <c r="W5799" t="s">
        <v>11249</v>
      </c>
    </row>
    <row r="5800" spans="1:23" hidden="1" x14ac:dyDescent="0.45">
      <c r="A5800" s="1" t="s">
        <v>5727</v>
      </c>
      <c r="B5800" t="s">
        <v>7125</v>
      </c>
      <c r="C5800" t="s">
        <v>7717</v>
      </c>
      <c r="D5800" t="s">
        <v>8470</v>
      </c>
      <c r="E5800" t="s">
        <v>10192</v>
      </c>
      <c r="F5800" t="s">
        <v>10305</v>
      </c>
      <c r="G5800">
        <v>11.4</v>
      </c>
      <c r="H5800" t="s">
        <v>10307</v>
      </c>
      <c r="I5800" t="s">
        <v>10323</v>
      </c>
      <c r="K5800" t="s">
        <v>10332</v>
      </c>
      <c r="L5800">
        <v>2002</v>
      </c>
      <c r="N5800">
        <v>51.729669999999999</v>
      </c>
      <c r="P5800">
        <v>6.3586499999999999</v>
      </c>
      <c r="R5800" t="s">
        <v>11037</v>
      </c>
      <c r="S5800" t="s">
        <v>10307</v>
      </c>
      <c r="W5800" t="s">
        <v>11249</v>
      </c>
    </row>
    <row r="5801" spans="1:23" hidden="1" x14ac:dyDescent="0.45">
      <c r="A5801" s="1" t="s">
        <v>5728</v>
      </c>
      <c r="B5801" t="s">
        <v>7123</v>
      </c>
      <c r="D5801" t="s">
        <v>8353</v>
      </c>
      <c r="E5801" t="s">
        <v>10108</v>
      </c>
      <c r="F5801" t="s">
        <v>10305</v>
      </c>
      <c r="G5801">
        <v>15.5</v>
      </c>
      <c r="H5801" t="s">
        <v>10307</v>
      </c>
      <c r="I5801" t="s">
        <v>10323</v>
      </c>
      <c r="K5801" t="s">
        <v>10332</v>
      </c>
      <c r="L5801">
        <v>2010</v>
      </c>
      <c r="N5801">
        <v>51.017899</v>
      </c>
      <c r="P5801">
        <v>6.9640449999999996</v>
      </c>
      <c r="R5801" t="s">
        <v>11037</v>
      </c>
      <c r="S5801" t="s">
        <v>10307</v>
      </c>
      <c r="W5801" t="s">
        <v>11249</v>
      </c>
    </row>
    <row r="5802" spans="1:23" hidden="1" x14ac:dyDescent="0.45">
      <c r="A5802" s="1" t="s">
        <v>5729</v>
      </c>
      <c r="B5802" t="s">
        <v>7123</v>
      </c>
      <c r="D5802" t="s">
        <v>8471</v>
      </c>
      <c r="E5802" t="s">
        <v>10108</v>
      </c>
      <c r="F5802" t="s">
        <v>10305</v>
      </c>
      <c r="G5802">
        <v>15.8</v>
      </c>
      <c r="H5802" t="s">
        <v>10307</v>
      </c>
      <c r="I5802" t="s">
        <v>10321</v>
      </c>
      <c r="K5802" t="s">
        <v>10332</v>
      </c>
      <c r="L5802">
        <v>2001</v>
      </c>
      <c r="N5802">
        <v>50.943082390000001</v>
      </c>
      <c r="P5802">
        <v>7.0852391920000004</v>
      </c>
      <c r="R5802" t="s">
        <v>11037</v>
      </c>
      <c r="S5802" t="s">
        <v>10307</v>
      </c>
      <c r="W5802" t="s">
        <v>11249</v>
      </c>
    </row>
    <row r="5803" spans="1:23" hidden="1" x14ac:dyDescent="0.45">
      <c r="A5803" s="1" t="s">
        <v>5730</v>
      </c>
      <c r="B5803" t="s">
        <v>7125</v>
      </c>
      <c r="C5803" t="s">
        <v>7718</v>
      </c>
      <c r="D5803" t="s">
        <v>8472</v>
      </c>
      <c r="E5803" t="s">
        <v>10193</v>
      </c>
      <c r="F5803" t="s">
        <v>10305</v>
      </c>
      <c r="G5803">
        <v>10.199999999999999</v>
      </c>
      <c r="H5803" t="s">
        <v>10307</v>
      </c>
      <c r="I5803" t="s">
        <v>10323</v>
      </c>
      <c r="K5803" t="s">
        <v>10332</v>
      </c>
      <c r="L5803">
        <v>2017</v>
      </c>
      <c r="N5803">
        <v>51.986139999999999</v>
      </c>
      <c r="P5803">
        <v>8.8073199999999972</v>
      </c>
      <c r="R5803" t="s">
        <v>11037</v>
      </c>
      <c r="S5803" t="s">
        <v>10307</v>
      </c>
      <c r="W5803" t="s">
        <v>11249</v>
      </c>
    </row>
    <row r="5804" spans="1:23" hidden="1" x14ac:dyDescent="0.45">
      <c r="A5804" s="1" t="s">
        <v>5731</v>
      </c>
      <c r="B5804" t="s">
        <v>7198</v>
      </c>
      <c r="C5804" t="s">
        <v>7719</v>
      </c>
      <c r="D5804" t="s">
        <v>8473</v>
      </c>
      <c r="E5804" t="s">
        <v>10194</v>
      </c>
      <c r="F5804" t="s">
        <v>10305</v>
      </c>
      <c r="G5804">
        <v>12.6</v>
      </c>
      <c r="H5804" t="s">
        <v>10307</v>
      </c>
      <c r="I5804" t="s">
        <v>10323</v>
      </c>
      <c r="K5804" t="s">
        <v>10332</v>
      </c>
      <c r="L5804">
        <v>2001</v>
      </c>
      <c r="N5804">
        <v>52.026243999999998</v>
      </c>
      <c r="P5804">
        <v>8.8665970000000005</v>
      </c>
      <c r="R5804" t="s">
        <v>11037</v>
      </c>
      <c r="S5804" t="s">
        <v>10307</v>
      </c>
      <c r="W5804" t="s">
        <v>11249</v>
      </c>
    </row>
    <row r="5805" spans="1:23" hidden="1" x14ac:dyDescent="0.45">
      <c r="A5805" s="1" t="s">
        <v>5732</v>
      </c>
      <c r="B5805" t="s">
        <v>7035</v>
      </c>
      <c r="C5805" t="s">
        <v>7720</v>
      </c>
      <c r="D5805" t="s">
        <v>8474</v>
      </c>
      <c r="E5805" t="s">
        <v>10158</v>
      </c>
      <c r="F5805" t="s">
        <v>10305</v>
      </c>
      <c r="G5805">
        <v>12.5</v>
      </c>
      <c r="H5805" t="s">
        <v>10307</v>
      </c>
      <c r="I5805" t="s">
        <v>10323</v>
      </c>
      <c r="K5805" t="s">
        <v>10332</v>
      </c>
      <c r="L5805">
        <v>2008</v>
      </c>
      <c r="N5805">
        <v>49.45308</v>
      </c>
      <c r="P5805">
        <v>8.4336399999999987</v>
      </c>
      <c r="R5805" t="s">
        <v>11037</v>
      </c>
      <c r="S5805" t="s">
        <v>10307</v>
      </c>
      <c r="W5805" t="s">
        <v>11249</v>
      </c>
    </row>
    <row r="5806" spans="1:23" hidden="1" x14ac:dyDescent="0.45">
      <c r="A5806" s="1" t="s">
        <v>5733</v>
      </c>
      <c r="B5806" t="s">
        <v>7035</v>
      </c>
      <c r="C5806" t="s">
        <v>7721</v>
      </c>
      <c r="D5806" t="s">
        <v>8474</v>
      </c>
      <c r="E5806" t="s">
        <v>10158</v>
      </c>
      <c r="F5806" t="s">
        <v>10305</v>
      </c>
      <c r="G5806">
        <v>11.96</v>
      </c>
      <c r="H5806" t="s">
        <v>10307</v>
      </c>
      <c r="I5806" t="s">
        <v>10321</v>
      </c>
      <c r="K5806" t="s">
        <v>10332</v>
      </c>
      <c r="L5806">
        <v>2003</v>
      </c>
      <c r="N5806">
        <v>49.453181000000001</v>
      </c>
      <c r="P5806">
        <v>8.4335919999999991</v>
      </c>
      <c r="R5806" t="s">
        <v>11037</v>
      </c>
      <c r="S5806" t="s">
        <v>10307</v>
      </c>
      <c r="W5806" t="s">
        <v>11249</v>
      </c>
    </row>
    <row r="5807" spans="1:23" hidden="1" x14ac:dyDescent="0.45">
      <c r="A5807" s="1" t="s">
        <v>5734</v>
      </c>
      <c r="B5807" t="s">
        <v>7199</v>
      </c>
      <c r="D5807" t="s">
        <v>8154</v>
      </c>
      <c r="E5807" t="s">
        <v>9931</v>
      </c>
      <c r="F5807" t="s">
        <v>10305</v>
      </c>
      <c r="G5807">
        <v>17.2</v>
      </c>
      <c r="H5807" t="s">
        <v>10307</v>
      </c>
      <c r="I5807" t="s">
        <v>10321</v>
      </c>
      <c r="K5807" t="s">
        <v>10332</v>
      </c>
      <c r="L5807">
        <v>2005</v>
      </c>
      <c r="N5807">
        <v>49.530709999999999</v>
      </c>
      <c r="P5807">
        <v>8.4708800000000011</v>
      </c>
      <c r="R5807" t="s">
        <v>11037</v>
      </c>
      <c r="S5807" t="s">
        <v>10307</v>
      </c>
      <c r="W5807" t="s">
        <v>11249</v>
      </c>
    </row>
    <row r="5808" spans="1:23" hidden="1" x14ac:dyDescent="0.45">
      <c r="A5808" s="1" t="s">
        <v>5735</v>
      </c>
      <c r="B5808" t="s">
        <v>7200</v>
      </c>
      <c r="D5808" t="s">
        <v>8475</v>
      </c>
      <c r="E5808" t="s">
        <v>10195</v>
      </c>
      <c r="F5808" t="s">
        <v>10305</v>
      </c>
      <c r="G5808">
        <v>5.3</v>
      </c>
      <c r="H5808" t="s">
        <v>10307</v>
      </c>
      <c r="I5808" t="s">
        <v>10323</v>
      </c>
      <c r="K5808" t="s">
        <v>10332</v>
      </c>
      <c r="L5808">
        <v>1989</v>
      </c>
      <c r="N5808">
        <v>47.789498999999999</v>
      </c>
      <c r="P5808">
        <v>11.055370999999999</v>
      </c>
      <c r="R5808" t="s">
        <v>11037</v>
      </c>
      <c r="S5808" t="s">
        <v>10307</v>
      </c>
      <c r="W5808" t="s">
        <v>11249</v>
      </c>
    </row>
    <row r="5809" spans="1:23" hidden="1" x14ac:dyDescent="0.45">
      <c r="A5809" s="1" t="s">
        <v>5736</v>
      </c>
      <c r="B5809" t="s">
        <v>7200</v>
      </c>
      <c r="D5809" t="s">
        <v>8475</v>
      </c>
      <c r="E5809" t="s">
        <v>10195</v>
      </c>
      <c r="F5809" t="s">
        <v>10305</v>
      </c>
      <c r="G5809">
        <v>5.3</v>
      </c>
      <c r="H5809" t="s">
        <v>10307</v>
      </c>
      <c r="I5809" t="s">
        <v>10323</v>
      </c>
      <c r="K5809" t="s">
        <v>10332</v>
      </c>
      <c r="L5809">
        <v>1987</v>
      </c>
      <c r="N5809">
        <v>47.789498999999999</v>
      </c>
      <c r="P5809">
        <v>11.055370999999999</v>
      </c>
      <c r="R5809" t="s">
        <v>11037</v>
      </c>
      <c r="S5809" t="s">
        <v>10307</v>
      </c>
      <c r="W5809" t="s">
        <v>11249</v>
      </c>
    </row>
    <row r="5810" spans="1:23" hidden="1" x14ac:dyDescent="0.45">
      <c r="A5810" s="1" t="s">
        <v>5737</v>
      </c>
      <c r="B5810" t="s">
        <v>7201</v>
      </c>
      <c r="C5810" t="s">
        <v>7722</v>
      </c>
      <c r="D5810" t="s">
        <v>8292</v>
      </c>
      <c r="E5810" t="s">
        <v>10196</v>
      </c>
      <c r="F5810" t="s">
        <v>10305</v>
      </c>
      <c r="G5810">
        <v>15.1</v>
      </c>
      <c r="H5810" t="s">
        <v>10307</v>
      </c>
      <c r="I5810" t="s">
        <v>10323</v>
      </c>
      <c r="K5810" t="s">
        <v>10332</v>
      </c>
      <c r="L5810">
        <v>2000</v>
      </c>
      <c r="N5810">
        <v>48.056350999999999</v>
      </c>
      <c r="P5810">
        <v>12.185174</v>
      </c>
      <c r="R5810" t="s">
        <v>11037</v>
      </c>
      <c r="S5810" t="s">
        <v>10307</v>
      </c>
      <c r="W5810" t="s">
        <v>11249</v>
      </c>
    </row>
    <row r="5811" spans="1:23" hidden="1" x14ac:dyDescent="0.45">
      <c r="A5811" s="1" t="s">
        <v>5738</v>
      </c>
      <c r="B5811" t="s">
        <v>7115</v>
      </c>
      <c r="C5811" t="s">
        <v>7650</v>
      </c>
      <c r="D5811" t="s">
        <v>8330</v>
      </c>
      <c r="E5811" t="s">
        <v>10087</v>
      </c>
      <c r="F5811" t="s">
        <v>10305</v>
      </c>
      <c r="G5811">
        <v>64</v>
      </c>
      <c r="H5811" t="s">
        <v>10307</v>
      </c>
      <c r="I5811" t="s">
        <v>10323</v>
      </c>
      <c r="K5811" t="s">
        <v>10332</v>
      </c>
      <c r="L5811">
        <v>1954</v>
      </c>
      <c r="N5811">
        <v>47.808109999999999</v>
      </c>
      <c r="P5811">
        <v>10.902509999999999</v>
      </c>
      <c r="R5811" t="s">
        <v>11037</v>
      </c>
      <c r="S5811" t="s">
        <v>10307</v>
      </c>
      <c r="W5811" t="s">
        <v>11249</v>
      </c>
    </row>
    <row r="5812" spans="1:23" hidden="1" x14ac:dyDescent="0.45">
      <c r="A5812" s="1" t="s">
        <v>5739</v>
      </c>
      <c r="B5812" t="s">
        <v>7115</v>
      </c>
      <c r="C5812" t="s">
        <v>7650</v>
      </c>
      <c r="D5812" t="s">
        <v>8330</v>
      </c>
      <c r="E5812" t="s">
        <v>10087</v>
      </c>
      <c r="F5812" t="s">
        <v>10305</v>
      </c>
      <c r="G5812">
        <v>76</v>
      </c>
      <c r="H5812" t="s">
        <v>10307</v>
      </c>
      <c r="I5812" t="s">
        <v>10323</v>
      </c>
      <c r="K5812" t="s">
        <v>10332</v>
      </c>
      <c r="L5812">
        <v>2014</v>
      </c>
      <c r="N5812">
        <v>47.808109999999999</v>
      </c>
      <c r="P5812">
        <v>10.902509999999999</v>
      </c>
      <c r="R5812" t="s">
        <v>11037</v>
      </c>
      <c r="S5812" t="s">
        <v>10307</v>
      </c>
      <c r="W5812" t="s">
        <v>11249</v>
      </c>
    </row>
    <row r="5813" spans="1:23" hidden="1" x14ac:dyDescent="0.45">
      <c r="A5813" s="1" t="s">
        <v>5740</v>
      </c>
      <c r="B5813" t="s">
        <v>7202</v>
      </c>
      <c r="D5813" t="s">
        <v>8476</v>
      </c>
      <c r="E5813" t="s">
        <v>10197</v>
      </c>
      <c r="F5813" t="s">
        <v>10305</v>
      </c>
      <c r="G5813">
        <v>95</v>
      </c>
      <c r="H5813" t="s">
        <v>10307</v>
      </c>
      <c r="I5813" t="s">
        <v>10323</v>
      </c>
      <c r="K5813" t="s">
        <v>10332</v>
      </c>
      <c r="L5813">
        <v>2013</v>
      </c>
      <c r="M5813" t="s">
        <v>10336</v>
      </c>
      <c r="N5813">
        <v>48.697221999999996</v>
      </c>
      <c r="P5813">
        <v>8.9991669999999999</v>
      </c>
      <c r="R5813" t="s">
        <v>11037</v>
      </c>
      <c r="S5813" t="s">
        <v>10307</v>
      </c>
      <c r="W5813" t="s">
        <v>11249</v>
      </c>
    </row>
    <row r="5814" spans="1:23" hidden="1" x14ac:dyDescent="0.45">
      <c r="A5814" s="1" t="s">
        <v>5741</v>
      </c>
      <c r="B5814" t="s">
        <v>7203</v>
      </c>
      <c r="C5814" t="s">
        <v>7723</v>
      </c>
      <c r="D5814" t="s">
        <v>8477</v>
      </c>
      <c r="E5814" t="s">
        <v>10198</v>
      </c>
      <c r="F5814" t="s">
        <v>10305</v>
      </c>
      <c r="G5814">
        <v>13.5</v>
      </c>
      <c r="H5814" t="s">
        <v>10307</v>
      </c>
      <c r="I5814" t="s">
        <v>10323</v>
      </c>
      <c r="K5814" t="s">
        <v>10332</v>
      </c>
      <c r="L5814">
        <v>1995</v>
      </c>
      <c r="N5814">
        <v>50.631500000000003</v>
      </c>
      <c r="P5814">
        <v>10.69866</v>
      </c>
      <c r="R5814" t="s">
        <v>11037</v>
      </c>
      <c r="S5814" t="s">
        <v>10307</v>
      </c>
      <c r="W5814" t="s">
        <v>11249</v>
      </c>
    </row>
    <row r="5815" spans="1:23" hidden="1" x14ac:dyDescent="0.45">
      <c r="A5815" s="1" t="s">
        <v>5742</v>
      </c>
      <c r="B5815" t="s">
        <v>7160</v>
      </c>
      <c r="D5815" t="s">
        <v>8478</v>
      </c>
      <c r="E5815" t="s">
        <v>10199</v>
      </c>
      <c r="F5815" t="s">
        <v>10305</v>
      </c>
      <c r="G5815">
        <v>20</v>
      </c>
      <c r="H5815" t="s">
        <v>10307</v>
      </c>
      <c r="I5815" t="s">
        <v>10323</v>
      </c>
      <c r="K5815" t="s">
        <v>10332</v>
      </c>
      <c r="L5815">
        <v>1995</v>
      </c>
      <c r="N5815">
        <v>50.813190000000013</v>
      </c>
      <c r="P5815">
        <v>9.9775200000000002</v>
      </c>
      <c r="R5815" t="s">
        <v>11037</v>
      </c>
      <c r="S5815" t="s">
        <v>10307</v>
      </c>
      <c r="W5815" t="s">
        <v>11249</v>
      </c>
    </row>
    <row r="5816" spans="1:23" hidden="1" x14ac:dyDescent="0.45">
      <c r="A5816" s="1" t="s">
        <v>5743</v>
      </c>
      <c r="B5816" t="s">
        <v>7204</v>
      </c>
      <c r="D5816" t="s">
        <v>8479</v>
      </c>
      <c r="E5816" t="s">
        <v>10200</v>
      </c>
      <c r="F5816" t="s">
        <v>10305</v>
      </c>
      <c r="G5816">
        <v>51.9</v>
      </c>
      <c r="H5816" t="s">
        <v>10307</v>
      </c>
      <c r="I5816" t="s">
        <v>10322</v>
      </c>
      <c r="K5816" t="s">
        <v>10332</v>
      </c>
      <c r="L5816">
        <v>1996</v>
      </c>
      <c r="N5816">
        <v>50.830509999999997</v>
      </c>
      <c r="P5816">
        <v>6.9593600000000002</v>
      </c>
      <c r="R5816" t="s">
        <v>11037</v>
      </c>
      <c r="S5816" t="s">
        <v>10307</v>
      </c>
      <c r="W5816" t="s">
        <v>11249</v>
      </c>
    </row>
    <row r="5817" spans="1:23" hidden="1" x14ac:dyDescent="0.45">
      <c r="A5817" s="1" t="s">
        <v>5744</v>
      </c>
      <c r="B5817" t="s">
        <v>7205</v>
      </c>
      <c r="C5817" t="s">
        <v>7724</v>
      </c>
      <c r="D5817" t="s">
        <v>8480</v>
      </c>
      <c r="E5817" t="s">
        <v>10201</v>
      </c>
      <c r="F5817" t="s">
        <v>10305</v>
      </c>
      <c r="G5817">
        <v>11.5</v>
      </c>
      <c r="H5817" t="s">
        <v>10307</v>
      </c>
      <c r="I5817" t="s">
        <v>10323</v>
      </c>
      <c r="K5817" t="s">
        <v>10332</v>
      </c>
      <c r="L5817">
        <v>1991</v>
      </c>
      <c r="N5817">
        <v>49.66328</v>
      </c>
      <c r="P5817">
        <v>8.3589399999999987</v>
      </c>
      <c r="R5817" t="s">
        <v>11037</v>
      </c>
      <c r="S5817" t="s">
        <v>10307</v>
      </c>
      <c r="W5817" t="s">
        <v>11249</v>
      </c>
    </row>
    <row r="5818" spans="1:23" hidden="1" x14ac:dyDescent="0.45">
      <c r="A5818" s="1" t="s">
        <v>5745</v>
      </c>
      <c r="B5818" t="s">
        <v>7160</v>
      </c>
      <c r="D5818" t="s">
        <v>8481</v>
      </c>
      <c r="E5818" t="s">
        <v>10202</v>
      </c>
      <c r="F5818" t="s">
        <v>10305</v>
      </c>
      <c r="G5818">
        <v>11</v>
      </c>
      <c r="H5818" t="s">
        <v>10307</v>
      </c>
      <c r="I5818" t="s">
        <v>10323</v>
      </c>
      <c r="K5818" t="s">
        <v>10332</v>
      </c>
      <c r="L5818">
        <v>1974</v>
      </c>
      <c r="N5818">
        <v>52.418520000000001</v>
      </c>
      <c r="P5818">
        <v>9.36815</v>
      </c>
      <c r="R5818" t="s">
        <v>11037</v>
      </c>
      <c r="S5818" t="s">
        <v>10307</v>
      </c>
      <c r="W5818" t="s">
        <v>11249</v>
      </c>
    </row>
    <row r="5819" spans="1:23" hidden="1" x14ac:dyDescent="0.45">
      <c r="A5819" s="1" t="s">
        <v>5746</v>
      </c>
      <c r="B5819" t="s">
        <v>7206</v>
      </c>
      <c r="C5819" t="s">
        <v>7725</v>
      </c>
      <c r="D5819" t="s">
        <v>8482</v>
      </c>
      <c r="E5819" t="s">
        <v>10203</v>
      </c>
      <c r="F5819" t="s">
        <v>10305</v>
      </c>
      <c r="G5819">
        <v>18.899999999999999</v>
      </c>
      <c r="H5819" t="s">
        <v>10307</v>
      </c>
      <c r="I5819" t="s">
        <v>10323</v>
      </c>
      <c r="K5819" t="s">
        <v>10332</v>
      </c>
      <c r="L5819">
        <v>2014</v>
      </c>
      <c r="N5819">
        <v>48.670060999999997</v>
      </c>
      <c r="P5819">
        <v>10.150584</v>
      </c>
      <c r="R5819" t="s">
        <v>11037</v>
      </c>
      <c r="S5819" t="s">
        <v>10307</v>
      </c>
      <c r="W5819" t="s">
        <v>11249</v>
      </c>
    </row>
    <row r="5820" spans="1:23" hidden="1" x14ac:dyDescent="0.45">
      <c r="A5820" s="1" t="s">
        <v>5747</v>
      </c>
      <c r="B5820" t="s">
        <v>7126</v>
      </c>
      <c r="C5820" t="s">
        <v>7664</v>
      </c>
      <c r="D5820" t="s">
        <v>8365</v>
      </c>
      <c r="E5820" t="s">
        <v>9993</v>
      </c>
      <c r="F5820" t="s">
        <v>10305</v>
      </c>
      <c r="G5820">
        <v>3</v>
      </c>
      <c r="H5820" t="s">
        <v>10307</v>
      </c>
      <c r="I5820" t="s">
        <v>10323</v>
      </c>
      <c r="K5820" t="s">
        <v>10332</v>
      </c>
      <c r="L5820">
        <v>1995</v>
      </c>
      <c r="N5820">
        <v>50.945630000000001</v>
      </c>
      <c r="P5820">
        <v>6.6649600000000024</v>
      </c>
      <c r="R5820" t="s">
        <v>11037</v>
      </c>
      <c r="S5820" t="s">
        <v>10307</v>
      </c>
      <c r="W5820" t="s">
        <v>11249</v>
      </c>
    </row>
    <row r="5821" spans="1:23" hidden="1" x14ac:dyDescent="0.45">
      <c r="A5821" s="1" t="s">
        <v>5748</v>
      </c>
      <c r="B5821" t="s">
        <v>7207</v>
      </c>
      <c r="C5821" t="s">
        <v>7726</v>
      </c>
      <c r="D5821" t="s">
        <v>8483</v>
      </c>
      <c r="E5821" t="s">
        <v>10145</v>
      </c>
      <c r="F5821" t="s">
        <v>10305</v>
      </c>
      <c r="G5821">
        <v>27</v>
      </c>
      <c r="H5821" t="s">
        <v>10307</v>
      </c>
      <c r="I5821" t="s">
        <v>10323</v>
      </c>
      <c r="K5821" t="s">
        <v>10332</v>
      </c>
      <c r="L5821">
        <v>2001</v>
      </c>
      <c r="N5821">
        <v>48.005572170000001</v>
      </c>
      <c r="P5821">
        <v>7.8422798169999997</v>
      </c>
      <c r="R5821" t="s">
        <v>11037</v>
      </c>
      <c r="S5821" t="s">
        <v>10307</v>
      </c>
      <c r="W5821" t="s">
        <v>11249</v>
      </c>
    </row>
    <row r="5822" spans="1:23" hidden="1" x14ac:dyDescent="0.45">
      <c r="A5822" s="1" t="s">
        <v>5749</v>
      </c>
      <c r="B5822" t="s">
        <v>7208</v>
      </c>
      <c r="C5822" t="s">
        <v>7727</v>
      </c>
      <c r="D5822" t="s">
        <v>8484</v>
      </c>
      <c r="E5822" t="s">
        <v>10160</v>
      </c>
      <c r="F5822" t="s">
        <v>10305</v>
      </c>
      <c r="G5822">
        <v>9.5</v>
      </c>
      <c r="H5822" t="s">
        <v>10307</v>
      </c>
      <c r="I5822" t="s">
        <v>10323</v>
      </c>
      <c r="K5822" t="s">
        <v>10332</v>
      </c>
      <c r="L5822">
        <v>1992</v>
      </c>
      <c r="N5822">
        <v>48.359099999999998</v>
      </c>
      <c r="P5822">
        <v>11.7903</v>
      </c>
      <c r="R5822" t="s">
        <v>11037</v>
      </c>
      <c r="S5822" t="s">
        <v>10307</v>
      </c>
      <c r="W5822" t="s">
        <v>11249</v>
      </c>
    </row>
    <row r="5823" spans="1:23" hidden="1" x14ac:dyDescent="0.45">
      <c r="A5823" s="1" t="s">
        <v>5750</v>
      </c>
      <c r="B5823" t="s">
        <v>7209</v>
      </c>
      <c r="C5823" t="s">
        <v>7727</v>
      </c>
      <c r="D5823" t="s">
        <v>8484</v>
      </c>
      <c r="E5823" t="s">
        <v>10160</v>
      </c>
      <c r="F5823" t="s">
        <v>10305</v>
      </c>
      <c r="G5823">
        <v>7.44</v>
      </c>
      <c r="H5823" t="s">
        <v>10307</v>
      </c>
      <c r="I5823" t="s">
        <v>10323</v>
      </c>
      <c r="K5823" t="s">
        <v>10332</v>
      </c>
      <c r="L5823">
        <v>2003</v>
      </c>
      <c r="N5823">
        <v>48.359099999999998</v>
      </c>
      <c r="P5823">
        <v>11.7903</v>
      </c>
      <c r="R5823" t="s">
        <v>11037</v>
      </c>
      <c r="S5823" t="s">
        <v>10307</v>
      </c>
      <c r="W5823" t="s">
        <v>11249</v>
      </c>
    </row>
    <row r="5824" spans="1:23" hidden="1" x14ac:dyDescent="0.45">
      <c r="A5824" s="1" t="s">
        <v>5751</v>
      </c>
      <c r="B5824" t="s">
        <v>7210</v>
      </c>
      <c r="C5824" t="s">
        <v>7728</v>
      </c>
      <c r="D5824" t="s">
        <v>8485</v>
      </c>
      <c r="E5824" t="s">
        <v>10204</v>
      </c>
      <c r="F5824" t="s">
        <v>10305</v>
      </c>
      <c r="G5824">
        <v>24</v>
      </c>
      <c r="H5824" t="s">
        <v>10307</v>
      </c>
      <c r="I5824" t="s">
        <v>10323</v>
      </c>
      <c r="K5824" t="s">
        <v>10332</v>
      </c>
      <c r="L5824">
        <v>2001</v>
      </c>
      <c r="N5824">
        <v>47.79598</v>
      </c>
      <c r="P5824">
        <v>12.11927</v>
      </c>
      <c r="R5824" t="s">
        <v>11037</v>
      </c>
      <c r="S5824" t="s">
        <v>10307</v>
      </c>
      <c r="W5824" t="s">
        <v>11249</v>
      </c>
    </row>
    <row r="5825" spans="1:23" hidden="1" x14ac:dyDescent="0.45">
      <c r="A5825" s="1" t="s">
        <v>5752</v>
      </c>
      <c r="B5825" t="s">
        <v>7211</v>
      </c>
      <c r="C5825" t="s">
        <v>7729</v>
      </c>
      <c r="D5825" t="s">
        <v>8486</v>
      </c>
      <c r="E5825" t="s">
        <v>10205</v>
      </c>
      <c r="F5825" t="s">
        <v>10305</v>
      </c>
      <c r="G5825">
        <v>13.11</v>
      </c>
      <c r="H5825" t="s">
        <v>10307</v>
      </c>
      <c r="I5825" t="s">
        <v>10321</v>
      </c>
      <c r="K5825" t="s">
        <v>10332</v>
      </c>
      <c r="L5825">
        <v>1993</v>
      </c>
      <c r="N5825">
        <v>51.051349999999999</v>
      </c>
      <c r="P5825">
        <v>13.01661</v>
      </c>
      <c r="R5825" t="s">
        <v>11037</v>
      </c>
      <c r="S5825" t="s">
        <v>10307</v>
      </c>
      <c r="W5825" t="s">
        <v>11249</v>
      </c>
    </row>
    <row r="5826" spans="1:23" hidden="1" x14ac:dyDescent="0.45">
      <c r="A5826" s="1" t="s">
        <v>5753</v>
      </c>
      <c r="B5826" t="s">
        <v>7212</v>
      </c>
      <c r="C5826" t="s">
        <v>7730</v>
      </c>
      <c r="D5826" t="s">
        <v>8487</v>
      </c>
      <c r="E5826" t="s">
        <v>10206</v>
      </c>
      <c r="F5826" t="s">
        <v>10305</v>
      </c>
      <c r="G5826">
        <v>24</v>
      </c>
      <c r="H5826" t="s">
        <v>10307</v>
      </c>
      <c r="I5826" t="s">
        <v>10323</v>
      </c>
      <c r="K5826" t="s">
        <v>10332</v>
      </c>
      <c r="L5826">
        <v>1995</v>
      </c>
      <c r="N5826">
        <v>51.469349999999999</v>
      </c>
      <c r="P5826">
        <v>6.64358</v>
      </c>
      <c r="R5826" t="s">
        <v>11037</v>
      </c>
      <c r="S5826" t="s">
        <v>10307</v>
      </c>
      <c r="W5826" t="s">
        <v>11249</v>
      </c>
    </row>
    <row r="5827" spans="1:23" hidden="1" x14ac:dyDescent="0.45">
      <c r="A5827" s="1" t="s">
        <v>5754</v>
      </c>
      <c r="B5827" t="s">
        <v>7213</v>
      </c>
      <c r="C5827" t="s">
        <v>7731</v>
      </c>
      <c r="D5827" t="s">
        <v>8488</v>
      </c>
      <c r="E5827" t="s">
        <v>9978</v>
      </c>
      <c r="F5827" t="s">
        <v>10305</v>
      </c>
      <c r="G5827">
        <v>12.180999999999999</v>
      </c>
      <c r="H5827" t="s">
        <v>10307</v>
      </c>
      <c r="I5827" t="s">
        <v>10323</v>
      </c>
      <c r="K5827" t="s">
        <v>10332</v>
      </c>
      <c r="L5827">
        <v>1988</v>
      </c>
      <c r="N5827">
        <v>48.750810000000001</v>
      </c>
      <c r="P5827">
        <v>9.1103000000000005</v>
      </c>
      <c r="R5827" t="s">
        <v>11037</v>
      </c>
      <c r="S5827" t="s">
        <v>10307</v>
      </c>
      <c r="W5827" t="s">
        <v>11249</v>
      </c>
    </row>
    <row r="5828" spans="1:23" hidden="1" x14ac:dyDescent="0.45">
      <c r="A5828" s="1" t="s">
        <v>5755</v>
      </c>
      <c r="B5828" t="s">
        <v>7213</v>
      </c>
      <c r="C5828" t="s">
        <v>7731</v>
      </c>
      <c r="D5828" t="s">
        <v>8488</v>
      </c>
      <c r="E5828" t="s">
        <v>9978</v>
      </c>
      <c r="F5828" t="s">
        <v>10305</v>
      </c>
      <c r="G5828">
        <v>11.3377</v>
      </c>
      <c r="H5828" t="s">
        <v>10307</v>
      </c>
      <c r="I5828" t="s">
        <v>10323</v>
      </c>
      <c r="K5828" t="s">
        <v>10332</v>
      </c>
      <c r="L5828">
        <v>1969</v>
      </c>
      <c r="N5828">
        <v>48.750810000000001</v>
      </c>
      <c r="P5828">
        <v>9.1103000000000005</v>
      </c>
      <c r="R5828" t="s">
        <v>11037</v>
      </c>
      <c r="S5828" t="s">
        <v>10307</v>
      </c>
      <c r="W5828" t="s">
        <v>11249</v>
      </c>
    </row>
    <row r="5829" spans="1:23" hidden="1" x14ac:dyDescent="0.45">
      <c r="A5829" s="1" t="s">
        <v>5756</v>
      </c>
      <c r="B5829" t="s">
        <v>7213</v>
      </c>
      <c r="C5829" t="s">
        <v>7731</v>
      </c>
      <c r="D5829" t="s">
        <v>8488</v>
      </c>
      <c r="E5829" t="s">
        <v>9978</v>
      </c>
      <c r="F5829" t="s">
        <v>10305</v>
      </c>
      <c r="G5829">
        <v>11.6188</v>
      </c>
      <c r="H5829" t="s">
        <v>10307</v>
      </c>
      <c r="I5829" t="s">
        <v>10323</v>
      </c>
      <c r="K5829" t="s">
        <v>10332</v>
      </c>
      <c r="L5829">
        <v>1968</v>
      </c>
      <c r="N5829">
        <v>48.750810000000001</v>
      </c>
      <c r="P5829">
        <v>9.1103000000000005</v>
      </c>
      <c r="R5829" t="s">
        <v>11037</v>
      </c>
      <c r="S5829" t="s">
        <v>10307</v>
      </c>
      <c r="W5829" t="s">
        <v>11249</v>
      </c>
    </row>
    <row r="5830" spans="1:23" hidden="1" x14ac:dyDescent="0.45">
      <c r="A5830" s="1" t="s">
        <v>5757</v>
      </c>
      <c r="B5830" t="s">
        <v>7214</v>
      </c>
      <c r="C5830" t="s">
        <v>7732</v>
      </c>
      <c r="D5830" t="s">
        <v>8176</v>
      </c>
      <c r="E5830" t="s">
        <v>9950</v>
      </c>
      <c r="F5830" t="s">
        <v>10305</v>
      </c>
      <c r="G5830">
        <v>14.8</v>
      </c>
      <c r="H5830" t="s">
        <v>10307</v>
      </c>
      <c r="I5830" t="s">
        <v>10321</v>
      </c>
      <c r="K5830" t="s">
        <v>10332</v>
      </c>
      <c r="L5830">
        <v>2002</v>
      </c>
      <c r="N5830">
        <v>53.120989999999999</v>
      </c>
      <c r="P5830">
        <v>8.7347760000000001</v>
      </c>
      <c r="R5830" t="s">
        <v>11037</v>
      </c>
      <c r="S5830" t="s">
        <v>10307</v>
      </c>
      <c r="W5830" t="s">
        <v>11249</v>
      </c>
    </row>
    <row r="5831" spans="1:23" hidden="1" x14ac:dyDescent="0.45">
      <c r="A5831" s="1" t="s">
        <v>5758</v>
      </c>
      <c r="B5831" t="s">
        <v>7054</v>
      </c>
      <c r="C5831" t="s">
        <v>7538</v>
      </c>
      <c r="D5831" t="s">
        <v>8163</v>
      </c>
      <c r="E5831" t="s">
        <v>9940</v>
      </c>
      <c r="F5831" t="s">
        <v>10305</v>
      </c>
      <c r="G5831">
        <v>58.1</v>
      </c>
      <c r="H5831" t="s">
        <v>10307</v>
      </c>
      <c r="I5831" t="s">
        <v>10323</v>
      </c>
      <c r="K5831" t="s">
        <v>10332</v>
      </c>
      <c r="L5831">
        <v>1989</v>
      </c>
      <c r="N5831">
        <v>53.403170000000003</v>
      </c>
      <c r="P5831">
        <v>8.128210000000001</v>
      </c>
      <c r="R5831" t="s">
        <v>11037</v>
      </c>
      <c r="S5831" t="s">
        <v>10307</v>
      </c>
      <c r="W5831" t="s">
        <v>11249</v>
      </c>
    </row>
    <row r="5832" spans="1:23" hidden="1" x14ac:dyDescent="0.45">
      <c r="A5832" s="1" t="s">
        <v>5759</v>
      </c>
      <c r="B5832" t="s">
        <v>7054</v>
      </c>
      <c r="C5832" t="s">
        <v>7538</v>
      </c>
      <c r="D5832" t="s">
        <v>8163</v>
      </c>
      <c r="E5832" t="s">
        <v>9940</v>
      </c>
      <c r="F5832" t="s">
        <v>10305</v>
      </c>
      <c r="G5832">
        <v>0.48</v>
      </c>
      <c r="H5832" t="s">
        <v>10307</v>
      </c>
      <c r="I5832" t="s">
        <v>10323</v>
      </c>
      <c r="K5832" t="s">
        <v>10333</v>
      </c>
      <c r="L5832">
        <v>1968</v>
      </c>
      <c r="N5832">
        <v>53.403170000000003</v>
      </c>
      <c r="P5832">
        <v>8.128210000000001</v>
      </c>
      <c r="R5832" t="s">
        <v>11037</v>
      </c>
      <c r="S5832" t="s">
        <v>10307</v>
      </c>
      <c r="W5832" t="s">
        <v>11249</v>
      </c>
    </row>
    <row r="5833" spans="1:23" hidden="1" x14ac:dyDescent="0.45">
      <c r="A5833" s="1" t="s">
        <v>5760</v>
      </c>
      <c r="B5833" t="s">
        <v>7215</v>
      </c>
      <c r="C5833" t="s">
        <v>7733</v>
      </c>
      <c r="D5833" t="s">
        <v>8489</v>
      </c>
      <c r="E5833" t="s">
        <v>10139</v>
      </c>
      <c r="F5833" t="s">
        <v>10305</v>
      </c>
      <c r="G5833">
        <v>84</v>
      </c>
      <c r="H5833" t="s">
        <v>10307</v>
      </c>
      <c r="I5833" t="s">
        <v>10323</v>
      </c>
      <c r="K5833" t="s">
        <v>10332</v>
      </c>
      <c r="L5833">
        <v>1948</v>
      </c>
      <c r="N5833">
        <v>51.175649999999997</v>
      </c>
      <c r="P5833">
        <v>6.83805</v>
      </c>
      <c r="R5833" t="s">
        <v>11037</v>
      </c>
      <c r="S5833" t="s">
        <v>10307</v>
      </c>
      <c r="W5833" t="s">
        <v>11249</v>
      </c>
    </row>
    <row r="5834" spans="1:23" hidden="1" x14ac:dyDescent="0.45">
      <c r="A5834" s="1" t="s">
        <v>5761</v>
      </c>
      <c r="B5834" t="s">
        <v>7055</v>
      </c>
      <c r="C5834" t="s">
        <v>7539</v>
      </c>
      <c r="D5834" t="s">
        <v>8164</v>
      </c>
      <c r="E5834" t="s">
        <v>9941</v>
      </c>
      <c r="F5834" t="s">
        <v>10305</v>
      </c>
      <c r="G5834">
        <v>27</v>
      </c>
      <c r="H5834" t="s">
        <v>10307</v>
      </c>
      <c r="I5834" t="s">
        <v>10323</v>
      </c>
      <c r="K5834" t="s">
        <v>10332</v>
      </c>
      <c r="N5834">
        <v>49.988218000000003</v>
      </c>
      <c r="P5834">
        <v>9.155761</v>
      </c>
      <c r="R5834" t="s">
        <v>11037</v>
      </c>
      <c r="S5834" t="s">
        <v>10307</v>
      </c>
      <c r="W5834" t="s">
        <v>11249</v>
      </c>
    </row>
    <row r="5835" spans="1:23" hidden="1" x14ac:dyDescent="0.45">
      <c r="A5835" s="1" t="s">
        <v>5762</v>
      </c>
      <c r="B5835" t="s">
        <v>7055</v>
      </c>
      <c r="C5835" t="s">
        <v>7539</v>
      </c>
      <c r="D5835" t="s">
        <v>8164</v>
      </c>
      <c r="E5835" t="s">
        <v>9941</v>
      </c>
      <c r="F5835" t="s">
        <v>10305</v>
      </c>
      <c r="G5835">
        <v>47</v>
      </c>
      <c r="H5835" t="s">
        <v>10307</v>
      </c>
      <c r="I5835" t="s">
        <v>10321</v>
      </c>
      <c r="K5835" t="s">
        <v>10332</v>
      </c>
      <c r="L5835">
        <v>2013</v>
      </c>
      <c r="N5835">
        <v>49.988218000000003</v>
      </c>
      <c r="P5835">
        <v>9.155761</v>
      </c>
      <c r="R5835" t="s">
        <v>11037</v>
      </c>
      <c r="S5835" t="s">
        <v>10307</v>
      </c>
      <c r="W5835" t="s">
        <v>11249</v>
      </c>
    </row>
    <row r="5836" spans="1:23" hidden="1" x14ac:dyDescent="0.45">
      <c r="A5836" s="1" t="s">
        <v>5763</v>
      </c>
      <c r="B5836" t="s">
        <v>7216</v>
      </c>
      <c r="C5836" t="s">
        <v>7734</v>
      </c>
      <c r="D5836" t="s">
        <v>8490</v>
      </c>
      <c r="E5836" t="s">
        <v>10207</v>
      </c>
      <c r="F5836" t="s">
        <v>10305</v>
      </c>
      <c r="G5836">
        <v>34.299999999999997</v>
      </c>
      <c r="H5836" t="s">
        <v>10307</v>
      </c>
      <c r="I5836" t="s">
        <v>10323</v>
      </c>
      <c r="K5836" t="s">
        <v>10332</v>
      </c>
      <c r="L5836">
        <v>1998</v>
      </c>
      <c r="N5836">
        <v>51.12697</v>
      </c>
      <c r="P5836">
        <v>13.715</v>
      </c>
      <c r="R5836" t="s">
        <v>11037</v>
      </c>
      <c r="S5836" t="s">
        <v>10307</v>
      </c>
      <c r="W5836" t="s">
        <v>11249</v>
      </c>
    </row>
    <row r="5837" spans="1:23" hidden="1" x14ac:dyDescent="0.45">
      <c r="A5837" s="1" t="s">
        <v>5764</v>
      </c>
      <c r="B5837" t="s">
        <v>7127</v>
      </c>
      <c r="C5837" t="s">
        <v>7665</v>
      </c>
      <c r="D5837" t="s">
        <v>8366</v>
      </c>
      <c r="E5837" t="s">
        <v>10120</v>
      </c>
      <c r="F5837" t="s">
        <v>10305</v>
      </c>
      <c r="G5837">
        <v>23.3</v>
      </c>
      <c r="H5837" t="s">
        <v>10307</v>
      </c>
      <c r="I5837" t="s">
        <v>10323</v>
      </c>
      <c r="K5837" t="s">
        <v>10333</v>
      </c>
      <c r="L5837">
        <v>1993</v>
      </c>
      <c r="N5837">
        <v>51.048850000000002</v>
      </c>
      <c r="P5837">
        <v>12.110379999999999</v>
      </c>
      <c r="R5837" t="s">
        <v>11037</v>
      </c>
      <c r="S5837" t="s">
        <v>10307</v>
      </c>
      <c r="W5837" t="s">
        <v>11249</v>
      </c>
    </row>
    <row r="5838" spans="1:23" hidden="1" x14ac:dyDescent="0.45">
      <c r="A5838" s="1" t="s">
        <v>5765</v>
      </c>
      <c r="B5838" t="s">
        <v>7217</v>
      </c>
      <c r="C5838" t="s">
        <v>7735</v>
      </c>
      <c r="D5838" t="s">
        <v>8491</v>
      </c>
      <c r="E5838" t="s">
        <v>10208</v>
      </c>
      <c r="F5838" t="s">
        <v>10305</v>
      </c>
      <c r="G5838">
        <v>18.100000000000001</v>
      </c>
      <c r="H5838" t="s">
        <v>10307</v>
      </c>
      <c r="I5838" t="s">
        <v>10323</v>
      </c>
      <c r="K5838" t="s">
        <v>10332</v>
      </c>
      <c r="L5838">
        <v>1996</v>
      </c>
      <c r="N5838">
        <v>52.617959999999997</v>
      </c>
      <c r="P5838">
        <v>7.8618800000000002</v>
      </c>
      <c r="R5838" t="s">
        <v>11037</v>
      </c>
      <c r="S5838" t="s">
        <v>10307</v>
      </c>
      <c r="W5838" t="s">
        <v>11249</v>
      </c>
    </row>
    <row r="5839" spans="1:23" hidden="1" x14ac:dyDescent="0.45">
      <c r="A5839" s="1" t="s">
        <v>5766</v>
      </c>
      <c r="B5839" t="s">
        <v>7218</v>
      </c>
      <c r="C5839" t="s">
        <v>7736</v>
      </c>
      <c r="D5839" t="s">
        <v>8492</v>
      </c>
      <c r="E5839" t="s">
        <v>10209</v>
      </c>
      <c r="F5839" t="s">
        <v>10305</v>
      </c>
      <c r="G5839">
        <v>11.4</v>
      </c>
      <c r="H5839" t="s">
        <v>10307</v>
      </c>
      <c r="I5839" t="s">
        <v>10323</v>
      </c>
      <c r="K5839" t="s">
        <v>10332</v>
      </c>
      <c r="L5839">
        <v>1999</v>
      </c>
      <c r="N5839">
        <v>52.83005</v>
      </c>
      <c r="P5839">
        <v>11.10328</v>
      </c>
      <c r="R5839" t="s">
        <v>11037</v>
      </c>
      <c r="S5839" t="s">
        <v>10307</v>
      </c>
      <c r="W5839" t="s">
        <v>11249</v>
      </c>
    </row>
    <row r="5840" spans="1:23" hidden="1" x14ac:dyDescent="0.45">
      <c r="A5840" s="1" t="s">
        <v>5767</v>
      </c>
      <c r="B5840" t="s">
        <v>7219</v>
      </c>
      <c r="C5840" t="s">
        <v>7737</v>
      </c>
      <c r="D5840" t="s">
        <v>8493</v>
      </c>
      <c r="E5840" t="s">
        <v>10210</v>
      </c>
      <c r="F5840" t="s">
        <v>10305</v>
      </c>
      <c r="G5840">
        <v>18.879000000000001</v>
      </c>
      <c r="H5840" t="s">
        <v>10307</v>
      </c>
      <c r="I5840" t="s">
        <v>10323</v>
      </c>
      <c r="K5840" t="s">
        <v>10332</v>
      </c>
      <c r="L5840">
        <v>1992</v>
      </c>
      <c r="N5840">
        <v>51.217100000000002</v>
      </c>
      <c r="P5840">
        <v>6.6965399999999997</v>
      </c>
      <c r="R5840" t="s">
        <v>11037</v>
      </c>
      <c r="S5840" t="s">
        <v>10307</v>
      </c>
      <c r="W5840" t="s">
        <v>11249</v>
      </c>
    </row>
    <row r="5841" spans="1:23" hidden="1" x14ac:dyDescent="0.45">
      <c r="A5841" s="1" t="s">
        <v>5768</v>
      </c>
      <c r="B5841" t="s">
        <v>7220</v>
      </c>
      <c r="C5841" t="s">
        <v>7738</v>
      </c>
      <c r="D5841" t="s">
        <v>8494</v>
      </c>
      <c r="E5841" t="s">
        <v>10211</v>
      </c>
      <c r="F5841" t="s">
        <v>10305</v>
      </c>
      <c r="G5841">
        <v>18.72</v>
      </c>
      <c r="H5841" t="s">
        <v>10307</v>
      </c>
      <c r="I5841" t="s">
        <v>10323</v>
      </c>
      <c r="K5841" t="s">
        <v>10332</v>
      </c>
      <c r="L5841">
        <v>1997</v>
      </c>
      <c r="N5841">
        <v>50.874130000000001</v>
      </c>
      <c r="P5841">
        <v>13.394360000000001</v>
      </c>
      <c r="R5841" t="s">
        <v>11037</v>
      </c>
      <c r="S5841" t="s">
        <v>10307</v>
      </c>
      <c r="W5841" t="s">
        <v>11249</v>
      </c>
    </row>
    <row r="5842" spans="1:23" hidden="1" x14ac:dyDescent="0.45">
      <c r="A5842" s="1" t="s">
        <v>5769</v>
      </c>
      <c r="B5842" t="s">
        <v>7084</v>
      </c>
      <c r="C5842" t="s">
        <v>7739</v>
      </c>
      <c r="D5842" t="s">
        <v>8271</v>
      </c>
      <c r="E5842" t="s">
        <v>722</v>
      </c>
      <c r="F5842" t="s">
        <v>10305</v>
      </c>
      <c r="G5842">
        <v>15.68</v>
      </c>
      <c r="H5842" t="s">
        <v>10307</v>
      </c>
      <c r="I5842" t="s">
        <v>10323</v>
      </c>
      <c r="K5842" t="s">
        <v>10332</v>
      </c>
      <c r="L5842">
        <v>1979</v>
      </c>
      <c r="N5842">
        <v>47.570793999999999</v>
      </c>
      <c r="P5842">
        <v>7.8071919999999997</v>
      </c>
      <c r="R5842" t="s">
        <v>11037</v>
      </c>
      <c r="S5842" t="s">
        <v>10307</v>
      </c>
      <c r="W5842" t="s">
        <v>11249</v>
      </c>
    </row>
    <row r="5843" spans="1:23" hidden="1" x14ac:dyDescent="0.45">
      <c r="A5843" s="1" t="s">
        <v>5770</v>
      </c>
      <c r="B5843" t="s">
        <v>7221</v>
      </c>
      <c r="C5843" t="s">
        <v>7740</v>
      </c>
      <c r="D5843" t="s">
        <v>8452</v>
      </c>
      <c r="E5843" t="s">
        <v>10212</v>
      </c>
      <c r="F5843" t="s">
        <v>10305</v>
      </c>
      <c r="G5843">
        <v>30.72</v>
      </c>
      <c r="H5843" t="s">
        <v>10307</v>
      </c>
      <c r="I5843" t="s">
        <v>10322</v>
      </c>
      <c r="K5843" t="s">
        <v>10332</v>
      </c>
      <c r="L5843">
        <v>2012</v>
      </c>
      <c r="N5843">
        <v>53.657519999999998</v>
      </c>
      <c r="P5843">
        <v>9.5019799999999996</v>
      </c>
      <c r="R5843" t="s">
        <v>11037</v>
      </c>
      <c r="S5843" t="s">
        <v>10307</v>
      </c>
      <c r="W5843" t="s">
        <v>11249</v>
      </c>
    </row>
    <row r="5844" spans="1:23" hidden="1" x14ac:dyDescent="0.45">
      <c r="A5844" s="1" t="s">
        <v>5771</v>
      </c>
      <c r="B5844" t="s">
        <v>7222</v>
      </c>
      <c r="C5844" t="s">
        <v>7741</v>
      </c>
      <c r="D5844" t="s">
        <v>8495</v>
      </c>
      <c r="E5844" t="s">
        <v>10165</v>
      </c>
      <c r="F5844" t="s">
        <v>10305</v>
      </c>
      <c r="G5844">
        <v>4.2</v>
      </c>
      <c r="H5844" t="s">
        <v>10307</v>
      </c>
      <c r="I5844" t="s">
        <v>10322</v>
      </c>
      <c r="K5844" t="s">
        <v>10332</v>
      </c>
      <c r="L5844">
        <v>1993</v>
      </c>
      <c r="N5844">
        <v>49.405929999999998</v>
      </c>
      <c r="P5844">
        <v>11.132860000000001</v>
      </c>
      <c r="R5844" t="s">
        <v>11037</v>
      </c>
      <c r="S5844" t="s">
        <v>10307</v>
      </c>
      <c r="W5844" t="s">
        <v>11249</v>
      </c>
    </row>
    <row r="5845" spans="1:23" hidden="1" x14ac:dyDescent="0.45">
      <c r="A5845" s="1" t="s">
        <v>5772</v>
      </c>
      <c r="B5845" t="s">
        <v>7222</v>
      </c>
      <c r="C5845" t="s">
        <v>7741</v>
      </c>
      <c r="D5845" t="s">
        <v>8495</v>
      </c>
      <c r="E5845" t="s">
        <v>10165</v>
      </c>
      <c r="F5845" t="s">
        <v>10305</v>
      </c>
      <c r="G5845">
        <v>4.2</v>
      </c>
      <c r="H5845" t="s">
        <v>10307</v>
      </c>
      <c r="I5845" t="s">
        <v>10322</v>
      </c>
      <c r="K5845" t="s">
        <v>10332</v>
      </c>
      <c r="L5845">
        <v>1993</v>
      </c>
      <c r="N5845">
        <v>49.405929999999998</v>
      </c>
      <c r="P5845">
        <v>11.132860000000001</v>
      </c>
      <c r="R5845" t="s">
        <v>11037</v>
      </c>
      <c r="S5845" t="s">
        <v>10307</v>
      </c>
      <c r="W5845" t="s">
        <v>11249</v>
      </c>
    </row>
    <row r="5846" spans="1:23" hidden="1" x14ac:dyDescent="0.45">
      <c r="A5846" s="1" t="s">
        <v>5773</v>
      </c>
      <c r="B5846" t="s">
        <v>7222</v>
      </c>
      <c r="C5846" t="s">
        <v>7741</v>
      </c>
      <c r="D5846" t="s">
        <v>8495</v>
      </c>
      <c r="E5846" t="s">
        <v>10165</v>
      </c>
      <c r="F5846" t="s">
        <v>10305</v>
      </c>
      <c r="G5846">
        <v>5.0999999999999996</v>
      </c>
      <c r="H5846" t="s">
        <v>10307</v>
      </c>
      <c r="I5846" t="s">
        <v>10322</v>
      </c>
      <c r="K5846" t="s">
        <v>10332</v>
      </c>
      <c r="L5846">
        <v>1994</v>
      </c>
      <c r="N5846">
        <v>49.405929999999998</v>
      </c>
      <c r="P5846">
        <v>11.132860000000001</v>
      </c>
      <c r="R5846" t="s">
        <v>11037</v>
      </c>
      <c r="S5846" t="s">
        <v>10307</v>
      </c>
      <c r="W5846" t="s">
        <v>11249</v>
      </c>
    </row>
    <row r="5847" spans="1:23" hidden="1" x14ac:dyDescent="0.45">
      <c r="A5847" s="1" t="s">
        <v>5774</v>
      </c>
      <c r="B5847" t="s">
        <v>7222</v>
      </c>
      <c r="C5847" t="s">
        <v>7741</v>
      </c>
      <c r="D5847" t="s">
        <v>8495</v>
      </c>
      <c r="E5847" t="s">
        <v>10165</v>
      </c>
      <c r="F5847" t="s">
        <v>10305</v>
      </c>
      <c r="G5847">
        <v>5.0999999999999996</v>
      </c>
      <c r="H5847" t="s">
        <v>10307</v>
      </c>
      <c r="I5847" t="s">
        <v>10322</v>
      </c>
      <c r="K5847" t="s">
        <v>10332</v>
      </c>
      <c r="L5847">
        <v>1995</v>
      </c>
      <c r="N5847">
        <v>49.405929999999998</v>
      </c>
      <c r="P5847">
        <v>11.132860000000001</v>
      </c>
      <c r="R5847" t="s">
        <v>11037</v>
      </c>
      <c r="S5847" t="s">
        <v>10307</v>
      </c>
      <c r="W5847" t="s">
        <v>11249</v>
      </c>
    </row>
    <row r="5848" spans="1:23" hidden="1" x14ac:dyDescent="0.45">
      <c r="A5848" s="1" t="s">
        <v>5775</v>
      </c>
      <c r="B5848" t="s">
        <v>7223</v>
      </c>
      <c r="C5848" t="s">
        <v>7742</v>
      </c>
      <c r="D5848" t="s">
        <v>8496</v>
      </c>
      <c r="E5848" t="s">
        <v>10213</v>
      </c>
      <c r="F5848" t="s">
        <v>10305</v>
      </c>
      <c r="G5848">
        <v>13</v>
      </c>
      <c r="H5848" t="s">
        <v>10307</v>
      </c>
      <c r="I5848" t="s">
        <v>10321</v>
      </c>
      <c r="K5848" t="s">
        <v>10332</v>
      </c>
      <c r="L5848">
        <v>2000</v>
      </c>
      <c r="N5848">
        <v>52.623451000000003</v>
      </c>
      <c r="P5848">
        <v>10.245654999999999</v>
      </c>
      <c r="R5848" t="s">
        <v>11037</v>
      </c>
      <c r="S5848" t="s">
        <v>10307</v>
      </c>
      <c r="W5848" t="s">
        <v>11249</v>
      </c>
    </row>
    <row r="5849" spans="1:23" hidden="1" x14ac:dyDescent="0.45">
      <c r="A5849" s="1" t="s">
        <v>5776</v>
      </c>
      <c r="B5849" t="s">
        <v>7224</v>
      </c>
      <c r="C5849" t="s">
        <v>7743</v>
      </c>
      <c r="D5849" t="s">
        <v>8497</v>
      </c>
      <c r="E5849" t="s">
        <v>9977</v>
      </c>
      <c r="F5849" t="s">
        <v>10305</v>
      </c>
      <c r="G5849">
        <v>38.61</v>
      </c>
      <c r="H5849" t="s">
        <v>10307</v>
      </c>
      <c r="I5849" t="s">
        <v>10323</v>
      </c>
      <c r="K5849" t="s">
        <v>10332</v>
      </c>
      <c r="L5849">
        <v>2012</v>
      </c>
      <c r="N5849">
        <v>49.213706000000002</v>
      </c>
      <c r="P5849">
        <v>6.9781300000000002</v>
      </c>
      <c r="R5849" t="s">
        <v>11037</v>
      </c>
      <c r="S5849" t="s">
        <v>10307</v>
      </c>
      <c r="W5849" t="s">
        <v>11249</v>
      </c>
    </row>
    <row r="5850" spans="1:23" hidden="1" x14ac:dyDescent="0.45">
      <c r="A5850" s="1" t="s">
        <v>5777</v>
      </c>
      <c r="B5850" t="s">
        <v>7055</v>
      </c>
      <c r="C5850" t="s">
        <v>7744</v>
      </c>
      <c r="D5850" t="s">
        <v>8498</v>
      </c>
      <c r="E5850" t="s">
        <v>10214</v>
      </c>
      <c r="F5850" t="s">
        <v>10305</v>
      </c>
      <c r="G5850">
        <v>13.2</v>
      </c>
      <c r="H5850" t="s">
        <v>10307</v>
      </c>
      <c r="I5850" t="s">
        <v>10323</v>
      </c>
      <c r="K5850" t="s">
        <v>10332</v>
      </c>
      <c r="L5850">
        <v>1990</v>
      </c>
      <c r="N5850">
        <v>51.319810750000002</v>
      </c>
      <c r="P5850">
        <v>9.848941452</v>
      </c>
      <c r="R5850" t="s">
        <v>11037</v>
      </c>
      <c r="S5850" t="s">
        <v>10307</v>
      </c>
      <c r="W5850" t="s">
        <v>11249</v>
      </c>
    </row>
    <row r="5851" spans="1:23" hidden="1" x14ac:dyDescent="0.45">
      <c r="A5851" s="1" t="s">
        <v>5778</v>
      </c>
      <c r="B5851" t="s">
        <v>7225</v>
      </c>
      <c r="C5851" t="s">
        <v>7745</v>
      </c>
      <c r="D5851" t="s">
        <v>8466</v>
      </c>
      <c r="E5851" t="s">
        <v>10215</v>
      </c>
      <c r="F5851" t="s">
        <v>10305</v>
      </c>
      <c r="G5851">
        <v>94.6</v>
      </c>
      <c r="H5851" t="s">
        <v>10307</v>
      </c>
      <c r="I5851" t="s">
        <v>10322</v>
      </c>
      <c r="K5851" t="s">
        <v>10333</v>
      </c>
      <c r="L5851">
        <v>2013</v>
      </c>
      <c r="N5851">
        <v>49.884878999999998</v>
      </c>
      <c r="P5851">
        <v>8.650067</v>
      </c>
      <c r="R5851" t="s">
        <v>11037</v>
      </c>
      <c r="S5851" t="s">
        <v>10307</v>
      </c>
      <c r="W5851" t="s">
        <v>11249</v>
      </c>
    </row>
    <row r="5852" spans="1:23" hidden="1" x14ac:dyDescent="0.45">
      <c r="A5852" s="1" t="s">
        <v>5779</v>
      </c>
      <c r="B5852" t="s">
        <v>7226</v>
      </c>
      <c r="C5852" t="s">
        <v>7746</v>
      </c>
      <c r="D5852" t="s">
        <v>8499</v>
      </c>
      <c r="E5852" t="s">
        <v>10216</v>
      </c>
      <c r="F5852" t="s">
        <v>10305</v>
      </c>
      <c r="G5852">
        <v>13.2</v>
      </c>
      <c r="H5852" t="s">
        <v>10307</v>
      </c>
      <c r="I5852" t="s">
        <v>10323</v>
      </c>
      <c r="K5852" t="s">
        <v>10332</v>
      </c>
      <c r="L5852">
        <v>1994</v>
      </c>
      <c r="N5852">
        <v>52.608713199999997</v>
      </c>
      <c r="P5852">
        <v>11.832450700000001</v>
      </c>
      <c r="R5852" t="s">
        <v>11037</v>
      </c>
      <c r="S5852" t="s">
        <v>10307</v>
      </c>
      <c r="W5852" t="s">
        <v>11249</v>
      </c>
    </row>
    <row r="5853" spans="1:23" hidden="1" x14ac:dyDescent="0.45">
      <c r="A5853" s="1" t="s">
        <v>5780</v>
      </c>
      <c r="B5853" t="s">
        <v>7227</v>
      </c>
      <c r="C5853" t="s">
        <v>7747</v>
      </c>
      <c r="D5853" t="s">
        <v>8500</v>
      </c>
      <c r="E5853" t="s">
        <v>10217</v>
      </c>
      <c r="F5853" t="s">
        <v>10305</v>
      </c>
      <c r="G5853">
        <v>26.2</v>
      </c>
      <c r="H5853" t="s">
        <v>10307</v>
      </c>
      <c r="I5853" t="s">
        <v>10323</v>
      </c>
      <c r="K5853" t="s">
        <v>10332</v>
      </c>
      <c r="L5853">
        <v>2012</v>
      </c>
      <c r="N5853">
        <v>50.569119999999998</v>
      </c>
      <c r="P5853">
        <v>9.6812799999999992</v>
      </c>
      <c r="R5853" t="s">
        <v>11037</v>
      </c>
      <c r="S5853" t="s">
        <v>10307</v>
      </c>
      <c r="W5853" t="s">
        <v>11249</v>
      </c>
    </row>
    <row r="5854" spans="1:23" hidden="1" x14ac:dyDescent="0.45">
      <c r="A5854" s="1" t="s">
        <v>5781</v>
      </c>
      <c r="B5854" t="s">
        <v>7227</v>
      </c>
      <c r="C5854" t="s">
        <v>7747</v>
      </c>
      <c r="D5854" t="s">
        <v>8500</v>
      </c>
      <c r="E5854" t="s">
        <v>10217</v>
      </c>
      <c r="F5854" t="s">
        <v>10305</v>
      </c>
      <c r="G5854">
        <v>7.5</v>
      </c>
      <c r="H5854" t="s">
        <v>10307</v>
      </c>
      <c r="I5854" t="s">
        <v>10323</v>
      </c>
      <c r="K5854" t="s">
        <v>10332</v>
      </c>
      <c r="L5854">
        <v>1982</v>
      </c>
      <c r="N5854">
        <v>50.569119999999998</v>
      </c>
      <c r="P5854">
        <v>9.6812799999999992</v>
      </c>
      <c r="R5854" t="s">
        <v>11037</v>
      </c>
      <c r="S5854" t="s">
        <v>10307</v>
      </c>
      <c r="W5854" t="s">
        <v>11249</v>
      </c>
    </row>
    <row r="5855" spans="1:23" hidden="1" x14ac:dyDescent="0.45">
      <c r="A5855" s="1" t="s">
        <v>5782</v>
      </c>
      <c r="B5855" t="s">
        <v>7228</v>
      </c>
      <c r="C5855" t="s">
        <v>7748</v>
      </c>
      <c r="D5855" t="s">
        <v>8501</v>
      </c>
      <c r="E5855" t="s">
        <v>10218</v>
      </c>
      <c r="F5855" t="s">
        <v>10305</v>
      </c>
      <c r="G5855">
        <v>30.6</v>
      </c>
      <c r="H5855" t="s">
        <v>10307</v>
      </c>
      <c r="I5855" t="s">
        <v>10323</v>
      </c>
      <c r="K5855" t="s">
        <v>10332</v>
      </c>
      <c r="L5855">
        <v>1953</v>
      </c>
      <c r="N5855">
        <v>52.16921</v>
      </c>
      <c r="P5855">
        <v>9.7909000000000006</v>
      </c>
      <c r="R5855" t="s">
        <v>11037</v>
      </c>
      <c r="S5855" t="s">
        <v>10307</v>
      </c>
      <c r="W5855" t="s">
        <v>11249</v>
      </c>
    </row>
    <row r="5856" spans="1:23" hidden="1" x14ac:dyDescent="0.45">
      <c r="A5856" s="1" t="s">
        <v>5783</v>
      </c>
      <c r="B5856" t="s">
        <v>7229</v>
      </c>
      <c r="C5856" t="s">
        <v>7749</v>
      </c>
      <c r="D5856" t="s">
        <v>8197</v>
      </c>
      <c r="E5856" t="s">
        <v>10219</v>
      </c>
      <c r="F5856" t="s">
        <v>10305</v>
      </c>
      <c r="G5856">
        <v>17.11</v>
      </c>
      <c r="H5856" t="s">
        <v>10307</v>
      </c>
      <c r="I5856" t="s">
        <v>10323</v>
      </c>
      <c r="K5856" t="s">
        <v>10332</v>
      </c>
      <c r="L5856">
        <v>2003</v>
      </c>
      <c r="N5856">
        <v>52.232196299999998</v>
      </c>
      <c r="P5856">
        <v>10.033284999999999</v>
      </c>
      <c r="R5856" t="s">
        <v>11037</v>
      </c>
      <c r="S5856" t="s">
        <v>10307</v>
      </c>
      <c r="W5856" t="s">
        <v>11249</v>
      </c>
    </row>
    <row r="5857" spans="1:23" hidden="1" x14ac:dyDescent="0.45">
      <c r="A5857" s="1" t="s">
        <v>5784</v>
      </c>
      <c r="B5857" t="s">
        <v>7230</v>
      </c>
      <c r="D5857" t="s">
        <v>8502</v>
      </c>
      <c r="E5857" t="s">
        <v>10154</v>
      </c>
      <c r="F5857" t="s">
        <v>10305</v>
      </c>
      <c r="G5857">
        <v>12.6</v>
      </c>
      <c r="H5857" t="s">
        <v>10307</v>
      </c>
      <c r="I5857" t="s">
        <v>10323</v>
      </c>
      <c r="K5857" t="s">
        <v>10332</v>
      </c>
      <c r="L5857">
        <v>2011</v>
      </c>
      <c r="N5857">
        <v>51.338760899999997</v>
      </c>
      <c r="P5857">
        <v>6.5853416999999999</v>
      </c>
      <c r="R5857" t="s">
        <v>11037</v>
      </c>
      <c r="S5857" t="s">
        <v>10307</v>
      </c>
      <c r="W5857" t="s">
        <v>11249</v>
      </c>
    </row>
    <row r="5858" spans="1:23" hidden="1" x14ac:dyDescent="0.45">
      <c r="A5858" s="1" t="s">
        <v>5785</v>
      </c>
      <c r="B5858" t="s">
        <v>7202</v>
      </c>
      <c r="C5858" t="s">
        <v>7750</v>
      </c>
      <c r="D5858" t="s">
        <v>8503</v>
      </c>
      <c r="E5858" t="s">
        <v>10139</v>
      </c>
      <c r="F5858" t="s">
        <v>10305</v>
      </c>
      <c r="G5858">
        <v>21.1</v>
      </c>
      <c r="H5858" t="s">
        <v>10307</v>
      </c>
      <c r="I5858" t="s">
        <v>10323</v>
      </c>
      <c r="K5858" t="s">
        <v>10332</v>
      </c>
      <c r="L5858">
        <v>2012</v>
      </c>
      <c r="N5858">
        <v>51.254540000000013</v>
      </c>
      <c r="P5858">
        <v>6.7864800000000001</v>
      </c>
      <c r="R5858" t="s">
        <v>11037</v>
      </c>
      <c r="S5858" t="s">
        <v>10307</v>
      </c>
      <c r="W5858" t="s">
        <v>11249</v>
      </c>
    </row>
    <row r="5859" spans="1:23" hidden="1" x14ac:dyDescent="0.45">
      <c r="A5859" s="1" t="s">
        <v>5786</v>
      </c>
      <c r="B5859" t="s">
        <v>7202</v>
      </c>
      <c r="C5859" t="s">
        <v>7751</v>
      </c>
      <c r="D5859" t="s">
        <v>8504</v>
      </c>
      <c r="E5859" t="s">
        <v>10220</v>
      </c>
      <c r="F5859" t="s">
        <v>10305</v>
      </c>
      <c r="G5859">
        <v>13.04</v>
      </c>
      <c r="H5859" t="s">
        <v>10307</v>
      </c>
      <c r="I5859" t="s">
        <v>10323</v>
      </c>
      <c r="K5859" t="s">
        <v>10332</v>
      </c>
      <c r="L5859">
        <v>2013</v>
      </c>
      <c r="N5859">
        <v>49.047474000000001</v>
      </c>
      <c r="P5859">
        <v>8.2816020000000012</v>
      </c>
      <c r="R5859" t="s">
        <v>11037</v>
      </c>
      <c r="S5859" t="s">
        <v>10307</v>
      </c>
      <c r="W5859" t="s">
        <v>11249</v>
      </c>
    </row>
    <row r="5860" spans="1:23" hidden="1" x14ac:dyDescent="0.45">
      <c r="A5860" s="1" t="s">
        <v>5787</v>
      </c>
      <c r="B5860" t="s">
        <v>7231</v>
      </c>
      <c r="C5860" t="s">
        <v>7752</v>
      </c>
      <c r="D5860" t="s">
        <v>8505</v>
      </c>
      <c r="E5860" t="s">
        <v>10221</v>
      </c>
      <c r="F5860" t="s">
        <v>10305</v>
      </c>
      <c r="G5860">
        <v>22.1</v>
      </c>
      <c r="H5860" t="s">
        <v>10307</v>
      </c>
      <c r="I5860" t="s">
        <v>10323</v>
      </c>
      <c r="K5860" t="s">
        <v>10332</v>
      </c>
      <c r="L5860">
        <v>1993</v>
      </c>
      <c r="N5860">
        <v>50.981556599999998</v>
      </c>
      <c r="P5860">
        <v>10.2905599</v>
      </c>
      <c r="R5860" t="s">
        <v>11037</v>
      </c>
      <c r="S5860" t="s">
        <v>10307</v>
      </c>
      <c r="W5860" t="s">
        <v>11249</v>
      </c>
    </row>
    <row r="5861" spans="1:23" hidden="1" x14ac:dyDescent="0.45">
      <c r="A5861" s="1" t="s">
        <v>5788</v>
      </c>
      <c r="B5861" t="s">
        <v>7092</v>
      </c>
      <c r="C5861" t="s">
        <v>7753</v>
      </c>
      <c r="D5861" t="s">
        <v>8506</v>
      </c>
      <c r="E5861" t="s">
        <v>10222</v>
      </c>
      <c r="F5861" t="s">
        <v>10305</v>
      </c>
      <c r="G5861">
        <v>23.4</v>
      </c>
      <c r="H5861" t="s">
        <v>10307</v>
      </c>
      <c r="I5861" t="s">
        <v>10323</v>
      </c>
      <c r="K5861" t="s">
        <v>10333</v>
      </c>
      <c r="L5861">
        <v>1994</v>
      </c>
      <c r="N5861">
        <v>52.070093</v>
      </c>
      <c r="P5861">
        <v>11.385306</v>
      </c>
      <c r="R5861" t="s">
        <v>11037</v>
      </c>
      <c r="S5861" t="s">
        <v>10307</v>
      </c>
      <c r="W5861" t="s">
        <v>11249</v>
      </c>
    </row>
    <row r="5862" spans="1:23" hidden="1" x14ac:dyDescent="0.45">
      <c r="A5862" s="1" t="s">
        <v>5789</v>
      </c>
      <c r="B5862" t="s">
        <v>7232</v>
      </c>
      <c r="C5862" t="s">
        <v>7754</v>
      </c>
      <c r="D5862" t="s">
        <v>8507</v>
      </c>
      <c r="E5862" t="s">
        <v>10157</v>
      </c>
      <c r="F5862" t="s">
        <v>10305</v>
      </c>
      <c r="G5862">
        <v>66</v>
      </c>
      <c r="H5862" t="s">
        <v>10307</v>
      </c>
      <c r="I5862" t="s">
        <v>10323</v>
      </c>
      <c r="K5862" t="s">
        <v>10332</v>
      </c>
      <c r="L5862">
        <v>1996</v>
      </c>
      <c r="N5862">
        <v>52.560606000000007</v>
      </c>
      <c r="P5862">
        <v>7.2951639999999998</v>
      </c>
      <c r="R5862" t="s">
        <v>11037</v>
      </c>
      <c r="S5862" t="s">
        <v>10307</v>
      </c>
      <c r="W5862" t="s">
        <v>11249</v>
      </c>
    </row>
    <row r="5863" spans="1:23" hidden="1" x14ac:dyDescent="0.45">
      <c r="A5863" s="1" t="s">
        <v>5790</v>
      </c>
      <c r="B5863" t="s">
        <v>7233</v>
      </c>
      <c r="C5863" t="s">
        <v>7755</v>
      </c>
      <c r="D5863" t="s">
        <v>8508</v>
      </c>
      <c r="E5863" t="s">
        <v>10223</v>
      </c>
      <c r="F5863" t="s">
        <v>10305</v>
      </c>
      <c r="G5863">
        <v>30</v>
      </c>
      <c r="H5863" t="s">
        <v>10307</v>
      </c>
      <c r="I5863" t="s">
        <v>10323</v>
      </c>
      <c r="K5863" t="s">
        <v>10332</v>
      </c>
      <c r="L5863">
        <v>1961</v>
      </c>
      <c r="N5863">
        <v>49.599140000000013</v>
      </c>
      <c r="P5863">
        <v>8.2209599999999998</v>
      </c>
      <c r="R5863" t="s">
        <v>11037</v>
      </c>
      <c r="S5863" t="s">
        <v>10307</v>
      </c>
      <c r="W5863" t="s">
        <v>11249</v>
      </c>
    </row>
    <row r="5864" spans="1:23" hidden="1" x14ac:dyDescent="0.45">
      <c r="A5864" s="1" t="s">
        <v>5791</v>
      </c>
      <c r="B5864" t="s">
        <v>7234</v>
      </c>
      <c r="C5864" t="s">
        <v>7756</v>
      </c>
      <c r="D5864" t="s">
        <v>8509</v>
      </c>
      <c r="E5864" t="s">
        <v>10224</v>
      </c>
      <c r="F5864" t="s">
        <v>10305</v>
      </c>
      <c r="G5864">
        <v>11.4</v>
      </c>
      <c r="H5864" t="s">
        <v>10307</v>
      </c>
      <c r="I5864" t="s">
        <v>10321</v>
      </c>
      <c r="K5864" t="s">
        <v>10332</v>
      </c>
      <c r="L5864">
        <v>1992</v>
      </c>
      <c r="N5864">
        <v>50.321134000000001</v>
      </c>
      <c r="P5864">
        <v>7.2339070000000003</v>
      </c>
      <c r="R5864" t="s">
        <v>11037</v>
      </c>
      <c r="S5864" t="s">
        <v>10307</v>
      </c>
      <c r="W5864" t="s">
        <v>11249</v>
      </c>
    </row>
    <row r="5865" spans="1:23" hidden="1" x14ac:dyDescent="0.45">
      <c r="A5865" s="1" t="s">
        <v>5792</v>
      </c>
      <c r="B5865" t="s">
        <v>7234</v>
      </c>
      <c r="C5865" t="s">
        <v>7756</v>
      </c>
      <c r="D5865" t="s">
        <v>8509</v>
      </c>
      <c r="E5865" t="s">
        <v>10224</v>
      </c>
      <c r="F5865" t="s">
        <v>10305</v>
      </c>
      <c r="G5865">
        <v>27.4</v>
      </c>
      <c r="H5865" t="s">
        <v>10307</v>
      </c>
      <c r="I5865" t="s">
        <v>10321</v>
      </c>
      <c r="K5865" t="s">
        <v>10332</v>
      </c>
      <c r="L5865">
        <v>2013</v>
      </c>
      <c r="N5865">
        <v>50.321134000000001</v>
      </c>
      <c r="P5865">
        <v>7.2339070000000003</v>
      </c>
      <c r="R5865" t="s">
        <v>11037</v>
      </c>
      <c r="S5865" t="s">
        <v>10307</v>
      </c>
      <c r="W5865" t="s">
        <v>11249</v>
      </c>
    </row>
    <row r="5866" spans="1:23" hidden="1" x14ac:dyDescent="0.45">
      <c r="A5866" s="1" t="s">
        <v>5793</v>
      </c>
      <c r="B5866" t="s">
        <v>7234</v>
      </c>
      <c r="C5866" t="s">
        <v>7756</v>
      </c>
      <c r="D5866" t="s">
        <v>8509</v>
      </c>
      <c r="E5866" t="s">
        <v>10224</v>
      </c>
      <c r="F5866" t="s">
        <v>10305</v>
      </c>
      <c r="G5866">
        <v>8.4</v>
      </c>
      <c r="H5866" t="s">
        <v>10307</v>
      </c>
      <c r="I5866" t="s">
        <v>10323</v>
      </c>
      <c r="K5866" t="s">
        <v>10332</v>
      </c>
      <c r="L5866">
        <v>1971</v>
      </c>
      <c r="N5866">
        <v>50.321134000000001</v>
      </c>
      <c r="P5866">
        <v>7.2339070000000003</v>
      </c>
      <c r="R5866" t="s">
        <v>11037</v>
      </c>
      <c r="S5866" t="s">
        <v>10307</v>
      </c>
      <c r="W5866" t="s">
        <v>11249</v>
      </c>
    </row>
    <row r="5867" spans="1:23" hidden="1" x14ac:dyDescent="0.45">
      <c r="A5867" s="1" t="s">
        <v>5794</v>
      </c>
      <c r="B5867" t="s">
        <v>7206</v>
      </c>
      <c r="C5867" t="s">
        <v>7757</v>
      </c>
      <c r="D5867" t="s">
        <v>8510</v>
      </c>
      <c r="E5867" t="s">
        <v>10225</v>
      </c>
      <c r="F5867" t="s">
        <v>10305</v>
      </c>
      <c r="G5867">
        <v>12.75</v>
      </c>
      <c r="H5867" t="s">
        <v>10307</v>
      </c>
      <c r="I5867" t="s">
        <v>10323</v>
      </c>
      <c r="K5867" t="s">
        <v>10332</v>
      </c>
      <c r="L5867">
        <v>1969</v>
      </c>
      <c r="N5867">
        <v>52.904778</v>
      </c>
      <c r="P5867">
        <v>9.6585129999999992</v>
      </c>
      <c r="R5867" t="s">
        <v>11037</v>
      </c>
      <c r="S5867" t="s">
        <v>10307</v>
      </c>
      <c r="W5867" t="s">
        <v>11249</v>
      </c>
    </row>
    <row r="5868" spans="1:23" hidden="1" x14ac:dyDescent="0.45">
      <c r="A5868" s="1" t="s">
        <v>5795</v>
      </c>
      <c r="B5868" t="s">
        <v>7235</v>
      </c>
      <c r="D5868" t="s">
        <v>8511</v>
      </c>
      <c r="E5868" t="s">
        <v>10226</v>
      </c>
      <c r="F5868" t="s">
        <v>10305</v>
      </c>
      <c r="G5868">
        <v>38</v>
      </c>
      <c r="H5868" t="s">
        <v>10307</v>
      </c>
      <c r="I5868" t="s">
        <v>10323</v>
      </c>
      <c r="K5868" t="s">
        <v>10332</v>
      </c>
      <c r="L5868">
        <v>2013</v>
      </c>
      <c r="N5868">
        <v>54.137883000000002</v>
      </c>
      <c r="P5868">
        <v>13.667149</v>
      </c>
      <c r="R5868" t="s">
        <v>11037</v>
      </c>
      <c r="S5868" t="s">
        <v>10307</v>
      </c>
      <c r="W5868" t="s">
        <v>11249</v>
      </c>
    </row>
    <row r="5869" spans="1:23" hidden="1" x14ac:dyDescent="0.45">
      <c r="A5869" s="1" t="s">
        <v>5796</v>
      </c>
      <c r="B5869" t="s">
        <v>7236</v>
      </c>
      <c r="D5869" t="s">
        <v>8512</v>
      </c>
      <c r="E5869" t="s">
        <v>10227</v>
      </c>
      <c r="F5869" t="s">
        <v>10305</v>
      </c>
      <c r="G5869">
        <v>13.4</v>
      </c>
      <c r="H5869" t="s">
        <v>10307</v>
      </c>
      <c r="I5869" t="s">
        <v>10323</v>
      </c>
      <c r="K5869" t="s">
        <v>10332</v>
      </c>
      <c r="L5869">
        <v>2013</v>
      </c>
      <c r="N5869">
        <v>50.913038</v>
      </c>
      <c r="P5869">
        <v>13.324847999999999</v>
      </c>
      <c r="R5869" t="s">
        <v>11037</v>
      </c>
      <c r="S5869" t="s">
        <v>10307</v>
      </c>
      <c r="W5869" t="s">
        <v>11249</v>
      </c>
    </row>
    <row r="5870" spans="1:23" hidden="1" x14ac:dyDescent="0.45">
      <c r="A5870" s="1" t="s">
        <v>5797</v>
      </c>
      <c r="B5870" t="s">
        <v>7198</v>
      </c>
      <c r="C5870" t="s">
        <v>7758</v>
      </c>
      <c r="D5870" t="s">
        <v>8473</v>
      </c>
      <c r="E5870" t="s">
        <v>10228</v>
      </c>
      <c r="F5870" t="s">
        <v>10305</v>
      </c>
      <c r="G5870">
        <v>10.1</v>
      </c>
      <c r="H5870" t="s">
        <v>10307</v>
      </c>
      <c r="I5870" t="s">
        <v>10323</v>
      </c>
      <c r="K5870" t="s">
        <v>10332</v>
      </c>
      <c r="L5870">
        <v>1980</v>
      </c>
      <c r="N5870">
        <v>52.029657</v>
      </c>
      <c r="P5870">
        <v>8.9071630000000006</v>
      </c>
      <c r="R5870" t="s">
        <v>11037</v>
      </c>
      <c r="S5870" t="s">
        <v>10307</v>
      </c>
      <c r="W5870" t="s">
        <v>11249</v>
      </c>
    </row>
    <row r="5871" spans="1:23" hidden="1" x14ac:dyDescent="0.45">
      <c r="A5871" s="1" t="s">
        <v>5798</v>
      </c>
      <c r="B5871" t="s">
        <v>7084</v>
      </c>
      <c r="C5871" t="s">
        <v>7569</v>
      </c>
      <c r="D5871" t="s">
        <v>8207</v>
      </c>
      <c r="E5871" t="s">
        <v>9971</v>
      </c>
      <c r="F5871" t="s">
        <v>10305</v>
      </c>
      <c r="G5871">
        <v>60.76</v>
      </c>
      <c r="H5871" t="s">
        <v>10307</v>
      </c>
      <c r="I5871" t="s">
        <v>10323</v>
      </c>
      <c r="K5871" t="s">
        <v>10332</v>
      </c>
      <c r="L5871">
        <v>2016</v>
      </c>
      <c r="N5871">
        <v>51.680370000000003</v>
      </c>
      <c r="P5871">
        <v>7.0968800000000014</v>
      </c>
      <c r="R5871" t="s">
        <v>11037</v>
      </c>
      <c r="S5871" t="s">
        <v>10307</v>
      </c>
      <c r="W5871" t="s">
        <v>11249</v>
      </c>
    </row>
    <row r="5872" spans="1:23" hidden="1" x14ac:dyDescent="0.45">
      <c r="A5872" s="1" t="s">
        <v>5799</v>
      </c>
      <c r="B5872" t="s">
        <v>7089</v>
      </c>
      <c r="C5872" t="s">
        <v>7759</v>
      </c>
      <c r="D5872" t="s">
        <v>8223</v>
      </c>
      <c r="E5872" t="s">
        <v>9986</v>
      </c>
      <c r="F5872" t="s">
        <v>10305</v>
      </c>
      <c r="G5872">
        <v>10.4</v>
      </c>
      <c r="H5872" t="s">
        <v>10307</v>
      </c>
      <c r="I5872" t="s">
        <v>10323</v>
      </c>
      <c r="K5872" t="s">
        <v>10332</v>
      </c>
      <c r="L5872">
        <v>2014</v>
      </c>
      <c r="N5872">
        <v>52.295298000000003</v>
      </c>
      <c r="P5872">
        <v>10.521672000000001</v>
      </c>
      <c r="R5872" t="s">
        <v>11037</v>
      </c>
      <c r="S5872" t="s">
        <v>10307</v>
      </c>
      <c r="W5872" t="s">
        <v>11249</v>
      </c>
    </row>
    <row r="5873" spans="1:23" hidden="1" x14ac:dyDescent="0.45">
      <c r="A5873" s="1" t="s">
        <v>5800</v>
      </c>
      <c r="B5873" t="s">
        <v>7208</v>
      </c>
      <c r="D5873" t="s">
        <v>8484</v>
      </c>
      <c r="E5873" t="s">
        <v>10160</v>
      </c>
      <c r="F5873" t="s">
        <v>10305</v>
      </c>
      <c r="G5873">
        <v>16.8</v>
      </c>
      <c r="H5873" t="s">
        <v>10307</v>
      </c>
      <c r="I5873" t="s">
        <v>10323</v>
      </c>
      <c r="K5873" t="s">
        <v>10332</v>
      </c>
      <c r="L5873">
        <v>2014</v>
      </c>
      <c r="N5873">
        <v>48.354126000000001</v>
      </c>
      <c r="P5873">
        <v>11.774520000000001</v>
      </c>
      <c r="R5873" t="s">
        <v>11037</v>
      </c>
      <c r="S5873" t="s">
        <v>10307</v>
      </c>
      <c r="W5873" t="s">
        <v>11249</v>
      </c>
    </row>
    <row r="5874" spans="1:23" hidden="1" x14ac:dyDescent="0.45">
      <c r="A5874" s="1" t="s">
        <v>5801</v>
      </c>
      <c r="B5874" t="s">
        <v>7144</v>
      </c>
      <c r="C5874" t="s">
        <v>7679</v>
      </c>
      <c r="D5874" t="s">
        <v>8398</v>
      </c>
      <c r="E5874" t="s">
        <v>10139</v>
      </c>
      <c r="F5874" t="s">
        <v>10305</v>
      </c>
      <c r="G5874">
        <v>595</v>
      </c>
      <c r="H5874" t="s">
        <v>10307</v>
      </c>
      <c r="I5874" t="s">
        <v>10321</v>
      </c>
      <c r="K5874" t="s">
        <v>10332</v>
      </c>
      <c r="L5874">
        <v>2016</v>
      </c>
      <c r="N5874">
        <v>51.223975000000003</v>
      </c>
      <c r="P5874">
        <v>6.7353699999999996</v>
      </c>
      <c r="R5874" t="s">
        <v>11037</v>
      </c>
      <c r="S5874" t="s">
        <v>10307</v>
      </c>
      <c r="W5874" t="s">
        <v>11249</v>
      </c>
    </row>
    <row r="5875" spans="1:23" hidden="1" x14ac:dyDescent="0.45">
      <c r="A5875" s="1" t="s">
        <v>5802</v>
      </c>
      <c r="B5875" t="s">
        <v>7123</v>
      </c>
      <c r="D5875" t="s">
        <v>8421</v>
      </c>
      <c r="E5875" t="s">
        <v>10108</v>
      </c>
      <c r="F5875" t="s">
        <v>10305</v>
      </c>
      <c r="G5875">
        <v>459.9</v>
      </c>
      <c r="H5875" t="s">
        <v>10307</v>
      </c>
      <c r="I5875" t="s">
        <v>10323</v>
      </c>
      <c r="K5875" t="s">
        <v>10332</v>
      </c>
      <c r="L5875">
        <v>2016</v>
      </c>
      <c r="N5875">
        <v>50.974896000000001</v>
      </c>
      <c r="P5875">
        <v>6.9877690000000001</v>
      </c>
      <c r="R5875" t="s">
        <v>11037</v>
      </c>
      <c r="S5875" t="s">
        <v>10307</v>
      </c>
      <c r="W5875" t="s">
        <v>11249</v>
      </c>
    </row>
    <row r="5876" spans="1:23" hidden="1" x14ac:dyDescent="0.45">
      <c r="A5876" s="1" t="s">
        <v>5803</v>
      </c>
      <c r="B5876" t="s">
        <v>7074</v>
      </c>
      <c r="C5876" t="s">
        <v>7557</v>
      </c>
      <c r="D5876" t="s">
        <v>8185</v>
      </c>
      <c r="E5876" t="s">
        <v>9956</v>
      </c>
      <c r="F5876" t="s">
        <v>10305</v>
      </c>
      <c r="G5876">
        <v>78</v>
      </c>
      <c r="H5876" t="s">
        <v>10307</v>
      </c>
      <c r="I5876" t="s">
        <v>10321</v>
      </c>
      <c r="K5876" t="s">
        <v>10332</v>
      </c>
      <c r="L5876">
        <v>2016</v>
      </c>
      <c r="M5876" t="s">
        <v>10336</v>
      </c>
      <c r="N5876">
        <v>54.804777000000001</v>
      </c>
      <c r="P5876">
        <v>9.4333570000000009</v>
      </c>
      <c r="R5876" t="s">
        <v>11037</v>
      </c>
      <c r="S5876" t="s">
        <v>10307</v>
      </c>
      <c r="W5876" t="s">
        <v>11249</v>
      </c>
    </row>
    <row r="5877" spans="1:23" hidden="1" x14ac:dyDescent="0.45">
      <c r="A5877" s="1" t="s">
        <v>5804</v>
      </c>
      <c r="B5877" t="s">
        <v>7237</v>
      </c>
      <c r="D5877" t="s">
        <v>8176</v>
      </c>
      <c r="E5877" t="s">
        <v>9950</v>
      </c>
      <c r="F5877" t="s">
        <v>10305</v>
      </c>
      <c r="G5877">
        <v>444.5</v>
      </c>
      <c r="H5877" t="s">
        <v>10307</v>
      </c>
      <c r="I5877" t="s">
        <v>10321</v>
      </c>
      <c r="K5877" t="s">
        <v>10333</v>
      </c>
      <c r="L5877">
        <v>2016</v>
      </c>
      <c r="N5877">
        <v>53.128909999999998</v>
      </c>
      <c r="P5877">
        <v>8.6852400000000003</v>
      </c>
      <c r="R5877" t="s">
        <v>11037</v>
      </c>
      <c r="S5877" t="s">
        <v>10307</v>
      </c>
      <c r="W5877" t="s">
        <v>11249</v>
      </c>
    </row>
    <row r="5878" spans="1:23" hidden="1" x14ac:dyDescent="0.45">
      <c r="A5878" s="1" t="s">
        <v>5805</v>
      </c>
      <c r="B5878" t="s">
        <v>7238</v>
      </c>
      <c r="C5878" t="s">
        <v>7760</v>
      </c>
      <c r="D5878" t="s">
        <v>8172</v>
      </c>
      <c r="E5878" t="s">
        <v>9911</v>
      </c>
      <c r="F5878" t="s">
        <v>10305</v>
      </c>
      <c r="G5878">
        <v>15</v>
      </c>
      <c r="H5878" t="s">
        <v>10307</v>
      </c>
      <c r="I5878" t="s">
        <v>10323</v>
      </c>
      <c r="K5878" t="s">
        <v>10332</v>
      </c>
      <c r="L5878">
        <v>1972</v>
      </c>
      <c r="N5878">
        <v>52.53931</v>
      </c>
      <c r="P5878">
        <v>13.363904</v>
      </c>
      <c r="R5878" t="s">
        <v>11037</v>
      </c>
      <c r="S5878" t="s">
        <v>10307</v>
      </c>
      <c r="W5878" t="s">
        <v>11249</v>
      </c>
    </row>
    <row r="5879" spans="1:23" hidden="1" x14ac:dyDescent="0.45">
      <c r="A5879" s="1" t="s">
        <v>5806</v>
      </c>
      <c r="B5879" t="s">
        <v>7239</v>
      </c>
      <c r="D5879" t="s">
        <v>8513</v>
      </c>
      <c r="E5879" t="s">
        <v>10229</v>
      </c>
      <c r="F5879" t="s">
        <v>10305</v>
      </c>
      <c r="G5879">
        <v>22</v>
      </c>
      <c r="H5879" t="s">
        <v>10307</v>
      </c>
      <c r="I5879" t="s">
        <v>10323</v>
      </c>
      <c r="K5879" t="s">
        <v>10332</v>
      </c>
      <c r="L5879">
        <v>2016</v>
      </c>
      <c r="N5879">
        <v>49.346651999999999</v>
      </c>
      <c r="P5879">
        <v>6.7651009999999996</v>
      </c>
      <c r="R5879" t="s">
        <v>11037</v>
      </c>
      <c r="S5879" t="s">
        <v>10307</v>
      </c>
      <c r="W5879" t="s">
        <v>11249</v>
      </c>
    </row>
    <row r="5880" spans="1:23" hidden="1" x14ac:dyDescent="0.45">
      <c r="A5880" s="1" t="s">
        <v>5807</v>
      </c>
      <c r="B5880" t="s">
        <v>7240</v>
      </c>
      <c r="C5880" t="s">
        <v>7761</v>
      </c>
      <c r="D5880" t="s">
        <v>8514</v>
      </c>
      <c r="E5880" t="s">
        <v>10230</v>
      </c>
      <c r="F5880" t="s">
        <v>10305</v>
      </c>
      <c r="G5880">
        <v>10.6</v>
      </c>
      <c r="H5880" t="s">
        <v>10307</v>
      </c>
      <c r="I5880" t="s">
        <v>10323</v>
      </c>
      <c r="K5880" t="s">
        <v>10332</v>
      </c>
      <c r="L5880">
        <v>2012</v>
      </c>
      <c r="N5880">
        <v>48.980010999999998</v>
      </c>
      <c r="P5880">
        <v>12.170249999999999</v>
      </c>
      <c r="R5880" t="s">
        <v>11037</v>
      </c>
      <c r="S5880" t="s">
        <v>10307</v>
      </c>
      <c r="W5880" t="s">
        <v>11249</v>
      </c>
    </row>
    <row r="5881" spans="1:23" hidden="1" x14ac:dyDescent="0.45">
      <c r="A5881" s="1" t="s">
        <v>5808</v>
      </c>
      <c r="B5881" t="s">
        <v>7240</v>
      </c>
      <c r="C5881" t="s">
        <v>7761</v>
      </c>
      <c r="D5881" t="s">
        <v>8514</v>
      </c>
      <c r="E5881" t="s">
        <v>10230</v>
      </c>
      <c r="F5881" t="s">
        <v>10305</v>
      </c>
      <c r="G5881">
        <v>2.65</v>
      </c>
      <c r="H5881" t="s">
        <v>10307</v>
      </c>
      <c r="I5881" t="s">
        <v>10323</v>
      </c>
      <c r="K5881" t="s">
        <v>10332</v>
      </c>
      <c r="L5881">
        <v>2016</v>
      </c>
      <c r="N5881">
        <v>48.980010999999998</v>
      </c>
      <c r="P5881">
        <v>12.170249999999999</v>
      </c>
      <c r="R5881" t="s">
        <v>11037</v>
      </c>
      <c r="S5881" t="s">
        <v>10307</v>
      </c>
      <c r="W5881" t="s">
        <v>11249</v>
      </c>
    </row>
    <row r="5882" spans="1:23" hidden="1" x14ac:dyDescent="0.45">
      <c r="A5882" s="1" t="s">
        <v>5809</v>
      </c>
      <c r="B5882" t="s">
        <v>7241</v>
      </c>
      <c r="C5882" t="s">
        <v>7762</v>
      </c>
      <c r="D5882" t="s">
        <v>8515</v>
      </c>
      <c r="E5882" t="s">
        <v>10231</v>
      </c>
      <c r="F5882" t="s">
        <v>10305</v>
      </c>
      <c r="G5882">
        <v>19.5</v>
      </c>
      <c r="H5882" t="s">
        <v>10307</v>
      </c>
      <c r="I5882" t="s">
        <v>10322</v>
      </c>
      <c r="K5882" t="s">
        <v>10332</v>
      </c>
      <c r="L5882">
        <v>2014</v>
      </c>
      <c r="N5882">
        <v>49.464184000000003</v>
      </c>
      <c r="P5882">
        <v>7.1488969999999998</v>
      </c>
      <c r="R5882" t="s">
        <v>11037</v>
      </c>
      <c r="S5882" t="s">
        <v>10307</v>
      </c>
      <c r="W5882" t="s">
        <v>11249</v>
      </c>
    </row>
    <row r="5883" spans="1:23" hidden="1" x14ac:dyDescent="0.45">
      <c r="A5883" s="1" t="s">
        <v>5810</v>
      </c>
      <c r="B5883" t="s">
        <v>7036</v>
      </c>
      <c r="C5883" t="s">
        <v>7558</v>
      </c>
      <c r="D5883" t="s">
        <v>8516</v>
      </c>
      <c r="E5883" t="s">
        <v>9919</v>
      </c>
      <c r="F5883" t="s">
        <v>10305</v>
      </c>
      <c r="G5883">
        <v>38.700000000000003</v>
      </c>
      <c r="H5883" t="s">
        <v>10307</v>
      </c>
      <c r="I5883" t="s">
        <v>10323</v>
      </c>
      <c r="K5883" t="s">
        <v>10332</v>
      </c>
      <c r="L5883">
        <v>2018</v>
      </c>
      <c r="N5883">
        <v>50.098562000000001</v>
      </c>
      <c r="P5883">
        <v>8.653080000000001</v>
      </c>
      <c r="R5883" t="s">
        <v>11037</v>
      </c>
      <c r="S5883" t="s">
        <v>10307</v>
      </c>
      <c r="W5883" t="s">
        <v>11249</v>
      </c>
    </row>
    <row r="5884" spans="1:23" hidden="1" x14ac:dyDescent="0.45">
      <c r="A5884" s="1" t="s">
        <v>5811</v>
      </c>
      <c r="B5884" t="s">
        <v>7240</v>
      </c>
      <c r="C5884" t="s">
        <v>7763</v>
      </c>
      <c r="D5884" t="s">
        <v>8300</v>
      </c>
      <c r="E5884" t="s">
        <v>10057</v>
      </c>
      <c r="F5884" t="s">
        <v>10305</v>
      </c>
      <c r="G5884">
        <v>16</v>
      </c>
      <c r="H5884" t="s">
        <v>10307</v>
      </c>
      <c r="I5884" t="s">
        <v>10323</v>
      </c>
      <c r="K5884" t="s">
        <v>10332</v>
      </c>
      <c r="L5884">
        <v>2017</v>
      </c>
      <c r="N5884">
        <v>48.644561299999992</v>
      </c>
      <c r="P5884">
        <v>12.482932999999999</v>
      </c>
      <c r="R5884" t="s">
        <v>11037</v>
      </c>
      <c r="S5884" t="s">
        <v>10307</v>
      </c>
      <c r="W5884" t="s">
        <v>11249</v>
      </c>
    </row>
    <row r="5885" spans="1:23" hidden="1" x14ac:dyDescent="0.45">
      <c r="A5885" s="1" t="s">
        <v>5812</v>
      </c>
      <c r="B5885" t="s">
        <v>7074</v>
      </c>
      <c r="C5885" t="s">
        <v>7557</v>
      </c>
      <c r="D5885" t="s">
        <v>8185</v>
      </c>
      <c r="E5885" t="s">
        <v>9956</v>
      </c>
      <c r="F5885" t="s">
        <v>10305</v>
      </c>
      <c r="G5885">
        <v>29</v>
      </c>
      <c r="H5885" t="s">
        <v>10307</v>
      </c>
      <c r="I5885" t="s">
        <v>10323</v>
      </c>
      <c r="K5885" t="s">
        <v>10332</v>
      </c>
      <c r="L5885">
        <v>2016</v>
      </c>
      <c r="N5885">
        <v>54.80499185</v>
      </c>
      <c r="P5885">
        <v>9.4304847709999997</v>
      </c>
      <c r="R5885" t="s">
        <v>11037</v>
      </c>
      <c r="S5885" t="s">
        <v>10307</v>
      </c>
      <c r="W5885" t="s">
        <v>11249</v>
      </c>
    </row>
    <row r="5886" spans="1:23" hidden="1" x14ac:dyDescent="0.45">
      <c r="A5886" s="1" t="s">
        <v>5813</v>
      </c>
      <c r="B5886" t="s">
        <v>7061</v>
      </c>
      <c r="D5886" t="s">
        <v>8517</v>
      </c>
      <c r="E5886" t="s">
        <v>9978</v>
      </c>
      <c r="F5886" t="s">
        <v>10305</v>
      </c>
      <c r="G5886">
        <v>29.151</v>
      </c>
      <c r="H5886" t="s">
        <v>10307</v>
      </c>
      <c r="I5886" t="s">
        <v>10323</v>
      </c>
      <c r="K5886" t="s">
        <v>10332</v>
      </c>
      <c r="L5886">
        <v>2018</v>
      </c>
      <c r="N5886">
        <v>48.778448500000003</v>
      </c>
      <c r="P5886">
        <v>9.1800131999999994</v>
      </c>
      <c r="R5886" t="s">
        <v>11037</v>
      </c>
      <c r="S5886" t="s">
        <v>10307</v>
      </c>
      <c r="W5886" t="s">
        <v>11249</v>
      </c>
    </row>
    <row r="5887" spans="1:23" hidden="1" x14ac:dyDescent="0.45">
      <c r="A5887" s="1" t="s">
        <v>5814</v>
      </c>
      <c r="B5887" t="s">
        <v>7143</v>
      </c>
      <c r="C5887" t="s">
        <v>7764</v>
      </c>
      <c r="D5887" t="s">
        <v>8518</v>
      </c>
      <c r="E5887" t="s">
        <v>10138</v>
      </c>
      <c r="F5887" t="s">
        <v>10305</v>
      </c>
      <c r="G5887">
        <v>11.5</v>
      </c>
      <c r="H5887" t="s">
        <v>10307</v>
      </c>
      <c r="I5887" t="s">
        <v>10323</v>
      </c>
      <c r="K5887" t="s">
        <v>10332</v>
      </c>
      <c r="L5887">
        <v>2018</v>
      </c>
      <c r="N5887">
        <v>51.086742800000003</v>
      </c>
      <c r="P5887">
        <v>13.764734799999999</v>
      </c>
      <c r="R5887" t="s">
        <v>11037</v>
      </c>
      <c r="S5887" t="s">
        <v>10307</v>
      </c>
      <c r="W5887" t="s">
        <v>11249</v>
      </c>
    </row>
    <row r="5888" spans="1:23" hidden="1" x14ac:dyDescent="0.45">
      <c r="A5888" s="1" t="s">
        <v>5815</v>
      </c>
      <c r="B5888" t="s">
        <v>7242</v>
      </c>
      <c r="D5888" t="s">
        <v>8408</v>
      </c>
      <c r="E5888" t="s">
        <v>10146</v>
      </c>
      <c r="F5888" t="s">
        <v>10305</v>
      </c>
      <c r="G5888">
        <v>17.3</v>
      </c>
      <c r="H5888" t="s">
        <v>10307</v>
      </c>
      <c r="I5888" t="s">
        <v>10323</v>
      </c>
      <c r="K5888" t="s">
        <v>10332</v>
      </c>
      <c r="L5888">
        <v>2018</v>
      </c>
      <c r="N5888">
        <v>50.877230100000013</v>
      </c>
      <c r="P5888">
        <v>12.079620800000001</v>
      </c>
      <c r="R5888" t="s">
        <v>11037</v>
      </c>
      <c r="S5888" t="s">
        <v>10307</v>
      </c>
      <c r="W5888" t="s">
        <v>11249</v>
      </c>
    </row>
    <row r="5889" spans="1:23" hidden="1" x14ac:dyDescent="0.45">
      <c r="A5889" s="1" t="s">
        <v>5816</v>
      </c>
      <c r="B5889" t="s">
        <v>7242</v>
      </c>
      <c r="D5889" t="s">
        <v>8519</v>
      </c>
      <c r="E5889" t="s">
        <v>10146</v>
      </c>
      <c r="F5889" t="s">
        <v>10305</v>
      </c>
      <c r="G5889">
        <v>22.1</v>
      </c>
      <c r="H5889" t="s">
        <v>10307</v>
      </c>
      <c r="I5889" t="s">
        <v>10323</v>
      </c>
      <c r="K5889" t="s">
        <v>10332</v>
      </c>
      <c r="L5889">
        <v>2018</v>
      </c>
      <c r="N5889">
        <v>50.877230100000013</v>
      </c>
      <c r="P5889">
        <v>12.079620800000001</v>
      </c>
      <c r="R5889" t="s">
        <v>11037</v>
      </c>
      <c r="S5889" t="s">
        <v>10307</v>
      </c>
      <c r="W5889" t="s">
        <v>11249</v>
      </c>
    </row>
    <row r="5890" spans="1:23" hidden="1" x14ac:dyDescent="0.45">
      <c r="A5890" s="1" t="s">
        <v>5817</v>
      </c>
      <c r="B5890" t="s">
        <v>7161</v>
      </c>
      <c r="D5890" t="s">
        <v>8463</v>
      </c>
      <c r="E5890" t="s">
        <v>10186</v>
      </c>
      <c r="F5890" t="s">
        <v>10305</v>
      </c>
      <c r="G5890">
        <v>10</v>
      </c>
      <c r="H5890" t="s">
        <v>10307</v>
      </c>
      <c r="I5890" t="s">
        <v>10323</v>
      </c>
      <c r="K5890" t="s">
        <v>10332</v>
      </c>
      <c r="L5890">
        <v>2018</v>
      </c>
      <c r="N5890">
        <v>50.812317999999998</v>
      </c>
      <c r="P5890">
        <v>10.232078400000001</v>
      </c>
      <c r="R5890" t="s">
        <v>11037</v>
      </c>
      <c r="S5890" t="s">
        <v>10307</v>
      </c>
      <c r="W5890" t="s">
        <v>11249</v>
      </c>
    </row>
    <row r="5891" spans="1:23" hidden="1" x14ac:dyDescent="0.45">
      <c r="A5891" s="1" t="s">
        <v>5818</v>
      </c>
      <c r="B5891" t="s">
        <v>7240</v>
      </c>
      <c r="C5891" t="s">
        <v>7765</v>
      </c>
      <c r="D5891" t="s">
        <v>8520</v>
      </c>
      <c r="E5891" t="s">
        <v>10232</v>
      </c>
      <c r="F5891" t="s">
        <v>10305</v>
      </c>
      <c r="G5891">
        <v>17.600000000000001</v>
      </c>
      <c r="H5891" t="s">
        <v>10307</v>
      </c>
      <c r="I5891" t="s">
        <v>10323</v>
      </c>
      <c r="K5891" t="s">
        <v>10332</v>
      </c>
      <c r="L5891">
        <v>2019</v>
      </c>
      <c r="N5891">
        <v>48.558113800000001</v>
      </c>
      <c r="P5891">
        <v>12.148581200000001</v>
      </c>
      <c r="R5891" t="s">
        <v>11037</v>
      </c>
      <c r="S5891" t="s">
        <v>10307</v>
      </c>
      <c r="W5891" t="s">
        <v>11249</v>
      </c>
    </row>
    <row r="5892" spans="1:23" hidden="1" x14ac:dyDescent="0.45">
      <c r="A5892" s="1" t="s">
        <v>5819</v>
      </c>
      <c r="B5892" t="s">
        <v>7063</v>
      </c>
      <c r="D5892" t="s">
        <v>8377</v>
      </c>
      <c r="E5892" t="s">
        <v>9911</v>
      </c>
      <c r="F5892" t="s">
        <v>10305</v>
      </c>
      <c r="G5892">
        <v>289</v>
      </c>
      <c r="H5892" t="s">
        <v>10307</v>
      </c>
      <c r="I5892" t="s">
        <v>10323</v>
      </c>
      <c r="K5892" t="s">
        <v>10332</v>
      </c>
      <c r="L5892">
        <v>2019</v>
      </c>
      <c r="N5892">
        <v>52.42224307</v>
      </c>
      <c r="P5892">
        <v>13.312712980000001</v>
      </c>
      <c r="R5892" t="s">
        <v>11037</v>
      </c>
      <c r="S5892" t="s">
        <v>10307</v>
      </c>
      <c r="W5892" t="s">
        <v>11249</v>
      </c>
    </row>
    <row r="5893" spans="1:23" hidden="1" x14ac:dyDescent="0.45">
      <c r="A5893" s="1" t="s">
        <v>5820</v>
      </c>
      <c r="B5893" t="s">
        <v>7036</v>
      </c>
      <c r="C5893" t="s">
        <v>7558</v>
      </c>
      <c r="D5893" t="s">
        <v>8516</v>
      </c>
      <c r="E5893" t="s">
        <v>9919</v>
      </c>
      <c r="F5893" t="s">
        <v>10305</v>
      </c>
      <c r="G5893">
        <v>38.700000000000003</v>
      </c>
      <c r="H5893" t="s">
        <v>10307</v>
      </c>
      <c r="I5893" t="s">
        <v>10323</v>
      </c>
      <c r="K5893" t="s">
        <v>10332</v>
      </c>
      <c r="L5893">
        <v>2018</v>
      </c>
      <c r="N5893">
        <v>50.099067100000013</v>
      </c>
      <c r="P5893">
        <v>8.6535844789999992</v>
      </c>
      <c r="R5893" t="s">
        <v>11037</v>
      </c>
      <c r="S5893" t="s">
        <v>10307</v>
      </c>
      <c r="W5893" t="s">
        <v>11249</v>
      </c>
    </row>
    <row r="5894" spans="1:23" hidden="1" x14ac:dyDescent="0.45">
      <c r="A5894" s="1" t="s">
        <v>5821</v>
      </c>
      <c r="B5894" t="s">
        <v>7243</v>
      </c>
      <c r="D5894" t="s">
        <v>8521</v>
      </c>
      <c r="E5894" t="s">
        <v>10233</v>
      </c>
      <c r="F5894" t="s">
        <v>10305</v>
      </c>
      <c r="G5894">
        <v>15</v>
      </c>
      <c r="H5894" t="s">
        <v>10307</v>
      </c>
      <c r="I5894" t="s">
        <v>10323</v>
      </c>
      <c r="K5894" t="s">
        <v>10332</v>
      </c>
      <c r="L5894">
        <v>1960</v>
      </c>
      <c r="N5894">
        <v>48.836270500000012</v>
      </c>
      <c r="P5894">
        <v>10.0931765</v>
      </c>
      <c r="R5894" t="s">
        <v>11037</v>
      </c>
      <c r="S5894" t="s">
        <v>10307</v>
      </c>
      <c r="W5894" t="s">
        <v>11249</v>
      </c>
    </row>
    <row r="5895" spans="1:23" hidden="1" x14ac:dyDescent="0.45">
      <c r="A5895" s="1" t="s">
        <v>5822</v>
      </c>
      <c r="B5895" t="s">
        <v>7240</v>
      </c>
      <c r="C5895" t="s">
        <v>7713</v>
      </c>
      <c r="D5895" t="s">
        <v>8300</v>
      </c>
      <c r="E5895" t="s">
        <v>10057</v>
      </c>
      <c r="F5895" t="s">
        <v>10305</v>
      </c>
      <c r="G5895">
        <v>13.5</v>
      </c>
      <c r="H5895" t="s">
        <v>10307</v>
      </c>
      <c r="I5895" t="s">
        <v>10323</v>
      </c>
      <c r="K5895" t="s">
        <v>10332</v>
      </c>
      <c r="L5895">
        <v>2019</v>
      </c>
      <c r="N5895">
        <v>48.644561299999992</v>
      </c>
      <c r="P5895">
        <v>12.482932999999999</v>
      </c>
      <c r="R5895" t="s">
        <v>11037</v>
      </c>
      <c r="S5895" t="s">
        <v>10307</v>
      </c>
      <c r="W5895" t="s">
        <v>11249</v>
      </c>
    </row>
    <row r="5896" spans="1:23" hidden="1" x14ac:dyDescent="0.45">
      <c r="A5896" s="1" t="s">
        <v>5823</v>
      </c>
      <c r="B5896" t="s">
        <v>7163</v>
      </c>
      <c r="C5896" t="s">
        <v>7766</v>
      </c>
      <c r="D5896" t="s">
        <v>8202</v>
      </c>
      <c r="E5896" t="s">
        <v>9968</v>
      </c>
      <c r="F5896" t="s">
        <v>10305</v>
      </c>
      <c r="G5896">
        <v>188</v>
      </c>
      <c r="H5896" t="s">
        <v>10307</v>
      </c>
      <c r="I5896" t="s">
        <v>10323</v>
      </c>
      <c r="K5896" t="s">
        <v>10332</v>
      </c>
      <c r="L5896">
        <v>2019</v>
      </c>
      <c r="N5896">
        <v>54.342838100000009</v>
      </c>
      <c r="P5896">
        <v>10.182981</v>
      </c>
      <c r="R5896" t="s">
        <v>11037</v>
      </c>
      <c r="S5896" t="s">
        <v>10307</v>
      </c>
      <c r="W5896" t="s">
        <v>11249</v>
      </c>
    </row>
    <row r="5897" spans="1:23" hidden="1" x14ac:dyDescent="0.45">
      <c r="A5897" s="1" t="s">
        <v>5824</v>
      </c>
      <c r="B5897" t="s">
        <v>7240</v>
      </c>
      <c r="C5897" t="s">
        <v>7767</v>
      </c>
      <c r="D5897" t="s">
        <v>8522</v>
      </c>
      <c r="E5897" t="s">
        <v>10160</v>
      </c>
      <c r="F5897" t="s">
        <v>10305</v>
      </c>
      <c r="G5897">
        <v>13.5</v>
      </c>
      <c r="H5897" t="s">
        <v>10307</v>
      </c>
      <c r="I5897" t="s">
        <v>10323</v>
      </c>
      <c r="K5897" t="s">
        <v>10332</v>
      </c>
      <c r="L5897">
        <v>2019</v>
      </c>
      <c r="N5897">
        <v>48.179774000000002</v>
      </c>
      <c r="P5897">
        <v>11.561399</v>
      </c>
      <c r="R5897" t="s">
        <v>11037</v>
      </c>
      <c r="S5897" t="s">
        <v>10307</v>
      </c>
      <c r="W5897" t="s">
        <v>11249</v>
      </c>
    </row>
    <row r="5898" spans="1:23" hidden="1" x14ac:dyDescent="0.45">
      <c r="A5898" s="1" t="s">
        <v>5825</v>
      </c>
      <c r="B5898" t="s">
        <v>7240</v>
      </c>
      <c r="C5898" t="s">
        <v>7768</v>
      </c>
      <c r="D5898" t="s">
        <v>8523</v>
      </c>
      <c r="E5898" t="s">
        <v>10160</v>
      </c>
      <c r="F5898" t="s">
        <v>10305</v>
      </c>
      <c r="G5898">
        <v>13.6</v>
      </c>
      <c r="H5898" t="s">
        <v>10307</v>
      </c>
      <c r="I5898" t="s">
        <v>10323</v>
      </c>
      <c r="K5898" t="s">
        <v>10332</v>
      </c>
      <c r="L5898">
        <v>2019</v>
      </c>
      <c r="N5898">
        <v>48.1941688</v>
      </c>
      <c r="P5898">
        <v>11.5707734</v>
      </c>
      <c r="R5898" t="s">
        <v>11037</v>
      </c>
      <c r="S5898" t="s">
        <v>10307</v>
      </c>
      <c r="W5898" t="s">
        <v>11249</v>
      </c>
    </row>
    <row r="5899" spans="1:23" hidden="1" x14ac:dyDescent="0.45">
      <c r="A5899" s="1" t="s">
        <v>5826</v>
      </c>
      <c r="B5899" t="s">
        <v>7244</v>
      </c>
      <c r="D5899" t="s">
        <v>8524</v>
      </c>
      <c r="E5899" t="s">
        <v>10234</v>
      </c>
      <c r="F5899" t="s">
        <v>10305</v>
      </c>
      <c r="G5899">
        <v>1410</v>
      </c>
      <c r="H5899" t="s">
        <v>10311</v>
      </c>
      <c r="I5899" t="s">
        <v>10323</v>
      </c>
      <c r="K5899" t="s">
        <v>10333</v>
      </c>
      <c r="L5899">
        <v>1986</v>
      </c>
      <c r="N5899">
        <v>53.851095000000001</v>
      </c>
      <c r="P5899">
        <v>9.3459439999999994</v>
      </c>
      <c r="Q5899" t="s">
        <v>11023</v>
      </c>
      <c r="R5899" t="s">
        <v>10311</v>
      </c>
      <c r="W5899" t="s">
        <v>11249</v>
      </c>
    </row>
    <row r="5900" spans="1:23" hidden="1" x14ac:dyDescent="0.45">
      <c r="A5900" s="1" t="s">
        <v>5827</v>
      </c>
      <c r="B5900" t="s">
        <v>7244</v>
      </c>
      <c r="D5900" t="s">
        <v>8525</v>
      </c>
      <c r="E5900" t="s">
        <v>10235</v>
      </c>
      <c r="F5900" t="s">
        <v>10305</v>
      </c>
      <c r="G5900">
        <v>1360</v>
      </c>
      <c r="H5900" t="s">
        <v>10311</v>
      </c>
      <c r="I5900" t="s">
        <v>10323</v>
      </c>
      <c r="K5900" t="s">
        <v>10333</v>
      </c>
      <c r="L5900">
        <v>1985</v>
      </c>
      <c r="N5900">
        <v>52.035640999999998</v>
      </c>
      <c r="P5900">
        <v>9.4134969999999996</v>
      </c>
      <c r="Q5900" t="s">
        <v>11024</v>
      </c>
      <c r="R5900" t="s">
        <v>10311</v>
      </c>
      <c r="W5900" t="s">
        <v>11249</v>
      </c>
    </row>
    <row r="5901" spans="1:23" hidden="1" x14ac:dyDescent="0.45">
      <c r="A5901" s="1" t="s">
        <v>5828</v>
      </c>
      <c r="B5901" t="s">
        <v>7244</v>
      </c>
      <c r="D5901" t="s">
        <v>8305</v>
      </c>
      <c r="E5901" t="s">
        <v>10062</v>
      </c>
      <c r="F5901" t="s">
        <v>10305</v>
      </c>
      <c r="G5901">
        <v>1410</v>
      </c>
      <c r="H5901" t="s">
        <v>10311</v>
      </c>
      <c r="I5901" t="s">
        <v>10323</v>
      </c>
      <c r="K5901" t="s">
        <v>10333</v>
      </c>
      <c r="L5901">
        <v>1988</v>
      </c>
      <c r="N5901">
        <v>48.604599999999998</v>
      </c>
      <c r="P5901">
        <v>12.295070000000001</v>
      </c>
      <c r="Q5901" t="s">
        <v>11025</v>
      </c>
      <c r="R5901" t="s">
        <v>10311</v>
      </c>
      <c r="W5901" t="s">
        <v>11249</v>
      </c>
    </row>
    <row r="5902" spans="1:23" hidden="1" x14ac:dyDescent="0.45">
      <c r="A5902" s="1" t="s">
        <v>5829</v>
      </c>
      <c r="B5902" t="s">
        <v>7245</v>
      </c>
      <c r="D5902" t="s">
        <v>8526</v>
      </c>
      <c r="E5902" t="s">
        <v>10236</v>
      </c>
      <c r="F5902" t="s">
        <v>10305</v>
      </c>
      <c r="G5902">
        <v>1275</v>
      </c>
      <c r="H5902" t="s">
        <v>10311</v>
      </c>
      <c r="I5902" t="s">
        <v>10323</v>
      </c>
      <c r="K5902" t="s">
        <v>10333</v>
      </c>
      <c r="N5902">
        <v>49.984423999999997</v>
      </c>
      <c r="P5902">
        <v>10.181753</v>
      </c>
      <c r="R5902" t="s">
        <v>10311</v>
      </c>
      <c r="W5902" t="s">
        <v>11249</v>
      </c>
    </row>
    <row r="5903" spans="1:23" hidden="1" x14ac:dyDescent="0.45">
      <c r="A5903" s="1" t="s">
        <v>5830</v>
      </c>
      <c r="B5903" t="s">
        <v>7104</v>
      </c>
      <c r="D5903" t="s">
        <v>8527</v>
      </c>
      <c r="E5903" t="s">
        <v>10237</v>
      </c>
      <c r="F5903" t="s">
        <v>10305</v>
      </c>
      <c r="G5903">
        <v>1284</v>
      </c>
      <c r="H5903" t="s">
        <v>10311</v>
      </c>
      <c r="I5903" t="s">
        <v>10323</v>
      </c>
      <c r="K5903" t="s">
        <v>10333</v>
      </c>
      <c r="L5903">
        <v>1984</v>
      </c>
      <c r="N5903">
        <v>48.515039999999999</v>
      </c>
      <c r="P5903">
        <v>10.401564799999999</v>
      </c>
      <c r="Q5903" t="s">
        <v>11026</v>
      </c>
      <c r="R5903" t="s">
        <v>10311</v>
      </c>
      <c r="W5903" t="s">
        <v>11249</v>
      </c>
    </row>
    <row r="5904" spans="1:23" hidden="1" x14ac:dyDescent="0.45">
      <c r="A5904" s="1" t="s">
        <v>5831</v>
      </c>
      <c r="B5904" t="s">
        <v>7104</v>
      </c>
      <c r="D5904" t="s">
        <v>8527</v>
      </c>
      <c r="E5904" t="s">
        <v>10237</v>
      </c>
      <c r="F5904" t="s">
        <v>10305</v>
      </c>
      <c r="G5904">
        <v>1288</v>
      </c>
      <c r="H5904" t="s">
        <v>10311</v>
      </c>
      <c r="I5904" t="s">
        <v>10323</v>
      </c>
      <c r="K5904" t="s">
        <v>10333</v>
      </c>
      <c r="L5904">
        <v>1984</v>
      </c>
      <c r="N5904">
        <v>48.516080000000002</v>
      </c>
      <c r="P5904">
        <v>10.39822</v>
      </c>
      <c r="Q5904" t="s">
        <v>11026</v>
      </c>
      <c r="R5904" t="s">
        <v>10311</v>
      </c>
      <c r="W5904" t="s">
        <v>11249</v>
      </c>
    </row>
    <row r="5905" spans="1:23" hidden="1" x14ac:dyDescent="0.45">
      <c r="A5905" s="1" t="s">
        <v>5832</v>
      </c>
      <c r="B5905" t="s">
        <v>7104</v>
      </c>
      <c r="D5905" t="s">
        <v>8426</v>
      </c>
      <c r="E5905" t="s">
        <v>10157</v>
      </c>
      <c r="F5905" t="s">
        <v>10305</v>
      </c>
      <c r="G5905">
        <v>1336</v>
      </c>
      <c r="H5905" t="s">
        <v>10311</v>
      </c>
      <c r="I5905" t="s">
        <v>10323</v>
      </c>
      <c r="K5905" t="s">
        <v>10333</v>
      </c>
      <c r="L5905">
        <v>1988</v>
      </c>
      <c r="N5905">
        <v>52.481878000000002</v>
      </c>
      <c r="P5905">
        <v>7.3066579999999997</v>
      </c>
      <c r="Q5905" t="s">
        <v>11027</v>
      </c>
      <c r="R5905" t="s">
        <v>10311</v>
      </c>
      <c r="W5905" t="s">
        <v>11249</v>
      </c>
    </row>
    <row r="5906" spans="1:23" hidden="1" x14ac:dyDescent="0.45">
      <c r="A5906" s="1" t="s">
        <v>5833</v>
      </c>
      <c r="B5906" t="s">
        <v>7061</v>
      </c>
      <c r="C5906" t="s">
        <v>7769</v>
      </c>
      <c r="D5906" t="s">
        <v>8528</v>
      </c>
      <c r="E5906" t="s">
        <v>10238</v>
      </c>
      <c r="F5906" t="s">
        <v>10305</v>
      </c>
      <c r="G5906">
        <v>1310</v>
      </c>
      <c r="H5906" t="s">
        <v>10311</v>
      </c>
      <c r="I5906" t="s">
        <v>10323</v>
      </c>
      <c r="K5906" t="s">
        <v>10333</v>
      </c>
      <c r="L5906">
        <v>1989</v>
      </c>
      <c r="N5906">
        <v>49.041111000000001</v>
      </c>
      <c r="P5906">
        <v>9.1750000000000007</v>
      </c>
      <c r="Q5906" t="s">
        <v>11028</v>
      </c>
      <c r="R5906" t="s">
        <v>10311</v>
      </c>
      <c r="W5906" t="s">
        <v>11249</v>
      </c>
    </row>
    <row r="5907" spans="1:23" hidden="1" x14ac:dyDescent="0.45">
      <c r="A5907" s="1" t="s">
        <v>5834</v>
      </c>
      <c r="B5907" t="s">
        <v>7061</v>
      </c>
      <c r="C5907" t="s">
        <v>7770</v>
      </c>
      <c r="D5907" t="s">
        <v>8529</v>
      </c>
      <c r="E5907" t="s">
        <v>10239</v>
      </c>
      <c r="F5907" t="s">
        <v>10305</v>
      </c>
      <c r="G5907">
        <v>1402</v>
      </c>
      <c r="H5907" t="s">
        <v>10311</v>
      </c>
      <c r="I5907" t="s">
        <v>10323</v>
      </c>
      <c r="K5907" t="s">
        <v>10333</v>
      </c>
      <c r="L5907">
        <v>1985</v>
      </c>
      <c r="N5907">
        <v>49.252721999999999</v>
      </c>
      <c r="P5907">
        <v>8.4354359999999993</v>
      </c>
      <c r="Q5907" t="s">
        <v>11029</v>
      </c>
      <c r="R5907" t="s">
        <v>10311</v>
      </c>
      <c r="W5907" t="s">
        <v>11249</v>
      </c>
    </row>
    <row r="5908" spans="1:23" hidden="1" x14ac:dyDescent="0.45">
      <c r="A5908" s="1" t="s">
        <v>5835</v>
      </c>
      <c r="B5908" t="s">
        <v>7023</v>
      </c>
      <c r="C5908" t="s">
        <v>7512</v>
      </c>
      <c r="D5908" t="s">
        <v>8127</v>
      </c>
      <c r="E5908" t="s">
        <v>9905</v>
      </c>
      <c r="F5908" t="s">
        <v>10305</v>
      </c>
      <c r="G5908">
        <v>2.8</v>
      </c>
      <c r="H5908" t="s">
        <v>10308</v>
      </c>
      <c r="I5908" t="s">
        <v>10323</v>
      </c>
      <c r="K5908" t="s">
        <v>10333</v>
      </c>
      <c r="L5908">
        <v>1994</v>
      </c>
      <c r="N5908">
        <v>51.985129999999998</v>
      </c>
      <c r="P5908">
        <v>9.8224599999999995</v>
      </c>
      <c r="R5908" t="s">
        <v>11037</v>
      </c>
      <c r="S5908" t="s">
        <v>10308</v>
      </c>
      <c r="W5908" t="s">
        <v>11249</v>
      </c>
    </row>
    <row r="5909" spans="1:23" hidden="1" x14ac:dyDescent="0.45">
      <c r="A5909" s="1" t="s">
        <v>5836</v>
      </c>
      <c r="B5909" t="s">
        <v>7063</v>
      </c>
      <c r="C5909" t="s">
        <v>7771</v>
      </c>
      <c r="D5909" t="s">
        <v>8530</v>
      </c>
      <c r="E5909" t="s">
        <v>9911</v>
      </c>
      <c r="F5909" t="s">
        <v>10305</v>
      </c>
      <c r="G5909">
        <v>184</v>
      </c>
      <c r="H5909" t="s">
        <v>10308</v>
      </c>
      <c r="I5909" t="s">
        <v>10322</v>
      </c>
      <c r="K5909" t="s">
        <v>10332</v>
      </c>
      <c r="L5909">
        <v>1977</v>
      </c>
      <c r="N5909">
        <v>52.481593660000001</v>
      </c>
      <c r="P5909">
        <v>13.307619089999999</v>
      </c>
      <c r="R5909" t="s">
        <v>11037</v>
      </c>
      <c r="S5909" t="s">
        <v>10308</v>
      </c>
      <c r="W5909" t="s">
        <v>11249</v>
      </c>
    </row>
    <row r="5910" spans="1:23" hidden="1" x14ac:dyDescent="0.45">
      <c r="A5910" s="1" t="s">
        <v>5836</v>
      </c>
      <c r="B5910" t="s">
        <v>7063</v>
      </c>
      <c r="C5910" t="s">
        <v>7771</v>
      </c>
      <c r="D5910" t="s">
        <v>8530</v>
      </c>
      <c r="E5910" t="s">
        <v>9911</v>
      </c>
      <c r="F5910" t="s">
        <v>10305</v>
      </c>
      <c r="G5910">
        <v>92</v>
      </c>
      <c r="H5910" t="s">
        <v>10308</v>
      </c>
      <c r="I5910" t="s">
        <v>10322</v>
      </c>
      <c r="K5910" t="s">
        <v>10332</v>
      </c>
      <c r="L5910">
        <v>1977</v>
      </c>
      <c r="N5910">
        <v>52.481593660000001</v>
      </c>
      <c r="P5910">
        <v>13.307619089999999</v>
      </c>
      <c r="R5910" t="s">
        <v>11037</v>
      </c>
      <c r="S5910" t="s">
        <v>10308</v>
      </c>
      <c r="W5910" t="s">
        <v>11249</v>
      </c>
    </row>
    <row r="5911" spans="1:23" hidden="1" x14ac:dyDescent="0.45">
      <c r="A5911" s="1" t="s">
        <v>5837</v>
      </c>
      <c r="B5911" t="s">
        <v>7063</v>
      </c>
      <c r="C5911" t="s">
        <v>7546</v>
      </c>
      <c r="D5911" t="s">
        <v>8172</v>
      </c>
      <c r="E5911" t="s">
        <v>9911</v>
      </c>
      <c r="F5911" t="s">
        <v>10305</v>
      </c>
      <c r="G5911">
        <v>34</v>
      </c>
      <c r="H5911" t="s">
        <v>10308</v>
      </c>
      <c r="I5911" t="s">
        <v>10322</v>
      </c>
      <c r="K5911" t="s">
        <v>10333</v>
      </c>
      <c r="L5911">
        <v>1971</v>
      </c>
      <c r="N5911">
        <v>52.537351110000003</v>
      </c>
      <c r="P5911">
        <v>13.346114160000001</v>
      </c>
      <c r="R5911" t="s">
        <v>11037</v>
      </c>
      <c r="S5911" t="s">
        <v>10308</v>
      </c>
      <c r="W5911" t="s">
        <v>11249</v>
      </c>
    </row>
    <row r="5912" spans="1:23" hidden="1" x14ac:dyDescent="0.45">
      <c r="A5912" s="1" t="s">
        <v>5837</v>
      </c>
      <c r="B5912" t="s">
        <v>7063</v>
      </c>
      <c r="C5912" t="s">
        <v>7546</v>
      </c>
      <c r="D5912" t="s">
        <v>8172</v>
      </c>
      <c r="E5912" t="s">
        <v>9911</v>
      </c>
      <c r="F5912" t="s">
        <v>10305</v>
      </c>
      <c r="G5912">
        <v>17</v>
      </c>
      <c r="H5912" t="s">
        <v>10308</v>
      </c>
      <c r="I5912" t="s">
        <v>10322</v>
      </c>
      <c r="K5912" t="s">
        <v>10333</v>
      </c>
      <c r="L5912">
        <v>1971</v>
      </c>
      <c r="N5912">
        <v>52.537351110000003</v>
      </c>
      <c r="P5912">
        <v>13.346114160000001</v>
      </c>
      <c r="R5912" t="s">
        <v>11037</v>
      </c>
      <c r="S5912" t="s">
        <v>10308</v>
      </c>
      <c r="W5912" t="s">
        <v>11249</v>
      </c>
    </row>
    <row r="5913" spans="1:23" hidden="1" x14ac:dyDescent="0.45">
      <c r="A5913" s="1" t="s">
        <v>5838</v>
      </c>
      <c r="B5913" t="s">
        <v>7065</v>
      </c>
      <c r="C5913" t="s">
        <v>7772</v>
      </c>
      <c r="D5913" t="s">
        <v>8176</v>
      </c>
      <c r="E5913" t="s">
        <v>9950</v>
      </c>
      <c r="F5913" t="s">
        <v>10305</v>
      </c>
      <c r="G5913">
        <v>86</v>
      </c>
      <c r="H5913" t="s">
        <v>10308</v>
      </c>
      <c r="I5913" t="s">
        <v>10322</v>
      </c>
      <c r="K5913" t="s">
        <v>10333</v>
      </c>
      <c r="L5913">
        <v>1975</v>
      </c>
      <c r="N5913">
        <v>53.128909999999998</v>
      </c>
      <c r="P5913">
        <v>8.6852400000000003</v>
      </c>
      <c r="R5913" t="s">
        <v>11037</v>
      </c>
      <c r="S5913" t="s">
        <v>10308</v>
      </c>
      <c r="W5913" t="s">
        <v>11249</v>
      </c>
    </row>
    <row r="5914" spans="1:23" hidden="1" x14ac:dyDescent="0.45">
      <c r="A5914" s="1" t="s">
        <v>5839</v>
      </c>
      <c r="B5914" t="s">
        <v>7246</v>
      </c>
      <c r="C5914" t="s">
        <v>7773</v>
      </c>
      <c r="D5914" t="s">
        <v>8531</v>
      </c>
      <c r="E5914" t="s">
        <v>10240</v>
      </c>
      <c r="F5914" t="s">
        <v>10305</v>
      </c>
      <c r="G5914">
        <v>63.5</v>
      </c>
      <c r="H5914" t="s">
        <v>10308</v>
      </c>
      <c r="I5914" t="s">
        <v>10322</v>
      </c>
      <c r="K5914" t="s">
        <v>10333</v>
      </c>
      <c r="N5914">
        <v>53.892519239999999</v>
      </c>
      <c r="P5914">
        <v>9.201135635</v>
      </c>
      <c r="R5914" t="s">
        <v>11037</v>
      </c>
      <c r="S5914" t="s">
        <v>10308</v>
      </c>
      <c r="W5914" t="s">
        <v>11249</v>
      </c>
    </row>
    <row r="5915" spans="1:23" hidden="1" x14ac:dyDescent="0.45">
      <c r="A5915" s="1" t="s">
        <v>5840</v>
      </c>
      <c r="B5915" t="s">
        <v>7246</v>
      </c>
      <c r="C5915" t="s">
        <v>7773</v>
      </c>
      <c r="D5915" t="s">
        <v>8531</v>
      </c>
      <c r="E5915" t="s">
        <v>10240</v>
      </c>
      <c r="F5915" t="s">
        <v>10305</v>
      </c>
      <c r="G5915">
        <v>63.5</v>
      </c>
      <c r="H5915" t="s">
        <v>10308</v>
      </c>
      <c r="I5915" t="s">
        <v>10322</v>
      </c>
      <c r="K5915" t="s">
        <v>10333</v>
      </c>
      <c r="N5915">
        <v>53.892519239999999</v>
      </c>
      <c r="P5915">
        <v>9.201135635</v>
      </c>
      <c r="R5915" t="s">
        <v>11037</v>
      </c>
      <c r="S5915" t="s">
        <v>10308</v>
      </c>
      <c r="W5915" t="s">
        <v>11249</v>
      </c>
    </row>
    <row r="5916" spans="1:23" hidden="1" x14ac:dyDescent="0.45">
      <c r="A5916" s="1" t="s">
        <v>5841</v>
      </c>
      <c r="B5916" t="s">
        <v>7246</v>
      </c>
      <c r="C5916" t="s">
        <v>7773</v>
      </c>
      <c r="D5916" t="s">
        <v>8531</v>
      </c>
      <c r="E5916" t="s">
        <v>10240</v>
      </c>
      <c r="F5916" t="s">
        <v>10305</v>
      </c>
      <c r="G5916">
        <v>63.5</v>
      </c>
      <c r="H5916" t="s">
        <v>10308</v>
      </c>
      <c r="I5916" t="s">
        <v>10322</v>
      </c>
      <c r="K5916" t="s">
        <v>10333</v>
      </c>
      <c r="N5916">
        <v>53.892519239999999</v>
      </c>
      <c r="P5916">
        <v>9.201135635</v>
      </c>
      <c r="R5916" t="s">
        <v>11037</v>
      </c>
      <c r="S5916" t="s">
        <v>10308</v>
      </c>
      <c r="W5916" t="s">
        <v>11249</v>
      </c>
    </row>
    <row r="5917" spans="1:23" hidden="1" x14ac:dyDescent="0.45">
      <c r="A5917" s="1" t="s">
        <v>5842</v>
      </c>
      <c r="B5917" t="s">
        <v>7246</v>
      </c>
      <c r="C5917" t="s">
        <v>7773</v>
      </c>
      <c r="D5917" t="s">
        <v>8531</v>
      </c>
      <c r="E5917" t="s">
        <v>10240</v>
      </c>
      <c r="F5917" t="s">
        <v>10305</v>
      </c>
      <c r="G5917">
        <v>63.5</v>
      </c>
      <c r="H5917" t="s">
        <v>10308</v>
      </c>
      <c r="I5917" t="s">
        <v>10322</v>
      </c>
      <c r="K5917" t="s">
        <v>10333</v>
      </c>
      <c r="N5917">
        <v>53.892519239999999</v>
      </c>
      <c r="P5917">
        <v>9.201135635</v>
      </c>
      <c r="R5917" t="s">
        <v>11037</v>
      </c>
      <c r="S5917" t="s">
        <v>10308</v>
      </c>
      <c r="W5917" t="s">
        <v>11249</v>
      </c>
    </row>
    <row r="5918" spans="1:23" hidden="1" x14ac:dyDescent="0.45">
      <c r="A5918" s="1" t="s">
        <v>5843</v>
      </c>
      <c r="B5918" t="s">
        <v>7144</v>
      </c>
      <c r="C5918" t="s">
        <v>7774</v>
      </c>
      <c r="D5918" t="s">
        <v>8532</v>
      </c>
      <c r="E5918" t="s">
        <v>10139</v>
      </c>
      <c r="F5918" t="s">
        <v>10305</v>
      </c>
      <c r="G5918">
        <v>86.2</v>
      </c>
      <c r="H5918" t="s">
        <v>10308</v>
      </c>
      <c r="I5918" t="s">
        <v>10322</v>
      </c>
      <c r="K5918" t="s">
        <v>10333</v>
      </c>
      <c r="L5918">
        <v>1972</v>
      </c>
      <c r="N5918">
        <v>51.222794</v>
      </c>
      <c r="P5918">
        <v>6.8136960000000002</v>
      </c>
      <c r="R5918" t="s">
        <v>11037</v>
      </c>
      <c r="S5918" t="s">
        <v>10308</v>
      </c>
      <c r="W5918" t="s">
        <v>11249</v>
      </c>
    </row>
    <row r="5919" spans="1:23" hidden="1" x14ac:dyDescent="0.45">
      <c r="A5919" s="1" t="s">
        <v>5844</v>
      </c>
      <c r="B5919" t="s">
        <v>7074</v>
      </c>
      <c r="C5919" t="s">
        <v>7557</v>
      </c>
      <c r="D5919" t="s">
        <v>8185</v>
      </c>
      <c r="E5919" t="s">
        <v>9956</v>
      </c>
      <c r="F5919" t="s">
        <v>10305</v>
      </c>
      <c r="G5919">
        <v>30</v>
      </c>
      <c r="H5919" t="s">
        <v>10308</v>
      </c>
      <c r="I5919" t="s">
        <v>10321</v>
      </c>
      <c r="K5919" t="s">
        <v>10332</v>
      </c>
      <c r="M5919" t="s">
        <v>10336</v>
      </c>
      <c r="N5919">
        <v>54.805059999999997</v>
      </c>
      <c r="P5919">
        <v>9.4323800000000002</v>
      </c>
      <c r="R5919" t="s">
        <v>11037</v>
      </c>
      <c r="S5919" t="s">
        <v>10308</v>
      </c>
      <c r="W5919" t="s">
        <v>11249</v>
      </c>
    </row>
    <row r="5920" spans="1:23" hidden="1" x14ac:dyDescent="0.45">
      <c r="A5920" s="1" t="s">
        <v>5845</v>
      </c>
      <c r="B5920" t="s">
        <v>7247</v>
      </c>
      <c r="D5920" t="s">
        <v>8533</v>
      </c>
      <c r="E5920" t="s">
        <v>10217</v>
      </c>
      <c r="F5920" t="s">
        <v>10305</v>
      </c>
      <c r="G5920">
        <v>24.8</v>
      </c>
      <c r="H5920" t="s">
        <v>10308</v>
      </c>
      <c r="I5920" t="s">
        <v>10323</v>
      </c>
      <c r="K5920" t="s">
        <v>10333</v>
      </c>
      <c r="L5920">
        <v>2011</v>
      </c>
      <c r="N5920">
        <v>50.566360000000003</v>
      </c>
      <c r="P5920">
        <v>9.68614</v>
      </c>
      <c r="R5920" t="s">
        <v>11037</v>
      </c>
      <c r="S5920" t="s">
        <v>10308</v>
      </c>
      <c r="W5920" t="s">
        <v>11249</v>
      </c>
    </row>
    <row r="5921" spans="1:23" hidden="1" x14ac:dyDescent="0.45">
      <c r="A5921" s="1" t="s">
        <v>5846</v>
      </c>
      <c r="B5921" t="s">
        <v>7044</v>
      </c>
      <c r="D5921" t="s">
        <v>8534</v>
      </c>
      <c r="E5921" t="s">
        <v>10241</v>
      </c>
      <c r="F5921" t="s">
        <v>10305</v>
      </c>
      <c r="G5921">
        <v>17</v>
      </c>
      <c r="H5921" t="s">
        <v>10308</v>
      </c>
      <c r="I5921" t="s">
        <v>10323</v>
      </c>
      <c r="K5921" t="s">
        <v>10333</v>
      </c>
      <c r="L5921">
        <v>1995</v>
      </c>
      <c r="N5921">
        <v>51.161368000000003</v>
      </c>
      <c r="P5921">
        <v>12.781496000000001</v>
      </c>
      <c r="R5921" t="s">
        <v>11037</v>
      </c>
      <c r="S5921" t="s">
        <v>10308</v>
      </c>
      <c r="W5921" t="s">
        <v>11249</v>
      </c>
    </row>
    <row r="5922" spans="1:23" hidden="1" x14ac:dyDescent="0.45">
      <c r="A5922" s="1" t="s">
        <v>5847</v>
      </c>
      <c r="B5922" t="s">
        <v>7044</v>
      </c>
      <c r="D5922" t="s">
        <v>8535</v>
      </c>
      <c r="E5922" t="s">
        <v>10242</v>
      </c>
      <c r="F5922" t="s">
        <v>10305</v>
      </c>
      <c r="G5922">
        <v>120</v>
      </c>
      <c r="H5922" t="s">
        <v>10308</v>
      </c>
      <c r="I5922" t="s">
        <v>10322</v>
      </c>
      <c r="K5922" t="s">
        <v>10333</v>
      </c>
      <c r="L5922">
        <v>1994</v>
      </c>
      <c r="N5922">
        <v>51.291920000000012</v>
      </c>
      <c r="P5922">
        <v>11.94645</v>
      </c>
      <c r="R5922" t="s">
        <v>11037</v>
      </c>
      <c r="S5922" t="s">
        <v>10308</v>
      </c>
      <c r="W5922" t="s">
        <v>11249</v>
      </c>
    </row>
    <row r="5923" spans="1:23" hidden="1" x14ac:dyDescent="0.45">
      <c r="A5923" s="1" t="s">
        <v>5848</v>
      </c>
      <c r="B5923" t="s">
        <v>7067</v>
      </c>
      <c r="D5923" t="s">
        <v>8536</v>
      </c>
      <c r="E5923" t="s">
        <v>10243</v>
      </c>
      <c r="F5923" t="s">
        <v>10305</v>
      </c>
      <c r="G5923">
        <v>386</v>
      </c>
      <c r="H5923" t="s">
        <v>10308</v>
      </c>
      <c r="I5923" t="s">
        <v>10323</v>
      </c>
      <c r="K5923" t="s">
        <v>10333</v>
      </c>
      <c r="L5923">
        <v>1973</v>
      </c>
      <c r="N5923">
        <v>48.761412</v>
      </c>
      <c r="P5923">
        <v>11.503000999999999</v>
      </c>
      <c r="Q5923" t="s">
        <v>11030</v>
      </c>
      <c r="R5923" t="s">
        <v>11037</v>
      </c>
      <c r="S5923" t="s">
        <v>10308</v>
      </c>
      <c r="W5923" t="s">
        <v>11249</v>
      </c>
    </row>
    <row r="5924" spans="1:23" hidden="1" x14ac:dyDescent="0.45">
      <c r="A5924" s="1" t="s">
        <v>5849</v>
      </c>
      <c r="B5924" t="s">
        <v>7067</v>
      </c>
      <c r="D5924" t="s">
        <v>8536</v>
      </c>
      <c r="E5924" t="s">
        <v>10243</v>
      </c>
      <c r="F5924" t="s">
        <v>10305</v>
      </c>
      <c r="G5924">
        <v>386</v>
      </c>
      <c r="H5924" t="s">
        <v>10308</v>
      </c>
      <c r="I5924" t="s">
        <v>10323</v>
      </c>
      <c r="K5924" t="s">
        <v>10333</v>
      </c>
      <c r="L5924">
        <v>1974</v>
      </c>
      <c r="N5924">
        <v>48.761412</v>
      </c>
      <c r="P5924">
        <v>11.503000999999999</v>
      </c>
      <c r="Q5924" t="s">
        <v>11030</v>
      </c>
      <c r="R5924" t="s">
        <v>11037</v>
      </c>
      <c r="S5924" t="s">
        <v>10308</v>
      </c>
      <c r="W5924" t="s">
        <v>11249</v>
      </c>
    </row>
    <row r="5925" spans="1:23" hidden="1" x14ac:dyDescent="0.45">
      <c r="A5925" s="1" t="s">
        <v>5850</v>
      </c>
      <c r="B5925" t="s">
        <v>7248</v>
      </c>
      <c r="D5925" t="s">
        <v>8537</v>
      </c>
      <c r="E5925" t="s">
        <v>10244</v>
      </c>
      <c r="F5925" t="s">
        <v>10305</v>
      </c>
      <c r="G5925">
        <v>23.4</v>
      </c>
      <c r="H5925" t="s">
        <v>10308</v>
      </c>
      <c r="I5925" t="s">
        <v>10322</v>
      </c>
      <c r="K5925" t="s">
        <v>10333</v>
      </c>
      <c r="L5925">
        <v>1982</v>
      </c>
      <c r="N5925">
        <v>47.752396000000012</v>
      </c>
      <c r="P5925">
        <v>11.839802000000001</v>
      </c>
      <c r="R5925" t="s">
        <v>11037</v>
      </c>
      <c r="S5925" t="s">
        <v>10308</v>
      </c>
      <c r="W5925" t="s">
        <v>11249</v>
      </c>
    </row>
    <row r="5926" spans="1:23" hidden="1" x14ac:dyDescent="0.45">
      <c r="A5926" s="1" t="s">
        <v>5851</v>
      </c>
      <c r="B5926" t="s">
        <v>7248</v>
      </c>
      <c r="D5926" t="s">
        <v>8537</v>
      </c>
      <c r="E5926" t="s">
        <v>10244</v>
      </c>
      <c r="F5926" t="s">
        <v>10305</v>
      </c>
      <c r="G5926">
        <v>23.4</v>
      </c>
      <c r="H5926" t="s">
        <v>10308</v>
      </c>
      <c r="I5926" t="s">
        <v>10322</v>
      </c>
      <c r="K5926" t="s">
        <v>10333</v>
      </c>
      <c r="L5926">
        <v>1982</v>
      </c>
      <c r="N5926">
        <v>47.752396000000012</v>
      </c>
      <c r="P5926">
        <v>11.839802000000001</v>
      </c>
      <c r="R5926" t="s">
        <v>11037</v>
      </c>
      <c r="S5926" t="s">
        <v>10308</v>
      </c>
      <c r="W5926" t="s">
        <v>11249</v>
      </c>
    </row>
    <row r="5927" spans="1:23" hidden="1" x14ac:dyDescent="0.45">
      <c r="A5927" s="1" t="s">
        <v>5852</v>
      </c>
      <c r="B5927" t="s">
        <v>7248</v>
      </c>
      <c r="D5927" t="s">
        <v>8537</v>
      </c>
      <c r="E5927" t="s">
        <v>10244</v>
      </c>
      <c r="F5927" t="s">
        <v>10305</v>
      </c>
      <c r="G5927">
        <v>23.4</v>
      </c>
      <c r="H5927" t="s">
        <v>10308</v>
      </c>
      <c r="I5927" t="s">
        <v>10322</v>
      </c>
      <c r="K5927" t="s">
        <v>10333</v>
      </c>
      <c r="L5927">
        <v>1982</v>
      </c>
      <c r="N5927">
        <v>47.752396000000012</v>
      </c>
      <c r="P5927">
        <v>11.839802000000001</v>
      </c>
      <c r="R5927" t="s">
        <v>11037</v>
      </c>
      <c r="S5927" t="s">
        <v>10308</v>
      </c>
      <c r="W5927" t="s">
        <v>11249</v>
      </c>
    </row>
    <row r="5928" spans="1:23" hidden="1" x14ac:dyDescent="0.45">
      <c r="A5928" s="1" t="s">
        <v>5853</v>
      </c>
      <c r="B5928" t="s">
        <v>7248</v>
      </c>
      <c r="D5928" t="s">
        <v>8537</v>
      </c>
      <c r="E5928" t="s">
        <v>10244</v>
      </c>
      <c r="F5928" t="s">
        <v>10305</v>
      </c>
      <c r="G5928">
        <v>23.4</v>
      </c>
      <c r="H5928" t="s">
        <v>10308</v>
      </c>
      <c r="I5928" t="s">
        <v>10322</v>
      </c>
      <c r="K5928" t="s">
        <v>10333</v>
      </c>
      <c r="L5928">
        <v>1982</v>
      </c>
      <c r="N5928">
        <v>47.752396000000012</v>
      </c>
      <c r="P5928">
        <v>11.839802000000001</v>
      </c>
      <c r="R5928" t="s">
        <v>11037</v>
      </c>
      <c r="S5928" t="s">
        <v>10308</v>
      </c>
      <c r="W5928" t="s">
        <v>11249</v>
      </c>
    </row>
    <row r="5929" spans="1:23" hidden="1" x14ac:dyDescent="0.45">
      <c r="A5929" s="1" t="s">
        <v>5854</v>
      </c>
      <c r="B5929" t="s">
        <v>7249</v>
      </c>
      <c r="D5929" t="s">
        <v>8146</v>
      </c>
      <c r="E5929" t="s">
        <v>9924</v>
      </c>
      <c r="F5929" t="s">
        <v>10305</v>
      </c>
      <c r="G5929">
        <v>45</v>
      </c>
      <c r="H5929" t="s">
        <v>10308</v>
      </c>
      <c r="I5929" t="s">
        <v>10323</v>
      </c>
      <c r="K5929" t="s">
        <v>10332</v>
      </c>
      <c r="L5929">
        <v>1995</v>
      </c>
      <c r="N5929">
        <v>49.060809999999996</v>
      </c>
      <c r="P5929">
        <v>8.3243899999999993</v>
      </c>
      <c r="R5929" t="s">
        <v>11037</v>
      </c>
      <c r="S5929" t="s">
        <v>10308</v>
      </c>
      <c r="W5929" t="s">
        <v>11249</v>
      </c>
    </row>
    <row r="5930" spans="1:23" hidden="1" x14ac:dyDescent="0.45">
      <c r="A5930" s="1" t="s">
        <v>5855</v>
      </c>
      <c r="B5930" t="s">
        <v>7249</v>
      </c>
      <c r="D5930" t="s">
        <v>8146</v>
      </c>
      <c r="E5930" t="s">
        <v>9924</v>
      </c>
      <c r="F5930" t="s">
        <v>10305</v>
      </c>
      <c r="G5930">
        <v>25</v>
      </c>
      <c r="H5930" t="s">
        <v>10308</v>
      </c>
      <c r="I5930" t="s">
        <v>10323</v>
      </c>
      <c r="K5930" t="s">
        <v>10332</v>
      </c>
      <c r="L5930">
        <v>1995</v>
      </c>
      <c r="N5930">
        <v>49.060809999999996</v>
      </c>
      <c r="P5930">
        <v>8.3243899999999993</v>
      </c>
      <c r="R5930" t="s">
        <v>11037</v>
      </c>
      <c r="S5930" t="s">
        <v>10308</v>
      </c>
      <c r="W5930" t="s">
        <v>11249</v>
      </c>
    </row>
    <row r="5931" spans="1:23" hidden="1" x14ac:dyDescent="0.45">
      <c r="A5931" s="1" t="s">
        <v>5856</v>
      </c>
      <c r="B5931" t="s">
        <v>7250</v>
      </c>
      <c r="C5931" t="s">
        <v>7775</v>
      </c>
      <c r="D5931" t="s">
        <v>8538</v>
      </c>
      <c r="E5931" t="s">
        <v>10108</v>
      </c>
      <c r="F5931" t="s">
        <v>10305</v>
      </c>
      <c r="G5931">
        <v>97.1</v>
      </c>
      <c r="H5931" t="s">
        <v>10308</v>
      </c>
      <c r="I5931" t="s">
        <v>10321</v>
      </c>
      <c r="K5931" t="s">
        <v>10332</v>
      </c>
      <c r="L5931">
        <v>2004</v>
      </c>
      <c r="M5931" t="s">
        <v>10335</v>
      </c>
      <c r="N5931">
        <v>50.854750000000003</v>
      </c>
      <c r="P5931">
        <v>6.9808399999999997</v>
      </c>
      <c r="R5931" t="s">
        <v>11037</v>
      </c>
      <c r="S5931" t="s">
        <v>10308</v>
      </c>
      <c r="W5931" t="s">
        <v>11249</v>
      </c>
    </row>
    <row r="5932" spans="1:23" hidden="1" x14ac:dyDescent="0.45">
      <c r="A5932" s="1" t="s">
        <v>5857</v>
      </c>
      <c r="B5932" t="s">
        <v>7167</v>
      </c>
      <c r="D5932" t="s">
        <v>8425</v>
      </c>
      <c r="E5932" t="s">
        <v>10156</v>
      </c>
      <c r="F5932" t="s">
        <v>10305</v>
      </c>
      <c r="G5932">
        <v>92.5</v>
      </c>
      <c r="H5932" t="s">
        <v>10308</v>
      </c>
      <c r="I5932" t="s">
        <v>10321</v>
      </c>
      <c r="K5932" t="s">
        <v>10332</v>
      </c>
      <c r="L5932">
        <v>1997</v>
      </c>
      <c r="M5932" t="s">
        <v>10335</v>
      </c>
      <c r="N5932">
        <v>51.299759999999999</v>
      </c>
      <c r="P5932">
        <v>12.019299999999999</v>
      </c>
      <c r="R5932" t="s">
        <v>11037</v>
      </c>
      <c r="S5932" t="s">
        <v>10308</v>
      </c>
      <c r="W5932" t="s">
        <v>11249</v>
      </c>
    </row>
    <row r="5933" spans="1:23" hidden="1" x14ac:dyDescent="0.45">
      <c r="A5933" s="1" t="s">
        <v>5858</v>
      </c>
      <c r="B5933" t="s">
        <v>7061</v>
      </c>
      <c r="C5933" t="s">
        <v>7776</v>
      </c>
      <c r="D5933" t="s">
        <v>8539</v>
      </c>
      <c r="E5933" t="s">
        <v>10245</v>
      </c>
      <c r="F5933" t="s">
        <v>10305</v>
      </c>
      <c r="G5933">
        <v>77.400000000000006</v>
      </c>
      <c r="H5933" t="s">
        <v>10308</v>
      </c>
      <c r="I5933" t="s">
        <v>10322</v>
      </c>
      <c r="K5933" t="s">
        <v>10333</v>
      </c>
      <c r="L5933">
        <v>1971</v>
      </c>
      <c r="N5933">
        <v>48.927497000000002</v>
      </c>
      <c r="P5933">
        <v>9.2300050000000002</v>
      </c>
      <c r="R5933" t="s">
        <v>11037</v>
      </c>
      <c r="S5933" t="s">
        <v>10308</v>
      </c>
      <c r="W5933" t="s">
        <v>11249</v>
      </c>
    </row>
    <row r="5934" spans="1:23" hidden="1" x14ac:dyDescent="0.45">
      <c r="A5934" s="1" t="s">
        <v>5859</v>
      </c>
      <c r="B5934" t="s">
        <v>7061</v>
      </c>
      <c r="C5934" t="s">
        <v>7776</v>
      </c>
      <c r="D5934" t="s">
        <v>8539</v>
      </c>
      <c r="E5934" t="s">
        <v>10245</v>
      </c>
      <c r="F5934" t="s">
        <v>10305</v>
      </c>
      <c r="G5934">
        <v>85</v>
      </c>
      <c r="H5934" t="s">
        <v>10308</v>
      </c>
      <c r="I5934" t="s">
        <v>10321</v>
      </c>
      <c r="K5934" t="s">
        <v>10333</v>
      </c>
      <c r="L5934">
        <v>1975</v>
      </c>
      <c r="N5934">
        <v>48.927497000000002</v>
      </c>
      <c r="P5934">
        <v>9.2300050000000002</v>
      </c>
      <c r="R5934" t="s">
        <v>11037</v>
      </c>
      <c r="S5934" t="s">
        <v>10308</v>
      </c>
      <c r="W5934" t="s">
        <v>11249</v>
      </c>
    </row>
    <row r="5935" spans="1:23" hidden="1" x14ac:dyDescent="0.45">
      <c r="A5935" s="1" t="s">
        <v>5860</v>
      </c>
      <c r="B5935" t="s">
        <v>7061</v>
      </c>
      <c r="C5935" t="s">
        <v>7776</v>
      </c>
      <c r="D5935" t="s">
        <v>8539</v>
      </c>
      <c r="E5935" t="s">
        <v>10245</v>
      </c>
      <c r="F5935" t="s">
        <v>10305</v>
      </c>
      <c r="G5935">
        <v>263.5</v>
      </c>
      <c r="H5935" t="s">
        <v>10308</v>
      </c>
      <c r="I5935" t="s">
        <v>10321</v>
      </c>
      <c r="K5935" t="s">
        <v>10333</v>
      </c>
      <c r="L5935">
        <v>1975</v>
      </c>
      <c r="N5935">
        <v>48.927497000000002</v>
      </c>
      <c r="P5935">
        <v>9.2300050000000002</v>
      </c>
      <c r="R5935" t="s">
        <v>11037</v>
      </c>
      <c r="S5935" t="s">
        <v>10308</v>
      </c>
      <c r="W5935" t="s">
        <v>11249</v>
      </c>
    </row>
    <row r="5936" spans="1:23" hidden="1" x14ac:dyDescent="0.45">
      <c r="A5936" s="1" t="s">
        <v>5861</v>
      </c>
      <c r="B5936" t="s">
        <v>7067</v>
      </c>
      <c r="D5936" t="s">
        <v>8540</v>
      </c>
      <c r="E5936" t="s">
        <v>10246</v>
      </c>
      <c r="F5936" t="s">
        <v>10305</v>
      </c>
      <c r="G5936">
        <v>88</v>
      </c>
      <c r="H5936" t="s">
        <v>10308</v>
      </c>
      <c r="I5936" t="s">
        <v>10323</v>
      </c>
      <c r="K5936" t="s">
        <v>10333</v>
      </c>
      <c r="L5936">
        <v>1972</v>
      </c>
      <c r="N5936">
        <v>53.966422000000001</v>
      </c>
      <c r="P5936">
        <v>9.4494860000000003</v>
      </c>
      <c r="R5936" t="s">
        <v>11037</v>
      </c>
      <c r="S5936" t="s">
        <v>10308</v>
      </c>
      <c r="W5936" t="s">
        <v>11249</v>
      </c>
    </row>
    <row r="5937" spans="1:23" hidden="1" x14ac:dyDescent="0.45">
      <c r="A5937" s="1" t="s">
        <v>5862</v>
      </c>
      <c r="B5937" t="s">
        <v>7067</v>
      </c>
      <c r="D5937" t="s">
        <v>8541</v>
      </c>
      <c r="E5937" t="s">
        <v>10247</v>
      </c>
      <c r="F5937" t="s">
        <v>10305</v>
      </c>
      <c r="G5937">
        <v>87</v>
      </c>
      <c r="H5937" t="s">
        <v>10308</v>
      </c>
      <c r="I5937" t="s">
        <v>10323</v>
      </c>
      <c r="K5937" t="s">
        <v>10333</v>
      </c>
      <c r="L5937">
        <v>1973</v>
      </c>
      <c r="N5937">
        <v>54.290672000000001</v>
      </c>
      <c r="P5937">
        <v>9.7227750000000004</v>
      </c>
      <c r="R5937" t="s">
        <v>11037</v>
      </c>
      <c r="S5937" t="s">
        <v>10308</v>
      </c>
      <c r="W5937" t="s">
        <v>11249</v>
      </c>
    </row>
    <row r="5938" spans="1:23" hidden="1" x14ac:dyDescent="0.45">
      <c r="A5938" s="1" t="s">
        <v>5863</v>
      </c>
      <c r="B5938" t="s">
        <v>7251</v>
      </c>
      <c r="D5938" t="s">
        <v>8542</v>
      </c>
      <c r="E5938" t="s">
        <v>10248</v>
      </c>
      <c r="F5938" t="s">
        <v>10305</v>
      </c>
      <c r="G5938">
        <v>28</v>
      </c>
      <c r="H5938" t="s">
        <v>10308</v>
      </c>
      <c r="I5938" t="s">
        <v>10323</v>
      </c>
      <c r="K5938" t="s">
        <v>10332</v>
      </c>
      <c r="L5938">
        <v>1972</v>
      </c>
      <c r="N5938">
        <v>53.098180000000013</v>
      </c>
      <c r="P5938">
        <v>14.234540000000001</v>
      </c>
      <c r="R5938" t="s">
        <v>11037</v>
      </c>
      <c r="S5938" t="s">
        <v>10308</v>
      </c>
      <c r="W5938" t="s">
        <v>11249</v>
      </c>
    </row>
    <row r="5939" spans="1:23" hidden="1" x14ac:dyDescent="0.45">
      <c r="A5939" s="1" t="s">
        <v>5864</v>
      </c>
      <c r="B5939" t="s">
        <v>7251</v>
      </c>
      <c r="D5939" t="s">
        <v>8542</v>
      </c>
      <c r="E5939" t="s">
        <v>10248</v>
      </c>
      <c r="F5939" t="s">
        <v>10305</v>
      </c>
      <c r="G5939">
        <v>34.5</v>
      </c>
      <c r="H5939" t="s">
        <v>10308</v>
      </c>
      <c r="I5939" t="s">
        <v>10323</v>
      </c>
      <c r="K5939" t="s">
        <v>10333</v>
      </c>
      <c r="L5939">
        <v>1994</v>
      </c>
      <c r="N5939">
        <v>53.098180000000013</v>
      </c>
      <c r="P5939">
        <v>14.234540000000001</v>
      </c>
      <c r="R5939" t="s">
        <v>11037</v>
      </c>
      <c r="S5939" t="s">
        <v>10308</v>
      </c>
      <c r="W5939" t="s">
        <v>11249</v>
      </c>
    </row>
    <row r="5940" spans="1:23" hidden="1" x14ac:dyDescent="0.45">
      <c r="A5940" s="1" t="s">
        <v>5865</v>
      </c>
      <c r="B5940" t="s">
        <v>7251</v>
      </c>
      <c r="D5940" t="s">
        <v>8542</v>
      </c>
      <c r="E5940" t="s">
        <v>10248</v>
      </c>
      <c r="F5940" t="s">
        <v>10305</v>
      </c>
      <c r="G5940">
        <v>106</v>
      </c>
      <c r="H5940" t="s">
        <v>10308</v>
      </c>
      <c r="I5940" t="s">
        <v>10323</v>
      </c>
      <c r="K5940" t="s">
        <v>10332</v>
      </c>
      <c r="L5940">
        <v>1998</v>
      </c>
      <c r="N5940">
        <v>53.098180000000013</v>
      </c>
      <c r="P5940">
        <v>14.234540000000001</v>
      </c>
      <c r="Q5940" t="s">
        <v>11031</v>
      </c>
      <c r="R5940" t="s">
        <v>11037</v>
      </c>
      <c r="S5940" t="s">
        <v>10308</v>
      </c>
      <c r="W5940" t="s">
        <v>11249</v>
      </c>
    </row>
    <row r="5941" spans="1:23" hidden="1" x14ac:dyDescent="0.45">
      <c r="A5941" s="1" t="s">
        <v>5866</v>
      </c>
      <c r="B5941" t="s">
        <v>7251</v>
      </c>
      <c r="D5941" t="s">
        <v>8542</v>
      </c>
      <c r="E5941" t="s">
        <v>10248</v>
      </c>
      <c r="F5941" t="s">
        <v>10305</v>
      </c>
      <c r="G5941">
        <v>106</v>
      </c>
      <c r="H5941" t="s">
        <v>10308</v>
      </c>
      <c r="I5941" t="s">
        <v>10323</v>
      </c>
      <c r="K5941" t="s">
        <v>10332</v>
      </c>
      <c r="L5941">
        <v>1998</v>
      </c>
      <c r="N5941">
        <v>53.098180000000013</v>
      </c>
      <c r="P5941">
        <v>14.234540000000001</v>
      </c>
      <c r="Q5941" t="s">
        <v>11031</v>
      </c>
      <c r="R5941" t="s">
        <v>11037</v>
      </c>
      <c r="S5941" t="s">
        <v>10308</v>
      </c>
      <c r="W5941" t="s">
        <v>11249</v>
      </c>
    </row>
    <row r="5942" spans="1:23" hidden="1" x14ac:dyDescent="0.45">
      <c r="A5942" s="1" t="s">
        <v>5867</v>
      </c>
      <c r="B5942" t="s">
        <v>7251</v>
      </c>
      <c r="D5942" t="s">
        <v>8542</v>
      </c>
      <c r="E5942" t="s">
        <v>10248</v>
      </c>
      <c r="F5942" t="s">
        <v>10305</v>
      </c>
      <c r="G5942">
        <v>59</v>
      </c>
      <c r="H5942" t="s">
        <v>10308</v>
      </c>
      <c r="I5942" t="s">
        <v>10323</v>
      </c>
      <c r="K5942" t="s">
        <v>10333</v>
      </c>
      <c r="L5942">
        <v>2011</v>
      </c>
      <c r="N5942">
        <v>53.098180000000013</v>
      </c>
      <c r="P5942">
        <v>14.234540000000001</v>
      </c>
      <c r="R5942" t="s">
        <v>11037</v>
      </c>
      <c r="S5942" t="s">
        <v>10308</v>
      </c>
      <c r="W5942" t="s">
        <v>11249</v>
      </c>
    </row>
    <row r="5943" spans="1:23" hidden="1" x14ac:dyDescent="0.45">
      <c r="A5943" s="1" t="s">
        <v>5868</v>
      </c>
      <c r="B5943" t="s">
        <v>7061</v>
      </c>
      <c r="C5943" t="s">
        <v>7573</v>
      </c>
      <c r="D5943" t="s">
        <v>8214</v>
      </c>
      <c r="E5943" t="s">
        <v>9978</v>
      </c>
      <c r="F5943" t="s">
        <v>10305</v>
      </c>
      <c r="G5943">
        <v>23.3</v>
      </c>
      <c r="H5943" t="s">
        <v>10308</v>
      </c>
      <c r="I5943" t="s">
        <v>10323</v>
      </c>
      <c r="K5943" t="s">
        <v>10333</v>
      </c>
      <c r="L5943">
        <v>1974</v>
      </c>
      <c r="M5943" t="s">
        <v>10336</v>
      </c>
      <c r="N5943">
        <v>48.815833000000012</v>
      </c>
      <c r="P5943">
        <v>9.2211110000000005</v>
      </c>
      <c r="R5943" t="s">
        <v>11037</v>
      </c>
      <c r="S5943" t="s">
        <v>10308</v>
      </c>
      <c r="W5943" t="s">
        <v>11249</v>
      </c>
    </row>
    <row r="5944" spans="1:23" hidden="1" x14ac:dyDescent="0.45">
      <c r="A5944" s="1" t="s">
        <v>5869</v>
      </c>
      <c r="B5944" t="s">
        <v>7061</v>
      </c>
      <c r="C5944" t="s">
        <v>7573</v>
      </c>
      <c r="D5944" t="s">
        <v>8214</v>
      </c>
      <c r="E5944" t="s">
        <v>9978</v>
      </c>
      <c r="F5944" t="s">
        <v>10305</v>
      </c>
      <c r="G5944">
        <v>23.3</v>
      </c>
      <c r="H5944" t="s">
        <v>10308</v>
      </c>
      <c r="I5944" t="s">
        <v>10323</v>
      </c>
      <c r="K5944" t="s">
        <v>10333</v>
      </c>
      <c r="L5944">
        <v>1974</v>
      </c>
      <c r="M5944" t="s">
        <v>10336</v>
      </c>
      <c r="N5944">
        <v>48.815833000000012</v>
      </c>
      <c r="P5944">
        <v>9.2211110000000005</v>
      </c>
      <c r="R5944" t="s">
        <v>11037</v>
      </c>
      <c r="S5944" t="s">
        <v>10308</v>
      </c>
      <c r="W5944" t="s">
        <v>11249</v>
      </c>
    </row>
    <row r="5945" spans="1:23" hidden="1" x14ac:dyDescent="0.45">
      <c r="A5945" s="1" t="s">
        <v>5870</v>
      </c>
      <c r="B5945" t="s">
        <v>7061</v>
      </c>
      <c r="C5945" t="s">
        <v>7573</v>
      </c>
      <c r="D5945" t="s">
        <v>8214</v>
      </c>
      <c r="E5945" t="s">
        <v>9978</v>
      </c>
      <c r="F5945" t="s">
        <v>10305</v>
      </c>
      <c r="G5945">
        <v>23.3</v>
      </c>
      <c r="H5945" t="s">
        <v>10308</v>
      </c>
      <c r="I5945" t="s">
        <v>10323</v>
      </c>
      <c r="K5945" t="s">
        <v>10333</v>
      </c>
      <c r="L5945">
        <v>1974</v>
      </c>
      <c r="M5945" t="s">
        <v>10336</v>
      </c>
      <c r="N5945">
        <v>48.815833000000012</v>
      </c>
      <c r="P5945">
        <v>9.2211110000000005</v>
      </c>
      <c r="R5945" t="s">
        <v>11037</v>
      </c>
      <c r="S5945" t="s">
        <v>10308</v>
      </c>
      <c r="W5945" t="s">
        <v>11249</v>
      </c>
    </row>
    <row r="5946" spans="1:23" hidden="1" x14ac:dyDescent="0.45">
      <c r="A5946" s="1" t="s">
        <v>5871</v>
      </c>
      <c r="B5946" t="s">
        <v>7067</v>
      </c>
      <c r="D5946" t="s">
        <v>8289</v>
      </c>
      <c r="E5946" t="s">
        <v>10045</v>
      </c>
      <c r="F5946" t="s">
        <v>10305</v>
      </c>
      <c r="G5946">
        <v>415</v>
      </c>
      <c r="H5946" t="s">
        <v>10308</v>
      </c>
      <c r="I5946" t="s">
        <v>10323</v>
      </c>
      <c r="K5946" t="s">
        <v>10333</v>
      </c>
      <c r="L5946">
        <v>1974</v>
      </c>
      <c r="N5946">
        <v>48.767020000000002</v>
      </c>
      <c r="P5946">
        <v>11.580033</v>
      </c>
      <c r="Q5946" t="s">
        <v>11022</v>
      </c>
      <c r="R5946" t="s">
        <v>11037</v>
      </c>
      <c r="S5946" t="s">
        <v>10308</v>
      </c>
      <c r="W5946" t="s">
        <v>11249</v>
      </c>
    </row>
    <row r="5947" spans="1:23" hidden="1" x14ac:dyDescent="0.45">
      <c r="A5947" s="1" t="s">
        <v>5872</v>
      </c>
      <c r="B5947" t="s">
        <v>7061</v>
      </c>
      <c r="C5947" t="s">
        <v>7577</v>
      </c>
      <c r="D5947" t="s">
        <v>8219</v>
      </c>
      <c r="E5947" t="s">
        <v>9982</v>
      </c>
      <c r="F5947" t="s">
        <v>10305</v>
      </c>
      <c r="G5947">
        <v>136</v>
      </c>
      <c r="H5947" t="s">
        <v>10308</v>
      </c>
      <c r="I5947" t="s">
        <v>10322</v>
      </c>
      <c r="K5947" t="s">
        <v>10333</v>
      </c>
      <c r="L5947">
        <v>1981</v>
      </c>
      <c r="N5947">
        <v>49.017471999999998</v>
      </c>
      <c r="P5947">
        <v>9.1573890000000002</v>
      </c>
      <c r="Q5947" t="s">
        <v>11032</v>
      </c>
      <c r="R5947" t="s">
        <v>11037</v>
      </c>
      <c r="S5947" t="s">
        <v>10308</v>
      </c>
      <c r="W5947" t="s">
        <v>11249</v>
      </c>
    </row>
    <row r="5948" spans="1:23" hidden="1" x14ac:dyDescent="0.45">
      <c r="A5948" s="1" t="s">
        <v>5873</v>
      </c>
      <c r="B5948" t="s">
        <v>7252</v>
      </c>
      <c r="C5948" t="s">
        <v>7777</v>
      </c>
      <c r="D5948" t="s">
        <v>8543</v>
      </c>
      <c r="E5948" t="s">
        <v>10249</v>
      </c>
      <c r="F5948" t="s">
        <v>10305</v>
      </c>
      <c r="G5948">
        <v>24</v>
      </c>
      <c r="H5948" t="s">
        <v>10308</v>
      </c>
      <c r="I5948" t="s">
        <v>10322</v>
      </c>
      <c r="K5948" t="s">
        <v>10333</v>
      </c>
      <c r="L5948">
        <v>1988</v>
      </c>
      <c r="N5948">
        <v>47.683464000000001</v>
      </c>
      <c r="P5948">
        <v>10.31911</v>
      </c>
      <c r="R5948" t="s">
        <v>11037</v>
      </c>
      <c r="S5948" t="s">
        <v>10308</v>
      </c>
      <c r="W5948" t="s">
        <v>11249</v>
      </c>
    </row>
    <row r="5949" spans="1:23" hidden="1" x14ac:dyDescent="0.45">
      <c r="A5949" s="1" t="s">
        <v>5874</v>
      </c>
      <c r="B5949" t="s">
        <v>7252</v>
      </c>
      <c r="C5949" t="s">
        <v>7777</v>
      </c>
      <c r="D5949" t="s">
        <v>8543</v>
      </c>
      <c r="E5949" t="s">
        <v>10249</v>
      </c>
      <c r="F5949" t="s">
        <v>10305</v>
      </c>
      <c r="G5949">
        <v>10.5</v>
      </c>
      <c r="H5949" t="s">
        <v>10308</v>
      </c>
      <c r="I5949" t="s">
        <v>10323</v>
      </c>
      <c r="K5949" t="s">
        <v>10333</v>
      </c>
      <c r="L5949">
        <v>1978</v>
      </c>
      <c r="N5949">
        <v>47.683464000000001</v>
      </c>
      <c r="P5949">
        <v>10.31911</v>
      </c>
      <c r="R5949" t="s">
        <v>11037</v>
      </c>
      <c r="S5949" t="s">
        <v>10308</v>
      </c>
      <c r="W5949" t="s">
        <v>11249</v>
      </c>
    </row>
    <row r="5950" spans="1:23" hidden="1" x14ac:dyDescent="0.45">
      <c r="A5950" s="1" t="s">
        <v>5875</v>
      </c>
      <c r="B5950" t="s">
        <v>7253</v>
      </c>
      <c r="D5950" t="s">
        <v>8189</v>
      </c>
      <c r="E5950" t="s">
        <v>9959</v>
      </c>
      <c r="F5950" t="s">
        <v>10305</v>
      </c>
      <c r="G5950">
        <v>50.5</v>
      </c>
      <c r="H5950" t="s">
        <v>10308</v>
      </c>
      <c r="I5950" t="s">
        <v>10322</v>
      </c>
      <c r="K5950" t="s">
        <v>10333</v>
      </c>
      <c r="L5950">
        <v>1972</v>
      </c>
      <c r="N5950">
        <v>53.566251039999997</v>
      </c>
      <c r="P5950">
        <v>9.728479385</v>
      </c>
      <c r="R5950" t="s">
        <v>11037</v>
      </c>
      <c r="S5950" t="s">
        <v>10308</v>
      </c>
      <c r="W5950" t="s">
        <v>11249</v>
      </c>
    </row>
    <row r="5951" spans="1:23" hidden="1" x14ac:dyDescent="0.45">
      <c r="A5951" s="1" t="s">
        <v>5876</v>
      </c>
      <c r="B5951" t="s">
        <v>7253</v>
      </c>
      <c r="D5951" t="s">
        <v>8189</v>
      </c>
      <c r="E5951" t="s">
        <v>9959</v>
      </c>
      <c r="F5951" t="s">
        <v>10305</v>
      </c>
      <c r="G5951">
        <v>50.5</v>
      </c>
      <c r="H5951" t="s">
        <v>10308</v>
      </c>
      <c r="I5951" t="s">
        <v>10322</v>
      </c>
      <c r="K5951" t="s">
        <v>10333</v>
      </c>
      <c r="L5951">
        <v>1972</v>
      </c>
      <c r="N5951">
        <v>53.566251039999997</v>
      </c>
      <c r="P5951">
        <v>9.728479385</v>
      </c>
      <c r="R5951" t="s">
        <v>11037</v>
      </c>
      <c r="S5951" t="s">
        <v>10308</v>
      </c>
      <c r="W5951" t="s">
        <v>11249</v>
      </c>
    </row>
    <row r="5952" spans="1:23" hidden="1" x14ac:dyDescent="0.45">
      <c r="A5952" s="1" t="s">
        <v>5877</v>
      </c>
      <c r="B5952" t="s">
        <v>7038</v>
      </c>
      <c r="D5952" t="s">
        <v>8220</v>
      </c>
      <c r="E5952" t="s">
        <v>9983</v>
      </c>
      <c r="F5952" t="s">
        <v>10305</v>
      </c>
      <c r="G5952">
        <v>206</v>
      </c>
      <c r="H5952" t="s">
        <v>10308</v>
      </c>
      <c r="I5952" t="s">
        <v>10323</v>
      </c>
      <c r="K5952" t="s">
        <v>10333</v>
      </c>
      <c r="L5952">
        <v>1975</v>
      </c>
      <c r="N5952">
        <v>51.275590000000001</v>
      </c>
      <c r="P5952">
        <v>7.7063699999999997</v>
      </c>
      <c r="R5952" t="s">
        <v>11037</v>
      </c>
      <c r="S5952" t="s">
        <v>10308</v>
      </c>
      <c r="W5952" t="s">
        <v>11249</v>
      </c>
    </row>
    <row r="5953" spans="1:23" hidden="1" x14ac:dyDescent="0.45">
      <c r="A5953" s="1" t="s">
        <v>5878</v>
      </c>
      <c r="B5953" t="s">
        <v>7067</v>
      </c>
      <c r="D5953" t="s">
        <v>8222</v>
      </c>
      <c r="E5953" t="s">
        <v>9985</v>
      </c>
      <c r="F5953" t="s">
        <v>10305</v>
      </c>
      <c r="G5953">
        <v>56</v>
      </c>
      <c r="H5953" t="s">
        <v>10308</v>
      </c>
      <c r="I5953" t="s">
        <v>10322</v>
      </c>
      <c r="K5953" t="s">
        <v>10333</v>
      </c>
      <c r="L5953">
        <v>1973</v>
      </c>
      <c r="N5953">
        <v>53.565818999999998</v>
      </c>
      <c r="P5953">
        <v>8.1462450000000004</v>
      </c>
      <c r="R5953" t="s">
        <v>11037</v>
      </c>
      <c r="S5953" t="s">
        <v>10308</v>
      </c>
      <c r="W5953" t="s">
        <v>11249</v>
      </c>
    </row>
    <row r="5954" spans="1:23" hidden="1" x14ac:dyDescent="0.45">
      <c r="A5954" s="1" t="s">
        <v>5879</v>
      </c>
      <c r="B5954" t="s">
        <v>7090</v>
      </c>
      <c r="D5954" t="s">
        <v>8457</v>
      </c>
      <c r="E5954" t="s">
        <v>9987</v>
      </c>
      <c r="F5954" t="s">
        <v>10305</v>
      </c>
      <c r="G5954">
        <v>60</v>
      </c>
      <c r="H5954" t="s">
        <v>10308</v>
      </c>
      <c r="I5954" t="s">
        <v>10321</v>
      </c>
      <c r="K5954" t="s">
        <v>10333</v>
      </c>
      <c r="L5954">
        <v>2008</v>
      </c>
      <c r="N5954">
        <v>51.268889000000001</v>
      </c>
      <c r="P5954">
        <v>7.200278</v>
      </c>
      <c r="R5954" t="s">
        <v>11037</v>
      </c>
      <c r="S5954" t="s">
        <v>10308</v>
      </c>
      <c r="W5954" t="s">
        <v>11249</v>
      </c>
    </row>
    <row r="5955" spans="1:23" hidden="1" x14ac:dyDescent="0.45">
      <c r="A5955" s="1" t="s">
        <v>5880</v>
      </c>
      <c r="B5955" t="s">
        <v>7052</v>
      </c>
      <c r="C5955" t="s">
        <v>7536</v>
      </c>
      <c r="D5955" t="s">
        <v>8161</v>
      </c>
      <c r="E5955" t="s">
        <v>9938</v>
      </c>
      <c r="F5955" t="s">
        <v>10305</v>
      </c>
      <c r="G5955">
        <v>50</v>
      </c>
      <c r="H5955" t="s">
        <v>10308</v>
      </c>
      <c r="I5955" t="s">
        <v>10322</v>
      </c>
      <c r="K5955" t="s">
        <v>10333</v>
      </c>
      <c r="L5955">
        <v>1976</v>
      </c>
      <c r="N5955">
        <v>48.45534</v>
      </c>
      <c r="P5955">
        <v>11.8019</v>
      </c>
      <c r="R5955" t="s">
        <v>11037</v>
      </c>
      <c r="S5955" t="s">
        <v>10308</v>
      </c>
      <c r="W5955" t="s">
        <v>11249</v>
      </c>
    </row>
    <row r="5956" spans="1:23" hidden="1" x14ac:dyDescent="0.45">
      <c r="A5956" s="1" t="s">
        <v>5881</v>
      </c>
      <c r="B5956" t="s">
        <v>7254</v>
      </c>
      <c r="C5956" t="s">
        <v>7778</v>
      </c>
      <c r="D5956" t="s">
        <v>8544</v>
      </c>
      <c r="E5956" t="s">
        <v>10250</v>
      </c>
      <c r="F5956" t="s">
        <v>10305</v>
      </c>
      <c r="G5956">
        <v>4.8</v>
      </c>
      <c r="H5956" t="s">
        <v>10308</v>
      </c>
      <c r="I5956" t="s">
        <v>10323</v>
      </c>
      <c r="K5956" t="s">
        <v>10333</v>
      </c>
      <c r="L5956">
        <v>1997</v>
      </c>
      <c r="N5956">
        <v>51.522419999999997</v>
      </c>
      <c r="P5956">
        <v>6.5746699999999976</v>
      </c>
      <c r="R5956" t="s">
        <v>11037</v>
      </c>
      <c r="S5956" t="s">
        <v>10308</v>
      </c>
      <c r="W5956" t="s">
        <v>11249</v>
      </c>
    </row>
    <row r="5957" spans="1:23" hidden="1" x14ac:dyDescent="0.45">
      <c r="A5957" s="1" t="s">
        <v>5882</v>
      </c>
      <c r="B5957" t="s">
        <v>7255</v>
      </c>
      <c r="C5957" t="s">
        <v>7779</v>
      </c>
      <c r="D5957" t="s">
        <v>8545</v>
      </c>
      <c r="E5957" t="s">
        <v>10251</v>
      </c>
      <c r="F5957" t="s">
        <v>10305</v>
      </c>
      <c r="G5957">
        <v>11.4</v>
      </c>
      <c r="H5957" t="s">
        <v>10308</v>
      </c>
      <c r="I5957" t="s">
        <v>10323</v>
      </c>
      <c r="K5957" t="s">
        <v>10333</v>
      </c>
      <c r="L5957">
        <v>1988</v>
      </c>
      <c r="N5957">
        <v>48.062671000000002</v>
      </c>
      <c r="P5957">
        <v>10.486643000000001</v>
      </c>
      <c r="R5957" t="s">
        <v>11037</v>
      </c>
      <c r="S5957" t="s">
        <v>10308</v>
      </c>
      <c r="W5957" t="s">
        <v>11249</v>
      </c>
    </row>
    <row r="5958" spans="1:23" hidden="1" x14ac:dyDescent="0.45">
      <c r="A5958" s="1" t="s">
        <v>5883</v>
      </c>
      <c r="B5958" t="s">
        <v>7255</v>
      </c>
      <c r="C5958" t="s">
        <v>7640</v>
      </c>
      <c r="D5958" t="s">
        <v>8546</v>
      </c>
      <c r="E5958" t="s">
        <v>10252</v>
      </c>
      <c r="F5958" t="s">
        <v>10305</v>
      </c>
      <c r="G5958">
        <v>11.4</v>
      </c>
      <c r="H5958" t="s">
        <v>10308</v>
      </c>
      <c r="I5958" t="s">
        <v>10323</v>
      </c>
      <c r="K5958" t="s">
        <v>10333</v>
      </c>
      <c r="L5958">
        <v>1978</v>
      </c>
      <c r="N5958">
        <v>47.912537</v>
      </c>
      <c r="P5958">
        <v>10.611739999999999</v>
      </c>
      <c r="R5958" t="s">
        <v>11037</v>
      </c>
      <c r="S5958" t="s">
        <v>10308</v>
      </c>
      <c r="W5958" t="s">
        <v>11249</v>
      </c>
    </row>
    <row r="5959" spans="1:23" hidden="1" x14ac:dyDescent="0.45">
      <c r="A5959" s="1" t="s">
        <v>5884</v>
      </c>
      <c r="B5959" t="s">
        <v>7204</v>
      </c>
      <c r="D5959" t="s">
        <v>8479</v>
      </c>
      <c r="E5959" t="s">
        <v>10200</v>
      </c>
      <c r="F5959" t="s">
        <v>10305</v>
      </c>
      <c r="G5959">
        <v>90</v>
      </c>
      <c r="H5959" t="s">
        <v>10308</v>
      </c>
      <c r="I5959" t="s">
        <v>10323</v>
      </c>
      <c r="K5959" t="s">
        <v>10332</v>
      </c>
      <c r="L5959">
        <v>1962</v>
      </c>
      <c r="N5959">
        <v>50.830509999999997</v>
      </c>
      <c r="P5959">
        <v>6.9593600000000002</v>
      </c>
      <c r="R5959" t="s">
        <v>11037</v>
      </c>
      <c r="S5959" t="s">
        <v>10308</v>
      </c>
      <c r="W5959" t="s">
        <v>11249</v>
      </c>
    </row>
    <row r="5960" spans="1:23" hidden="1" x14ac:dyDescent="0.45">
      <c r="A5960" s="1" t="s">
        <v>5885</v>
      </c>
      <c r="B5960" t="s">
        <v>7126</v>
      </c>
      <c r="C5960" t="s">
        <v>7664</v>
      </c>
      <c r="D5960" t="s">
        <v>8365</v>
      </c>
      <c r="E5960" t="s">
        <v>9993</v>
      </c>
      <c r="F5960" t="s">
        <v>10305</v>
      </c>
      <c r="G5960">
        <v>0.8</v>
      </c>
      <c r="H5960" t="s">
        <v>10308</v>
      </c>
      <c r="I5960" t="s">
        <v>10323</v>
      </c>
      <c r="K5960" t="s">
        <v>10333</v>
      </c>
      <c r="L5960">
        <v>1995</v>
      </c>
      <c r="N5960">
        <v>50.945630000000001</v>
      </c>
      <c r="P5960">
        <v>6.6649600000000024</v>
      </c>
      <c r="R5960" t="s">
        <v>11037</v>
      </c>
      <c r="S5960" t="s">
        <v>10308</v>
      </c>
      <c r="W5960" t="s">
        <v>11249</v>
      </c>
    </row>
    <row r="5961" spans="1:23" hidden="1" x14ac:dyDescent="0.45">
      <c r="A5961" s="1" t="s">
        <v>5886</v>
      </c>
      <c r="B5961" t="s">
        <v>7256</v>
      </c>
      <c r="C5961" t="s">
        <v>7780</v>
      </c>
      <c r="D5961" t="s">
        <v>8413</v>
      </c>
      <c r="E5961" t="s">
        <v>9922</v>
      </c>
      <c r="F5961" t="s">
        <v>10305</v>
      </c>
      <c r="G5961">
        <v>38</v>
      </c>
      <c r="H5961" t="s">
        <v>10308</v>
      </c>
      <c r="I5961" t="s">
        <v>10323</v>
      </c>
      <c r="K5961" t="s">
        <v>10332</v>
      </c>
      <c r="L5961">
        <v>1994</v>
      </c>
      <c r="N5961">
        <v>53.485203000000013</v>
      </c>
      <c r="P5961">
        <v>9.9695619999999998</v>
      </c>
      <c r="R5961" t="s">
        <v>11037</v>
      </c>
      <c r="S5961" t="s">
        <v>10308</v>
      </c>
      <c r="W5961" t="s">
        <v>11249</v>
      </c>
    </row>
    <row r="5962" spans="1:23" hidden="1" x14ac:dyDescent="0.45">
      <c r="A5962" s="1" t="s">
        <v>5887</v>
      </c>
      <c r="B5962" t="s">
        <v>7055</v>
      </c>
      <c r="C5962" t="s">
        <v>7539</v>
      </c>
      <c r="D5962" t="s">
        <v>8164</v>
      </c>
      <c r="E5962" t="s">
        <v>9941</v>
      </c>
      <c r="F5962" t="s">
        <v>10305</v>
      </c>
      <c r="G5962">
        <v>0.5</v>
      </c>
      <c r="H5962" t="s">
        <v>10308</v>
      </c>
      <c r="I5962" t="s">
        <v>10323</v>
      </c>
      <c r="L5962">
        <v>1991</v>
      </c>
      <c r="N5962">
        <v>49.988218000000003</v>
      </c>
      <c r="P5962">
        <v>9.155761</v>
      </c>
      <c r="R5962" t="s">
        <v>11037</v>
      </c>
      <c r="S5962" t="s">
        <v>10308</v>
      </c>
      <c r="W5962" t="s">
        <v>11249</v>
      </c>
    </row>
    <row r="5963" spans="1:23" hidden="1" x14ac:dyDescent="0.45">
      <c r="A5963" s="1" t="s">
        <v>5888</v>
      </c>
      <c r="B5963" t="s">
        <v>7257</v>
      </c>
      <c r="C5963" t="s">
        <v>7781</v>
      </c>
      <c r="D5963" t="s">
        <v>8547</v>
      </c>
      <c r="E5963" t="s">
        <v>10253</v>
      </c>
      <c r="F5963" t="s">
        <v>10305</v>
      </c>
      <c r="G5963">
        <v>19</v>
      </c>
      <c r="H5963" t="s">
        <v>10308</v>
      </c>
      <c r="I5963" t="s">
        <v>10323</v>
      </c>
      <c r="K5963" t="s">
        <v>10332</v>
      </c>
      <c r="N5963">
        <v>48.859059999999999</v>
      </c>
      <c r="P5963">
        <v>13.006919999999999</v>
      </c>
      <c r="R5963" t="s">
        <v>11037</v>
      </c>
      <c r="S5963" t="s">
        <v>10308</v>
      </c>
      <c r="W5963" t="s">
        <v>11249</v>
      </c>
    </row>
    <row r="5964" spans="1:23" hidden="1" x14ac:dyDescent="0.45">
      <c r="A5964" s="1" t="s">
        <v>5889</v>
      </c>
      <c r="B5964" t="s">
        <v>7258</v>
      </c>
      <c r="C5964" t="s">
        <v>7772</v>
      </c>
      <c r="D5964" t="s">
        <v>8176</v>
      </c>
      <c r="E5964" t="s">
        <v>9950</v>
      </c>
      <c r="F5964" t="s">
        <v>10305</v>
      </c>
      <c r="G5964">
        <v>160</v>
      </c>
      <c r="H5964" t="s">
        <v>10319</v>
      </c>
      <c r="I5964" t="s">
        <v>10323</v>
      </c>
      <c r="K5964" t="s">
        <v>10333</v>
      </c>
      <c r="L5964">
        <v>1975</v>
      </c>
      <c r="N5964">
        <v>53.128909999999998</v>
      </c>
      <c r="P5964">
        <v>8.6852400000000003</v>
      </c>
      <c r="Q5964" t="s">
        <v>11033</v>
      </c>
      <c r="R5964" t="s">
        <v>11039</v>
      </c>
      <c r="S5964" t="s">
        <v>10319</v>
      </c>
      <c r="W5964" t="s">
        <v>11249</v>
      </c>
    </row>
    <row r="5965" spans="1:23" hidden="1" x14ac:dyDescent="0.45">
      <c r="A5965" s="1" t="s">
        <v>5890</v>
      </c>
      <c r="B5965" t="s">
        <v>7066</v>
      </c>
      <c r="C5965" t="s">
        <v>7772</v>
      </c>
      <c r="D5965" t="s">
        <v>8176</v>
      </c>
      <c r="E5965" t="s">
        <v>9950</v>
      </c>
      <c r="F5965" t="s">
        <v>10305</v>
      </c>
      <c r="G5965">
        <v>110</v>
      </c>
      <c r="H5965" t="s">
        <v>10319</v>
      </c>
      <c r="I5965" t="s">
        <v>10323</v>
      </c>
      <c r="K5965" t="s">
        <v>10333</v>
      </c>
      <c r="N5965">
        <v>53.128909999999998</v>
      </c>
      <c r="P5965">
        <v>8.6852400000000003</v>
      </c>
      <c r="R5965" t="s">
        <v>11039</v>
      </c>
      <c r="S5965" t="s">
        <v>10319</v>
      </c>
      <c r="W5965" t="s">
        <v>11249</v>
      </c>
    </row>
    <row r="5966" spans="1:23" hidden="1" x14ac:dyDescent="0.45">
      <c r="A5966" s="1" t="s">
        <v>5891</v>
      </c>
      <c r="B5966" t="s">
        <v>7259</v>
      </c>
      <c r="D5966" t="s">
        <v>8548</v>
      </c>
      <c r="E5966" t="s">
        <v>10254</v>
      </c>
      <c r="F5966" t="s">
        <v>10305</v>
      </c>
      <c r="G5966">
        <v>60</v>
      </c>
      <c r="H5966" t="s">
        <v>10319</v>
      </c>
      <c r="I5966" t="s">
        <v>10323</v>
      </c>
      <c r="K5966" t="s">
        <v>10332</v>
      </c>
      <c r="L5966">
        <v>1955</v>
      </c>
      <c r="N5966">
        <v>51.459673000000002</v>
      </c>
      <c r="P5966">
        <v>6.7305740000000016</v>
      </c>
      <c r="R5966" t="s">
        <v>11039</v>
      </c>
      <c r="S5966" t="s">
        <v>10319</v>
      </c>
      <c r="W5966" t="s">
        <v>11249</v>
      </c>
    </row>
    <row r="5967" spans="1:23" hidden="1" x14ac:dyDescent="0.45">
      <c r="A5967" s="1" t="s">
        <v>5892</v>
      </c>
      <c r="B5967" t="s">
        <v>7259</v>
      </c>
      <c r="D5967" t="s">
        <v>8548</v>
      </c>
      <c r="E5967" t="s">
        <v>10254</v>
      </c>
      <c r="F5967" t="s">
        <v>10305</v>
      </c>
      <c r="G5967">
        <v>95</v>
      </c>
      <c r="H5967" t="s">
        <v>10319</v>
      </c>
      <c r="I5967" t="s">
        <v>10323</v>
      </c>
      <c r="K5967" t="s">
        <v>10332</v>
      </c>
      <c r="L5967">
        <v>1963</v>
      </c>
      <c r="M5967" t="s">
        <v>10336</v>
      </c>
      <c r="N5967">
        <v>51.459673000000002</v>
      </c>
      <c r="P5967">
        <v>6.7305740000000016</v>
      </c>
      <c r="R5967" t="s">
        <v>11039</v>
      </c>
      <c r="S5967" t="s">
        <v>10319</v>
      </c>
      <c r="W5967" t="s">
        <v>11249</v>
      </c>
    </row>
    <row r="5968" spans="1:23" hidden="1" x14ac:dyDescent="0.45">
      <c r="A5968" s="1" t="s">
        <v>5893</v>
      </c>
      <c r="B5968" t="s">
        <v>7259</v>
      </c>
      <c r="D5968" t="s">
        <v>8548</v>
      </c>
      <c r="E5968" t="s">
        <v>10254</v>
      </c>
      <c r="F5968" t="s">
        <v>10305</v>
      </c>
      <c r="G5968">
        <v>170</v>
      </c>
      <c r="H5968" t="s">
        <v>10319</v>
      </c>
      <c r="I5968" t="s">
        <v>10323</v>
      </c>
      <c r="K5968" t="s">
        <v>10332</v>
      </c>
      <c r="L5968">
        <v>1968</v>
      </c>
      <c r="M5968" t="s">
        <v>10336</v>
      </c>
      <c r="N5968">
        <v>51.459673000000002</v>
      </c>
      <c r="P5968">
        <v>6.7305740000000016</v>
      </c>
      <c r="Q5968" t="s">
        <v>11034</v>
      </c>
      <c r="R5968" t="s">
        <v>11039</v>
      </c>
      <c r="S5968" t="s">
        <v>10319</v>
      </c>
      <c r="W5968" t="s">
        <v>11249</v>
      </c>
    </row>
    <row r="5969" spans="1:23" hidden="1" x14ac:dyDescent="0.45">
      <c r="A5969" s="1" t="s">
        <v>5894</v>
      </c>
      <c r="B5969" t="s">
        <v>7260</v>
      </c>
      <c r="D5969" t="s">
        <v>8549</v>
      </c>
      <c r="E5969" t="s">
        <v>10255</v>
      </c>
      <c r="F5969" t="s">
        <v>10305</v>
      </c>
      <c r="G5969">
        <v>23.5</v>
      </c>
      <c r="H5969" t="s">
        <v>10319</v>
      </c>
      <c r="I5969" t="s">
        <v>10323</v>
      </c>
      <c r="K5969" t="s">
        <v>10332</v>
      </c>
      <c r="L5969">
        <v>2011</v>
      </c>
      <c r="N5969">
        <v>52.16883</v>
      </c>
      <c r="P5969">
        <v>14.640790000000001</v>
      </c>
      <c r="R5969" t="s">
        <v>11039</v>
      </c>
      <c r="S5969" t="s">
        <v>10319</v>
      </c>
      <c r="W5969" t="s">
        <v>11249</v>
      </c>
    </row>
    <row r="5970" spans="1:23" hidden="1" x14ac:dyDescent="0.45">
      <c r="A5970" s="1" t="s">
        <v>5895</v>
      </c>
      <c r="B5970" t="s">
        <v>7261</v>
      </c>
      <c r="C5970" t="s">
        <v>7782</v>
      </c>
      <c r="D5970" t="s">
        <v>8549</v>
      </c>
      <c r="E5970" t="s">
        <v>10255</v>
      </c>
      <c r="F5970" t="s">
        <v>10305</v>
      </c>
      <c r="G5970">
        <v>45</v>
      </c>
      <c r="H5970" t="s">
        <v>10319</v>
      </c>
      <c r="I5970" t="s">
        <v>10323</v>
      </c>
      <c r="K5970" t="s">
        <v>10332</v>
      </c>
      <c r="L5970">
        <v>1954</v>
      </c>
      <c r="M5970" t="s">
        <v>10336</v>
      </c>
      <c r="N5970">
        <v>52.167400000000001</v>
      </c>
      <c r="P5970">
        <v>14.62697</v>
      </c>
      <c r="R5970" t="s">
        <v>11039</v>
      </c>
      <c r="S5970" t="s">
        <v>10319</v>
      </c>
      <c r="W5970" t="s">
        <v>11249</v>
      </c>
    </row>
    <row r="5971" spans="1:23" hidden="1" x14ac:dyDescent="0.45">
      <c r="A5971" s="1" t="s">
        <v>5896</v>
      </c>
      <c r="B5971" t="s">
        <v>7261</v>
      </c>
      <c r="C5971" t="s">
        <v>7782</v>
      </c>
      <c r="D5971" t="s">
        <v>8549</v>
      </c>
      <c r="E5971" t="s">
        <v>10255</v>
      </c>
      <c r="F5971" t="s">
        <v>10305</v>
      </c>
      <c r="G5971">
        <v>56</v>
      </c>
      <c r="H5971" t="s">
        <v>10319</v>
      </c>
      <c r="I5971" t="s">
        <v>10323</v>
      </c>
      <c r="K5971" t="s">
        <v>10332</v>
      </c>
      <c r="L5971">
        <v>2013</v>
      </c>
      <c r="M5971" t="s">
        <v>10336</v>
      </c>
      <c r="N5971">
        <v>52.167400000000001</v>
      </c>
      <c r="P5971">
        <v>14.62697</v>
      </c>
      <c r="R5971" t="s">
        <v>11039</v>
      </c>
      <c r="S5971" t="s">
        <v>10319</v>
      </c>
      <c r="W5971" t="s">
        <v>11249</v>
      </c>
    </row>
    <row r="5972" spans="1:23" hidden="1" x14ac:dyDescent="0.45">
      <c r="A5972" s="1" t="s">
        <v>5897</v>
      </c>
      <c r="B5972" t="s">
        <v>7036</v>
      </c>
      <c r="C5972" t="s">
        <v>7558</v>
      </c>
      <c r="D5972" t="s">
        <v>8186</v>
      </c>
      <c r="E5972" t="s">
        <v>9919</v>
      </c>
      <c r="F5972" t="s">
        <v>10305</v>
      </c>
      <c r="G5972">
        <v>19.7</v>
      </c>
      <c r="H5972" t="s">
        <v>10319</v>
      </c>
      <c r="I5972" t="s">
        <v>10323</v>
      </c>
      <c r="K5972" t="s">
        <v>10333</v>
      </c>
      <c r="M5972" t="s">
        <v>10336</v>
      </c>
      <c r="N5972">
        <v>50.098469999999999</v>
      </c>
      <c r="P5972">
        <v>8.6530300000000011</v>
      </c>
      <c r="R5972" t="s">
        <v>11039</v>
      </c>
      <c r="S5972" t="s">
        <v>10319</v>
      </c>
      <c r="W5972" t="s">
        <v>11249</v>
      </c>
    </row>
    <row r="5973" spans="1:23" hidden="1" x14ac:dyDescent="0.45">
      <c r="A5973" s="1" t="s">
        <v>5898</v>
      </c>
      <c r="B5973" t="s">
        <v>7259</v>
      </c>
      <c r="D5973" t="s">
        <v>8548</v>
      </c>
      <c r="E5973" t="s">
        <v>10256</v>
      </c>
      <c r="F5973" t="s">
        <v>10305</v>
      </c>
      <c r="G5973">
        <v>59</v>
      </c>
      <c r="H5973" t="s">
        <v>10319</v>
      </c>
      <c r="I5973" t="s">
        <v>10323</v>
      </c>
      <c r="K5973" t="s">
        <v>10332</v>
      </c>
      <c r="L5973">
        <v>1958</v>
      </c>
      <c r="N5973">
        <v>51.491000000000007</v>
      </c>
      <c r="P5973">
        <v>6.7274900000000004</v>
      </c>
      <c r="R5973" t="s">
        <v>11039</v>
      </c>
      <c r="S5973" t="s">
        <v>10319</v>
      </c>
      <c r="W5973" t="s">
        <v>11249</v>
      </c>
    </row>
    <row r="5974" spans="1:23" hidden="1" x14ac:dyDescent="0.45">
      <c r="A5974" s="1" t="s">
        <v>5899</v>
      </c>
      <c r="B5974" t="s">
        <v>7259</v>
      </c>
      <c r="D5974" t="s">
        <v>8548</v>
      </c>
      <c r="E5974" t="s">
        <v>10256</v>
      </c>
      <c r="F5974" t="s">
        <v>10305</v>
      </c>
      <c r="G5974">
        <v>101</v>
      </c>
      <c r="H5974" t="s">
        <v>10319</v>
      </c>
      <c r="I5974" t="s">
        <v>10323</v>
      </c>
      <c r="K5974" t="s">
        <v>10332</v>
      </c>
      <c r="L5974">
        <v>1976</v>
      </c>
      <c r="M5974" t="s">
        <v>10336</v>
      </c>
      <c r="N5974">
        <v>51.491000000000007</v>
      </c>
      <c r="P5974">
        <v>6.7274900000000004</v>
      </c>
      <c r="Q5974" t="s">
        <v>11035</v>
      </c>
      <c r="R5974" t="s">
        <v>11039</v>
      </c>
      <c r="S5974" t="s">
        <v>10319</v>
      </c>
      <c r="W5974" t="s">
        <v>11249</v>
      </c>
    </row>
    <row r="5975" spans="1:23" hidden="1" x14ac:dyDescent="0.45">
      <c r="A5975" s="1" t="s">
        <v>5900</v>
      </c>
      <c r="B5975" t="s">
        <v>7259</v>
      </c>
      <c r="D5975" t="s">
        <v>8548</v>
      </c>
      <c r="E5975" t="s">
        <v>10256</v>
      </c>
      <c r="F5975" t="s">
        <v>10305</v>
      </c>
      <c r="G5975">
        <v>225</v>
      </c>
      <c r="H5975" t="s">
        <v>10319</v>
      </c>
      <c r="I5975" t="s">
        <v>10323</v>
      </c>
      <c r="K5975" t="s">
        <v>10332</v>
      </c>
      <c r="L5975">
        <v>2003</v>
      </c>
      <c r="M5975" t="s">
        <v>10336</v>
      </c>
      <c r="N5975">
        <v>51.500603000000012</v>
      </c>
      <c r="P5975">
        <v>6.7303190000000006</v>
      </c>
      <c r="Q5975" t="s">
        <v>11035</v>
      </c>
      <c r="R5975" t="s">
        <v>11039</v>
      </c>
      <c r="S5975" t="s">
        <v>10319</v>
      </c>
      <c r="W5975" t="s">
        <v>11249</v>
      </c>
    </row>
    <row r="5976" spans="1:23" hidden="1" x14ac:dyDescent="0.45">
      <c r="A5976" s="1" t="s">
        <v>5901</v>
      </c>
      <c r="B5976" t="s">
        <v>7262</v>
      </c>
      <c r="D5976" t="s">
        <v>8550</v>
      </c>
      <c r="E5976" t="s">
        <v>10257</v>
      </c>
      <c r="F5976" t="s">
        <v>10305</v>
      </c>
      <c r="G5976">
        <v>303</v>
      </c>
      <c r="H5976" t="s">
        <v>10319</v>
      </c>
      <c r="I5976" t="s">
        <v>10321</v>
      </c>
      <c r="K5976" t="s">
        <v>10332</v>
      </c>
      <c r="L5976">
        <v>1976</v>
      </c>
      <c r="N5976">
        <v>51.367870000000003</v>
      </c>
      <c r="P5976">
        <v>6.7167000000000003</v>
      </c>
      <c r="Q5976" t="s">
        <v>11036</v>
      </c>
      <c r="R5976" t="s">
        <v>11039</v>
      </c>
      <c r="S5976" t="s">
        <v>10319</v>
      </c>
      <c r="W5976" t="s">
        <v>11249</v>
      </c>
    </row>
    <row r="5977" spans="1:23" hidden="1" x14ac:dyDescent="0.45">
      <c r="A5977" s="1" t="s">
        <v>5902</v>
      </c>
      <c r="B5977" t="s">
        <v>7262</v>
      </c>
      <c r="D5977" t="s">
        <v>8550</v>
      </c>
      <c r="E5977" t="s">
        <v>10257</v>
      </c>
      <c r="F5977" t="s">
        <v>10305</v>
      </c>
      <c r="G5977">
        <v>303</v>
      </c>
      <c r="H5977" t="s">
        <v>10319</v>
      </c>
      <c r="I5977" t="s">
        <v>10321</v>
      </c>
      <c r="K5977" t="s">
        <v>10332</v>
      </c>
      <c r="L5977">
        <v>1977</v>
      </c>
      <c r="N5977">
        <v>51.367870000000003</v>
      </c>
      <c r="P5977">
        <v>6.7167000000000003</v>
      </c>
      <c r="Q5977" t="s">
        <v>11036</v>
      </c>
      <c r="R5977" t="s">
        <v>11039</v>
      </c>
      <c r="S5977" t="s">
        <v>10319</v>
      </c>
      <c r="W5977" t="s">
        <v>11249</v>
      </c>
    </row>
    <row r="5978" spans="1:23" hidden="1" x14ac:dyDescent="0.45">
      <c r="A5978" s="1" t="s">
        <v>5903</v>
      </c>
      <c r="B5978" t="s">
        <v>7166</v>
      </c>
      <c r="D5978" t="s">
        <v>8425</v>
      </c>
      <c r="E5978" t="s">
        <v>10156</v>
      </c>
      <c r="F5978" t="s">
        <v>10305</v>
      </c>
      <c r="G5978">
        <v>8.6999999999999993</v>
      </c>
      <c r="H5978" t="s">
        <v>10319</v>
      </c>
      <c r="I5978" t="s">
        <v>10321</v>
      </c>
      <c r="K5978" t="s">
        <v>10332</v>
      </c>
      <c r="L5978">
        <v>1994</v>
      </c>
      <c r="N5978">
        <v>51.299759999999999</v>
      </c>
      <c r="P5978">
        <v>12.019299999999999</v>
      </c>
      <c r="R5978" t="s">
        <v>11039</v>
      </c>
      <c r="S5978" t="s">
        <v>10319</v>
      </c>
      <c r="W5978" t="s">
        <v>11249</v>
      </c>
    </row>
    <row r="5979" spans="1:23" hidden="1" x14ac:dyDescent="0.45">
      <c r="A5979" s="1" t="s">
        <v>5904</v>
      </c>
      <c r="B5979" t="s">
        <v>7166</v>
      </c>
      <c r="D5979" t="s">
        <v>8425</v>
      </c>
      <c r="E5979" t="s">
        <v>10156</v>
      </c>
      <c r="F5979" t="s">
        <v>10305</v>
      </c>
      <c r="G5979">
        <v>14</v>
      </c>
      <c r="H5979" t="s">
        <v>10319</v>
      </c>
      <c r="I5979" t="s">
        <v>10323</v>
      </c>
      <c r="K5979" t="s">
        <v>10332</v>
      </c>
      <c r="L5979">
        <v>2000</v>
      </c>
      <c r="N5979">
        <v>51.799880000000002</v>
      </c>
      <c r="P5979">
        <v>11.758100000000001</v>
      </c>
      <c r="R5979" t="s">
        <v>11039</v>
      </c>
      <c r="S5979" t="s">
        <v>10319</v>
      </c>
      <c r="W5979" t="s">
        <v>11249</v>
      </c>
    </row>
    <row r="5980" spans="1:23" hidden="1" x14ac:dyDescent="0.45">
      <c r="A5980" s="1" t="s">
        <v>5905</v>
      </c>
      <c r="B5980" t="s">
        <v>7166</v>
      </c>
      <c r="D5980" t="s">
        <v>8425</v>
      </c>
      <c r="E5980" t="s">
        <v>10156</v>
      </c>
      <c r="F5980" t="s">
        <v>10305</v>
      </c>
      <c r="G5980">
        <v>20</v>
      </c>
      <c r="H5980" t="s">
        <v>10319</v>
      </c>
      <c r="I5980" t="s">
        <v>10321</v>
      </c>
      <c r="K5980" t="s">
        <v>10333</v>
      </c>
      <c r="L5980">
        <v>2010</v>
      </c>
      <c r="N5980">
        <v>51.299759999999999</v>
      </c>
      <c r="P5980">
        <v>12.019299999999999</v>
      </c>
      <c r="R5980" t="s">
        <v>11039</v>
      </c>
      <c r="S5980" t="s">
        <v>10319</v>
      </c>
      <c r="W5980" t="s">
        <v>11249</v>
      </c>
    </row>
    <row r="5981" spans="1:23" hidden="1" x14ac:dyDescent="0.45">
      <c r="A5981" s="1" t="s">
        <v>5906</v>
      </c>
      <c r="B5981" t="s">
        <v>7168</v>
      </c>
      <c r="C5981" t="s">
        <v>7783</v>
      </c>
      <c r="D5981" t="s">
        <v>8427</v>
      </c>
      <c r="E5981" t="s">
        <v>10158</v>
      </c>
      <c r="F5981" t="s">
        <v>10305</v>
      </c>
      <c r="G5981">
        <v>87.5</v>
      </c>
      <c r="H5981" t="s">
        <v>10319</v>
      </c>
      <c r="I5981" t="s">
        <v>10321</v>
      </c>
      <c r="K5981" t="s">
        <v>10332</v>
      </c>
      <c r="L5981">
        <v>1964</v>
      </c>
      <c r="M5981" t="s">
        <v>10335</v>
      </c>
      <c r="N5981">
        <v>48.552940999999997</v>
      </c>
      <c r="P5981">
        <v>8.4074010000000001</v>
      </c>
      <c r="R5981" t="s">
        <v>11039</v>
      </c>
      <c r="S5981" t="s">
        <v>10319</v>
      </c>
      <c r="W5981" t="s">
        <v>11249</v>
      </c>
    </row>
    <row r="5982" spans="1:23" hidden="1" x14ac:dyDescent="0.45">
      <c r="A5982" s="1" t="s">
        <v>5907</v>
      </c>
      <c r="B5982" t="s">
        <v>7263</v>
      </c>
      <c r="D5982" t="s">
        <v>8551</v>
      </c>
      <c r="E5982" t="s">
        <v>10258</v>
      </c>
      <c r="F5982" t="s">
        <v>10305</v>
      </c>
      <c r="G5982">
        <v>53.6</v>
      </c>
      <c r="H5982" t="s">
        <v>10319</v>
      </c>
      <c r="I5982" t="s">
        <v>10323</v>
      </c>
      <c r="K5982" t="s">
        <v>10332</v>
      </c>
      <c r="L5982">
        <v>1974</v>
      </c>
      <c r="N5982">
        <v>54.082099999999997</v>
      </c>
      <c r="P5982">
        <v>10.15</v>
      </c>
      <c r="R5982" t="s">
        <v>11039</v>
      </c>
      <c r="S5982" t="s">
        <v>10319</v>
      </c>
      <c r="W5982" t="s">
        <v>11249</v>
      </c>
    </row>
    <row r="5983" spans="1:23" hidden="1" x14ac:dyDescent="0.45">
      <c r="A5983" s="1" t="s">
        <v>5908</v>
      </c>
      <c r="B5983" t="s">
        <v>7264</v>
      </c>
      <c r="D5983" t="s">
        <v>8552</v>
      </c>
      <c r="E5983" t="s">
        <v>10259</v>
      </c>
      <c r="F5983" t="s">
        <v>10305</v>
      </c>
      <c r="G5983">
        <v>94.5</v>
      </c>
      <c r="H5983" t="s">
        <v>10319</v>
      </c>
      <c r="I5983" t="s">
        <v>10323</v>
      </c>
      <c r="K5983" t="s">
        <v>10332</v>
      </c>
      <c r="L5983">
        <v>1939</v>
      </c>
      <c r="N5983">
        <v>52.157899999999998</v>
      </c>
      <c r="P5983">
        <v>10.39579</v>
      </c>
      <c r="R5983" t="s">
        <v>11039</v>
      </c>
      <c r="S5983" t="s">
        <v>10319</v>
      </c>
      <c r="W5983" t="s">
        <v>11249</v>
      </c>
    </row>
    <row r="5984" spans="1:23" hidden="1" x14ac:dyDescent="0.45">
      <c r="A5984" s="1" t="s">
        <v>5909</v>
      </c>
      <c r="B5984" t="s">
        <v>7264</v>
      </c>
      <c r="D5984" t="s">
        <v>8552</v>
      </c>
      <c r="E5984" t="s">
        <v>10259</v>
      </c>
      <c r="F5984" t="s">
        <v>10305</v>
      </c>
      <c r="G5984">
        <v>97</v>
      </c>
      <c r="H5984" t="s">
        <v>10319</v>
      </c>
      <c r="I5984" t="s">
        <v>10323</v>
      </c>
      <c r="K5984" t="s">
        <v>10332</v>
      </c>
      <c r="L5984">
        <v>2010</v>
      </c>
      <c r="M5984" t="s">
        <v>10336</v>
      </c>
      <c r="N5984">
        <v>52.157899999999998</v>
      </c>
      <c r="P5984">
        <v>10.39579</v>
      </c>
      <c r="R5984" t="s">
        <v>11039</v>
      </c>
      <c r="S5984" t="s">
        <v>10319</v>
      </c>
      <c r="W5984" t="s">
        <v>11249</v>
      </c>
    </row>
    <row r="5985" spans="1:23" hidden="1" x14ac:dyDescent="0.45">
      <c r="A5985" s="1" t="s">
        <v>5910</v>
      </c>
      <c r="B5985" t="s">
        <v>7264</v>
      </c>
      <c r="D5985" t="s">
        <v>8552</v>
      </c>
      <c r="E5985" t="s">
        <v>10259</v>
      </c>
      <c r="F5985" t="s">
        <v>10305</v>
      </c>
      <c r="G5985">
        <v>97</v>
      </c>
      <c r="H5985" t="s">
        <v>10319</v>
      </c>
      <c r="I5985" t="s">
        <v>10323</v>
      </c>
      <c r="K5985" t="s">
        <v>10332</v>
      </c>
      <c r="L5985">
        <v>2010</v>
      </c>
      <c r="M5985" t="s">
        <v>10336</v>
      </c>
      <c r="N5985">
        <v>52.157899999999998</v>
      </c>
      <c r="P5985">
        <v>10.39579</v>
      </c>
      <c r="R5985" t="s">
        <v>11039</v>
      </c>
      <c r="S5985" t="s">
        <v>10319</v>
      </c>
      <c r="W5985" t="s">
        <v>11249</v>
      </c>
    </row>
    <row r="5986" spans="1:23" hidden="1" x14ac:dyDescent="0.45">
      <c r="A5986" s="1" t="s">
        <v>5911</v>
      </c>
      <c r="B5986" t="s">
        <v>7265</v>
      </c>
      <c r="C5986" t="s">
        <v>7782</v>
      </c>
      <c r="D5986" t="s">
        <v>8553</v>
      </c>
      <c r="E5986" t="s">
        <v>10260</v>
      </c>
      <c r="F5986" t="s">
        <v>10305</v>
      </c>
      <c r="G5986">
        <v>85</v>
      </c>
      <c r="H5986" t="s">
        <v>10319</v>
      </c>
      <c r="I5986" t="s">
        <v>10323</v>
      </c>
      <c r="K5986" t="s">
        <v>10332</v>
      </c>
      <c r="L5986">
        <v>2010</v>
      </c>
      <c r="N5986">
        <v>49.354849999999999</v>
      </c>
      <c r="P5986">
        <v>6.7314899999999991</v>
      </c>
      <c r="R5986" t="s">
        <v>11039</v>
      </c>
      <c r="S5986" t="s">
        <v>10319</v>
      </c>
      <c r="W5986" t="s">
        <v>11249</v>
      </c>
    </row>
    <row r="5987" spans="1:23" hidden="1" x14ac:dyDescent="0.45">
      <c r="A5987" s="1" t="s">
        <v>5912</v>
      </c>
      <c r="B5987" t="s">
        <v>7115</v>
      </c>
      <c r="C5987" t="s">
        <v>7650</v>
      </c>
      <c r="D5987" t="s">
        <v>8330</v>
      </c>
      <c r="E5987" t="s">
        <v>10087</v>
      </c>
      <c r="F5987" t="s">
        <v>10305</v>
      </c>
      <c r="G5987">
        <v>6</v>
      </c>
      <c r="H5987" t="s">
        <v>10319</v>
      </c>
      <c r="I5987" t="s">
        <v>10323</v>
      </c>
      <c r="K5987" t="s">
        <v>10332</v>
      </c>
      <c r="L5987">
        <v>1989</v>
      </c>
      <c r="N5987">
        <v>47.808109999999999</v>
      </c>
      <c r="P5987">
        <v>10.902509999999999</v>
      </c>
      <c r="R5987" t="s">
        <v>11039</v>
      </c>
      <c r="S5987" t="s">
        <v>10319</v>
      </c>
      <c r="W5987" t="s">
        <v>11249</v>
      </c>
    </row>
    <row r="5988" spans="1:23" hidden="1" x14ac:dyDescent="0.45">
      <c r="A5988" s="1" t="s">
        <v>5913</v>
      </c>
      <c r="B5988" t="s">
        <v>7266</v>
      </c>
      <c r="C5988" t="s">
        <v>7784</v>
      </c>
      <c r="D5988" t="s">
        <v>8353</v>
      </c>
      <c r="E5988" t="s">
        <v>10108</v>
      </c>
      <c r="F5988" t="s">
        <v>10305</v>
      </c>
      <c r="G5988">
        <v>15.5</v>
      </c>
      <c r="H5988" t="s">
        <v>10319</v>
      </c>
      <c r="I5988" t="s">
        <v>10322</v>
      </c>
      <c r="K5988" t="s">
        <v>10332</v>
      </c>
      <c r="L5988">
        <v>1964</v>
      </c>
      <c r="M5988" t="s">
        <v>10336</v>
      </c>
      <c r="N5988">
        <v>51.069479999999999</v>
      </c>
      <c r="P5988">
        <v>6.8466899999999997</v>
      </c>
      <c r="R5988" t="s">
        <v>11039</v>
      </c>
      <c r="S5988" t="s">
        <v>10319</v>
      </c>
      <c r="W5988" t="s">
        <v>11249</v>
      </c>
    </row>
    <row r="5989" spans="1:23" hidden="1" x14ac:dyDescent="0.45">
      <c r="A5989" s="1" t="s">
        <v>5914</v>
      </c>
      <c r="B5989" t="s">
        <v>7266</v>
      </c>
      <c r="C5989" t="s">
        <v>7784</v>
      </c>
      <c r="D5989" t="s">
        <v>8353</v>
      </c>
      <c r="E5989" t="s">
        <v>10108</v>
      </c>
      <c r="F5989" t="s">
        <v>10305</v>
      </c>
      <c r="G5989">
        <v>19.2</v>
      </c>
      <c r="H5989" t="s">
        <v>10319</v>
      </c>
      <c r="I5989" t="s">
        <v>10322</v>
      </c>
      <c r="K5989" t="s">
        <v>10332</v>
      </c>
      <c r="L5989">
        <v>1964</v>
      </c>
      <c r="M5989" t="s">
        <v>10336</v>
      </c>
      <c r="N5989">
        <v>51.069479999999999</v>
      </c>
      <c r="P5989">
        <v>6.8466899999999997</v>
      </c>
      <c r="R5989" t="s">
        <v>11039</v>
      </c>
      <c r="S5989" t="s">
        <v>10319</v>
      </c>
      <c r="W5989" t="s">
        <v>11249</v>
      </c>
    </row>
    <row r="5990" spans="1:23" hidden="1" x14ac:dyDescent="0.45">
      <c r="A5990" s="1" t="s">
        <v>5915</v>
      </c>
      <c r="B5990" t="s">
        <v>7266</v>
      </c>
      <c r="C5990" t="s">
        <v>7784</v>
      </c>
      <c r="D5990" t="s">
        <v>8353</v>
      </c>
      <c r="E5990" t="s">
        <v>10108</v>
      </c>
      <c r="F5990" t="s">
        <v>10305</v>
      </c>
      <c r="G5990">
        <v>15.5</v>
      </c>
      <c r="H5990" t="s">
        <v>10319</v>
      </c>
      <c r="I5990" t="s">
        <v>10322</v>
      </c>
      <c r="K5990" t="s">
        <v>10332</v>
      </c>
      <c r="L5990">
        <v>1963</v>
      </c>
      <c r="M5990" t="s">
        <v>10336</v>
      </c>
      <c r="N5990">
        <v>51.069479999999999</v>
      </c>
      <c r="P5990">
        <v>6.8466899999999997</v>
      </c>
      <c r="R5990" t="s">
        <v>11039</v>
      </c>
      <c r="S5990" t="s">
        <v>10319</v>
      </c>
      <c r="W5990" t="s">
        <v>11249</v>
      </c>
    </row>
    <row r="5991" spans="1:23" hidden="1" x14ac:dyDescent="0.45">
      <c r="A5991" s="1" t="s">
        <v>5916</v>
      </c>
      <c r="B5991" t="s">
        <v>7266</v>
      </c>
      <c r="C5991" t="s">
        <v>7784</v>
      </c>
      <c r="D5991" t="s">
        <v>8353</v>
      </c>
      <c r="E5991" t="s">
        <v>10108</v>
      </c>
      <c r="F5991" t="s">
        <v>10305</v>
      </c>
      <c r="G5991">
        <v>10.4</v>
      </c>
      <c r="H5991" t="s">
        <v>10319</v>
      </c>
      <c r="I5991" t="s">
        <v>10322</v>
      </c>
      <c r="K5991" t="s">
        <v>10333</v>
      </c>
      <c r="L5991">
        <v>1966</v>
      </c>
      <c r="M5991" t="s">
        <v>10336</v>
      </c>
      <c r="N5991">
        <v>51.069479999999999</v>
      </c>
      <c r="P5991">
        <v>6.8466899999999997</v>
      </c>
      <c r="R5991" t="s">
        <v>11039</v>
      </c>
      <c r="S5991" t="s">
        <v>10319</v>
      </c>
      <c r="W5991" t="s">
        <v>11249</v>
      </c>
    </row>
    <row r="5992" spans="1:23" hidden="1" x14ac:dyDescent="0.45">
      <c r="A5992" s="1" t="s">
        <v>5917</v>
      </c>
      <c r="B5992" t="s">
        <v>7266</v>
      </c>
      <c r="C5992" t="s">
        <v>7784</v>
      </c>
      <c r="D5992" t="s">
        <v>8353</v>
      </c>
      <c r="E5992" t="s">
        <v>10108</v>
      </c>
      <c r="F5992" t="s">
        <v>10305</v>
      </c>
      <c r="G5992">
        <v>33.6</v>
      </c>
      <c r="H5992" t="s">
        <v>10319</v>
      </c>
      <c r="I5992" t="s">
        <v>10322</v>
      </c>
      <c r="K5992" t="s">
        <v>10332</v>
      </c>
      <c r="L5992">
        <v>1967</v>
      </c>
      <c r="M5992" t="s">
        <v>10336</v>
      </c>
      <c r="N5992">
        <v>51.069479999999999</v>
      </c>
      <c r="P5992">
        <v>6.8466899999999997</v>
      </c>
      <c r="R5992" t="s">
        <v>11039</v>
      </c>
      <c r="S5992" t="s">
        <v>10319</v>
      </c>
      <c r="W5992" t="s">
        <v>11249</v>
      </c>
    </row>
    <row r="5993" spans="1:23" hidden="1" x14ac:dyDescent="0.45">
      <c r="A5993" s="1" t="s">
        <v>5918</v>
      </c>
      <c r="B5993" t="s">
        <v>7267</v>
      </c>
      <c r="C5993" t="s">
        <v>7785</v>
      </c>
      <c r="D5993" t="s">
        <v>8437</v>
      </c>
      <c r="E5993" t="s">
        <v>10166</v>
      </c>
      <c r="F5993" t="s">
        <v>10305</v>
      </c>
      <c r="G5993">
        <v>38</v>
      </c>
      <c r="H5993" t="s">
        <v>10319</v>
      </c>
      <c r="I5993" t="s">
        <v>10323</v>
      </c>
      <c r="K5993" t="s">
        <v>10332</v>
      </c>
      <c r="L5993">
        <v>1929</v>
      </c>
      <c r="N5993">
        <v>51.524619999999999</v>
      </c>
      <c r="P5993">
        <v>6.8010999999999999</v>
      </c>
      <c r="R5993" t="s">
        <v>11039</v>
      </c>
      <c r="S5993" t="s">
        <v>10319</v>
      </c>
      <c r="W5993" t="s">
        <v>11249</v>
      </c>
    </row>
    <row r="5994" spans="1:23" hidden="1" x14ac:dyDescent="0.45">
      <c r="A5994" s="1" t="s">
        <v>5919</v>
      </c>
      <c r="B5994" t="s">
        <v>7268</v>
      </c>
      <c r="C5994" t="s">
        <v>7786</v>
      </c>
      <c r="D5994" t="s">
        <v>8180</v>
      </c>
      <c r="E5994" t="s">
        <v>9953</v>
      </c>
      <c r="F5994" t="s">
        <v>10305</v>
      </c>
      <c r="G5994">
        <v>21</v>
      </c>
      <c r="H5994" t="s">
        <v>10319</v>
      </c>
      <c r="I5994" t="s">
        <v>10323</v>
      </c>
      <c r="K5994" t="s">
        <v>10332</v>
      </c>
      <c r="L5994">
        <v>2010</v>
      </c>
      <c r="N5994">
        <v>51.419060000000002</v>
      </c>
      <c r="P5994">
        <v>6.7385000000000002</v>
      </c>
      <c r="R5994" t="s">
        <v>11039</v>
      </c>
      <c r="S5994" t="s">
        <v>10319</v>
      </c>
      <c r="W5994" t="s">
        <v>11249</v>
      </c>
    </row>
    <row r="5995" spans="1:23" hidden="1" x14ac:dyDescent="0.45">
      <c r="A5995" s="1" t="s">
        <v>5920</v>
      </c>
      <c r="B5995" t="s">
        <v>7269</v>
      </c>
      <c r="C5995" t="s">
        <v>7744</v>
      </c>
      <c r="D5995" t="s">
        <v>8498</v>
      </c>
      <c r="E5995" t="s">
        <v>10214</v>
      </c>
      <c r="F5995" t="s">
        <v>10305</v>
      </c>
      <c r="G5995">
        <v>28</v>
      </c>
      <c r="H5995" t="s">
        <v>10319</v>
      </c>
      <c r="I5995" t="s">
        <v>10323</v>
      </c>
      <c r="K5995" t="s">
        <v>10332</v>
      </c>
      <c r="L5995">
        <v>2009</v>
      </c>
      <c r="N5995">
        <v>51.318081999999997</v>
      </c>
      <c r="P5995">
        <v>9.8490079999999995</v>
      </c>
      <c r="R5995" t="s">
        <v>11039</v>
      </c>
      <c r="S5995" t="s">
        <v>10319</v>
      </c>
      <c r="W5995" t="s">
        <v>11249</v>
      </c>
    </row>
    <row r="5996" spans="1:23" hidden="1" x14ac:dyDescent="0.45">
      <c r="A5996" s="1" t="s">
        <v>5921</v>
      </c>
      <c r="B5996" t="s">
        <v>7234</v>
      </c>
      <c r="C5996" t="s">
        <v>7756</v>
      </c>
      <c r="D5996" t="s">
        <v>8509</v>
      </c>
      <c r="E5996" t="s">
        <v>10224</v>
      </c>
      <c r="F5996" t="s">
        <v>10305</v>
      </c>
      <c r="G5996">
        <v>10.3</v>
      </c>
      <c r="H5996" t="s">
        <v>10319</v>
      </c>
      <c r="I5996" t="s">
        <v>10323</v>
      </c>
      <c r="K5996" t="s">
        <v>10332</v>
      </c>
      <c r="L5996">
        <v>1992</v>
      </c>
      <c r="N5996">
        <v>50.321134000000001</v>
      </c>
      <c r="P5996">
        <v>7.2339070000000003</v>
      </c>
      <c r="R5996" t="s">
        <v>11039</v>
      </c>
      <c r="S5996" t="s">
        <v>10319</v>
      </c>
      <c r="W5996" t="s">
        <v>11249</v>
      </c>
    </row>
    <row r="5997" spans="1:23" hidden="1" x14ac:dyDescent="0.45">
      <c r="A5997" s="1" t="s">
        <v>5922</v>
      </c>
      <c r="B5997" t="s">
        <v>7270</v>
      </c>
      <c r="C5997" t="s">
        <v>7787</v>
      </c>
      <c r="D5997" t="s">
        <v>8554</v>
      </c>
      <c r="E5997" t="s">
        <v>10261</v>
      </c>
      <c r="F5997" t="s">
        <v>10305</v>
      </c>
      <c r="G5997">
        <v>44.5</v>
      </c>
      <c r="H5997" t="s">
        <v>10319</v>
      </c>
      <c r="I5997" t="s">
        <v>10323</v>
      </c>
      <c r="K5997" t="s">
        <v>10332</v>
      </c>
      <c r="L5997">
        <v>1961</v>
      </c>
      <c r="N5997">
        <v>54.154860999999997</v>
      </c>
      <c r="P5997">
        <v>9.0766469999999995</v>
      </c>
      <c r="R5997" t="s">
        <v>11039</v>
      </c>
      <c r="S5997" t="s">
        <v>10319</v>
      </c>
      <c r="W5997" t="s">
        <v>11249</v>
      </c>
    </row>
    <row r="5998" spans="1:23" hidden="1" x14ac:dyDescent="0.45">
      <c r="A5998" s="1" t="s">
        <v>5923</v>
      </c>
      <c r="B5998" t="s">
        <v>7271</v>
      </c>
      <c r="C5998" t="s">
        <v>7788</v>
      </c>
      <c r="D5998" t="s">
        <v>8150</v>
      </c>
      <c r="E5998" t="s">
        <v>9928</v>
      </c>
      <c r="F5998" t="s">
        <v>10305</v>
      </c>
      <c r="G5998">
        <v>15</v>
      </c>
      <c r="H5998" t="s">
        <v>10319</v>
      </c>
      <c r="I5998" t="s">
        <v>10330</v>
      </c>
      <c r="K5998" t="s">
        <v>10333</v>
      </c>
      <c r="L5998">
        <v>2016</v>
      </c>
      <c r="N5998">
        <v>51.613159000000003</v>
      </c>
      <c r="P5998">
        <v>7.50983</v>
      </c>
      <c r="R5998" t="s">
        <v>11039</v>
      </c>
      <c r="S5998" t="s">
        <v>10319</v>
      </c>
      <c r="W5998" t="s">
        <v>11249</v>
      </c>
    </row>
    <row r="5999" spans="1:23" hidden="1" x14ac:dyDescent="0.45">
      <c r="A5999" s="1" t="s">
        <v>5924</v>
      </c>
      <c r="B5999" t="s">
        <v>7271</v>
      </c>
      <c r="C5999" t="s">
        <v>7789</v>
      </c>
      <c r="D5999" t="s">
        <v>8211</v>
      </c>
      <c r="E5999" t="s">
        <v>9975</v>
      </c>
      <c r="F5999" t="s">
        <v>10305</v>
      </c>
      <c r="G5999">
        <v>15</v>
      </c>
      <c r="H5999" t="s">
        <v>10319</v>
      </c>
      <c r="I5999" t="s">
        <v>10330</v>
      </c>
      <c r="K5999" t="s">
        <v>10333</v>
      </c>
      <c r="L5999">
        <v>2016</v>
      </c>
      <c r="N5999">
        <v>49.334130279999997</v>
      </c>
      <c r="P5999">
        <v>7.0313559279999991</v>
      </c>
      <c r="R5999" t="s">
        <v>11039</v>
      </c>
      <c r="S5999" t="s">
        <v>10319</v>
      </c>
      <c r="W5999" t="s">
        <v>11249</v>
      </c>
    </row>
    <row r="6000" spans="1:23" hidden="1" x14ac:dyDescent="0.45">
      <c r="A6000" s="1" t="s">
        <v>5925</v>
      </c>
      <c r="B6000" t="s">
        <v>7271</v>
      </c>
      <c r="C6000" t="s">
        <v>7562</v>
      </c>
      <c r="D6000" t="s">
        <v>8193</v>
      </c>
      <c r="E6000" t="s">
        <v>9963</v>
      </c>
      <c r="F6000" t="s">
        <v>10305</v>
      </c>
      <c r="G6000">
        <v>15</v>
      </c>
      <c r="H6000" t="s">
        <v>10319</v>
      </c>
      <c r="I6000" t="s">
        <v>10330</v>
      </c>
      <c r="K6000" t="s">
        <v>10333</v>
      </c>
      <c r="L6000">
        <v>2016</v>
      </c>
      <c r="N6000">
        <v>51.550753</v>
      </c>
      <c r="P6000">
        <v>7.187481</v>
      </c>
      <c r="R6000" t="s">
        <v>11039</v>
      </c>
      <c r="S6000" t="s">
        <v>10319</v>
      </c>
      <c r="W6000" t="s">
        <v>11249</v>
      </c>
    </row>
    <row r="6001" spans="1:23" hidden="1" x14ac:dyDescent="0.45">
      <c r="A6001" s="1" t="s">
        <v>5926</v>
      </c>
      <c r="B6001" t="s">
        <v>7271</v>
      </c>
      <c r="C6001" t="s">
        <v>7790</v>
      </c>
      <c r="D6001" t="s">
        <v>8218</v>
      </c>
      <c r="E6001" t="s">
        <v>10262</v>
      </c>
      <c r="F6001" t="s">
        <v>10305</v>
      </c>
      <c r="G6001">
        <v>15</v>
      </c>
      <c r="H6001" t="s">
        <v>10319</v>
      </c>
      <c r="I6001" t="s">
        <v>10330</v>
      </c>
      <c r="K6001" t="s">
        <v>10333</v>
      </c>
      <c r="L6001">
        <v>2016</v>
      </c>
      <c r="N6001">
        <v>49.249018</v>
      </c>
      <c r="P6001">
        <v>6.8792439999999999</v>
      </c>
      <c r="R6001" t="s">
        <v>11039</v>
      </c>
      <c r="S6001" t="s">
        <v>10319</v>
      </c>
      <c r="W6001" t="s">
        <v>11249</v>
      </c>
    </row>
    <row r="6002" spans="1:23" hidden="1" x14ac:dyDescent="0.45">
      <c r="A6002" s="1" t="s">
        <v>5927</v>
      </c>
      <c r="B6002" t="s">
        <v>7271</v>
      </c>
      <c r="C6002" t="s">
        <v>7791</v>
      </c>
      <c r="D6002" t="s">
        <v>8181</v>
      </c>
      <c r="E6002" t="s">
        <v>10263</v>
      </c>
      <c r="F6002" t="s">
        <v>10305</v>
      </c>
      <c r="G6002">
        <v>15</v>
      </c>
      <c r="H6002" t="s">
        <v>10319</v>
      </c>
      <c r="I6002" t="s">
        <v>10330</v>
      </c>
      <c r="K6002" t="s">
        <v>10333</v>
      </c>
      <c r="L6002">
        <v>2016</v>
      </c>
      <c r="N6002">
        <v>51.526720000000012</v>
      </c>
      <c r="P6002">
        <v>6.71868</v>
      </c>
      <c r="R6002" t="s">
        <v>11039</v>
      </c>
      <c r="S6002" t="s">
        <v>10319</v>
      </c>
      <c r="W6002" t="s">
        <v>11249</v>
      </c>
    </row>
    <row r="6003" spans="1:23" hidden="1" x14ac:dyDescent="0.45">
      <c r="A6003" s="1" t="s">
        <v>5928</v>
      </c>
      <c r="B6003" t="s">
        <v>7271</v>
      </c>
      <c r="C6003" t="s">
        <v>7792</v>
      </c>
      <c r="D6003" t="s">
        <v>8173</v>
      </c>
      <c r="E6003" t="s">
        <v>9948</v>
      </c>
      <c r="F6003" t="s">
        <v>10305</v>
      </c>
      <c r="G6003">
        <v>15</v>
      </c>
      <c r="H6003" t="s">
        <v>10319</v>
      </c>
      <c r="I6003" t="s">
        <v>10330</v>
      </c>
      <c r="K6003" t="s">
        <v>10333</v>
      </c>
      <c r="L6003">
        <v>2016</v>
      </c>
      <c r="N6003">
        <v>49.363481</v>
      </c>
      <c r="P6003">
        <v>7.2371359999999996</v>
      </c>
      <c r="R6003" t="s">
        <v>11039</v>
      </c>
      <c r="S6003" t="s">
        <v>10319</v>
      </c>
      <c r="W6003" t="s">
        <v>11249</v>
      </c>
    </row>
    <row r="6004" spans="1:23" hidden="1" x14ac:dyDescent="0.45">
      <c r="A6004" s="1" t="s">
        <v>5929</v>
      </c>
      <c r="B6004" t="s">
        <v>7272</v>
      </c>
      <c r="C6004" t="s">
        <v>7793</v>
      </c>
      <c r="D6004" t="s">
        <v>8555</v>
      </c>
      <c r="E6004" t="s">
        <v>10176</v>
      </c>
      <c r="F6004" t="s">
        <v>10305</v>
      </c>
      <c r="G6004">
        <v>12.5</v>
      </c>
      <c r="H6004" t="s">
        <v>10319</v>
      </c>
      <c r="I6004" t="s">
        <v>10330</v>
      </c>
      <c r="K6004" t="s">
        <v>10333</v>
      </c>
      <c r="L6004">
        <v>2014</v>
      </c>
      <c r="N6004">
        <v>53.637690999999997</v>
      </c>
      <c r="P6004">
        <v>11.403466</v>
      </c>
      <c r="R6004" t="s">
        <v>11039</v>
      </c>
      <c r="S6004" t="s">
        <v>10319</v>
      </c>
      <c r="W6004" t="s">
        <v>11249</v>
      </c>
    </row>
    <row r="6005" spans="1:23" hidden="1" x14ac:dyDescent="0.45">
      <c r="A6005" s="1" t="s">
        <v>5930</v>
      </c>
      <c r="B6005" t="s">
        <v>7273</v>
      </c>
      <c r="C6005" t="s">
        <v>7794</v>
      </c>
      <c r="D6005" t="s">
        <v>8538</v>
      </c>
      <c r="E6005" t="s">
        <v>10108</v>
      </c>
      <c r="F6005" t="s">
        <v>10305</v>
      </c>
      <c r="G6005">
        <v>26.5</v>
      </c>
      <c r="H6005" t="s">
        <v>10319</v>
      </c>
      <c r="I6005" t="s">
        <v>10323</v>
      </c>
      <c r="K6005" t="s">
        <v>10333</v>
      </c>
      <c r="L6005">
        <v>1967</v>
      </c>
      <c r="N6005">
        <v>50.873573950000001</v>
      </c>
      <c r="P6005">
        <v>6.9185296510000001</v>
      </c>
      <c r="R6005" t="s">
        <v>11039</v>
      </c>
      <c r="S6005" t="s">
        <v>10319</v>
      </c>
      <c r="W6005" t="s">
        <v>11249</v>
      </c>
    </row>
    <row r="6006" spans="1:23" hidden="1" x14ac:dyDescent="0.45">
      <c r="A6006" s="1" t="s">
        <v>5931</v>
      </c>
      <c r="B6006" t="s">
        <v>7240</v>
      </c>
      <c r="D6006" t="s">
        <v>8556</v>
      </c>
      <c r="E6006" t="s">
        <v>10155</v>
      </c>
      <c r="F6006" t="s">
        <v>10305</v>
      </c>
      <c r="G6006">
        <v>12.5</v>
      </c>
      <c r="H6006" t="s">
        <v>10319</v>
      </c>
      <c r="I6006" t="s">
        <v>10323</v>
      </c>
      <c r="K6006" t="s">
        <v>10333</v>
      </c>
      <c r="L6006">
        <v>2018</v>
      </c>
      <c r="N6006">
        <v>51.340632100000001</v>
      </c>
      <c r="P6006">
        <v>12.3747329</v>
      </c>
      <c r="R6006" t="s">
        <v>11039</v>
      </c>
      <c r="S6006" t="s">
        <v>10319</v>
      </c>
      <c r="W6006" t="s">
        <v>11249</v>
      </c>
    </row>
    <row r="6007" spans="1:23" hidden="1" x14ac:dyDescent="0.45">
      <c r="A6007" s="1" t="s">
        <v>5932</v>
      </c>
      <c r="B6007" t="s">
        <v>7066</v>
      </c>
      <c r="D6007" t="s">
        <v>8175</v>
      </c>
      <c r="E6007" t="s">
        <v>9950</v>
      </c>
      <c r="F6007" t="s">
        <v>10305</v>
      </c>
      <c r="G6007">
        <v>18</v>
      </c>
      <c r="H6007" t="s">
        <v>10319</v>
      </c>
      <c r="I6007" t="s">
        <v>10330</v>
      </c>
      <c r="K6007" t="s">
        <v>10332</v>
      </c>
      <c r="L6007">
        <v>2019</v>
      </c>
      <c r="N6007">
        <v>53.075819600000003</v>
      </c>
      <c r="P6007">
        <v>8.8071646000000001</v>
      </c>
      <c r="R6007" t="s">
        <v>11039</v>
      </c>
      <c r="S6007" t="s">
        <v>10319</v>
      </c>
      <c r="W6007" t="s">
        <v>11249</v>
      </c>
    </row>
    <row r="6008" spans="1:23" hidden="1" x14ac:dyDescent="0.45">
      <c r="A6008" s="1" t="s">
        <v>5933</v>
      </c>
      <c r="B6008" t="s">
        <v>7252</v>
      </c>
      <c r="D6008" t="s">
        <v>8557</v>
      </c>
      <c r="E6008" t="s">
        <v>10264</v>
      </c>
      <c r="F6008" t="s">
        <v>10305</v>
      </c>
      <c r="G6008">
        <v>16</v>
      </c>
      <c r="H6008" t="s">
        <v>10319</v>
      </c>
      <c r="I6008" t="s">
        <v>10330</v>
      </c>
      <c r="K6008" t="s">
        <v>10333</v>
      </c>
      <c r="L6008">
        <v>2018</v>
      </c>
      <c r="N6008">
        <v>47.691096999999999</v>
      </c>
      <c r="P6008">
        <v>10.323657000000001</v>
      </c>
      <c r="R6008" t="s">
        <v>11039</v>
      </c>
      <c r="S6008" t="s">
        <v>10319</v>
      </c>
      <c r="W6008" t="s">
        <v>11249</v>
      </c>
    </row>
    <row r="6009" spans="1:23" hidden="1" x14ac:dyDescent="0.45">
      <c r="A6009" s="1" t="s">
        <v>5934</v>
      </c>
      <c r="B6009" t="s">
        <v>7274</v>
      </c>
      <c r="F6009" t="s">
        <v>10305</v>
      </c>
      <c r="G6009">
        <v>48</v>
      </c>
      <c r="H6009" t="s">
        <v>10319</v>
      </c>
      <c r="I6009" t="s">
        <v>10330</v>
      </c>
      <c r="K6009" t="s">
        <v>10333</v>
      </c>
      <c r="L6009">
        <v>2018</v>
      </c>
      <c r="N6009">
        <v>54.848958000000003</v>
      </c>
      <c r="P6009">
        <v>9.1961340000000007</v>
      </c>
      <c r="R6009" t="s">
        <v>11039</v>
      </c>
      <c r="S6009" t="s">
        <v>10319</v>
      </c>
      <c r="W6009" t="s">
        <v>11249</v>
      </c>
    </row>
    <row r="6010" spans="1:23" hidden="1" x14ac:dyDescent="0.45">
      <c r="A6010" s="1" t="s">
        <v>5935</v>
      </c>
      <c r="B6010" t="s">
        <v>7063</v>
      </c>
      <c r="C6010" t="s">
        <v>7545</v>
      </c>
      <c r="D6010" t="s">
        <v>8171</v>
      </c>
      <c r="E6010" t="s">
        <v>9911</v>
      </c>
      <c r="F6010" t="s">
        <v>10305</v>
      </c>
      <c r="G6010">
        <v>36</v>
      </c>
      <c r="H6010" t="s">
        <v>10320</v>
      </c>
      <c r="I6010" t="s">
        <v>10323</v>
      </c>
      <c r="K6010" t="s">
        <v>10332</v>
      </c>
      <c r="L6010">
        <v>1998</v>
      </c>
      <c r="N6010">
        <v>52.532145999999997</v>
      </c>
      <c r="P6010">
        <v>13.246072</v>
      </c>
      <c r="R6010" t="s">
        <v>10315</v>
      </c>
      <c r="S6010" t="s">
        <v>10320</v>
      </c>
      <c r="W6010" t="s">
        <v>11249</v>
      </c>
    </row>
    <row r="6011" spans="1:23" hidden="1" x14ac:dyDescent="0.45">
      <c r="A6011" s="1" t="s">
        <v>5936</v>
      </c>
      <c r="B6011" t="s">
        <v>7135</v>
      </c>
      <c r="D6011" t="s">
        <v>8379</v>
      </c>
      <c r="E6011" t="s">
        <v>10129</v>
      </c>
      <c r="F6011" t="s">
        <v>10305</v>
      </c>
      <c r="G6011">
        <v>35</v>
      </c>
      <c r="H6011" t="s">
        <v>10320</v>
      </c>
      <c r="I6011" t="s">
        <v>10321</v>
      </c>
      <c r="K6011" t="s">
        <v>10332</v>
      </c>
      <c r="L6011">
        <v>2009</v>
      </c>
      <c r="M6011" t="s">
        <v>10335</v>
      </c>
      <c r="N6011">
        <v>51.801239000000002</v>
      </c>
      <c r="P6011">
        <v>11.75441</v>
      </c>
      <c r="R6011" t="s">
        <v>10315</v>
      </c>
      <c r="S6011" t="s">
        <v>10320</v>
      </c>
      <c r="W6011" t="s">
        <v>11249</v>
      </c>
    </row>
    <row r="6012" spans="1:23" hidden="1" x14ac:dyDescent="0.45">
      <c r="A6012" s="1" t="s">
        <v>5937</v>
      </c>
      <c r="B6012" t="s">
        <v>7275</v>
      </c>
      <c r="C6012" t="s">
        <v>7795</v>
      </c>
      <c r="D6012" t="s">
        <v>8558</v>
      </c>
      <c r="E6012" t="s">
        <v>10130</v>
      </c>
      <c r="F6012" t="s">
        <v>10305</v>
      </c>
      <c r="G6012">
        <v>34</v>
      </c>
      <c r="H6012" t="s">
        <v>10320</v>
      </c>
      <c r="I6012" t="s">
        <v>10323</v>
      </c>
      <c r="K6012" t="s">
        <v>10332</v>
      </c>
      <c r="L6012">
        <v>1981</v>
      </c>
      <c r="N6012">
        <v>52.04269</v>
      </c>
      <c r="P6012">
        <v>8.6071899999999992</v>
      </c>
      <c r="R6012" t="s">
        <v>10315</v>
      </c>
      <c r="S6012" t="s">
        <v>10320</v>
      </c>
      <c r="W6012" t="s">
        <v>11249</v>
      </c>
    </row>
    <row r="6013" spans="1:23" hidden="1" x14ac:dyDescent="0.45">
      <c r="A6013" s="1" t="s">
        <v>5938</v>
      </c>
      <c r="B6013" t="s">
        <v>7138</v>
      </c>
      <c r="D6013" t="s">
        <v>8386</v>
      </c>
      <c r="E6013" t="s">
        <v>10133</v>
      </c>
      <c r="F6013" t="s">
        <v>10305</v>
      </c>
      <c r="G6013">
        <v>12</v>
      </c>
      <c r="H6013" t="s">
        <v>10320</v>
      </c>
      <c r="I6013" t="s">
        <v>10323</v>
      </c>
      <c r="K6013" t="s">
        <v>10332</v>
      </c>
      <c r="L6013">
        <v>1990</v>
      </c>
      <c r="N6013">
        <v>50.733820000000001</v>
      </c>
      <c r="P6013">
        <v>7.0805499999999997</v>
      </c>
      <c r="R6013" t="s">
        <v>10315</v>
      </c>
      <c r="S6013" t="s">
        <v>10320</v>
      </c>
      <c r="W6013" t="s">
        <v>11249</v>
      </c>
    </row>
    <row r="6014" spans="1:23" hidden="1" x14ac:dyDescent="0.45">
      <c r="A6014" s="1" t="s">
        <v>5939</v>
      </c>
      <c r="B6014" t="s">
        <v>7276</v>
      </c>
      <c r="C6014" t="s">
        <v>7550</v>
      </c>
      <c r="D6014" t="s">
        <v>8176</v>
      </c>
      <c r="E6014" t="s">
        <v>9950</v>
      </c>
      <c r="F6014" t="s">
        <v>10305</v>
      </c>
      <c r="G6014">
        <v>33</v>
      </c>
      <c r="H6014" t="s">
        <v>10320</v>
      </c>
      <c r="I6014" t="s">
        <v>10323</v>
      </c>
      <c r="K6014" t="s">
        <v>10333</v>
      </c>
      <c r="L6014">
        <v>2009</v>
      </c>
      <c r="N6014">
        <v>53.124819999999993</v>
      </c>
      <c r="P6014">
        <v>8.7288700000000006</v>
      </c>
      <c r="R6014" t="s">
        <v>10315</v>
      </c>
      <c r="S6014" t="s">
        <v>10320</v>
      </c>
      <c r="W6014" t="s">
        <v>11249</v>
      </c>
    </row>
    <row r="6015" spans="1:23" hidden="1" x14ac:dyDescent="0.45">
      <c r="A6015" s="1" t="s">
        <v>5940</v>
      </c>
      <c r="B6015" t="s">
        <v>7144</v>
      </c>
      <c r="C6015" t="s">
        <v>7774</v>
      </c>
      <c r="D6015" t="s">
        <v>8532</v>
      </c>
      <c r="E6015" t="s">
        <v>10139</v>
      </c>
      <c r="F6015" t="s">
        <v>10305</v>
      </c>
      <c r="G6015">
        <v>48.9</v>
      </c>
      <c r="H6015" t="s">
        <v>10320</v>
      </c>
      <c r="I6015" t="s">
        <v>10323</v>
      </c>
      <c r="K6015" t="s">
        <v>10333</v>
      </c>
      <c r="L6015">
        <v>1955</v>
      </c>
      <c r="N6015">
        <v>51.224550000000001</v>
      </c>
      <c r="P6015">
        <v>6.8154300000000001</v>
      </c>
      <c r="R6015" t="s">
        <v>10315</v>
      </c>
      <c r="S6015" t="s">
        <v>10320</v>
      </c>
      <c r="W6015" t="s">
        <v>11249</v>
      </c>
    </row>
    <row r="6016" spans="1:23" hidden="1" x14ac:dyDescent="0.45">
      <c r="A6016" s="1" t="s">
        <v>5941</v>
      </c>
      <c r="B6016" t="s">
        <v>7144</v>
      </c>
      <c r="C6016" t="s">
        <v>7774</v>
      </c>
      <c r="D6016" t="s">
        <v>8532</v>
      </c>
      <c r="E6016" t="s">
        <v>10139</v>
      </c>
      <c r="F6016" t="s">
        <v>10305</v>
      </c>
      <c r="G6016">
        <v>53.7</v>
      </c>
      <c r="H6016" t="s">
        <v>10320</v>
      </c>
      <c r="I6016" t="s">
        <v>10323</v>
      </c>
      <c r="K6016" t="s">
        <v>10332</v>
      </c>
      <c r="L6016">
        <v>2000</v>
      </c>
      <c r="N6016">
        <v>51.222794</v>
      </c>
      <c r="P6016">
        <v>6.8136960000000002</v>
      </c>
      <c r="R6016" t="s">
        <v>10315</v>
      </c>
      <c r="S6016" t="s">
        <v>10320</v>
      </c>
      <c r="W6016" t="s">
        <v>11249</v>
      </c>
    </row>
    <row r="6017" spans="1:23" hidden="1" x14ac:dyDescent="0.45">
      <c r="A6017" s="1" t="s">
        <v>5942</v>
      </c>
      <c r="B6017" t="s">
        <v>7036</v>
      </c>
      <c r="C6017" t="s">
        <v>7796</v>
      </c>
      <c r="D6017" t="s">
        <v>8559</v>
      </c>
      <c r="E6017" t="s">
        <v>9919</v>
      </c>
      <c r="F6017" t="s">
        <v>10305</v>
      </c>
      <c r="G6017">
        <v>26</v>
      </c>
      <c r="H6017" t="s">
        <v>10320</v>
      </c>
      <c r="I6017" t="s">
        <v>10323</v>
      </c>
      <c r="K6017" t="s">
        <v>10332</v>
      </c>
      <c r="L6017">
        <v>1969</v>
      </c>
      <c r="N6017">
        <v>50.161729999999999</v>
      </c>
      <c r="P6017">
        <v>8.6359600000000007</v>
      </c>
      <c r="R6017" t="s">
        <v>10315</v>
      </c>
      <c r="S6017" t="s">
        <v>10320</v>
      </c>
      <c r="W6017" t="s">
        <v>11249</v>
      </c>
    </row>
    <row r="6018" spans="1:23" hidden="1" x14ac:dyDescent="0.45">
      <c r="A6018" s="1" t="s">
        <v>5943</v>
      </c>
      <c r="B6018" t="s">
        <v>7036</v>
      </c>
      <c r="C6018" t="s">
        <v>7797</v>
      </c>
      <c r="D6018" t="s">
        <v>8560</v>
      </c>
      <c r="E6018" t="s">
        <v>9919</v>
      </c>
      <c r="F6018" t="s">
        <v>10305</v>
      </c>
      <c r="G6018">
        <v>46.5</v>
      </c>
      <c r="H6018" t="s">
        <v>10320</v>
      </c>
      <c r="I6018" t="s">
        <v>10323</v>
      </c>
      <c r="K6018" t="s">
        <v>10332</v>
      </c>
      <c r="L6018">
        <v>2006</v>
      </c>
      <c r="N6018">
        <v>50.161709999999999</v>
      </c>
      <c r="P6018">
        <v>8.6362500000000004</v>
      </c>
      <c r="R6018" t="s">
        <v>10315</v>
      </c>
      <c r="S6018" t="s">
        <v>10320</v>
      </c>
      <c r="W6018" t="s">
        <v>11249</v>
      </c>
    </row>
    <row r="6019" spans="1:23" hidden="1" x14ac:dyDescent="0.45">
      <c r="A6019" s="1" t="s">
        <v>5944</v>
      </c>
      <c r="B6019" t="s">
        <v>7277</v>
      </c>
      <c r="D6019" t="s">
        <v>8561</v>
      </c>
      <c r="E6019" t="s">
        <v>10265</v>
      </c>
      <c r="F6019" t="s">
        <v>10305</v>
      </c>
      <c r="G6019">
        <v>23.3</v>
      </c>
      <c r="H6019" t="s">
        <v>10320</v>
      </c>
      <c r="I6019" t="s">
        <v>10323</v>
      </c>
      <c r="K6019" t="s">
        <v>10332</v>
      </c>
      <c r="L6019">
        <v>2007</v>
      </c>
      <c r="N6019">
        <v>51.5929</v>
      </c>
      <c r="P6019">
        <v>14.024100000000001</v>
      </c>
      <c r="R6019" t="s">
        <v>10315</v>
      </c>
      <c r="S6019" t="s">
        <v>10320</v>
      </c>
      <c r="W6019" t="s">
        <v>11249</v>
      </c>
    </row>
    <row r="6020" spans="1:23" hidden="1" x14ac:dyDescent="0.45">
      <c r="A6020" s="1" t="s">
        <v>5945</v>
      </c>
      <c r="B6020" t="s">
        <v>7278</v>
      </c>
      <c r="C6020" t="s">
        <v>7798</v>
      </c>
      <c r="D6020" t="s">
        <v>8562</v>
      </c>
      <c r="E6020" t="s">
        <v>9922</v>
      </c>
      <c r="F6020" t="s">
        <v>10305</v>
      </c>
      <c r="G6020">
        <v>24</v>
      </c>
      <c r="H6020" t="s">
        <v>10320</v>
      </c>
      <c r="I6020" t="s">
        <v>10323</v>
      </c>
      <c r="K6020" t="s">
        <v>10332</v>
      </c>
      <c r="L6020">
        <v>1999</v>
      </c>
      <c r="N6020">
        <v>53.520885139999997</v>
      </c>
      <c r="P6020">
        <v>9.9347734449999994</v>
      </c>
      <c r="R6020" t="s">
        <v>10315</v>
      </c>
      <c r="S6020" t="s">
        <v>10320</v>
      </c>
      <c r="W6020" t="s">
        <v>11249</v>
      </c>
    </row>
    <row r="6021" spans="1:23" hidden="1" x14ac:dyDescent="0.45">
      <c r="A6021" s="1" t="s">
        <v>5946</v>
      </c>
      <c r="B6021" t="s">
        <v>7040</v>
      </c>
      <c r="D6021" t="s">
        <v>8145</v>
      </c>
      <c r="E6021" t="s">
        <v>9923</v>
      </c>
      <c r="F6021" t="s">
        <v>10305</v>
      </c>
      <c r="G6021">
        <v>13.2</v>
      </c>
      <c r="H6021" t="s">
        <v>10320</v>
      </c>
      <c r="I6021" t="s">
        <v>10323</v>
      </c>
      <c r="K6021" t="s">
        <v>10332</v>
      </c>
      <c r="L6021">
        <v>1913</v>
      </c>
      <c r="N6021">
        <v>52.098750000000003</v>
      </c>
      <c r="P6021">
        <v>9.3882100000000008</v>
      </c>
      <c r="R6021" t="s">
        <v>10315</v>
      </c>
      <c r="S6021" t="s">
        <v>10320</v>
      </c>
      <c r="W6021" t="s">
        <v>11249</v>
      </c>
    </row>
    <row r="6022" spans="1:23" hidden="1" x14ac:dyDescent="0.45">
      <c r="A6022" s="1" t="s">
        <v>5947</v>
      </c>
      <c r="B6022" t="s">
        <v>7279</v>
      </c>
      <c r="D6022" t="s">
        <v>8563</v>
      </c>
      <c r="E6022" t="s">
        <v>9961</v>
      </c>
      <c r="F6022" t="s">
        <v>10305</v>
      </c>
      <c r="G6022">
        <v>22.5</v>
      </c>
      <c r="H6022" t="s">
        <v>10320</v>
      </c>
      <c r="I6022" t="s">
        <v>10323</v>
      </c>
      <c r="K6022" t="s">
        <v>10333</v>
      </c>
      <c r="L6022">
        <v>2005</v>
      </c>
      <c r="N6022">
        <v>52.41178</v>
      </c>
      <c r="P6022">
        <v>9.8529699999999991</v>
      </c>
      <c r="R6022" t="s">
        <v>10315</v>
      </c>
      <c r="S6022" t="s">
        <v>10320</v>
      </c>
      <c r="W6022" t="s">
        <v>11249</v>
      </c>
    </row>
    <row r="6023" spans="1:23" hidden="1" x14ac:dyDescent="0.45">
      <c r="A6023" s="1" t="s">
        <v>5948</v>
      </c>
      <c r="B6023" t="s">
        <v>7280</v>
      </c>
      <c r="D6023" t="s">
        <v>8350</v>
      </c>
      <c r="E6023" t="s">
        <v>10105</v>
      </c>
      <c r="F6023" t="s">
        <v>10305</v>
      </c>
      <c r="G6023">
        <v>37.5</v>
      </c>
      <c r="H6023" t="s">
        <v>10320</v>
      </c>
      <c r="I6023" t="s">
        <v>10323</v>
      </c>
      <c r="K6023" t="s">
        <v>10333</v>
      </c>
      <c r="L6023">
        <v>1999</v>
      </c>
      <c r="N6023">
        <v>52.171379999999999</v>
      </c>
      <c r="P6023">
        <v>10.976369999999999</v>
      </c>
      <c r="R6023" t="s">
        <v>10315</v>
      </c>
      <c r="S6023" t="s">
        <v>10320</v>
      </c>
      <c r="W6023" t="s">
        <v>11249</v>
      </c>
    </row>
    <row r="6024" spans="1:23" hidden="1" x14ac:dyDescent="0.45">
      <c r="A6024" s="1" t="s">
        <v>5949</v>
      </c>
      <c r="B6024" t="s">
        <v>7076</v>
      </c>
      <c r="D6024" t="s">
        <v>8564</v>
      </c>
      <c r="E6024" t="s">
        <v>10266</v>
      </c>
      <c r="F6024" t="s">
        <v>10305</v>
      </c>
      <c r="G6024">
        <v>38</v>
      </c>
      <c r="H6024" t="s">
        <v>10320</v>
      </c>
      <c r="I6024" t="s">
        <v>10323</v>
      </c>
      <c r="K6024" t="s">
        <v>10332</v>
      </c>
      <c r="L6024">
        <v>1987</v>
      </c>
      <c r="N6024">
        <v>51.515430000000002</v>
      </c>
      <c r="P6024">
        <v>6.9938200000000004</v>
      </c>
      <c r="R6024" t="s">
        <v>10315</v>
      </c>
      <c r="S6024" t="s">
        <v>10320</v>
      </c>
      <c r="W6024" t="s">
        <v>11249</v>
      </c>
    </row>
    <row r="6025" spans="1:23" hidden="1" x14ac:dyDescent="0.45">
      <c r="A6025" s="1" t="s">
        <v>5950</v>
      </c>
      <c r="B6025" t="s">
        <v>7035</v>
      </c>
      <c r="C6025" t="s">
        <v>7799</v>
      </c>
      <c r="D6025" t="s">
        <v>8425</v>
      </c>
      <c r="E6025" t="s">
        <v>10156</v>
      </c>
      <c r="F6025" t="s">
        <v>10305</v>
      </c>
      <c r="G6025">
        <v>16.25</v>
      </c>
      <c r="H6025" t="s">
        <v>10320</v>
      </c>
      <c r="I6025" t="s">
        <v>10323</v>
      </c>
      <c r="K6025" t="s">
        <v>10333</v>
      </c>
      <c r="L6025">
        <v>2005</v>
      </c>
      <c r="N6025">
        <v>51.299759999999999</v>
      </c>
      <c r="P6025">
        <v>12.019299999999999</v>
      </c>
      <c r="R6025" t="s">
        <v>10315</v>
      </c>
      <c r="S6025" t="s">
        <v>10320</v>
      </c>
      <c r="W6025" t="s">
        <v>11249</v>
      </c>
    </row>
    <row r="6026" spans="1:23" hidden="1" x14ac:dyDescent="0.45">
      <c r="A6026" s="1" t="s">
        <v>5951</v>
      </c>
      <c r="B6026" t="s">
        <v>7035</v>
      </c>
      <c r="C6026" t="s">
        <v>7799</v>
      </c>
      <c r="D6026" t="s">
        <v>8425</v>
      </c>
      <c r="E6026" t="s">
        <v>10156</v>
      </c>
      <c r="F6026" t="s">
        <v>10305</v>
      </c>
      <c r="G6026">
        <v>16.25</v>
      </c>
      <c r="H6026" t="s">
        <v>10320</v>
      </c>
      <c r="I6026" t="s">
        <v>10323</v>
      </c>
      <c r="K6026" t="s">
        <v>10333</v>
      </c>
      <c r="L6026">
        <v>2007</v>
      </c>
      <c r="N6026">
        <v>51.299759999999999</v>
      </c>
      <c r="P6026">
        <v>12.019299999999999</v>
      </c>
      <c r="R6026" t="s">
        <v>10315</v>
      </c>
      <c r="S6026" t="s">
        <v>10320</v>
      </c>
      <c r="W6026" t="s">
        <v>11249</v>
      </c>
    </row>
    <row r="6027" spans="1:23" hidden="1" x14ac:dyDescent="0.45">
      <c r="A6027" s="1" t="s">
        <v>5952</v>
      </c>
      <c r="B6027" t="s">
        <v>7168</v>
      </c>
      <c r="C6027" t="s">
        <v>7800</v>
      </c>
      <c r="D6027" t="s">
        <v>8427</v>
      </c>
      <c r="E6027" t="s">
        <v>10158</v>
      </c>
      <c r="F6027" t="s">
        <v>10305</v>
      </c>
      <c r="G6027">
        <v>12</v>
      </c>
      <c r="H6027" t="s">
        <v>10320</v>
      </c>
      <c r="I6027" t="s">
        <v>10323</v>
      </c>
      <c r="K6027" t="s">
        <v>10332</v>
      </c>
      <c r="L6027">
        <v>1992</v>
      </c>
      <c r="N6027">
        <v>48.552940999999997</v>
      </c>
      <c r="P6027">
        <v>8.4074010000000001</v>
      </c>
      <c r="R6027" t="s">
        <v>10315</v>
      </c>
      <c r="S6027" t="s">
        <v>10320</v>
      </c>
      <c r="W6027" t="s">
        <v>11249</v>
      </c>
    </row>
    <row r="6028" spans="1:23" hidden="1" x14ac:dyDescent="0.45">
      <c r="A6028" s="1" t="s">
        <v>5953</v>
      </c>
      <c r="B6028" t="s">
        <v>7281</v>
      </c>
      <c r="D6028" t="s">
        <v>8565</v>
      </c>
      <c r="E6028" t="s">
        <v>10267</v>
      </c>
      <c r="F6028" t="s">
        <v>10305</v>
      </c>
      <c r="G6028">
        <v>29.2</v>
      </c>
      <c r="H6028" t="s">
        <v>10320</v>
      </c>
      <c r="I6028" t="s">
        <v>10323</v>
      </c>
      <c r="K6028" t="s">
        <v>10332</v>
      </c>
      <c r="L6028">
        <v>2005</v>
      </c>
      <c r="N6028">
        <v>52.185339999999997</v>
      </c>
      <c r="P6028">
        <v>11.67906</v>
      </c>
      <c r="R6028" t="s">
        <v>10315</v>
      </c>
      <c r="S6028" t="s">
        <v>10320</v>
      </c>
      <c r="W6028" t="s">
        <v>11249</v>
      </c>
    </row>
    <row r="6029" spans="1:23" hidden="1" x14ac:dyDescent="0.45">
      <c r="A6029" s="1" t="s">
        <v>5954</v>
      </c>
      <c r="B6029" t="s">
        <v>7281</v>
      </c>
      <c r="D6029" t="s">
        <v>8565</v>
      </c>
      <c r="E6029" t="s">
        <v>10267</v>
      </c>
      <c r="F6029" t="s">
        <v>10305</v>
      </c>
      <c r="G6029">
        <v>29.2</v>
      </c>
      <c r="H6029" t="s">
        <v>10320</v>
      </c>
      <c r="I6029" t="s">
        <v>10323</v>
      </c>
      <c r="K6029" t="s">
        <v>10332</v>
      </c>
      <c r="L6029">
        <v>2006</v>
      </c>
      <c r="N6029">
        <v>52.185339999999997</v>
      </c>
      <c r="P6029">
        <v>11.67906</v>
      </c>
      <c r="R6029" t="s">
        <v>10315</v>
      </c>
      <c r="S6029" t="s">
        <v>10320</v>
      </c>
      <c r="W6029" t="s">
        <v>11249</v>
      </c>
    </row>
    <row r="6030" spans="1:23" hidden="1" x14ac:dyDescent="0.45">
      <c r="A6030" s="1" t="s">
        <v>5955</v>
      </c>
      <c r="B6030" t="s">
        <v>7035</v>
      </c>
      <c r="C6030" t="s">
        <v>7801</v>
      </c>
      <c r="D6030" t="s">
        <v>8153</v>
      </c>
      <c r="E6030" t="s">
        <v>9931</v>
      </c>
      <c r="F6030" t="s">
        <v>10305</v>
      </c>
      <c r="G6030">
        <v>2.78</v>
      </c>
      <c r="H6030" t="s">
        <v>10320</v>
      </c>
      <c r="I6030" t="s">
        <v>10323</v>
      </c>
      <c r="K6030" t="s">
        <v>10333</v>
      </c>
      <c r="N6030">
        <v>49.522399999999998</v>
      </c>
      <c r="P6030">
        <v>8.4529399999999999</v>
      </c>
      <c r="R6030" t="s">
        <v>10315</v>
      </c>
      <c r="S6030" t="s">
        <v>10320</v>
      </c>
      <c r="W6030" t="s">
        <v>11249</v>
      </c>
    </row>
    <row r="6031" spans="1:23" hidden="1" x14ac:dyDescent="0.45">
      <c r="A6031" s="1" t="s">
        <v>5956</v>
      </c>
      <c r="B6031" t="s">
        <v>7035</v>
      </c>
      <c r="C6031" t="s">
        <v>7801</v>
      </c>
      <c r="D6031" t="s">
        <v>8153</v>
      </c>
      <c r="E6031" t="s">
        <v>9931</v>
      </c>
      <c r="F6031" t="s">
        <v>10305</v>
      </c>
      <c r="G6031">
        <v>5.56</v>
      </c>
      <c r="H6031" t="s">
        <v>10320</v>
      </c>
      <c r="I6031" t="s">
        <v>10323</v>
      </c>
      <c r="K6031" t="s">
        <v>10332</v>
      </c>
      <c r="N6031">
        <v>49.522399999999998</v>
      </c>
      <c r="P6031">
        <v>8.4529399999999999</v>
      </c>
      <c r="R6031" t="s">
        <v>10315</v>
      </c>
      <c r="S6031" t="s">
        <v>10320</v>
      </c>
      <c r="W6031" t="s">
        <v>11249</v>
      </c>
    </row>
    <row r="6032" spans="1:23" hidden="1" x14ac:dyDescent="0.45">
      <c r="A6032" s="1" t="s">
        <v>5957</v>
      </c>
      <c r="B6032" t="s">
        <v>7035</v>
      </c>
      <c r="C6032" t="s">
        <v>7801</v>
      </c>
      <c r="D6032" t="s">
        <v>8153</v>
      </c>
      <c r="E6032" t="s">
        <v>9931</v>
      </c>
      <c r="F6032" t="s">
        <v>10305</v>
      </c>
      <c r="G6032">
        <v>8.65</v>
      </c>
      <c r="H6032" t="s">
        <v>10320</v>
      </c>
      <c r="I6032" t="s">
        <v>10323</v>
      </c>
      <c r="K6032" t="s">
        <v>10333</v>
      </c>
      <c r="L6032">
        <v>2006</v>
      </c>
      <c r="N6032">
        <v>49.522399999999998</v>
      </c>
      <c r="P6032">
        <v>8.4529399999999999</v>
      </c>
      <c r="R6032" t="s">
        <v>10315</v>
      </c>
      <c r="S6032" t="s">
        <v>10320</v>
      </c>
      <c r="W6032" t="s">
        <v>11249</v>
      </c>
    </row>
    <row r="6033" spans="1:23" hidden="1" x14ac:dyDescent="0.45">
      <c r="A6033" s="1" t="s">
        <v>5958</v>
      </c>
      <c r="B6033" t="s">
        <v>7035</v>
      </c>
      <c r="C6033" t="s">
        <v>7801</v>
      </c>
      <c r="D6033" t="s">
        <v>8153</v>
      </c>
      <c r="E6033" t="s">
        <v>9931</v>
      </c>
      <c r="F6033" t="s">
        <v>10305</v>
      </c>
      <c r="G6033">
        <v>22.1</v>
      </c>
      <c r="H6033" t="s">
        <v>10320</v>
      </c>
      <c r="I6033" t="s">
        <v>10323</v>
      </c>
      <c r="K6033" t="s">
        <v>10332</v>
      </c>
      <c r="L6033">
        <v>2010</v>
      </c>
      <c r="N6033">
        <v>49.522399999999998</v>
      </c>
      <c r="P6033">
        <v>8.4529399999999999</v>
      </c>
      <c r="R6033" t="s">
        <v>10315</v>
      </c>
      <c r="S6033" t="s">
        <v>10320</v>
      </c>
      <c r="W6033" t="s">
        <v>11249</v>
      </c>
    </row>
    <row r="6034" spans="1:23" hidden="1" x14ac:dyDescent="0.45">
      <c r="A6034" s="1" t="s">
        <v>5959</v>
      </c>
      <c r="B6034" t="s">
        <v>7035</v>
      </c>
      <c r="C6034" t="s">
        <v>7801</v>
      </c>
      <c r="D6034" t="s">
        <v>8153</v>
      </c>
      <c r="E6034" t="s">
        <v>9931</v>
      </c>
      <c r="F6034" t="s">
        <v>10305</v>
      </c>
      <c r="G6034">
        <v>5.37</v>
      </c>
      <c r="H6034" t="s">
        <v>10320</v>
      </c>
      <c r="I6034" t="s">
        <v>10323</v>
      </c>
      <c r="K6034" t="s">
        <v>10332</v>
      </c>
      <c r="L6034">
        <v>2012</v>
      </c>
      <c r="N6034">
        <v>49.522770000000001</v>
      </c>
      <c r="P6034">
        <v>8.4529199999999989</v>
      </c>
      <c r="R6034" t="s">
        <v>10315</v>
      </c>
      <c r="S6034" t="s">
        <v>10320</v>
      </c>
      <c r="W6034" t="s">
        <v>11249</v>
      </c>
    </row>
    <row r="6035" spans="1:23" hidden="1" x14ac:dyDescent="0.45">
      <c r="A6035" s="1" t="s">
        <v>5960</v>
      </c>
      <c r="B6035" t="s">
        <v>7035</v>
      </c>
      <c r="C6035" t="s">
        <v>7801</v>
      </c>
      <c r="D6035" t="s">
        <v>8153</v>
      </c>
      <c r="E6035" t="s">
        <v>9931</v>
      </c>
      <c r="F6035" t="s">
        <v>10305</v>
      </c>
      <c r="G6035">
        <v>3.88</v>
      </c>
      <c r="H6035" t="s">
        <v>10320</v>
      </c>
      <c r="I6035" t="s">
        <v>10323</v>
      </c>
      <c r="K6035" t="s">
        <v>10332</v>
      </c>
      <c r="L6035">
        <v>2012</v>
      </c>
      <c r="N6035">
        <v>49.522770000000001</v>
      </c>
      <c r="P6035">
        <v>8.4529199999999989</v>
      </c>
      <c r="R6035" t="s">
        <v>10315</v>
      </c>
      <c r="S6035" t="s">
        <v>10320</v>
      </c>
      <c r="W6035" t="s">
        <v>11249</v>
      </c>
    </row>
    <row r="6036" spans="1:23" hidden="1" x14ac:dyDescent="0.45">
      <c r="A6036" s="1" t="s">
        <v>5961</v>
      </c>
      <c r="B6036" t="s">
        <v>7173</v>
      </c>
      <c r="C6036" t="s">
        <v>7698</v>
      </c>
      <c r="D6036" t="s">
        <v>8434</v>
      </c>
      <c r="E6036" t="s">
        <v>10165</v>
      </c>
      <c r="F6036" t="s">
        <v>10305</v>
      </c>
      <c r="G6036">
        <v>18</v>
      </c>
      <c r="H6036" t="s">
        <v>10320</v>
      </c>
      <c r="I6036" t="s">
        <v>10321</v>
      </c>
      <c r="K6036" t="s">
        <v>10332</v>
      </c>
      <c r="L6036">
        <v>1996</v>
      </c>
      <c r="N6036">
        <v>49.438611000000002</v>
      </c>
      <c r="P6036">
        <v>11.060556</v>
      </c>
      <c r="R6036" t="s">
        <v>10315</v>
      </c>
      <c r="S6036" t="s">
        <v>10320</v>
      </c>
      <c r="W6036" t="s">
        <v>11249</v>
      </c>
    </row>
    <row r="6037" spans="1:23" hidden="1" x14ac:dyDescent="0.45">
      <c r="A6037" s="1" t="s">
        <v>5962</v>
      </c>
      <c r="B6037" t="s">
        <v>7282</v>
      </c>
      <c r="C6037" t="s">
        <v>7802</v>
      </c>
      <c r="D6037" t="s">
        <v>8566</v>
      </c>
      <c r="E6037" t="s">
        <v>10166</v>
      </c>
      <c r="F6037" t="s">
        <v>10305</v>
      </c>
      <c r="G6037">
        <v>40.4</v>
      </c>
      <c r="H6037" t="s">
        <v>10320</v>
      </c>
      <c r="I6037" t="s">
        <v>10323</v>
      </c>
      <c r="K6037" t="s">
        <v>10332</v>
      </c>
      <c r="L6037">
        <v>1991</v>
      </c>
      <c r="N6037">
        <v>51.485480000000003</v>
      </c>
      <c r="P6037">
        <v>6.8343999999999996</v>
      </c>
      <c r="R6037" t="s">
        <v>10315</v>
      </c>
      <c r="S6037" t="s">
        <v>10320</v>
      </c>
      <c r="W6037" t="s">
        <v>11249</v>
      </c>
    </row>
    <row r="6038" spans="1:23" hidden="1" x14ac:dyDescent="0.45">
      <c r="A6038" s="1" t="s">
        <v>5963</v>
      </c>
      <c r="B6038" t="s">
        <v>7282</v>
      </c>
      <c r="C6038" t="s">
        <v>7802</v>
      </c>
      <c r="D6038" t="s">
        <v>8566</v>
      </c>
      <c r="E6038" t="s">
        <v>10166</v>
      </c>
      <c r="F6038" t="s">
        <v>10305</v>
      </c>
      <c r="G6038">
        <v>21.1</v>
      </c>
      <c r="H6038" t="s">
        <v>10320</v>
      </c>
      <c r="I6038" t="s">
        <v>10323</v>
      </c>
      <c r="K6038" t="s">
        <v>10332</v>
      </c>
      <c r="L6038">
        <v>2006</v>
      </c>
      <c r="N6038">
        <v>51.485480000000003</v>
      </c>
      <c r="P6038">
        <v>6.8343999999999996</v>
      </c>
      <c r="R6038" t="s">
        <v>10315</v>
      </c>
      <c r="S6038" t="s">
        <v>10320</v>
      </c>
      <c r="W6038" t="s">
        <v>11249</v>
      </c>
    </row>
    <row r="6039" spans="1:23" hidden="1" x14ac:dyDescent="0.45">
      <c r="A6039" s="1" t="s">
        <v>5964</v>
      </c>
      <c r="B6039" t="s">
        <v>7179</v>
      </c>
      <c r="C6039" t="s">
        <v>7700</v>
      </c>
      <c r="D6039" t="s">
        <v>8443</v>
      </c>
      <c r="E6039" t="s">
        <v>10172</v>
      </c>
      <c r="F6039" t="s">
        <v>10305</v>
      </c>
      <c r="G6039">
        <v>9</v>
      </c>
      <c r="H6039" t="s">
        <v>10320</v>
      </c>
      <c r="I6039" t="s">
        <v>10323</v>
      </c>
      <c r="K6039" t="s">
        <v>10332</v>
      </c>
      <c r="L6039">
        <v>1988</v>
      </c>
      <c r="N6039">
        <v>47.856133999999997</v>
      </c>
      <c r="P6039">
        <v>12.134085000000001</v>
      </c>
      <c r="R6039" t="s">
        <v>10315</v>
      </c>
      <c r="S6039" t="s">
        <v>10320</v>
      </c>
      <c r="W6039" t="s">
        <v>11249</v>
      </c>
    </row>
    <row r="6040" spans="1:23" hidden="1" x14ac:dyDescent="0.45">
      <c r="A6040" s="1" t="s">
        <v>5965</v>
      </c>
      <c r="B6040" t="s">
        <v>7069</v>
      </c>
      <c r="C6040" t="s">
        <v>7803</v>
      </c>
      <c r="D6040" t="s">
        <v>8567</v>
      </c>
      <c r="E6040" t="s">
        <v>10268</v>
      </c>
      <c r="F6040" t="s">
        <v>10305</v>
      </c>
      <c r="G6040">
        <v>30</v>
      </c>
      <c r="H6040" t="s">
        <v>10320</v>
      </c>
      <c r="I6040" t="s">
        <v>10323</v>
      </c>
      <c r="K6040" t="s">
        <v>10333</v>
      </c>
      <c r="L6040">
        <v>2009</v>
      </c>
      <c r="N6040">
        <v>52.490280000000013</v>
      </c>
      <c r="P6040">
        <v>13.82987</v>
      </c>
      <c r="R6040" t="s">
        <v>10315</v>
      </c>
      <c r="S6040" t="s">
        <v>10320</v>
      </c>
      <c r="W6040" t="s">
        <v>11249</v>
      </c>
    </row>
    <row r="6041" spans="1:23" hidden="1" x14ac:dyDescent="0.45">
      <c r="A6041" s="1" t="s">
        <v>5966</v>
      </c>
      <c r="B6041" t="s">
        <v>7283</v>
      </c>
      <c r="C6041" t="s">
        <v>7804</v>
      </c>
      <c r="D6041" t="s">
        <v>8568</v>
      </c>
      <c r="E6041" t="s">
        <v>10269</v>
      </c>
      <c r="F6041" t="s">
        <v>10305</v>
      </c>
      <c r="G6041">
        <v>24.4</v>
      </c>
      <c r="H6041" t="s">
        <v>10320</v>
      </c>
      <c r="I6041" t="s">
        <v>10323</v>
      </c>
      <c r="K6041" t="s">
        <v>10332</v>
      </c>
      <c r="L6041">
        <v>1990</v>
      </c>
      <c r="N6041">
        <v>50.029690000000002</v>
      </c>
      <c r="P6041">
        <v>10.224</v>
      </c>
      <c r="R6041" t="s">
        <v>10315</v>
      </c>
      <c r="S6041" t="s">
        <v>10320</v>
      </c>
      <c r="W6041" t="s">
        <v>11249</v>
      </c>
    </row>
    <row r="6042" spans="1:23" hidden="1" x14ac:dyDescent="0.45">
      <c r="A6042" s="1" t="s">
        <v>5967</v>
      </c>
      <c r="B6042" t="s">
        <v>7061</v>
      </c>
      <c r="C6042" t="s">
        <v>7573</v>
      </c>
      <c r="D6042" t="s">
        <v>8214</v>
      </c>
      <c r="E6042" t="s">
        <v>9978</v>
      </c>
      <c r="F6042" t="s">
        <v>10305</v>
      </c>
      <c r="G6042">
        <v>19.5</v>
      </c>
      <c r="H6042" t="s">
        <v>10320</v>
      </c>
      <c r="I6042" t="s">
        <v>10323</v>
      </c>
      <c r="K6042" t="s">
        <v>10332</v>
      </c>
      <c r="L6042">
        <v>2009</v>
      </c>
      <c r="M6042" t="s">
        <v>10336</v>
      </c>
      <c r="N6042">
        <v>48.812530000000002</v>
      </c>
      <c r="P6042">
        <v>9.2189499999999995</v>
      </c>
      <c r="Q6042" t="s">
        <v>10962</v>
      </c>
      <c r="R6042" t="s">
        <v>10315</v>
      </c>
      <c r="S6042" t="s">
        <v>10320</v>
      </c>
      <c r="W6042" t="s">
        <v>11249</v>
      </c>
    </row>
    <row r="6043" spans="1:23" hidden="1" x14ac:dyDescent="0.45">
      <c r="A6043" s="1" t="s">
        <v>5968</v>
      </c>
      <c r="B6043" t="s">
        <v>7088</v>
      </c>
      <c r="D6043" t="s">
        <v>8215</v>
      </c>
      <c r="E6043" t="s">
        <v>9979</v>
      </c>
      <c r="F6043" t="s">
        <v>10305</v>
      </c>
      <c r="G6043">
        <v>18</v>
      </c>
      <c r="H6043" t="s">
        <v>10320</v>
      </c>
      <c r="I6043" t="s">
        <v>10323</v>
      </c>
      <c r="K6043" t="s">
        <v>10332</v>
      </c>
      <c r="L6043">
        <v>1991</v>
      </c>
      <c r="N6043">
        <v>48.180506000000001</v>
      </c>
      <c r="P6043">
        <v>11.639612</v>
      </c>
      <c r="R6043" t="s">
        <v>10315</v>
      </c>
      <c r="S6043" t="s">
        <v>10320</v>
      </c>
      <c r="W6043" t="s">
        <v>11249</v>
      </c>
    </row>
    <row r="6044" spans="1:23" hidden="1" x14ac:dyDescent="0.45">
      <c r="A6044" s="1" t="s">
        <v>5969</v>
      </c>
      <c r="B6044" t="s">
        <v>7088</v>
      </c>
      <c r="D6044" t="s">
        <v>8215</v>
      </c>
      <c r="E6044" t="s">
        <v>9979</v>
      </c>
      <c r="F6044" t="s">
        <v>10305</v>
      </c>
      <c r="G6044">
        <v>22</v>
      </c>
      <c r="H6044" t="s">
        <v>10320</v>
      </c>
      <c r="I6044" t="s">
        <v>10323</v>
      </c>
      <c r="K6044" t="s">
        <v>10332</v>
      </c>
      <c r="L6044">
        <v>1984</v>
      </c>
      <c r="N6044">
        <v>48.180506000000001</v>
      </c>
      <c r="P6044">
        <v>11.639612</v>
      </c>
      <c r="R6044" t="s">
        <v>10315</v>
      </c>
      <c r="S6044" t="s">
        <v>10320</v>
      </c>
      <c r="W6044" t="s">
        <v>11249</v>
      </c>
    </row>
    <row r="6045" spans="1:23" hidden="1" x14ac:dyDescent="0.45">
      <c r="A6045" s="1" t="s">
        <v>5970</v>
      </c>
      <c r="B6045" t="s">
        <v>7104</v>
      </c>
      <c r="D6045" t="s">
        <v>8360</v>
      </c>
      <c r="E6045" t="s">
        <v>10270</v>
      </c>
      <c r="F6045" t="s">
        <v>10305</v>
      </c>
      <c r="G6045">
        <v>27</v>
      </c>
      <c r="H6045" t="s">
        <v>10320</v>
      </c>
      <c r="I6045" t="s">
        <v>10323</v>
      </c>
      <c r="K6045" t="s">
        <v>10333</v>
      </c>
      <c r="L6045">
        <v>1996</v>
      </c>
      <c r="N6045">
        <v>50.838590000000003</v>
      </c>
      <c r="P6045">
        <v>6.3211700000000004</v>
      </c>
      <c r="R6045" t="s">
        <v>10315</v>
      </c>
      <c r="S6045" t="s">
        <v>10320</v>
      </c>
      <c r="W6045" t="s">
        <v>11249</v>
      </c>
    </row>
    <row r="6046" spans="1:23" hidden="1" x14ac:dyDescent="0.45">
      <c r="A6046" s="1" t="s">
        <v>5971</v>
      </c>
      <c r="B6046" t="s">
        <v>7284</v>
      </c>
      <c r="C6046" t="s">
        <v>7805</v>
      </c>
      <c r="D6046" t="s">
        <v>8383</v>
      </c>
      <c r="E6046" t="s">
        <v>10271</v>
      </c>
      <c r="F6046" t="s">
        <v>10305</v>
      </c>
      <c r="G6046">
        <v>9.9</v>
      </c>
      <c r="H6046" t="s">
        <v>10320</v>
      </c>
      <c r="I6046" t="s">
        <v>10323</v>
      </c>
      <c r="K6046" t="s">
        <v>10332</v>
      </c>
      <c r="L6046">
        <v>2010</v>
      </c>
      <c r="N6046">
        <v>51.629649999999998</v>
      </c>
      <c r="P6046">
        <v>12.28922</v>
      </c>
      <c r="R6046" t="s">
        <v>10315</v>
      </c>
      <c r="S6046" t="s">
        <v>10320</v>
      </c>
      <c r="W6046" t="s">
        <v>11249</v>
      </c>
    </row>
    <row r="6047" spans="1:23" hidden="1" x14ac:dyDescent="0.45">
      <c r="A6047" s="1" t="s">
        <v>5972</v>
      </c>
      <c r="B6047" t="s">
        <v>7285</v>
      </c>
      <c r="C6047" t="s">
        <v>7806</v>
      </c>
      <c r="D6047" t="s">
        <v>8569</v>
      </c>
      <c r="E6047" t="s">
        <v>10272</v>
      </c>
      <c r="F6047" t="s">
        <v>10305</v>
      </c>
      <c r="G6047">
        <v>9.5</v>
      </c>
      <c r="H6047" t="s">
        <v>10320</v>
      </c>
      <c r="I6047" t="s">
        <v>10323</v>
      </c>
      <c r="K6047" t="s">
        <v>10333</v>
      </c>
      <c r="L6047">
        <v>1999</v>
      </c>
      <c r="N6047">
        <v>48.685523150000002</v>
      </c>
      <c r="P6047">
        <v>9.0495256949999998</v>
      </c>
      <c r="R6047" t="s">
        <v>10315</v>
      </c>
      <c r="S6047" t="s">
        <v>10320</v>
      </c>
      <c r="W6047" t="s">
        <v>11249</v>
      </c>
    </row>
    <row r="6048" spans="1:23" hidden="1" x14ac:dyDescent="0.45">
      <c r="A6048" s="1" t="s">
        <v>5973</v>
      </c>
      <c r="B6048" t="s">
        <v>7276</v>
      </c>
      <c r="C6048" t="s">
        <v>7807</v>
      </c>
      <c r="D6048" t="s">
        <v>8570</v>
      </c>
      <c r="E6048" t="s">
        <v>9950</v>
      </c>
      <c r="F6048" t="s">
        <v>10305</v>
      </c>
      <c r="G6048">
        <v>44</v>
      </c>
      <c r="H6048" t="s">
        <v>10320</v>
      </c>
      <c r="I6048" t="s">
        <v>10323</v>
      </c>
      <c r="K6048" t="s">
        <v>10332</v>
      </c>
      <c r="L6048">
        <v>2012</v>
      </c>
      <c r="N6048">
        <v>53.114561999999999</v>
      </c>
      <c r="P6048">
        <v>8.8181860000000007</v>
      </c>
      <c r="R6048" t="s">
        <v>10315</v>
      </c>
      <c r="S6048" t="s">
        <v>10320</v>
      </c>
      <c r="W6048" t="s">
        <v>11249</v>
      </c>
    </row>
    <row r="6049" spans="1:23" hidden="1" x14ac:dyDescent="0.45">
      <c r="A6049" s="1" t="s">
        <v>5974</v>
      </c>
      <c r="B6049" t="s">
        <v>7286</v>
      </c>
      <c r="C6049" t="s">
        <v>7808</v>
      </c>
      <c r="D6049" t="s">
        <v>8571</v>
      </c>
      <c r="E6049" t="s">
        <v>10273</v>
      </c>
      <c r="F6049" t="s">
        <v>10305</v>
      </c>
      <c r="G6049">
        <v>14</v>
      </c>
      <c r="H6049" t="s">
        <v>10320</v>
      </c>
      <c r="I6049" t="s">
        <v>10323</v>
      </c>
      <c r="K6049" t="s">
        <v>10332</v>
      </c>
      <c r="L6049">
        <v>1977</v>
      </c>
      <c r="N6049">
        <v>53.547820000000002</v>
      </c>
      <c r="P6049">
        <v>8.6179199999999998</v>
      </c>
      <c r="R6049" t="s">
        <v>10315</v>
      </c>
      <c r="S6049" t="s">
        <v>10320</v>
      </c>
      <c r="W6049" t="s">
        <v>11249</v>
      </c>
    </row>
    <row r="6050" spans="1:23" hidden="1" x14ac:dyDescent="0.45">
      <c r="A6050" s="1" t="s">
        <v>5975</v>
      </c>
      <c r="B6050" t="s">
        <v>7287</v>
      </c>
      <c r="C6050" t="s">
        <v>7809</v>
      </c>
      <c r="D6050" t="s">
        <v>8391</v>
      </c>
      <c r="E6050" t="s">
        <v>10135</v>
      </c>
      <c r="F6050" t="s">
        <v>10305</v>
      </c>
      <c r="G6050">
        <v>12.5</v>
      </c>
      <c r="H6050" t="s">
        <v>10320</v>
      </c>
      <c r="I6050" t="s">
        <v>10323</v>
      </c>
      <c r="K6050" t="s">
        <v>10333</v>
      </c>
      <c r="L6050">
        <v>1994</v>
      </c>
      <c r="N6050">
        <v>48.185079999999999</v>
      </c>
      <c r="P6050">
        <v>12.73606</v>
      </c>
      <c r="R6050" t="s">
        <v>10315</v>
      </c>
      <c r="S6050" t="s">
        <v>10320</v>
      </c>
      <c r="W6050" t="s">
        <v>11249</v>
      </c>
    </row>
    <row r="6051" spans="1:23" hidden="1" x14ac:dyDescent="0.45">
      <c r="A6051" s="1" t="s">
        <v>5976</v>
      </c>
      <c r="B6051" t="s">
        <v>7288</v>
      </c>
      <c r="C6051" t="s">
        <v>7810</v>
      </c>
      <c r="D6051" t="s">
        <v>8572</v>
      </c>
      <c r="E6051" t="s">
        <v>10274</v>
      </c>
      <c r="F6051" t="s">
        <v>10305</v>
      </c>
      <c r="G6051">
        <v>13.6</v>
      </c>
      <c r="H6051" t="s">
        <v>10320</v>
      </c>
      <c r="I6051" t="s">
        <v>10323</v>
      </c>
      <c r="K6051" t="s">
        <v>10332</v>
      </c>
      <c r="L6051">
        <v>2005</v>
      </c>
      <c r="N6051">
        <v>47.890610000000002</v>
      </c>
      <c r="P6051">
        <v>7.6160800000000002</v>
      </c>
      <c r="R6051" t="s">
        <v>10315</v>
      </c>
      <c r="S6051" t="s">
        <v>10320</v>
      </c>
      <c r="W6051" t="s">
        <v>11249</v>
      </c>
    </row>
    <row r="6052" spans="1:23" hidden="1" x14ac:dyDescent="0.45">
      <c r="A6052" s="1" t="s">
        <v>5977</v>
      </c>
      <c r="B6052" t="s">
        <v>7289</v>
      </c>
      <c r="D6052" t="s">
        <v>8573</v>
      </c>
      <c r="E6052" t="s">
        <v>10275</v>
      </c>
      <c r="F6052" t="s">
        <v>10305</v>
      </c>
      <c r="G6052">
        <v>11</v>
      </c>
      <c r="H6052" t="s">
        <v>10320</v>
      </c>
      <c r="I6052" t="s">
        <v>10323</v>
      </c>
      <c r="K6052" t="s">
        <v>10332</v>
      </c>
      <c r="L6052">
        <v>1975</v>
      </c>
      <c r="N6052">
        <v>48.682319999999997</v>
      </c>
      <c r="P6052">
        <v>9.6712600000000002</v>
      </c>
      <c r="R6052" t="s">
        <v>10315</v>
      </c>
      <c r="S6052" t="s">
        <v>10320</v>
      </c>
      <c r="W6052" t="s">
        <v>11249</v>
      </c>
    </row>
    <row r="6053" spans="1:23" hidden="1" x14ac:dyDescent="0.45">
      <c r="A6053" s="1" t="s">
        <v>5978</v>
      </c>
      <c r="B6053" t="s">
        <v>7290</v>
      </c>
      <c r="C6053" t="s">
        <v>7811</v>
      </c>
      <c r="D6053" t="s">
        <v>8574</v>
      </c>
      <c r="E6053" t="s">
        <v>10149</v>
      </c>
      <c r="F6053" t="s">
        <v>10305</v>
      </c>
      <c r="G6053">
        <v>14.6</v>
      </c>
      <c r="H6053" t="s">
        <v>10320</v>
      </c>
      <c r="I6053" t="s">
        <v>10323</v>
      </c>
      <c r="K6053" t="s">
        <v>10332</v>
      </c>
      <c r="L6053">
        <v>1986</v>
      </c>
      <c r="N6053">
        <v>51.680390000000003</v>
      </c>
      <c r="P6053">
        <v>7.7442199999999994</v>
      </c>
      <c r="R6053" t="s">
        <v>10315</v>
      </c>
      <c r="S6053" t="s">
        <v>10320</v>
      </c>
      <c r="W6053" t="s">
        <v>11249</v>
      </c>
    </row>
    <row r="6054" spans="1:23" hidden="1" x14ac:dyDescent="0.45">
      <c r="A6054" s="1" t="s">
        <v>5979</v>
      </c>
      <c r="B6054" t="s">
        <v>7291</v>
      </c>
      <c r="C6054" t="s">
        <v>7812</v>
      </c>
      <c r="D6054" t="s">
        <v>8575</v>
      </c>
      <c r="E6054" t="s">
        <v>10276</v>
      </c>
      <c r="F6054" t="s">
        <v>10305</v>
      </c>
      <c r="G6054">
        <v>15.5</v>
      </c>
      <c r="H6054" t="s">
        <v>10320</v>
      </c>
      <c r="I6054" t="s">
        <v>10323</v>
      </c>
      <c r="K6054" t="s">
        <v>10332</v>
      </c>
      <c r="L6054">
        <v>1982</v>
      </c>
      <c r="N6054">
        <v>51.557279999999999</v>
      </c>
      <c r="P6054">
        <v>7.164060000000001</v>
      </c>
      <c r="R6054" t="s">
        <v>10315</v>
      </c>
      <c r="S6054" t="s">
        <v>10320</v>
      </c>
      <c r="W6054" t="s">
        <v>11249</v>
      </c>
    </row>
    <row r="6055" spans="1:23" hidden="1" x14ac:dyDescent="0.45">
      <c r="A6055" s="1" t="s">
        <v>5980</v>
      </c>
      <c r="B6055" t="s">
        <v>7291</v>
      </c>
      <c r="C6055" t="s">
        <v>7812</v>
      </c>
      <c r="D6055" t="s">
        <v>8576</v>
      </c>
      <c r="E6055" t="s">
        <v>10276</v>
      </c>
      <c r="F6055" t="s">
        <v>10305</v>
      </c>
      <c r="G6055">
        <v>11.7</v>
      </c>
      <c r="H6055" t="s">
        <v>10320</v>
      </c>
      <c r="I6055" t="s">
        <v>10323</v>
      </c>
      <c r="K6055" t="s">
        <v>10333</v>
      </c>
      <c r="L6055">
        <v>2009</v>
      </c>
      <c r="N6055">
        <v>51.557279999999999</v>
      </c>
      <c r="P6055">
        <v>7.164060000000001</v>
      </c>
      <c r="R6055" t="s">
        <v>10315</v>
      </c>
      <c r="S6055" t="s">
        <v>10320</v>
      </c>
      <c r="W6055" t="s">
        <v>11249</v>
      </c>
    </row>
    <row r="6056" spans="1:23" hidden="1" x14ac:dyDescent="0.45">
      <c r="A6056" s="1" t="s">
        <v>5981</v>
      </c>
      <c r="B6056" t="s">
        <v>7292</v>
      </c>
      <c r="C6056" t="s">
        <v>7813</v>
      </c>
      <c r="D6056" t="s">
        <v>8577</v>
      </c>
      <c r="E6056" t="s">
        <v>10066</v>
      </c>
      <c r="F6056" t="s">
        <v>10305</v>
      </c>
      <c r="G6056">
        <v>25.5</v>
      </c>
      <c r="H6056" t="s">
        <v>10320</v>
      </c>
      <c r="I6056" t="s">
        <v>10323</v>
      </c>
      <c r="K6056" t="s">
        <v>10332</v>
      </c>
      <c r="L6056">
        <v>1984</v>
      </c>
      <c r="N6056">
        <v>48.764499999999998</v>
      </c>
      <c r="P6056">
        <v>11.491849999999999</v>
      </c>
      <c r="R6056" t="s">
        <v>10315</v>
      </c>
      <c r="S6056" t="s">
        <v>10320</v>
      </c>
      <c r="W6056" t="s">
        <v>11249</v>
      </c>
    </row>
    <row r="6057" spans="1:23" hidden="1" x14ac:dyDescent="0.45">
      <c r="A6057" s="1" t="s">
        <v>5982</v>
      </c>
      <c r="B6057" t="s">
        <v>7254</v>
      </c>
      <c r="C6057" t="s">
        <v>7778</v>
      </c>
      <c r="D6057" t="s">
        <v>8544</v>
      </c>
      <c r="E6057" t="s">
        <v>10250</v>
      </c>
      <c r="F6057" t="s">
        <v>10305</v>
      </c>
      <c r="G6057">
        <v>16</v>
      </c>
      <c r="H6057" t="s">
        <v>10320</v>
      </c>
      <c r="I6057" t="s">
        <v>10323</v>
      </c>
      <c r="K6057" t="s">
        <v>10332</v>
      </c>
      <c r="L6057">
        <v>1997</v>
      </c>
      <c r="N6057">
        <v>51.522419999999997</v>
      </c>
      <c r="P6057">
        <v>6.5746699999999976</v>
      </c>
      <c r="R6057" t="s">
        <v>10315</v>
      </c>
      <c r="S6057" t="s">
        <v>10320</v>
      </c>
      <c r="W6057" t="s">
        <v>11249</v>
      </c>
    </row>
    <row r="6058" spans="1:23" hidden="1" x14ac:dyDescent="0.45">
      <c r="A6058" s="1" t="s">
        <v>5983</v>
      </c>
      <c r="B6058" t="s">
        <v>7293</v>
      </c>
      <c r="D6058" t="s">
        <v>8578</v>
      </c>
      <c r="E6058" t="s">
        <v>10107</v>
      </c>
      <c r="F6058" t="s">
        <v>10305</v>
      </c>
      <c r="G6058">
        <v>14.7</v>
      </c>
      <c r="H6058" t="s">
        <v>10320</v>
      </c>
      <c r="I6058" t="s">
        <v>10323</v>
      </c>
      <c r="K6058" t="s">
        <v>10332</v>
      </c>
      <c r="L6058">
        <v>1985</v>
      </c>
      <c r="N6058">
        <v>51.2976283</v>
      </c>
      <c r="P6058">
        <v>9.52410538</v>
      </c>
      <c r="R6058" t="s">
        <v>10315</v>
      </c>
      <c r="S6058" t="s">
        <v>10320</v>
      </c>
      <c r="W6058" t="s">
        <v>11249</v>
      </c>
    </row>
    <row r="6059" spans="1:23" hidden="1" x14ac:dyDescent="0.45">
      <c r="A6059" s="1" t="s">
        <v>5984</v>
      </c>
      <c r="B6059" t="s">
        <v>7294</v>
      </c>
      <c r="C6059" t="s">
        <v>7814</v>
      </c>
      <c r="D6059" t="s">
        <v>8421</v>
      </c>
      <c r="E6059" t="s">
        <v>10108</v>
      </c>
      <c r="F6059" t="s">
        <v>10305</v>
      </c>
      <c r="G6059">
        <v>45.1</v>
      </c>
      <c r="H6059" t="s">
        <v>10320</v>
      </c>
      <c r="I6059" t="s">
        <v>10323</v>
      </c>
      <c r="K6059" t="s">
        <v>10332</v>
      </c>
      <c r="L6059">
        <v>1998</v>
      </c>
      <c r="N6059">
        <v>51.000300000000003</v>
      </c>
      <c r="P6059">
        <v>6.9435799999999999</v>
      </c>
      <c r="R6059" t="s">
        <v>10315</v>
      </c>
      <c r="S6059" t="s">
        <v>10320</v>
      </c>
      <c r="W6059" t="s">
        <v>11249</v>
      </c>
    </row>
    <row r="6060" spans="1:23" hidden="1" x14ac:dyDescent="0.45">
      <c r="A6060" s="1" t="s">
        <v>5985</v>
      </c>
      <c r="B6060" t="s">
        <v>7295</v>
      </c>
      <c r="C6060" t="s">
        <v>7815</v>
      </c>
      <c r="D6060" t="s">
        <v>8579</v>
      </c>
      <c r="E6060" t="s">
        <v>10154</v>
      </c>
      <c r="F6060" t="s">
        <v>10305</v>
      </c>
      <c r="G6060">
        <v>13.5</v>
      </c>
      <c r="H6060" t="s">
        <v>10320</v>
      </c>
      <c r="I6060" t="s">
        <v>10323</v>
      </c>
      <c r="K6060" t="s">
        <v>10332</v>
      </c>
      <c r="L6060">
        <v>1982</v>
      </c>
      <c r="N6060">
        <v>51.380380000000002</v>
      </c>
      <c r="P6060">
        <v>6.6373199999999999</v>
      </c>
      <c r="R6060" t="s">
        <v>10315</v>
      </c>
      <c r="S6060" t="s">
        <v>10320</v>
      </c>
      <c r="W6060" t="s">
        <v>11249</v>
      </c>
    </row>
    <row r="6061" spans="1:23" hidden="1" x14ac:dyDescent="0.45">
      <c r="A6061" s="1" t="s">
        <v>5986</v>
      </c>
      <c r="B6061" t="s">
        <v>7295</v>
      </c>
      <c r="C6061" t="s">
        <v>7815</v>
      </c>
      <c r="D6061" t="s">
        <v>8579</v>
      </c>
      <c r="E6061" t="s">
        <v>10154</v>
      </c>
      <c r="F6061" t="s">
        <v>10305</v>
      </c>
      <c r="G6061">
        <v>13.8</v>
      </c>
      <c r="H6061" t="s">
        <v>10320</v>
      </c>
      <c r="I6061" t="s">
        <v>10323</v>
      </c>
      <c r="K6061" t="s">
        <v>10333</v>
      </c>
      <c r="L6061">
        <v>2002</v>
      </c>
      <c r="N6061">
        <v>51.380380000000002</v>
      </c>
      <c r="P6061">
        <v>6.6373199999999999</v>
      </c>
      <c r="R6061" t="s">
        <v>10315</v>
      </c>
      <c r="S6061" t="s">
        <v>10320</v>
      </c>
      <c r="W6061" t="s">
        <v>11249</v>
      </c>
    </row>
    <row r="6062" spans="1:23" hidden="1" x14ac:dyDescent="0.45">
      <c r="A6062" s="1" t="s">
        <v>5987</v>
      </c>
      <c r="B6062" t="s">
        <v>7295</v>
      </c>
      <c r="C6062" t="s">
        <v>7815</v>
      </c>
      <c r="D6062" t="s">
        <v>8579</v>
      </c>
      <c r="E6062" t="s">
        <v>10154</v>
      </c>
      <c r="F6062" t="s">
        <v>10305</v>
      </c>
      <c r="G6062">
        <v>1.5</v>
      </c>
      <c r="H6062" t="s">
        <v>10320</v>
      </c>
      <c r="I6062" t="s">
        <v>10323</v>
      </c>
      <c r="K6062" t="s">
        <v>10332</v>
      </c>
      <c r="L6062">
        <v>1976</v>
      </c>
      <c r="N6062">
        <v>51.380380000000002</v>
      </c>
      <c r="P6062">
        <v>6.6373199999999999</v>
      </c>
      <c r="R6062" t="s">
        <v>10315</v>
      </c>
      <c r="S6062" t="s">
        <v>10320</v>
      </c>
      <c r="W6062" t="s">
        <v>11249</v>
      </c>
    </row>
    <row r="6063" spans="1:23" hidden="1" x14ac:dyDescent="0.45">
      <c r="A6063" s="1" t="s">
        <v>5988</v>
      </c>
      <c r="B6063" t="s">
        <v>7295</v>
      </c>
      <c r="C6063" t="s">
        <v>7815</v>
      </c>
      <c r="D6063" t="s">
        <v>8579</v>
      </c>
      <c r="E6063" t="s">
        <v>10154</v>
      </c>
      <c r="F6063" t="s">
        <v>10305</v>
      </c>
      <c r="G6063">
        <v>2.8</v>
      </c>
      <c r="H6063" t="s">
        <v>10320</v>
      </c>
      <c r="I6063" t="s">
        <v>10323</v>
      </c>
      <c r="K6063" t="s">
        <v>10332</v>
      </c>
      <c r="L6063">
        <v>1997</v>
      </c>
      <c r="N6063">
        <v>51.380380000000002</v>
      </c>
      <c r="P6063">
        <v>6.6373199999999999</v>
      </c>
      <c r="R6063" t="s">
        <v>10315</v>
      </c>
      <c r="S6063" t="s">
        <v>10320</v>
      </c>
      <c r="W6063" t="s">
        <v>11249</v>
      </c>
    </row>
    <row r="6064" spans="1:23" hidden="1" x14ac:dyDescent="0.45">
      <c r="A6064" s="1" t="s">
        <v>5989</v>
      </c>
      <c r="B6064" t="s">
        <v>7295</v>
      </c>
      <c r="C6064" t="s">
        <v>7815</v>
      </c>
      <c r="D6064" t="s">
        <v>8579</v>
      </c>
      <c r="E6064" t="s">
        <v>10154</v>
      </c>
      <c r="F6064" t="s">
        <v>10305</v>
      </c>
      <c r="G6064">
        <v>1.5</v>
      </c>
      <c r="H6064" t="s">
        <v>10320</v>
      </c>
      <c r="I6064" t="s">
        <v>10323</v>
      </c>
      <c r="K6064" t="s">
        <v>10332</v>
      </c>
      <c r="L6064">
        <v>1976</v>
      </c>
      <c r="N6064">
        <v>51.380380000000002</v>
      </c>
      <c r="P6064">
        <v>6.6373199999999999</v>
      </c>
      <c r="R6064" t="s">
        <v>10315</v>
      </c>
      <c r="S6064" t="s">
        <v>10320</v>
      </c>
      <c r="W6064" t="s">
        <v>11249</v>
      </c>
    </row>
    <row r="6065" spans="1:23" hidden="1" x14ac:dyDescent="0.45">
      <c r="A6065" s="1" t="s">
        <v>5990</v>
      </c>
      <c r="B6065" t="s">
        <v>7069</v>
      </c>
      <c r="C6065" t="s">
        <v>7816</v>
      </c>
      <c r="D6065" t="s">
        <v>8580</v>
      </c>
      <c r="E6065" t="s">
        <v>10277</v>
      </c>
      <c r="F6065" t="s">
        <v>10305</v>
      </c>
      <c r="G6065">
        <v>15.7</v>
      </c>
      <c r="H6065" t="s">
        <v>10320</v>
      </c>
      <c r="I6065" t="s">
        <v>10323</v>
      </c>
      <c r="K6065" t="s">
        <v>10332</v>
      </c>
      <c r="L6065">
        <v>2004</v>
      </c>
      <c r="N6065">
        <v>51.450710000000001</v>
      </c>
      <c r="P6065">
        <v>14.11215</v>
      </c>
      <c r="R6065" t="s">
        <v>10315</v>
      </c>
      <c r="S6065" t="s">
        <v>10320</v>
      </c>
      <c r="W6065" t="s">
        <v>11249</v>
      </c>
    </row>
    <row r="6066" spans="1:23" hidden="1" x14ac:dyDescent="0.45">
      <c r="A6066" s="1" t="s">
        <v>5991</v>
      </c>
      <c r="B6066" t="s">
        <v>7296</v>
      </c>
      <c r="C6066" t="s">
        <v>7817</v>
      </c>
      <c r="D6066" t="s">
        <v>8581</v>
      </c>
      <c r="E6066" t="s">
        <v>10158</v>
      </c>
      <c r="F6066" t="s">
        <v>10305</v>
      </c>
      <c r="G6066">
        <v>28</v>
      </c>
      <c r="H6066" t="s">
        <v>10320</v>
      </c>
      <c r="I6066" t="s">
        <v>10323</v>
      </c>
      <c r="K6066" t="s">
        <v>10332</v>
      </c>
      <c r="L6066">
        <v>1967</v>
      </c>
      <c r="N6066">
        <v>49.485050000000001</v>
      </c>
      <c r="P6066">
        <v>8.4262199999999989</v>
      </c>
      <c r="R6066" t="s">
        <v>10315</v>
      </c>
      <c r="S6066" t="s">
        <v>10320</v>
      </c>
      <c r="W6066" t="s">
        <v>11249</v>
      </c>
    </row>
    <row r="6067" spans="1:23" hidden="1" x14ac:dyDescent="0.45">
      <c r="A6067" s="1" t="s">
        <v>5992</v>
      </c>
      <c r="B6067" t="s">
        <v>7297</v>
      </c>
      <c r="C6067" t="s">
        <v>7818</v>
      </c>
      <c r="D6067" t="s">
        <v>8582</v>
      </c>
      <c r="E6067" t="s">
        <v>10278</v>
      </c>
      <c r="F6067" t="s">
        <v>10305</v>
      </c>
      <c r="G6067">
        <v>23</v>
      </c>
      <c r="H6067" t="s">
        <v>10320</v>
      </c>
      <c r="I6067" t="s">
        <v>10323</v>
      </c>
      <c r="K6067" t="s">
        <v>10332</v>
      </c>
      <c r="L6067">
        <v>2005</v>
      </c>
      <c r="N6067">
        <v>51.181579999999997</v>
      </c>
      <c r="P6067">
        <v>12.01965</v>
      </c>
      <c r="R6067" t="s">
        <v>10315</v>
      </c>
      <c r="S6067" t="s">
        <v>10320</v>
      </c>
      <c r="W6067" t="s">
        <v>11249</v>
      </c>
    </row>
    <row r="6068" spans="1:23" hidden="1" x14ac:dyDescent="0.45">
      <c r="A6068" s="1" t="s">
        <v>5993</v>
      </c>
      <c r="B6068" t="s">
        <v>7298</v>
      </c>
      <c r="C6068" t="s">
        <v>7819</v>
      </c>
      <c r="D6068" t="s">
        <v>7916</v>
      </c>
      <c r="E6068" t="s">
        <v>10159</v>
      </c>
      <c r="F6068" t="s">
        <v>10305</v>
      </c>
      <c r="G6068">
        <v>15.6</v>
      </c>
      <c r="H6068" t="s">
        <v>10320</v>
      </c>
      <c r="I6068" t="s">
        <v>10323</v>
      </c>
      <c r="K6068" t="s">
        <v>10332</v>
      </c>
      <c r="L6068">
        <v>2009</v>
      </c>
      <c r="N6068">
        <v>50.025940000000013</v>
      </c>
      <c r="P6068">
        <v>8.2418300000000002</v>
      </c>
      <c r="R6068" t="s">
        <v>10315</v>
      </c>
      <c r="S6068" t="s">
        <v>10320</v>
      </c>
      <c r="W6068" t="s">
        <v>11249</v>
      </c>
    </row>
    <row r="6069" spans="1:23" hidden="1" x14ac:dyDescent="0.45">
      <c r="A6069" s="1" t="s">
        <v>5994</v>
      </c>
      <c r="B6069" t="s">
        <v>7085</v>
      </c>
      <c r="D6069" t="s">
        <v>8583</v>
      </c>
      <c r="E6069" t="s">
        <v>9972</v>
      </c>
      <c r="F6069" t="s">
        <v>10305</v>
      </c>
      <c r="G6069">
        <v>14.5</v>
      </c>
      <c r="H6069" t="s">
        <v>10320</v>
      </c>
      <c r="I6069" t="s">
        <v>10323</v>
      </c>
      <c r="K6069" t="s">
        <v>10332</v>
      </c>
      <c r="L6069">
        <v>1972</v>
      </c>
      <c r="N6069">
        <v>50.065330000000003</v>
      </c>
      <c r="P6069">
        <v>8.7689800000000009</v>
      </c>
      <c r="R6069" t="s">
        <v>10315</v>
      </c>
      <c r="S6069" t="s">
        <v>10320</v>
      </c>
      <c r="W6069" t="s">
        <v>11249</v>
      </c>
    </row>
    <row r="6070" spans="1:23" hidden="1" x14ac:dyDescent="0.45">
      <c r="A6070" s="1" t="s">
        <v>5995</v>
      </c>
      <c r="B6070" t="s">
        <v>7288</v>
      </c>
      <c r="C6070" t="s">
        <v>7820</v>
      </c>
      <c r="D6070" t="s">
        <v>8584</v>
      </c>
      <c r="E6070" t="s">
        <v>10279</v>
      </c>
      <c r="F6070" t="s">
        <v>10305</v>
      </c>
      <c r="G6070">
        <v>15</v>
      </c>
      <c r="H6070" t="s">
        <v>10320</v>
      </c>
      <c r="I6070" t="s">
        <v>10323</v>
      </c>
      <c r="K6070" t="s">
        <v>10332</v>
      </c>
      <c r="L6070">
        <v>1999</v>
      </c>
      <c r="N6070">
        <v>49.22822</v>
      </c>
      <c r="P6070">
        <v>7.5955300000000001</v>
      </c>
      <c r="R6070" t="s">
        <v>10315</v>
      </c>
      <c r="S6070" t="s">
        <v>10320</v>
      </c>
      <c r="W6070" t="s">
        <v>11249</v>
      </c>
    </row>
    <row r="6071" spans="1:23" hidden="1" x14ac:dyDescent="0.45">
      <c r="A6071" s="1" t="s">
        <v>5996</v>
      </c>
      <c r="B6071" t="s">
        <v>7299</v>
      </c>
      <c r="C6071" t="s">
        <v>7821</v>
      </c>
      <c r="D6071" t="s">
        <v>8585</v>
      </c>
      <c r="E6071" t="s">
        <v>10280</v>
      </c>
      <c r="F6071" t="s">
        <v>10305</v>
      </c>
      <c r="G6071">
        <v>2.5</v>
      </c>
      <c r="H6071" t="s">
        <v>10320</v>
      </c>
      <c r="I6071" t="s">
        <v>10323</v>
      </c>
      <c r="K6071" t="s">
        <v>10333</v>
      </c>
      <c r="L6071">
        <v>2004</v>
      </c>
      <c r="N6071">
        <v>52.535049999999998</v>
      </c>
      <c r="P6071">
        <v>12.362590000000001</v>
      </c>
      <c r="R6071" t="s">
        <v>10315</v>
      </c>
      <c r="S6071" t="s">
        <v>10320</v>
      </c>
      <c r="W6071" t="s">
        <v>11249</v>
      </c>
    </row>
    <row r="6072" spans="1:23" hidden="1" x14ac:dyDescent="0.45">
      <c r="A6072" s="1" t="s">
        <v>5997</v>
      </c>
      <c r="B6072" t="s">
        <v>7299</v>
      </c>
      <c r="C6072" t="s">
        <v>7821</v>
      </c>
      <c r="D6072" t="s">
        <v>8585</v>
      </c>
      <c r="E6072" t="s">
        <v>10280</v>
      </c>
      <c r="F6072" t="s">
        <v>10305</v>
      </c>
      <c r="G6072">
        <v>14.5</v>
      </c>
      <c r="H6072" t="s">
        <v>10320</v>
      </c>
      <c r="I6072" t="s">
        <v>10323</v>
      </c>
      <c r="K6072" t="s">
        <v>10332</v>
      </c>
      <c r="L6072">
        <v>2009</v>
      </c>
      <c r="N6072">
        <v>52.535049999999998</v>
      </c>
      <c r="P6072">
        <v>12.362590000000001</v>
      </c>
      <c r="R6072" t="s">
        <v>10315</v>
      </c>
      <c r="S6072" t="s">
        <v>10320</v>
      </c>
      <c r="W6072" t="s">
        <v>11249</v>
      </c>
    </row>
    <row r="6073" spans="1:23" hidden="1" x14ac:dyDescent="0.45">
      <c r="A6073" s="1" t="s">
        <v>5998</v>
      </c>
      <c r="B6073" t="s">
        <v>7300</v>
      </c>
      <c r="C6073" t="s">
        <v>7822</v>
      </c>
      <c r="D6073" t="s">
        <v>8212</v>
      </c>
      <c r="E6073" t="s">
        <v>9976</v>
      </c>
      <c r="F6073" t="s">
        <v>10305</v>
      </c>
      <c r="G6073">
        <v>17</v>
      </c>
      <c r="H6073" t="s">
        <v>10320</v>
      </c>
      <c r="I6073" t="s">
        <v>10323</v>
      </c>
      <c r="K6073" t="s">
        <v>10332</v>
      </c>
      <c r="L6073">
        <v>2009</v>
      </c>
      <c r="N6073">
        <v>54.144649999999999</v>
      </c>
      <c r="P6073">
        <v>12.14123</v>
      </c>
      <c r="R6073" t="s">
        <v>10315</v>
      </c>
      <c r="S6073" t="s">
        <v>10320</v>
      </c>
      <c r="W6073" t="s">
        <v>11249</v>
      </c>
    </row>
    <row r="6074" spans="1:23" hidden="1" x14ac:dyDescent="0.45">
      <c r="A6074" s="1" t="s">
        <v>5999</v>
      </c>
      <c r="B6074" t="s">
        <v>7301</v>
      </c>
      <c r="C6074" t="s">
        <v>7823</v>
      </c>
      <c r="D6074" t="s">
        <v>8586</v>
      </c>
      <c r="E6074" t="s">
        <v>10281</v>
      </c>
      <c r="F6074" t="s">
        <v>10305</v>
      </c>
      <c r="G6074">
        <v>16</v>
      </c>
      <c r="H6074" t="s">
        <v>10320</v>
      </c>
      <c r="I6074" t="s">
        <v>10323</v>
      </c>
      <c r="K6074" t="s">
        <v>10333</v>
      </c>
      <c r="L6074">
        <v>1997</v>
      </c>
      <c r="N6074">
        <v>49.21387</v>
      </c>
      <c r="P6074">
        <v>6.8344500000000004</v>
      </c>
      <c r="R6074" t="s">
        <v>10315</v>
      </c>
      <c r="S6074" t="s">
        <v>10320</v>
      </c>
      <c r="W6074" t="s">
        <v>11249</v>
      </c>
    </row>
    <row r="6075" spans="1:23" hidden="1" x14ac:dyDescent="0.45">
      <c r="A6075" s="1" t="s">
        <v>6000</v>
      </c>
      <c r="B6075" t="s">
        <v>7302</v>
      </c>
      <c r="C6075" t="s">
        <v>7824</v>
      </c>
      <c r="D6075" t="s">
        <v>8587</v>
      </c>
      <c r="E6075" t="s">
        <v>10282</v>
      </c>
      <c r="F6075" t="s">
        <v>10305</v>
      </c>
      <c r="G6075">
        <v>54</v>
      </c>
      <c r="H6075" t="s">
        <v>10320</v>
      </c>
      <c r="I6075" t="s">
        <v>10323</v>
      </c>
      <c r="K6075" t="s">
        <v>10332</v>
      </c>
      <c r="L6075">
        <v>1982</v>
      </c>
      <c r="N6075">
        <v>49.309980000000003</v>
      </c>
      <c r="P6075">
        <v>12.087949999999999</v>
      </c>
      <c r="R6075" t="s">
        <v>10315</v>
      </c>
      <c r="S6075" t="s">
        <v>10320</v>
      </c>
      <c r="W6075" t="s">
        <v>11249</v>
      </c>
    </row>
    <row r="6076" spans="1:23" hidden="1" x14ac:dyDescent="0.45">
      <c r="A6076" s="1" t="s">
        <v>6001</v>
      </c>
      <c r="B6076" t="s">
        <v>7303</v>
      </c>
      <c r="D6076" t="s">
        <v>8542</v>
      </c>
      <c r="E6076" t="s">
        <v>9939</v>
      </c>
      <c r="F6076" t="s">
        <v>10305</v>
      </c>
      <c r="G6076">
        <v>28.9</v>
      </c>
      <c r="H6076" t="s">
        <v>10320</v>
      </c>
      <c r="I6076" t="s">
        <v>10323</v>
      </c>
      <c r="K6076" t="s">
        <v>10332</v>
      </c>
      <c r="L6076">
        <v>2011</v>
      </c>
      <c r="N6076">
        <v>53.083056000000013</v>
      </c>
      <c r="P6076">
        <v>14.321443</v>
      </c>
      <c r="R6076" t="s">
        <v>10315</v>
      </c>
      <c r="S6076" t="s">
        <v>10320</v>
      </c>
      <c r="W6076" t="s">
        <v>11249</v>
      </c>
    </row>
    <row r="6077" spans="1:23" hidden="1" x14ac:dyDescent="0.45">
      <c r="A6077" s="1" t="s">
        <v>6002</v>
      </c>
      <c r="B6077" t="s">
        <v>7304</v>
      </c>
      <c r="C6077" t="s">
        <v>7825</v>
      </c>
      <c r="D6077" t="s">
        <v>8453</v>
      </c>
      <c r="E6077" t="s">
        <v>10179</v>
      </c>
      <c r="F6077" t="s">
        <v>10305</v>
      </c>
      <c r="G6077">
        <v>24</v>
      </c>
      <c r="H6077" t="s">
        <v>10320</v>
      </c>
      <c r="I6077" t="s">
        <v>10323</v>
      </c>
      <c r="K6077" t="s">
        <v>10332</v>
      </c>
      <c r="L6077">
        <v>2008</v>
      </c>
      <c r="N6077">
        <v>51.866149999999998</v>
      </c>
      <c r="P6077">
        <v>11.576295999999999</v>
      </c>
      <c r="R6077" t="s">
        <v>10315</v>
      </c>
      <c r="S6077" t="s">
        <v>10320</v>
      </c>
      <c r="W6077" t="s">
        <v>11249</v>
      </c>
    </row>
    <row r="6078" spans="1:23" hidden="1" x14ac:dyDescent="0.45">
      <c r="A6078" s="1" t="s">
        <v>6003</v>
      </c>
      <c r="B6078" t="s">
        <v>7305</v>
      </c>
      <c r="D6078" t="s">
        <v>8588</v>
      </c>
      <c r="E6078" t="s">
        <v>10283</v>
      </c>
      <c r="F6078" t="s">
        <v>10305</v>
      </c>
      <c r="G6078">
        <v>12.1</v>
      </c>
      <c r="H6078" t="s">
        <v>10320</v>
      </c>
      <c r="I6078" t="s">
        <v>10323</v>
      </c>
      <c r="K6078" t="s">
        <v>10332</v>
      </c>
      <c r="L6078">
        <v>2007</v>
      </c>
      <c r="N6078">
        <v>50.638794369999999</v>
      </c>
      <c r="P6078">
        <v>10.68695146</v>
      </c>
      <c r="R6078" t="s">
        <v>10315</v>
      </c>
      <c r="S6078" t="s">
        <v>10320</v>
      </c>
      <c r="W6078" t="s">
        <v>11249</v>
      </c>
    </row>
    <row r="6079" spans="1:23" hidden="1" x14ac:dyDescent="0.45">
      <c r="A6079" s="1" t="s">
        <v>6004</v>
      </c>
      <c r="B6079" t="s">
        <v>7306</v>
      </c>
      <c r="C6079" t="s">
        <v>7826</v>
      </c>
      <c r="D6079" t="s">
        <v>8589</v>
      </c>
      <c r="E6079" t="s">
        <v>10284</v>
      </c>
      <c r="F6079" t="s">
        <v>10305</v>
      </c>
      <c r="G6079">
        <v>12.61</v>
      </c>
      <c r="H6079" t="s">
        <v>10320</v>
      </c>
      <c r="I6079" t="s">
        <v>10323</v>
      </c>
      <c r="K6079" t="s">
        <v>10332</v>
      </c>
      <c r="L6079">
        <v>1981</v>
      </c>
      <c r="N6079">
        <v>51.397100000000002</v>
      </c>
      <c r="P6079">
        <v>7.6967399999999992</v>
      </c>
      <c r="R6079" t="s">
        <v>10315</v>
      </c>
      <c r="S6079" t="s">
        <v>10320</v>
      </c>
      <c r="W6079" t="s">
        <v>11249</v>
      </c>
    </row>
    <row r="6080" spans="1:23" hidden="1" x14ac:dyDescent="0.45">
      <c r="A6080" s="1" t="s">
        <v>6005</v>
      </c>
      <c r="B6080" t="s">
        <v>7307</v>
      </c>
      <c r="C6080" t="s">
        <v>7827</v>
      </c>
      <c r="D6080" t="s">
        <v>8590</v>
      </c>
      <c r="E6080" t="s">
        <v>10285</v>
      </c>
      <c r="F6080" t="s">
        <v>10305</v>
      </c>
      <c r="G6080">
        <v>12.5</v>
      </c>
      <c r="H6080" t="s">
        <v>10320</v>
      </c>
      <c r="I6080" t="s">
        <v>10323</v>
      </c>
      <c r="K6080" t="s">
        <v>10332</v>
      </c>
      <c r="L6080">
        <v>2008</v>
      </c>
      <c r="N6080">
        <v>50.43486</v>
      </c>
      <c r="P6080">
        <v>7.4321100000000024</v>
      </c>
      <c r="R6080" t="s">
        <v>10315</v>
      </c>
      <c r="S6080" t="s">
        <v>10320</v>
      </c>
      <c r="W6080" t="s">
        <v>11249</v>
      </c>
    </row>
    <row r="6081" spans="1:23" hidden="1" x14ac:dyDescent="0.45">
      <c r="A6081" s="1" t="s">
        <v>6006</v>
      </c>
      <c r="B6081" t="s">
        <v>7308</v>
      </c>
      <c r="C6081" t="s">
        <v>7828</v>
      </c>
      <c r="D6081" t="s">
        <v>8372</v>
      </c>
      <c r="E6081" t="s">
        <v>10185</v>
      </c>
      <c r="F6081" t="s">
        <v>10305</v>
      </c>
      <c r="G6081">
        <v>10</v>
      </c>
      <c r="H6081" t="s">
        <v>10320</v>
      </c>
      <c r="I6081" t="s">
        <v>10323</v>
      </c>
      <c r="K6081" t="s">
        <v>10332</v>
      </c>
      <c r="L6081">
        <v>1994</v>
      </c>
      <c r="N6081">
        <v>48.401130000000002</v>
      </c>
      <c r="P6081">
        <v>10.935600000000001</v>
      </c>
      <c r="R6081" t="s">
        <v>10315</v>
      </c>
      <c r="S6081" t="s">
        <v>10320</v>
      </c>
      <c r="W6081" t="s">
        <v>11249</v>
      </c>
    </row>
    <row r="6082" spans="1:23" hidden="1" x14ac:dyDescent="0.45">
      <c r="A6082" s="1" t="s">
        <v>6007</v>
      </c>
      <c r="B6082" t="s">
        <v>7309</v>
      </c>
      <c r="C6082" t="s">
        <v>7829</v>
      </c>
      <c r="D6082" t="s">
        <v>8591</v>
      </c>
      <c r="E6082" t="s">
        <v>9987</v>
      </c>
      <c r="F6082" t="s">
        <v>10305</v>
      </c>
      <c r="G6082">
        <v>30</v>
      </c>
      <c r="H6082" t="s">
        <v>10320</v>
      </c>
      <c r="I6082" t="s">
        <v>10323</v>
      </c>
      <c r="K6082" t="s">
        <v>10332</v>
      </c>
      <c r="L6082">
        <v>1976</v>
      </c>
      <c r="N6082">
        <v>51.225149999999999</v>
      </c>
      <c r="P6082">
        <v>7.1422300000000014</v>
      </c>
      <c r="R6082" t="s">
        <v>10315</v>
      </c>
      <c r="S6082" t="s">
        <v>10320</v>
      </c>
      <c r="W6082" t="s">
        <v>11249</v>
      </c>
    </row>
    <row r="6083" spans="1:23" hidden="1" x14ac:dyDescent="0.45">
      <c r="A6083" s="1" t="s">
        <v>6008</v>
      </c>
      <c r="B6083" t="s">
        <v>7310</v>
      </c>
      <c r="C6083" t="s">
        <v>7830</v>
      </c>
      <c r="D6083" t="s">
        <v>8592</v>
      </c>
      <c r="E6083" t="s">
        <v>10286</v>
      </c>
      <c r="F6083" t="s">
        <v>10305</v>
      </c>
      <c r="G6083">
        <v>17</v>
      </c>
      <c r="H6083" t="s">
        <v>10320</v>
      </c>
      <c r="I6083" t="s">
        <v>10323</v>
      </c>
      <c r="K6083" t="s">
        <v>10332</v>
      </c>
      <c r="L6083">
        <v>2010</v>
      </c>
      <c r="N6083">
        <v>53.78181</v>
      </c>
      <c r="P6083">
        <v>9.42577</v>
      </c>
      <c r="R6083" t="s">
        <v>10315</v>
      </c>
      <c r="S6083" t="s">
        <v>10320</v>
      </c>
      <c r="W6083" t="s">
        <v>11249</v>
      </c>
    </row>
    <row r="6084" spans="1:23" hidden="1" x14ac:dyDescent="0.45">
      <c r="A6084" s="1" t="s">
        <v>6009</v>
      </c>
      <c r="B6084" t="s">
        <v>7288</v>
      </c>
      <c r="C6084" t="s">
        <v>7831</v>
      </c>
      <c r="D6084" t="s">
        <v>8593</v>
      </c>
      <c r="E6084" t="s">
        <v>10287</v>
      </c>
      <c r="F6084" t="s">
        <v>10305</v>
      </c>
      <c r="G6084">
        <v>11.6</v>
      </c>
      <c r="H6084" t="s">
        <v>10320</v>
      </c>
      <c r="I6084" t="s">
        <v>10323</v>
      </c>
      <c r="K6084" t="s">
        <v>10332</v>
      </c>
      <c r="L6084">
        <v>1977</v>
      </c>
      <c r="N6084">
        <v>49.338569999999997</v>
      </c>
      <c r="P6084">
        <v>7.1700100000000004</v>
      </c>
      <c r="R6084" t="s">
        <v>10315</v>
      </c>
      <c r="S6084" t="s">
        <v>10320</v>
      </c>
      <c r="W6084" t="s">
        <v>11249</v>
      </c>
    </row>
    <row r="6085" spans="1:23" hidden="1" x14ac:dyDescent="0.45">
      <c r="A6085" s="1" t="s">
        <v>6010</v>
      </c>
      <c r="B6085" t="s">
        <v>7311</v>
      </c>
      <c r="C6085" t="s">
        <v>7832</v>
      </c>
      <c r="D6085" t="s">
        <v>8594</v>
      </c>
      <c r="E6085" t="s">
        <v>10183</v>
      </c>
      <c r="F6085" t="s">
        <v>10305</v>
      </c>
      <c r="G6085">
        <v>8.6999999999999993</v>
      </c>
      <c r="H6085" t="s">
        <v>10320</v>
      </c>
      <c r="I6085" t="s">
        <v>10323</v>
      </c>
      <c r="K6085" t="s">
        <v>10332</v>
      </c>
      <c r="L6085">
        <v>1984</v>
      </c>
      <c r="N6085">
        <v>49.792999999999999</v>
      </c>
      <c r="P6085">
        <v>9.9940599999999993</v>
      </c>
      <c r="R6085" t="s">
        <v>10315</v>
      </c>
      <c r="S6085" t="s">
        <v>10320</v>
      </c>
      <c r="W6085" t="s">
        <v>11249</v>
      </c>
    </row>
    <row r="6086" spans="1:23" hidden="1" x14ac:dyDescent="0.45">
      <c r="A6086" s="1" t="s">
        <v>6011</v>
      </c>
      <c r="B6086" t="s">
        <v>7311</v>
      </c>
      <c r="C6086" t="s">
        <v>7832</v>
      </c>
      <c r="D6086" t="s">
        <v>8594</v>
      </c>
      <c r="E6086" t="s">
        <v>10183</v>
      </c>
      <c r="F6086" t="s">
        <v>10305</v>
      </c>
      <c r="G6086">
        <v>12</v>
      </c>
      <c r="H6086" t="s">
        <v>10320</v>
      </c>
      <c r="I6086" t="s">
        <v>10323</v>
      </c>
      <c r="K6086" t="s">
        <v>10332</v>
      </c>
      <c r="L6086">
        <v>1998</v>
      </c>
      <c r="N6086">
        <v>49.792999999999999</v>
      </c>
      <c r="P6086">
        <v>9.9940599999999993</v>
      </c>
      <c r="R6086" t="s">
        <v>10315</v>
      </c>
      <c r="S6086" t="s">
        <v>10320</v>
      </c>
      <c r="W6086" t="s">
        <v>11249</v>
      </c>
    </row>
    <row r="6087" spans="1:23" hidden="1" x14ac:dyDescent="0.45">
      <c r="A6087" s="1" t="s">
        <v>6012</v>
      </c>
      <c r="B6087" t="s">
        <v>7312</v>
      </c>
      <c r="C6087" t="s">
        <v>7833</v>
      </c>
      <c r="D6087" t="s">
        <v>8351</v>
      </c>
      <c r="E6087" t="s">
        <v>10106</v>
      </c>
      <c r="F6087" t="s">
        <v>10305</v>
      </c>
      <c r="G6087">
        <v>33.4</v>
      </c>
      <c r="H6087" t="s">
        <v>10320</v>
      </c>
      <c r="I6087" t="s">
        <v>10323</v>
      </c>
      <c r="K6087" t="s">
        <v>10332</v>
      </c>
      <c r="L6087">
        <v>2009</v>
      </c>
      <c r="N6087">
        <v>50.857718900000002</v>
      </c>
      <c r="P6087">
        <v>6.8501750000000001</v>
      </c>
      <c r="R6087" t="s">
        <v>10315</v>
      </c>
      <c r="S6087" t="s">
        <v>10320</v>
      </c>
      <c r="W6087" t="s">
        <v>11249</v>
      </c>
    </row>
    <row r="6088" spans="1:23" hidden="1" x14ac:dyDescent="0.45">
      <c r="A6088" s="1" t="s">
        <v>6013</v>
      </c>
      <c r="B6088" t="s">
        <v>7313</v>
      </c>
      <c r="C6088" t="s">
        <v>7834</v>
      </c>
      <c r="D6088" t="s">
        <v>8358</v>
      </c>
      <c r="E6088" t="s">
        <v>10113</v>
      </c>
      <c r="F6088" t="s">
        <v>10305</v>
      </c>
      <c r="G6088">
        <v>18.7</v>
      </c>
      <c r="H6088" t="s">
        <v>10320</v>
      </c>
      <c r="I6088" t="s">
        <v>10323</v>
      </c>
      <c r="K6088" t="s">
        <v>10332</v>
      </c>
      <c r="L6088">
        <v>2013</v>
      </c>
      <c r="N6088">
        <v>51.520131999999997</v>
      </c>
      <c r="P6088">
        <v>14.337383000000001</v>
      </c>
      <c r="R6088" t="s">
        <v>10315</v>
      </c>
      <c r="S6088" t="s">
        <v>10320</v>
      </c>
      <c r="W6088" t="s">
        <v>11249</v>
      </c>
    </row>
    <row r="6089" spans="1:23" hidden="1" x14ac:dyDescent="0.45">
      <c r="A6089" s="1" t="s">
        <v>6014</v>
      </c>
      <c r="B6089" t="s">
        <v>7314</v>
      </c>
      <c r="C6089" t="s">
        <v>7835</v>
      </c>
      <c r="D6089" t="s">
        <v>8595</v>
      </c>
      <c r="E6089" t="s">
        <v>9937</v>
      </c>
      <c r="F6089" t="s">
        <v>10305</v>
      </c>
      <c r="G6089">
        <v>10.5</v>
      </c>
      <c r="H6089" t="s">
        <v>10320</v>
      </c>
      <c r="I6089" t="s">
        <v>10323</v>
      </c>
      <c r="K6089" t="s">
        <v>10332</v>
      </c>
      <c r="L6089">
        <v>2014</v>
      </c>
      <c r="N6089">
        <v>50.042129000000003</v>
      </c>
      <c r="P6089">
        <v>8.2611570000000007</v>
      </c>
      <c r="R6089" t="s">
        <v>10315</v>
      </c>
      <c r="S6089" t="s">
        <v>10320</v>
      </c>
      <c r="W6089" t="s">
        <v>11249</v>
      </c>
    </row>
    <row r="6090" spans="1:23" hidden="1" x14ac:dyDescent="0.45">
      <c r="A6090" s="1" t="s">
        <v>6015</v>
      </c>
      <c r="B6090" t="s">
        <v>7294</v>
      </c>
      <c r="C6090" t="s">
        <v>7836</v>
      </c>
      <c r="D6090" t="s">
        <v>8421</v>
      </c>
      <c r="E6090" t="s">
        <v>10108</v>
      </c>
      <c r="F6090" t="s">
        <v>10305</v>
      </c>
      <c r="G6090">
        <v>18</v>
      </c>
      <c r="H6090" t="s">
        <v>10320</v>
      </c>
      <c r="I6090" t="s">
        <v>10323</v>
      </c>
      <c r="K6090" t="s">
        <v>10333</v>
      </c>
      <c r="L6090">
        <v>2017</v>
      </c>
      <c r="N6090">
        <v>50.99962</v>
      </c>
      <c r="P6090">
        <v>6.9409589999999994</v>
      </c>
      <c r="R6090" t="s">
        <v>10315</v>
      </c>
      <c r="S6090" t="s">
        <v>10320</v>
      </c>
      <c r="W6090" t="s">
        <v>11249</v>
      </c>
    </row>
    <row r="6091" spans="1:23" hidden="1" x14ac:dyDescent="0.45">
      <c r="A6091" s="1" t="s">
        <v>6016</v>
      </c>
      <c r="B6091" t="s">
        <v>7315</v>
      </c>
      <c r="D6091" t="s">
        <v>8596</v>
      </c>
      <c r="E6091" t="s">
        <v>9965</v>
      </c>
      <c r="F6091" t="s">
        <v>10305</v>
      </c>
      <c r="G6091">
        <v>33.4</v>
      </c>
      <c r="H6091" t="s">
        <v>10318</v>
      </c>
      <c r="I6091" t="s">
        <v>10323</v>
      </c>
      <c r="K6091" t="s">
        <v>10333</v>
      </c>
      <c r="L6091">
        <v>2000</v>
      </c>
      <c r="N6091">
        <v>52.285879999999999</v>
      </c>
      <c r="P6091">
        <v>7.74613</v>
      </c>
      <c r="W6091" t="s">
        <v>11249</v>
      </c>
    </row>
    <row r="6092" spans="1:23" hidden="1" x14ac:dyDescent="0.45">
      <c r="A6092" s="1" t="s">
        <v>6017</v>
      </c>
      <c r="B6092" t="s">
        <v>7043</v>
      </c>
      <c r="D6092" t="s">
        <v>8218</v>
      </c>
      <c r="E6092" t="s">
        <v>9981</v>
      </c>
      <c r="F6092" t="s">
        <v>10305</v>
      </c>
      <c r="G6092">
        <v>42</v>
      </c>
      <c r="H6092" t="s">
        <v>10318</v>
      </c>
      <c r="I6092" t="s">
        <v>10328</v>
      </c>
      <c r="K6092" t="s">
        <v>10332</v>
      </c>
      <c r="L6092">
        <v>2003</v>
      </c>
      <c r="N6092">
        <v>49.249018</v>
      </c>
      <c r="P6092">
        <v>6.8792439999999999</v>
      </c>
      <c r="W6092" t="s">
        <v>11249</v>
      </c>
    </row>
    <row r="6093" spans="1:23" hidden="1" x14ac:dyDescent="0.45">
      <c r="A6093" s="1" t="s">
        <v>6018</v>
      </c>
      <c r="B6093" t="s">
        <v>7316</v>
      </c>
      <c r="C6093" t="s">
        <v>7837</v>
      </c>
      <c r="D6093" t="s">
        <v>8597</v>
      </c>
      <c r="E6093" t="s">
        <v>10288</v>
      </c>
      <c r="F6093" t="s">
        <v>10305</v>
      </c>
      <c r="G6093">
        <v>9.5</v>
      </c>
      <c r="H6093" t="s">
        <v>10313</v>
      </c>
      <c r="I6093" t="s">
        <v>10323</v>
      </c>
      <c r="K6093" t="s">
        <v>10332</v>
      </c>
      <c r="L6093">
        <v>1962</v>
      </c>
      <c r="N6093">
        <v>52.294036300000002</v>
      </c>
      <c r="P6093">
        <v>8.0229622999999997</v>
      </c>
      <c r="W6093" t="s">
        <v>11249</v>
      </c>
    </row>
    <row r="6094" spans="1:23" hidden="1" x14ac:dyDescent="0.45">
      <c r="A6094" s="1" t="s">
        <v>6019</v>
      </c>
      <c r="B6094" t="s">
        <v>7316</v>
      </c>
      <c r="C6094" t="s">
        <v>7837</v>
      </c>
      <c r="D6094" t="s">
        <v>8597</v>
      </c>
      <c r="E6094" t="s">
        <v>10288</v>
      </c>
      <c r="F6094" t="s">
        <v>10305</v>
      </c>
      <c r="G6094">
        <v>9.8000000000000007</v>
      </c>
      <c r="H6094" t="s">
        <v>10313</v>
      </c>
      <c r="I6094" t="s">
        <v>10323</v>
      </c>
      <c r="K6094" t="s">
        <v>10332</v>
      </c>
      <c r="L6094">
        <v>1972</v>
      </c>
      <c r="N6094">
        <v>52.294036300000002</v>
      </c>
      <c r="P6094">
        <v>8.0229622999999997</v>
      </c>
      <c r="W6094" t="s">
        <v>11249</v>
      </c>
    </row>
    <row r="6097" spans="5:12" ht="28.5" x14ac:dyDescent="0.45">
      <c r="E6097" s="4"/>
      <c r="F6097" s="5" t="s">
        <v>11265</v>
      </c>
      <c r="G6097" s="4">
        <v>2020</v>
      </c>
      <c r="H6097" s="4">
        <v>2030</v>
      </c>
      <c r="I6097" s="4">
        <v>2030</v>
      </c>
      <c r="J6097" s="4"/>
      <c r="K6097" s="4">
        <v>2050</v>
      </c>
      <c r="L6097" s="4">
        <v>2050</v>
      </c>
    </row>
    <row r="6098" spans="5:12" ht="23.25" customHeight="1" x14ac:dyDescent="0.45">
      <c r="E6098" s="6" t="s">
        <v>11254</v>
      </c>
      <c r="F6098" s="6" t="s">
        <v>11250</v>
      </c>
      <c r="G6098" s="6" t="s">
        <v>11251</v>
      </c>
      <c r="H6098" s="6" t="s">
        <v>11252</v>
      </c>
      <c r="I6098" s="6" t="s">
        <v>11253</v>
      </c>
      <c r="J6098" s="6"/>
      <c r="K6098" s="6" t="s">
        <v>11252</v>
      </c>
      <c r="L6098" s="6" t="s">
        <v>11253</v>
      </c>
    </row>
    <row r="6099" spans="5:12" x14ac:dyDescent="0.45">
      <c r="E6099" s="4" t="s">
        <v>11255</v>
      </c>
      <c r="F6099" s="4" t="s">
        <v>10314</v>
      </c>
      <c r="G6099" s="4">
        <f>SUMIF(H$5164:H$5185, F6099, G$5164:G$5185)</f>
        <v>1240</v>
      </c>
      <c r="H6099" s="7">
        <v>3.2113627661782496</v>
      </c>
      <c r="I6099" s="7">
        <v>34324.402158757999</v>
      </c>
      <c r="J6099" s="7"/>
      <c r="K6099" s="7">
        <v>3.0756713816918451</v>
      </c>
      <c r="L6099" s="7">
        <v>32911.176389332089</v>
      </c>
    </row>
    <row r="6100" spans="5:12" x14ac:dyDescent="0.45">
      <c r="E6100" s="4" t="s">
        <v>11256</v>
      </c>
      <c r="F6100" s="4" t="s">
        <v>10308</v>
      </c>
      <c r="G6100" s="4">
        <f t="shared" ref="G6100" si="0">SUMIF(H$5164:H$5185, F6100, G$5164:G$5185)</f>
        <v>665</v>
      </c>
      <c r="H6100" s="4">
        <v>0</v>
      </c>
      <c r="I6100" s="4">
        <v>0</v>
      </c>
      <c r="J6100" s="4"/>
      <c r="K6100" s="4">
        <v>0</v>
      </c>
      <c r="L6100" s="4">
        <v>0</v>
      </c>
    </row>
    <row r="6101" spans="5:12" x14ac:dyDescent="0.45">
      <c r="E6101" s="4" t="s">
        <v>11257</v>
      </c>
      <c r="F6101" s="4" t="s">
        <v>10308</v>
      </c>
      <c r="G6101" s="4">
        <v>665</v>
      </c>
      <c r="H6101" s="7">
        <v>6.3802363080000006</v>
      </c>
      <c r="I6101" s="7">
        <v>8983.372721664</v>
      </c>
      <c r="J6101" s="7"/>
      <c r="K6101" s="7">
        <v>6.3802363080000006</v>
      </c>
      <c r="L6101" s="7">
        <v>8609.0655249280007</v>
      </c>
    </row>
    <row r="6102" spans="5:12" x14ac:dyDescent="0.45">
      <c r="E6102" s="4" t="s">
        <v>11258</v>
      </c>
      <c r="F6102" s="4" t="s">
        <v>10307</v>
      </c>
      <c r="G6102" s="4">
        <f t="shared" ref="G6102:G6108" si="1">SUMIF(H$5164:H$5185, F6102, G$5164:G$5185)</f>
        <v>492</v>
      </c>
      <c r="H6102" s="7">
        <v>4.4661654156000008</v>
      </c>
      <c r="I6102" s="7">
        <v>19778.732554800001</v>
      </c>
      <c r="J6102" s="7"/>
      <c r="K6102" s="7">
        <v>4.4661654156000008</v>
      </c>
      <c r="L6102" s="7">
        <v>19140.708924000002</v>
      </c>
    </row>
    <row r="6103" spans="5:12" x14ac:dyDescent="0.45">
      <c r="E6103" s="4" t="s">
        <v>11259</v>
      </c>
      <c r="F6103" s="4" t="s">
        <v>10307</v>
      </c>
      <c r="G6103" s="4">
        <f t="shared" si="1"/>
        <v>492</v>
      </c>
      <c r="H6103" s="8">
        <v>5.4232008617999998</v>
      </c>
      <c r="I6103" s="8">
        <v>19778.732554800001</v>
      </c>
      <c r="J6103" s="8"/>
      <c r="K6103" s="8">
        <v>4.8915145027999998</v>
      </c>
      <c r="L6103" s="8">
        <v>19140.708924000002</v>
      </c>
    </row>
    <row r="6104" spans="5:12" x14ac:dyDescent="0.45">
      <c r="E6104" s="4" t="s">
        <v>11260</v>
      </c>
      <c r="F6104" s="4" t="s">
        <v>10307</v>
      </c>
      <c r="G6104" s="4">
        <f t="shared" si="1"/>
        <v>492</v>
      </c>
      <c r="H6104" s="4">
        <v>14.887218052</v>
      </c>
      <c r="I6104" s="4">
        <v>0</v>
      </c>
      <c r="J6104" s="4"/>
      <c r="K6104" s="8">
        <v>13.823845334000001</v>
      </c>
      <c r="L6104" s="4">
        <v>0</v>
      </c>
    </row>
    <row r="6105" spans="5:12" x14ac:dyDescent="0.45">
      <c r="E6105" s="4" t="s">
        <v>11261</v>
      </c>
      <c r="F6105" s="4" t="s">
        <v>10307</v>
      </c>
      <c r="G6105" s="4">
        <f t="shared" si="1"/>
        <v>492</v>
      </c>
      <c r="H6105" s="8">
        <v>5.4232008617999998</v>
      </c>
      <c r="I6105" s="8">
        <v>9889.3662774000004</v>
      </c>
      <c r="J6105" s="8"/>
      <c r="K6105" s="8">
        <v>5.2105263182000012</v>
      </c>
      <c r="L6105" s="8">
        <v>9038.6681030000018</v>
      </c>
    </row>
    <row r="6106" spans="5:12" x14ac:dyDescent="0.45">
      <c r="E6106" s="4" t="s">
        <v>11262</v>
      </c>
      <c r="F6106" s="4" t="s">
        <v>10307</v>
      </c>
      <c r="G6106" s="4">
        <f t="shared" si="1"/>
        <v>492</v>
      </c>
      <c r="H6106" s="7">
        <v>6.3802363080000006</v>
      </c>
      <c r="I6106" s="7">
        <v>6646.0794875000011</v>
      </c>
      <c r="J6106" s="7"/>
      <c r="K6106" s="7">
        <v>6.3802363080000006</v>
      </c>
      <c r="L6106" s="7">
        <v>6380.2363080000005</v>
      </c>
    </row>
    <row r="6107" spans="5:12" x14ac:dyDescent="0.45">
      <c r="E6107" s="4" t="s">
        <v>11263</v>
      </c>
      <c r="F6107" s="4" t="s">
        <v>10307</v>
      </c>
      <c r="G6107" s="4">
        <f t="shared" si="1"/>
        <v>492</v>
      </c>
      <c r="H6107" s="7">
        <v>4.7851772310000005</v>
      </c>
      <c r="I6107" s="7">
        <v>8236.1194452710406</v>
      </c>
      <c r="J6107" s="7"/>
      <c r="K6107" s="7">
        <v>4.7851772310000005</v>
      </c>
      <c r="L6107" s="7">
        <v>7892.9478017180809</v>
      </c>
    </row>
    <row r="6108" spans="5:12" ht="28.5" x14ac:dyDescent="0.45">
      <c r="E6108" s="9" t="s">
        <v>11264</v>
      </c>
      <c r="F6108" s="4" t="s">
        <v>10313</v>
      </c>
      <c r="G6108" s="4">
        <f t="shared" si="1"/>
        <v>1465</v>
      </c>
      <c r="H6108" s="4"/>
      <c r="I6108" s="4"/>
      <c r="J6108" s="4"/>
      <c r="K6108" s="4"/>
      <c r="L6108" s="4"/>
    </row>
    <row r="6111" spans="5:12" x14ac:dyDescent="0.45">
      <c r="E6111" s="6"/>
    </row>
    <row r="6112" spans="5:12" x14ac:dyDescent="0.45">
      <c r="E6112" s="4"/>
    </row>
    <row r="6113" spans="5:20" x14ac:dyDescent="0.45">
      <c r="P6113" t="s">
        <v>11289</v>
      </c>
    </row>
    <row r="6114" spans="5:20" ht="28.5" x14ac:dyDescent="0.45">
      <c r="E6114" s="4"/>
      <c r="F6114" s="5" t="s">
        <v>11265</v>
      </c>
      <c r="G6114" s="4">
        <v>2020</v>
      </c>
      <c r="H6114" s="4">
        <v>2030</v>
      </c>
      <c r="I6114" s="4">
        <v>2030</v>
      </c>
      <c r="J6114" s="4">
        <v>2030</v>
      </c>
      <c r="K6114" s="4">
        <v>2030</v>
      </c>
      <c r="L6114" s="4">
        <v>2030</v>
      </c>
      <c r="M6114" s="4">
        <v>2030</v>
      </c>
      <c r="N6114" s="4">
        <v>2030</v>
      </c>
      <c r="O6114" s="13"/>
      <c r="P6114" s="13">
        <v>2030</v>
      </c>
      <c r="Q6114" s="13">
        <v>2030</v>
      </c>
    </row>
    <row r="6115" spans="5:20" x14ac:dyDescent="0.45">
      <c r="E6115" s="6" t="s">
        <v>11254</v>
      </c>
      <c r="F6115" s="6" t="s">
        <v>11250</v>
      </c>
      <c r="G6115" s="6" t="s">
        <v>11251</v>
      </c>
      <c r="H6115" s="6" t="s">
        <v>11252</v>
      </c>
      <c r="I6115" s="6" t="s">
        <v>11253</v>
      </c>
      <c r="J6115" s="6" t="s">
        <v>11291</v>
      </c>
      <c r="K6115" s="6" t="s">
        <v>11280</v>
      </c>
      <c r="L6115" s="6" t="s">
        <v>11281</v>
      </c>
      <c r="M6115" s="6" t="s">
        <v>11282</v>
      </c>
      <c r="N6115" s="6" t="s">
        <v>11283</v>
      </c>
      <c r="O6115" s="6" t="s">
        <v>11290</v>
      </c>
      <c r="P6115" s="6" t="s">
        <v>11284</v>
      </c>
      <c r="Q6115" s="14" t="s">
        <v>11286</v>
      </c>
      <c r="R6115" s="6" t="s">
        <v>11288</v>
      </c>
      <c r="S6115" s="6" t="s">
        <v>11292</v>
      </c>
      <c r="T6115" s="14" t="s">
        <v>11296</v>
      </c>
    </row>
    <row r="6116" spans="5:20" x14ac:dyDescent="0.45">
      <c r="E6116" s="4" t="s">
        <v>11255</v>
      </c>
      <c r="F6116" s="4" t="s">
        <v>10314</v>
      </c>
      <c r="G6116" s="4">
        <f>SUMIF(H$5164:H$5185, F6116, G$5164:G$5185)</f>
        <v>1240</v>
      </c>
      <c r="H6116" s="7">
        <v>3.2113627661782496</v>
      </c>
      <c r="I6116" s="7">
        <v>34324.402158757999</v>
      </c>
      <c r="J6116" s="7"/>
      <c r="K6116" s="12">
        <v>0.61327940079562415</v>
      </c>
      <c r="L6116" s="7"/>
      <c r="M6116" s="4"/>
    </row>
    <row r="6117" spans="5:20" x14ac:dyDescent="0.45">
      <c r="E6117" s="4" t="s">
        <v>11278</v>
      </c>
      <c r="F6117" s="4" t="s">
        <v>11279</v>
      </c>
      <c r="G6117" s="7">
        <v>0</v>
      </c>
      <c r="H6117" s="7">
        <f>L6117*K6116</f>
        <v>1.5331985019890604</v>
      </c>
      <c r="I6117" s="7">
        <f>(M6117*K6116)*1000000</f>
        <v>42929.558055693691</v>
      </c>
      <c r="J6117" s="7"/>
      <c r="K6117" s="7"/>
      <c r="L6117" s="7">
        <v>2.5</v>
      </c>
      <c r="M6117" s="7">
        <v>7.0000000000000007E-2</v>
      </c>
      <c r="N6117">
        <v>2.2999999999999998</v>
      </c>
      <c r="P6117">
        <f>(N6117*K6116)</f>
        <v>1.4105426218299355</v>
      </c>
      <c r="Q6117" s="15">
        <v>25</v>
      </c>
      <c r="T6117">
        <f xml:space="preserve"> (0.04*(1.04)^Q6117)/(((1+0.04)^Q6117)-1)</f>
        <v>6.4011962786454574E-2</v>
      </c>
    </row>
    <row r="6118" spans="5:20" x14ac:dyDescent="0.45">
      <c r="E6118" s="4" t="s">
        <v>11285</v>
      </c>
      <c r="F6118" s="4" t="s">
        <v>11287</v>
      </c>
      <c r="G6118" s="7">
        <v>0</v>
      </c>
      <c r="H6118" s="7">
        <v>0</v>
      </c>
      <c r="I6118" s="7"/>
      <c r="J6118" s="7">
        <f>(S6119*K6116)/1000</f>
        <v>1.2265588015912482E-2</v>
      </c>
      <c r="K6118" s="7"/>
      <c r="L6118" s="7">
        <v>0</v>
      </c>
      <c r="M6118" s="7"/>
      <c r="N6118">
        <f xml:space="preserve"> 2.67/1000000</f>
        <v>2.6699999999999998E-6</v>
      </c>
      <c r="O6118">
        <f>(K6116*R6118)/1000000</f>
        <v>7.9726322103431138E-6</v>
      </c>
      <c r="Q6118">
        <v>50</v>
      </c>
      <c r="R6118">
        <v>13</v>
      </c>
      <c r="T6118">
        <f t="shared" ref="T6118" si="2" xml:space="preserve"> (0.04*(1.04)^Q6118)/(((1+0.04)^Q6118)-1)</f>
        <v>4.6550200449541529E-2</v>
      </c>
    </row>
    <row r="6119" spans="5:20" x14ac:dyDescent="0.45">
      <c r="E6119" t="s">
        <v>11293</v>
      </c>
      <c r="F6119" s="13" t="s">
        <v>11294</v>
      </c>
      <c r="G6119" s="7">
        <v>0</v>
      </c>
      <c r="H6119">
        <f>L6119*K6116</f>
        <v>1.4105426218299355</v>
      </c>
      <c r="I6119">
        <f>(M6119*K6116)*365</f>
        <v>761.07973638736962</v>
      </c>
      <c r="L6119">
        <f>1.48+0.82</f>
        <v>2.2999999999999998</v>
      </c>
      <c r="M6119">
        <v>3.4</v>
      </c>
      <c r="P6119">
        <f>N6118*K6116</f>
        <v>1.6374560001243163E-6</v>
      </c>
      <c r="Q6119">
        <v>30</v>
      </c>
      <c r="S6119">
        <v>20</v>
      </c>
      <c r="T6119">
        <f xml:space="preserve"> (0.04*(1.04)^Q6119)/(((1+0.04)^Q6119)-1)</f>
        <v>5.78300991336613E-2</v>
      </c>
    </row>
    <row r="6120" spans="5:20" x14ac:dyDescent="0.45">
      <c r="E6120" t="s">
        <v>11295</v>
      </c>
      <c r="H6120" s="16">
        <f>SUM(H6116:H6119)</f>
        <v>6.1551038899972452</v>
      </c>
      <c r="I6120" s="16">
        <f>SUM(I6116:I6119)</f>
        <v>78015.039950839055</v>
      </c>
      <c r="J6120" s="16">
        <f>SUM(J6116:J6118)</f>
        <v>1.2265588015912482E-2</v>
      </c>
      <c r="O6120">
        <f>O6118*T6118</f>
        <v>3.7112762750194329E-7</v>
      </c>
      <c r="P6120" cm="1">
        <f t="array" ref="P6120">SUM(P6117:P6119*T6117:T6119)</f>
        <v>9.0291696511528713E-2</v>
      </c>
    </row>
  </sheetData>
  <autoFilter ref="F1:F6094" xr:uid="{00000000-0001-0000-0000-000000000000}">
    <filterColumn colId="0">
      <filters>
        <filter val="DK"/>
      </filters>
    </filterColumn>
  </autoFilter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  <hyperlink ref="W726" r:id="rId725" xr:uid="{00000000-0004-0000-0000-0000D4020000}"/>
    <hyperlink ref="W727" r:id="rId726" xr:uid="{00000000-0004-0000-0000-0000D5020000}"/>
    <hyperlink ref="W728" r:id="rId727" xr:uid="{00000000-0004-0000-0000-0000D6020000}"/>
    <hyperlink ref="W729" r:id="rId728" xr:uid="{00000000-0004-0000-0000-0000D7020000}"/>
    <hyperlink ref="W730" r:id="rId729" xr:uid="{00000000-0004-0000-0000-0000D8020000}"/>
    <hyperlink ref="W731" r:id="rId730" xr:uid="{00000000-0004-0000-0000-0000D9020000}"/>
    <hyperlink ref="W732" r:id="rId731" xr:uid="{00000000-0004-0000-0000-0000DA020000}"/>
    <hyperlink ref="W733" r:id="rId732" xr:uid="{00000000-0004-0000-0000-0000DB020000}"/>
    <hyperlink ref="W734" r:id="rId733" xr:uid="{00000000-0004-0000-0000-0000DC020000}"/>
    <hyperlink ref="W735" r:id="rId734" xr:uid="{00000000-0004-0000-0000-0000DD020000}"/>
    <hyperlink ref="W736" r:id="rId735" xr:uid="{00000000-0004-0000-0000-0000DE020000}"/>
    <hyperlink ref="W737" r:id="rId736" xr:uid="{00000000-0004-0000-0000-0000DF020000}"/>
    <hyperlink ref="W738" r:id="rId737" xr:uid="{00000000-0004-0000-0000-0000E0020000}"/>
    <hyperlink ref="W739" r:id="rId738" xr:uid="{00000000-0004-0000-0000-0000E1020000}"/>
    <hyperlink ref="W740" r:id="rId739" xr:uid="{00000000-0004-0000-0000-0000E2020000}"/>
    <hyperlink ref="W741" r:id="rId740" xr:uid="{00000000-0004-0000-0000-0000E3020000}"/>
    <hyperlink ref="W742" r:id="rId741" xr:uid="{00000000-0004-0000-0000-0000E4020000}"/>
    <hyperlink ref="W743" r:id="rId742" xr:uid="{00000000-0004-0000-0000-0000E5020000}"/>
    <hyperlink ref="W744" r:id="rId743" xr:uid="{00000000-0004-0000-0000-0000E6020000}"/>
    <hyperlink ref="W745" r:id="rId744" xr:uid="{00000000-0004-0000-0000-0000E7020000}"/>
    <hyperlink ref="W746" r:id="rId745" xr:uid="{00000000-0004-0000-0000-0000E8020000}"/>
    <hyperlink ref="W747" r:id="rId746" xr:uid="{00000000-0004-0000-0000-0000E9020000}"/>
    <hyperlink ref="W748" r:id="rId747" xr:uid="{00000000-0004-0000-0000-0000EA020000}"/>
    <hyperlink ref="W749" r:id="rId748" xr:uid="{00000000-0004-0000-0000-0000EB020000}"/>
    <hyperlink ref="W750" r:id="rId749" xr:uid="{00000000-0004-0000-0000-0000EC020000}"/>
    <hyperlink ref="W751" r:id="rId750" xr:uid="{00000000-0004-0000-0000-0000ED020000}"/>
    <hyperlink ref="W752" r:id="rId751" xr:uid="{00000000-0004-0000-0000-0000EE020000}"/>
    <hyperlink ref="W753" r:id="rId752" xr:uid="{00000000-0004-0000-0000-0000EF020000}"/>
    <hyperlink ref="W754" r:id="rId753" xr:uid="{00000000-0004-0000-0000-0000F0020000}"/>
    <hyperlink ref="W755" r:id="rId754" xr:uid="{00000000-0004-0000-0000-0000F1020000}"/>
    <hyperlink ref="W756" r:id="rId755" xr:uid="{00000000-0004-0000-0000-0000F2020000}"/>
    <hyperlink ref="W757" r:id="rId756" xr:uid="{00000000-0004-0000-0000-0000F3020000}"/>
    <hyperlink ref="W758" r:id="rId757" xr:uid="{00000000-0004-0000-0000-0000F4020000}"/>
    <hyperlink ref="W759" r:id="rId758" xr:uid="{00000000-0004-0000-0000-0000F5020000}"/>
    <hyperlink ref="W760" r:id="rId759" xr:uid="{00000000-0004-0000-0000-0000F6020000}"/>
    <hyperlink ref="W761" r:id="rId760" xr:uid="{00000000-0004-0000-0000-0000F7020000}"/>
    <hyperlink ref="W762" r:id="rId761" xr:uid="{00000000-0004-0000-0000-0000F8020000}"/>
    <hyperlink ref="W763" r:id="rId762" xr:uid="{00000000-0004-0000-0000-0000F9020000}"/>
    <hyperlink ref="W764" r:id="rId763" xr:uid="{00000000-0004-0000-0000-0000FA020000}"/>
    <hyperlink ref="W765" r:id="rId764" xr:uid="{00000000-0004-0000-0000-0000FB020000}"/>
    <hyperlink ref="W766" r:id="rId765" xr:uid="{00000000-0004-0000-0000-0000FC020000}"/>
    <hyperlink ref="W767" r:id="rId766" xr:uid="{00000000-0004-0000-0000-0000FD020000}"/>
    <hyperlink ref="W768" r:id="rId767" xr:uid="{00000000-0004-0000-0000-0000FE020000}"/>
    <hyperlink ref="W769" r:id="rId768" xr:uid="{00000000-0004-0000-0000-0000FF020000}"/>
    <hyperlink ref="W770" r:id="rId769" xr:uid="{00000000-0004-0000-0000-000000030000}"/>
    <hyperlink ref="W771" r:id="rId770" xr:uid="{00000000-0004-0000-0000-000001030000}"/>
    <hyperlink ref="W772" r:id="rId771" xr:uid="{00000000-0004-0000-0000-000002030000}"/>
    <hyperlink ref="W773" r:id="rId772" xr:uid="{00000000-0004-0000-0000-000003030000}"/>
    <hyperlink ref="W774" r:id="rId773" xr:uid="{00000000-0004-0000-0000-000004030000}"/>
    <hyperlink ref="W775" r:id="rId774" xr:uid="{00000000-0004-0000-0000-000005030000}"/>
    <hyperlink ref="W776" r:id="rId775" xr:uid="{00000000-0004-0000-0000-000006030000}"/>
    <hyperlink ref="W777" r:id="rId776" xr:uid="{00000000-0004-0000-0000-000007030000}"/>
    <hyperlink ref="W778" r:id="rId777" xr:uid="{00000000-0004-0000-0000-000008030000}"/>
    <hyperlink ref="W779" r:id="rId778" xr:uid="{00000000-0004-0000-0000-000009030000}"/>
    <hyperlink ref="W780" r:id="rId779" xr:uid="{00000000-0004-0000-0000-00000A030000}"/>
    <hyperlink ref="W781" r:id="rId780" xr:uid="{00000000-0004-0000-0000-00000B030000}"/>
    <hyperlink ref="W782" r:id="rId781" xr:uid="{00000000-0004-0000-0000-00000C030000}"/>
    <hyperlink ref="W783" r:id="rId782" xr:uid="{00000000-0004-0000-0000-00000D030000}"/>
    <hyperlink ref="W784" r:id="rId783" xr:uid="{00000000-0004-0000-0000-00000E030000}"/>
    <hyperlink ref="W785" r:id="rId784" xr:uid="{00000000-0004-0000-0000-00000F030000}"/>
    <hyperlink ref="W786" r:id="rId785" xr:uid="{00000000-0004-0000-0000-000010030000}"/>
    <hyperlink ref="W787" r:id="rId786" xr:uid="{00000000-0004-0000-0000-000011030000}"/>
    <hyperlink ref="W788" r:id="rId787" xr:uid="{00000000-0004-0000-0000-000012030000}"/>
    <hyperlink ref="W789" r:id="rId788" xr:uid="{00000000-0004-0000-0000-000013030000}"/>
    <hyperlink ref="W790" r:id="rId789" xr:uid="{00000000-0004-0000-0000-000014030000}"/>
    <hyperlink ref="W791" r:id="rId790" xr:uid="{00000000-0004-0000-0000-000015030000}"/>
    <hyperlink ref="W792" r:id="rId791" xr:uid="{00000000-0004-0000-0000-000016030000}"/>
    <hyperlink ref="W793" r:id="rId792" xr:uid="{00000000-0004-0000-0000-000017030000}"/>
    <hyperlink ref="W794" r:id="rId793" xr:uid="{00000000-0004-0000-0000-000018030000}"/>
    <hyperlink ref="W795" r:id="rId794" xr:uid="{00000000-0004-0000-0000-000019030000}"/>
    <hyperlink ref="W796" r:id="rId795" xr:uid="{00000000-0004-0000-0000-00001A030000}"/>
    <hyperlink ref="W797" r:id="rId796" xr:uid="{00000000-0004-0000-0000-00001B030000}"/>
    <hyperlink ref="W798" r:id="rId797" xr:uid="{00000000-0004-0000-0000-00001C030000}"/>
    <hyperlink ref="W799" r:id="rId798" xr:uid="{00000000-0004-0000-0000-00001D030000}"/>
    <hyperlink ref="W800" r:id="rId799" xr:uid="{00000000-0004-0000-0000-00001E030000}"/>
    <hyperlink ref="W801" r:id="rId800" xr:uid="{00000000-0004-0000-0000-00001F030000}"/>
    <hyperlink ref="W802" r:id="rId801" xr:uid="{00000000-0004-0000-0000-000020030000}"/>
    <hyperlink ref="W803" r:id="rId802" xr:uid="{00000000-0004-0000-0000-000021030000}"/>
    <hyperlink ref="W804" r:id="rId803" xr:uid="{00000000-0004-0000-0000-000022030000}"/>
    <hyperlink ref="W805" r:id="rId804" xr:uid="{00000000-0004-0000-0000-000023030000}"/>
    <hyperlink ref="W806" r:id="rId805" xr:uid="{00000000-0004-0000-0000-000024030000}"/>
    <hyperlink ref="W807" r:id="rId806" xr:uid="{00000000-0004-0000-0000-000025030000}"/>
    <hyperlink ref="W808" r:id="rId807" xr:uid="{00000000-0004-0000-0000-000026030000}"/>
    <hyperlink ref="W809" r:id="rId808" xr:uid="{00000000-0004-0000-0000-000027030000}"/>
    <hyperlink ref="W810" r:id="rId809" xr:uid="{00000000-0004-0000-0000-000028030000}"/>
    <hyperlink ref="W811" r:id="rId810" xr:uid="{00000000-0004-0000-0000-000029030000}"/>
    <hyperlink ref="W812" r:id="rId811" xr:uid="{00000000-0004-0000-0000-00002A030000}"/>
    <hyperlink ref="W813" r:id="rId812" xr:uid="{00000000-0004-0000-0000-00002B030000}"/>
    <hyperlink ref="W814" r:id="rId813" xr:uid="{00000000-0004-0000-0000-00002C030000}"/>
    <hyperlink ref="W815" r:id="rId814" xr:uid="{00000000-0004-0000-0000-00002D030000}"/>
    <hyperlink ref="W816" r:id="rId815" xr:uid="{00000000-0004-0000-0000-00002E030000}"/>
    <hyperlink ref="W817" r:id="rId816" xr:uid="{00000000-0004-0000-0000-00002F030000}"/>
    <hyperlink ref="W818" r:id="rId817" xr:uid="{00000000-0004-0000-0000-000030030000}"/>
    <hyperlink ref="W819" r:id="rId818" xr:uid="{00000000-0004-0000-0000-000031030000}"/>
    <hyperlink ref="W820" r:id="rId819" xr:uid="{00000000-0004-0000-0000-000032030000}"/>
    <hyperlink ref="W821" r:id="rId820" xr:uid="{00000000-0004-0000-0000-000033030000}"/>
    <hyperlink ref="W822" r:id="rId821" xr:uid="{00000000-0004-0000-0000-000034030000}"/>
    <hyperlink ref="W823" r:id="rId822" xr:uid="{00000000-0004-0000-0000-000035030000}"/>
    <hyperlink ref="W824" r:id="rId823" xr:uid="{00000000-0004-0000-0000-000036030000}"/>
    <hyperlink ref="W825" r:id="rId824" xr:uid="{00000000-0004-0000-0000-000037030000}"/>
    <hyperlink ref="W826" r:id="rId825" xr:uid="{00000000-0004-0000-0000-000038030000}"/>
    <hyperlink ref="W827" r:id="rId826" xr:uid="{00000000-0004-0000-0000-000039030000}"/>
    <hyperlink ref="W828" r:id="rId827" xr:uid="{00000000-0004-0000-0000-00003A030000}"/>
    <hyperlink ref="W829" r:id="rId828" xr:uid="{00000000-0004-0000-0000-00003B030000}"/>
    <hyperlink ref="W830" r:id="rId829" xr:uid="{00000000-0004-0000-0000-00003C030000}"/>
    <hyperlink ref="W831" r:id="rId830" xr:uid="{00000000-0004-0000-0000-00003D030000}"/>
    <hyperlink ref="W832" r:id="rId831" xr:uid="{00000000-0004-0000-0000-00003E030000}"/>
    <hyperlink ref="W833" r:id="rId832" xr:uid="{00000000-0004-0000-0000-00003F030000}"/>
    <hyperlink ref="W834" r:id="rId833" xr:uid="{00000000-0004-0000-0000-000040030000}"/>
    <hyperlink ref="W835" r:id="rId834" xr:uid="{00000000-0004-0000-0000-000041030000}"/>
    <hyperlink ref="W836" r:id="rId835" xr:uid="{00000000-0004-0000-0000-000042030000}"/>
    <hyperlink ref="W837" r:id="rId836" xr:uid="{00000000-0004-0000-0000-000043030000}"/>
    <hyperlink ref="W838" r:id="rId837" xr:uid="{00000000-0004-0000-0000-000044030000}"/>
    <hyperlink ref="W839" r:id="rId838" xr:uid="{00000000-0004-0000-0000-000045030000}"/>
    <hyperlink ref="W840" r:id="rId839" xr:uid="{00000000-0004-0000-0000-000046030000}"/>
    <hyperlink ref="W841" r:id="rId840" xr:uid="{00000000-0004-0000-0000-000047030000}"/>
    <hyperlink ref="W842" r:id="rId841" xr:uid="{00000000-0004-0000-0000-000048030000}"/>
    <hyperlink ref="W843" r:id="rId842" xr:uid="{00000000-0004-0000-0000-000049030000}"/>
    <hyperlink ref="W844" r:id="rId843" xr:uid="{00000000-0004-0000-0000-00004A030000}"/>
    <hyperlink ref="W845" r:id="rId844" xr:uid="{00000000-0004-0000-0000-00004B030000}"/>
    <hyperlink ref="W846" r:id="rId845" xr:uid="{00000000-0004-0000-0000-00004C030000}"/>
    <hyperlink ref="W847" r:id="rId846" xr:uid="{00000000-0004-0000-0000-00004D030000}"/>
    <hyperlink ref="W848" r:id="rId847" xr:uid="{00000000-0004-0000-0000-00004E030000}"/>
    <hyperlink ref="W849" r:id="rId848" xr:uid="{00000000-0004-0000-0000-00004F030000}"/>
    <hyperlink ref="W850" r:id="rId849" xr:uid="{00000000-0004-0000-0000-000050030000}"/>
    <hyperlink ref="W851" r:id="rId850" xr:uid="{00000000-0004-0000-0000-000051030000}"/>
    <hyperlink ref="W852" r:id="rId851" xr:uid="{00000000-0004-0000-0000-000052030000}"/>
    <hyperlink ref="W853" r:id="rId852" xr:uid="{00000000-0004-0000-0000-000053030000}"/>
    <hyperlink ref="W854" r:id="rId853" xr:uid="{00000000-0004-0000-0000-000054030000}"/>
    <hyperlink ref="W855" r:id="rId854" xr:uid="{00000000-0004-0000-0000-000055030000}"/>
    <hyperlink ref="W856" r:id="rId855" xr:uid="{00000000-0004-0000-0000-000056030000}"/>
    <hyperlink ref="W857" r:id="rId856" xr:uid="{00000000-0004-0000-0000-000057030000}"/>
    <hyperlink ref="W858" r:id="rId857" xr:uid="{00000000-0004-0000-0000-000058030000}"/>
    <hyperlink ref="W859" r:id="rId858" xr:uid="{00000000-0004-0000-0000-000059030000}"/>
    <hyperlink ref="W860" r:id="rId859" xr:uid="{00000000-0004-0000-0000-00005A030000}"/>
    <hyperlink ref="W861" r:id="rId860" xr:uid="{00000000-0004-0000-0000-00005B030000}"/>
    <hyperlink ref="W862" r:id="rId861" xr:uid="{00000000-0004-0000-0000-00005C030000}"/>
    <hyperlink ref="W863" r:id="rId862" xr:uid="{00000000-0004-0000-0000-00005D030000}"/>
    <hyperlink ref="W864" r:id="rId863" xr:uid="{00000000-0004-0000-0000-00005E030000}"/>
    <hyperlink ref="W865" r:id="rId864" xr:uid="{00000000-0004-0000-0000-00005F030000}"/>
    <hyperlink ref="W866" r:id="rId865" xr:uid="{00000000-0004-0000-0000-000060030000}"/>
    <hyperlink ref="W867" r:id="rId866" xr:uid="{00000000-0004-0000-0000-000061030000}"/>
    <hyperlink ref="W868" r:id="rId867" xr:uid="{00000000-0004-0000-0000-000062030000}"/>
    <hyperlink ref="W869" r:id="rId868" xr:uid="{00000000-0004-0000-0000-000063030000}"/>
    <hyperlink ref="W870" r:id="rId869" xr:uid="{00000000-0004-0000-0000-000064030000}"/>
    <hyperlink ref="W871" r:id="rId870" xr:uid="{00000000-0004-0000-0000-000065030000}"/>
    <hyperlink ref="W872" r:id="rId871" xr:uid="{00000000-0004-0000-0000-000066030000}"/>
    <hyperlink ref="W873" r:id="rId872" xr:uid="{00000000-0004-0000-0000-000067030000}"/>
    <hyperlink ref="W874" r:id="rId873" xr:uid="{00000000-0004-0000-0000-000068030000}"/>
    <hyperlink ref="W875" r:id="rId874" xr:uid="{00000000-0004-0000-0000-000069030000}"/>
    <hyperlink ref="W876" r:id="rId875" xr:uid="{00000000-0004-0000-0000-00006A030000}"/>
    <hyperlink ref="W877" r:id="rId876" xr:uid="{00000000-0004-0000-0000-00006B030000}"/>
    <hyperlink ref="W878" r:id="rId877" xr:uid="{00000000-0004-0000-0000-00006C030000}"/>
    <hyperlink ref="W879" r:id="rId878" xr:uid="{00000000-0004-0000-0000-00006D030000}"/>
    <hyperlink ref="W880" r:id="rId879" xr:uid="{00000000-0004-0000-0000-00006E030000}"/>
    <hyperlink ref="W881" r:id="rId880" xr:uid="{00000000-0004-0000-0000-00006F030000}"/>
    <hyperlink ref="W882" r:id="rId881" xr:uid="{00000000-0004-0000-0000-000070030000}"/>
    <hyperlink ref="W883" r:id="rId882" xr:uid="{00000000-0004-0000-0000-000071030000}"/>
    <hyperlink ref="W884" r:id="rId883" xr:uid="{00000000-0004-0000-0000-000072030000}"/>
    <hyperlink ref="W885" r:id="rId884" xr:uid="{00000000-0004-0000-0000-000073030000}"/>
    <hyperlink ref="W886" r:id="rId885" xr:uid="{00000000-0004-0000-0000-000074030000}"/>
    <hyperlink ref="W887" r:id="rId886" xr:uid="{00000000-0004-0000-0000-000075030000}"/>
    <hyperlink ref="W888" r:id="rId887" xr:uid="{00000000-0004-0000-0000-000076030000}"/>
    <hyperlink ref="W889" r:id="rId888" xr:uid="{00000000-0004-0000-0000-000077030000}"/>
    <hyperlink ref="W890" r:id="rId889" xr:uid="{00000000-0004-0000-0000-000078030000}"/>
    <hyperlink ref="W891" r:id="rId890" xr:uid="{00000000-0004-0000-0000-000079030000}"/>
    <hyperlink ref="W892" r:id="rId891" xr:uid="{00000000-0004-0000-0000-00007A030000}"/>
    <hyperlink ref="W893" r:id="rId892" xr:uid="{00000000-0004-0000-0000-00007B030000}"/>
    <hyperlink ref="W894" r:id="rId893" xr:uid="{00000000-0004-0000-0000-00007C030000}"/>
    <hyperlink ref="W895" r:id="rId894" xr:uid="{00000000-0004-0000-0000-00007D030000}"/>
    <hyperlink ref="W896" r:id="rId895" xr:uid="{00000000-0004-0000-0000-00007E030000}"/>
    <hyperlink ref="W897" r:id="rId896" xr:uid="{00000000-0004-0000-0000-00007F030000}"/>
    <hyperlink ref="W898" r:id="rId897" xr:uid="{00000000-0004-0000-0000-000080030000}"/>
    <hyperlink ref="W899" r:id="rId898" xr:uid="{00000000-0004-0000-0000-000081030000}"/>
    <hyperlink ref="W900" r:id="rId899" xr:uid="{00000000-0004-0000-0000-000082030000}"/>
    <hyperlink ref="W901" r:id="rId900" xr:uid="{00000000-0004-0000-0000-000083030000}"/>
    <hyperlink ref="W902" r:id="rId901" xr:uid="{00000000-0004-0000-0000-000084030000}"/>
    <hyperlink ref="W903" r:id="rId902" xr:uid="{00000000-0004-0000-0000-000085030000}"/>
    <hyperlink ref="W904" r:id="rId903" xr:uid="{00000000-0004-0000-0000-000086030000}"/>
    <hyperlink ref="W905" r:id="rId904" xr:uid="{00000000-0004-0000-0000-000087030000}"/>
    <hyperlink ref="W906" r:id="rId905" xr:uid="{00000000-0004-0000-0000-000088030000}"/>
    <hyperlink ref="W907" r:id="rId906" xr:uid="{00000000-0004-0000-0000-000089030000}"/>
    <hyperlink ref="W908" r:id="rId907" xr:uid="{00000000-0004-0000-0000-00008A030000}"/>
    <hyperlink ref="W909" r:id="rId908" xr:uid="{00000000-0004-0000-0000-00008B030000}"/>
    <hyperlink ref="W910" r:id="rId909" xr:uid="{00000000-0004-0000-0000-00008C030000}"/>
    <hyperlink ref="W911" r:id="rId910" xr:uid="{00000000-0004-0000-0000-00008D030000}"/>
    <hyperlink ref="W912" r:id="rId911" xr:uid="{00000000-0004-0000-0000-00008E030000}"/>
    <hyperlink ref="W913" r:id="rId912" xr:uid="{00000000-0004-0000-0000-00008F030000}"/>
    <hyperlink ref="W914" r:id="rId913" xr:uid="{00000000-0004-0000-0000-000090030000}"/>
    <hyperlink ref="W915" r:id="rId914" xr:uid="{00000000-0004-0000-0000-000091030000}"/>
    <hyperlink ref="W916" r:id="rId915" xr:uid="{00000000-0004-0000-0000-000092030000}"/>
    <hyperlink ref="W917" r:id="rId916" xr:uid="{00000000-0004-0000-0000-000093030000}"/>
    <hyperlink ref="W918" r:id="rId917" xr:uid="{00000000-0004-0000-0000-000094030000}"/>
    <hyperlink ref="W919" r:id="rId918" xr:uid="{00000000-0004-0000-0000-000095030000}"/>
    <hyperlink ref="W920" r:id="rId919" xr:uid="{00000000-0004-0000-0000-000096030000}"/>
    <hyperlink ref="W921" r:id="rId920" xr:uid="{00000000-0004-0000-0000-000097030000}"/>
    <hyperlink ref="W922" r:id="rId921" xr:uid="{00000000-0004-0000-0000-000098030000}"/>
    <hyperlink ref="W923" r:id="rId922" xr:uid="{00000000-0004-0000-0000-000099030000}"/>
    <hyperlink ref="W924" r:id="rId923" xr:uid="{00000000-0004-0000-0000-00009A030000}"/>
    <hyperlink ref="W925" r:id="rId924" xr:uid="{00000000-0004-0000-0000-00009B030000}"/>
    <hyperlink ref="W926" r:id="rId925" xr:uid="{00000000-0004-0000-0000-00009C030000}"/>
    <hyperlink ref="W927" r:id="rId926" xr:uid="{00000000-0004-0000-0000-00009D030000}"/>
    <hyperlink ref="W928" r:id="rId927" xr:uid="{00000000-0004-0000-0000-00009E030000}"/>
    <hyperlink ref="W929" r:id="rId928" xr:uid="{00000000-0004-0000-0000-00009F030000}"/>
    <hyperlink ref="W930" r:id="rId929" xr:uid="{00000000-0004-0000-0000-0000A0030000}"/>
    <hyperlink ref="W931" r:id="rId930" xr:uid="{00000000-0004-0000-0000-0000A1030000}"/>
    <hyperlink ref="W932" r:id="rId931" xr:uid="{00000000-0004-0000-0000-0000A2030000}"/>
    <hyperlink ref="W933" r:id="rId932" xr:uid="{00000000-0004-0000-0000-0000A3030000}"/>
    <hyperlink ref="W934" r:id="rId933" xr:uid="{00000000-0004-0000-0000-0000A4030000}"/>
    <hyperlink ref="W935" r:id="rId934" xr:uid="{00000000-0004-0000-0000-0000A5030000}"/>
    <hyperlink ref="W936" r:id="rId935" xr:uid="{00000000-0004-0000-0000-0000A6030000}"/>
    <hyperlink ref="W937" r:id="rId936" xr:uid="{00000000-0004-0000-0000-0000A7030000}"/>
    <hyperlink ref="W938" r:id="rId937" xr:uid="{00000000-0004-0000-0000-0000A8030000}"/>
    <hyperlink ref="W939" r:id="rId938" xr:uid="{00000000-0004-0000-0000-0000A9030000}"/>
    <hyperlink ref="W940" r:id="rId939" xr:uid="{00000000-0004-0000-0000-0000AA030000}"/>
    <hyperlink ref="W941" r:id="rId940" xr:uid="{00000000-0004-0000-0000-0000AB030000}"/>
    <hyperlink ref="W942" r:id="rId941" xr:uid="{00000000-0004-0000-0000-0000AC030000}"/>
    <hyperlink ref="W943" r:id="rId942" xr:uid="{00000000-0004-0000-0000-0000AD030000}"/>
    <hyperlink ref="W944" r:id="rId943" xr:uid="{00000000-0004-0000-0000-0000AE030000}"/>
    <hyperlink ref="W945" r:id="rId944" xr:uid="{00000000-0004-0000-0000-0000AF030000}"/>
    <hyperlink ref="W946" r:id="rId945" xr:uid="{00000000-0004-0000-0000-0000B0030000}"/>
    <hyperlink ref="W947" r:id="rId946" xr:uid="{00000000-0004-0000-0000-0000B1030000}"/>
    <hyperlink ref="W948" r:id="rId947" xr:uid="{00000000-0004-0000-0000-0000B2030000}"/>
    <hyperlink ref="W949" r:id="rId948" xr:uid="{00000000-0004-0000-0000-0000B3030000}"/>
    <hyperlink ref="W950" r:id="rId949" xr:uid="{00000000-0004-0000-0000-0000B4030000}"/>
    <hyperlink ref="W951" r:id="rId950" xr:uid="{00000000-0004-0000-0000-0000B5030000}"/>
    <hyperlink ref="W952" r:id="rId951" xr:uid="{00000000-0004-0000-0000-0000B6030000}"/>
    <hyperlink ref="W953" r:id="rId952" xr:uid="{00000000-0004-0000-0000-0000B7030000}"/>
    <hyperlink ref="W954" r:id="rId953" xr:uid="{00000000-0004-0000-0000-0000B8030000}"/>
    <hyperlink ref="W955" r:id="rId954" xr:uid="{00000000-0004-0000-0000-0000B9030000}"/>
    <hyperlink ref="W956" r:id="rId955" xr:uid="{00000000-0004-0000-0000-0000BA030000}"/>
    <hyperlink ref="W957" r:id="rId956" xr:uid="{00000000-0004-0000-0000-0000BB030000}"/>
    <hyperlink ref="W958" r:id="rId957" xr:uid="{00000000-0004-0000-0000-0000BC030000}"/>
    <hyperlink ref="W959" r:id="rId958" xr:uid="{00000000-0004-0000-0000-0000BD030000}"/>
    <hyperlink ref="W960" r:id="rId959" xr:uid="{00000000-0004-0000-0000-0000BE030000}"/>
    <hyperlink ref="W961" r:id="rId960" xr:uid="{00000000-0004-0000-0000-0000BF030000}"/>
    <hyperlink ref="W962" r:id="rId961" xr:uid="{00000000-0004-0000-0000-0000C0030000}"/>
    <hyperlink ref="W963" r:id="rId962" xr:uid="{00000000-0004-0000-0000-0000C1030000}"/>
    <hyperlink ref="W964" r:id="rId963" xr:uid="{00000000-0004-0000-0000-0000C2030000}"/>
    <hyperlink ref="W965" r:id="rId964" xr:uid="{00000000-0004-0000-0000-0000C3030000}"/>
    <hyperlink ref="W966" r:id="rId965" xr:uid="{00000000-0004-0000-0000-0000C4030000}"/>
    <hyperlink ref="W967" r:id="rId966" xr:uid="{00000000-0004-0000-0000-0000C5030000}"/>
    <hyperlink ref="W968" r:id="rId967" xr:uid="{00000000-0004-0000-0000-0000C6030000}"/>
    <hyperlink ref="W969" r:id="rId968" xr:uid="{00000000-0004-0000-0000-0000C7030000}"/>
    <hyperlink ref="W970" r:id="rId969" xr:uid="{00000000-0004-0000-0000-0000C8030000}"/>
    <hyperlink ref="W971" r:id="rId970" xr:uid="{00000000-0004-0000-0000-0000C9030000}"/>
    <hyperlink ref="W972" r:id="rId971" xr:uid="{00000000-0004-0000-0000-0000CA030000}"/>
    <hyperlink ref="W973" r:id="rId972" xr:uid="{00000000-0004-0000-0000-0000CB030000}"/>
    <hyperlink ref="W974" r:id="rId973" xr:uid="{00000000-0004-0000-0000-0000CC030000}"/>
    <hyperlink ref="W975" r:id="rId974" xr:uid="{00000000-0004-0000-0000-0000CD030000}"/>
    <hyperlink ref="W976" r:id="rId975" xr:uid="{00000000-0004-0000-0000-0000CE030000}"/>
    <hyperlink ref="W977" r:id="rId976" xr:uid="{00000000-0004-0000-0000-0000CF030000}"/>
    <hyperlink ref="W978" r:id="rId977" xr:uid="{00000000-0004-0000-0000-0000D0030000}"/>
    <hyperlink ref="W979" r:id="rId978" xr:uid="{00000000-0004-0000-0000-0000D1030000}"/>
    <hyperlink ref="W980" r:id="rId979" xr:uid="{00000000-0004-0000-0000-0000D2030000}"/>
    <hyperlink ref="W981" r:id="rId980" xr:uid="{00000000-0004-0000-0000-0000D3030000}"/>
    <hyperlink ref="W982" r:id="rId981" xr:uid="{00000000-0004-0000-0000-0000D4030000}"/>
    <hyperlink ref="W983" r:id="rId982" xr:uid="{00000000-0004-0000-0000-0000D5030000}"/>
    <hyperlink ref="W984" r:id="rId983" xr:uid="{00000000-0004-0000-0000-0000D6030000}"/>
    <hyperlink ref="W985" r:id="rId984" xr:uid="{00000000-0004-0000-0000-0000D7030000}"/>
    <hyperlink ref="W986" r:id="rId985" xr:uid="{00000000-0004-0000-0000-0000D8030000}"/>
    <hyperlink ref="W987" r:id="rId986" xr:uid="{00000000-0004-0000-0000-0000D9030000}"/>
    <hyperlink ref="W988" r:id="rId987" xr:uid="{00000000-0004-0000-0000-0000DA030000}"/>
    <hyperlink ref="W989" r:id="rId988" xr:uid="{00000000-0004-0000-0000-0000DB030000}"/>
    <hyperlink ref="W990" r:id="rId989" xr:uid="{00000000-0004-0000-0000-0000DC030000}"/>
    <hyperlink ref="W991" r:id="rId990" xr:uid="{00000000-0004-0000-0000-0000DD030000}"/>
    <hyperlink ref="W992" r:id="rId991" xr:uid="{00000000-0004-0000-0000-0000DE030000}"/>
    <hyperlink ref="W993" r:id="rId992" xr:uid="{00000000-0004-0000-0000-0000DF030000}"/>
    <hyperlink ref="W994" r:id="rId993" xr:uid="{00000000-0004-0000-0000-0000E0030000}"/>
    <hyperlink ref="W995" r:id="rId994" xr:uid="{00000000-0004-0000-0000-0000E1030000}"/>
    <hyperlink ref="W996" r:id="rId995" xr:uid="{00000000-0004-0000-0000-0000E2030000}"/>
    <hyperlink ref="W997" r:id="rId996" xr:uid="{00000000-0004-0000-0000-0000E3030000}"/>
    <hyperlink ref="W998" r:id="rId997" xr:uid="{00000000-0004-0000-0000-0000E4030000}"/>
    <hyperlink ref="W999" r:id="rId998" xr:uid="{00000000-0004-0000-0000-0000E5030000}"/>
    <hyperlink ref="W1000" r:id="rId999" xr:uid="{00000000-0004-0000-0000-0000E6030000}"/>
    <hyperlink ref="W1001" r:id="rId1000" xr:uid="{00000000-0004-0000-0000-0000E7030000}"/>
    <hyperlink ref="W1002" r:id="rId1001" xr:uid="{00000000-0004-0000-0000-0000E8030000}"/>
    <hyperlink ref="W1003" r:id="rId1002" xr:uid="{00000000-0004-0000-0000-0000E9030000}"/>
    <hyperlink ref="W1004" r:id="rId1003" xr:uid="{00000000-0004-0000-0000-0000EA030000}"/>
    <hyperlink ref="W1005" r:id="rId1004" xr:uid="{00000000-0004-0000-0000-0000EB030000}"/>
    <hyperlink ref="W1006" r:id="rId1005" xr:uid="{00000000-0004-0000-0000-0000EC030000}"/>
    <hyperlink ref="W1007" r:id="rId1006" xr:uid="{00000000-0004-0000-0000-0000ED030000}"/>
    <hyperlink ref="W1008" r:id="rId1007" xr:uid="{00000000-0004-0000-0000-0000EE030000}"/>
    <hyperlink ref="W1009" r:id="rId1008" xr:uid="{00000000-0004-0000-0000-0000EF030000}"/>
    <hyperlink ref="W1010" r:id="rId1009" xr:uid="{00000000-0004-0000-0000-0000F0030000}"/>
    <hyperlink ref="W1011" r:id="rId1010" xr:uid="{00000000-0004-0000-0000-0000F1030000}"/>
    <hyperlink ref="W1012" r:id="rId1011" xr:uid="{00000000-0004-0000-0000-0000F2030000}"/>
    <hyperlink ref="W1013" r:id="rId1012" xr:uid="{00000000-0004-0000-0000-0000F3030000}"/>
    <hyperlink ref="W1014" r:id="rId1013" xr:uid="{00000000-0004-0000-0000-0000F4030000}"/>
    <hyperlink ref="W1015" r:id="rId1014" xr:uid="{00000000-0004-0000-0000-0000F5030000}"/>
    <hyperlink ref="W1016" r:id="rId1015" xr:uid="{00000000-0004-0000-0000-0000F6030000}"/>
    <hyperlink ref="W1017" r:id="rId1016" xr:uid="{00000000-0004-0000-0000-0000F7030000}"/>
    <hyperlink ref="W1018" r:id="rId1017" xr:uid="{00000000-0004-0000-0000-0000F8030000}"/>
    <hyperlink ref="W1019" r:id="rId1018" xr:uid="{00000000-0004-0000-0000-0000F9030000}"/>
    <hyperlink ref="W1020" r:id="rId1019" xr:uid="{00000000-0004-0000-0000-0000FA030000}"/>
    <hyperlink ref="W1021" r:id="rId1020" xr:uid="{00000000-0004-0000-0000-0000FB030000}"/>
    <hyperlink ref="W1022" r:id="rId1021" xr:uid="{00000000-0004-0000-0000-0000FC030000}"/>
    <hyperlink ref="W1023" r:id="rId1022" xr:uid="{00000000-0004-0000-0000-0000FD030000}"/>
    <hyperlink ref="W1024" r:id="rId1023" xr:uid="{00000000-0004-0000-0000-0000FE030000}"/>
    <hyperlink ref="W1025" r:id="rId1024" xr:uid="{00000000-0004-0000-0000-0000FF030000}"/>
    <hyperlink ref="W1026" r:id="rId1025" xr:uid="{00000000-0004-0000-0000-000000040000}"/>
    <hyperlink ref="W1027" r:id="rId1026" xr:uid="{00000000-0004-0000-0000-000001040000}"/>
    <hyperlink ref="W1028" r:id="rId1027" xr:uid="{00000000-0004-0000-0000-000002040000}"/>
    <hyperlink ref="W1029" r:id="rId1028" xr:uid="{00000000-0004-0000-0000-000003040000}"/>
    <hyperlink ref="W1030" r:id="rId1029" xr:uid="{00000000-0004-0000-0000-000004040000}"/>
    <hyperlink ref="W1031" r:id="rId1030" xr:uid="{00000000-0004-0000-0000-000005040000}"/>
    <hyperlink ref="W1032" r:id="rId1031" xr:uid="{00000000-0004-0000-0000-000006040000}"/>
    <hyperlink ref="W1033" r:id="rId1032" xr:uid="{00000000-0004-0000-0000-000007040000}"/>
    <hyperlink ref="W1034" r:id="rId1033" xr:uid="{00000000-0004-0000-0000-000008040000}"/>
    <hyperlink ref="W1035" r:id="rId1034" xr:uid="{00000000-0004-0000-0000-000009040000}"/>
    <hyperlink ref="W1036" r:id="rId1035" xr:uid="{00000000-0004-0000-0000-00000A040000}"/>
    <hyperlink ref="W1037" r:id="rId1036" xr:uid="{00000000-0004-0000-0000-00000B040000}"/>
    <hyperlink ref="W1038" r:id="rId1037" xr:uid="{00000000-0004-0000-0000-00000C040000}"/>
    <hyperlink ref="W1039" r:id="rId1038" xr:uid="{00000000-0004-0000-0000-00000D040000}"/>
    <hyperlink ref="W1040" r:id="rId1039" xr:uid="{00000000-0004-0000-0000-00000E040000}"/>
    <hyperlink ref="W1041" r:id="rId1040" xr:uid="{00000000-0004-0000-0000-00000F040000}"/>
    <hyperlink ref="W1042" r:id="rId1041" xr:uid="{00000000-0004-0000-0000-000010040000}"/>
    <hyperlink ref="W1043" r:id="rId1042" xr:uid="{00000000-0004-0000-0000-000011040000}"/>
    <hyperlink ref="W1044" r:id="rId1043" xr:uid="{00000000-0004-0000-0000-000012040000}"/>
    <hyperlink ref="W1045" r:id="rId1044" xr:uid="{00000000-0004-0000-0000-000013040000}"/>
    <hyperlink ref="W1046" r:id="rId1045" xr:uid="{00000000-0004-0000-0000-000014040000}"/>
    <hyperlink ref="W1047" r:id="rId1046" xr:uid="{00000000-0004-0000-0000-000015040000}"/>
    <hyperlink ref="W1048" r:id="rId1047" xr:uid="{00000000-0004-0000-0000-000016040000}"/>
    <hyperlink ref="W1049" r:id="rId1048" xr:uid="{00000000-0004-0000-0000-000017040000}"/>
    <hyperlink ref="W1050" r:id="rId1049" xr:uid="{00000000-0004-0000-0000-000018040000}"/>
    <hyperlink ref="W1051" r:id="rId1050" xr:uid="{00000000-0004-0000-0000-000019040000}"/>
    <hyperlink ref="W1052" r:id="rId1051" xr:uid="{00000000-0004-0000-0000-00001A040000}"/>
    <hyperlink ref="W1053" r:id="rId1052" xr:uid="{00000000-0004-0000-0000-00001B040000}"/>
    <hyperlink ref="W1054" r:id="rId1053" xr:uid="{00000000-0004-0000-0000-00001C040000}"/>
    <hyperlink ref="W1055" r:id="rId1054" xr:uid="{00000000-0004-0000-0000-00001D040000}"/>
    <hyperlink ref="W1056" r:id="rId1055" xr:uid="{00000000-0004-0000-0000-00001E040000}"/>
    <hyperlink ref="W1057" r:id="rId1056" xr:uid="{00000000-0004-0000-0000-00001F040000}"/>
    <hyperlink ref="W1058" r:id="rId1057" xr:uid="{00000000-0004-0000-0000-000020040000}"/>
    <hyperlink ref="W1059" r:id="rId1058" xr:uid="{00000000-0004-0000-0000-000021040000}"/>
    <hyperlink ref="W1060" r:id="rId1059" xr:uid="{00000000-0004-0000-0000-000022040000}"/>
    <hyperlink ref="W1061" r:id="rId1060" xr:uid="{00000000-0004-0000-0000-000023040000}"/>
    <hyperlink ref="W1062" r:id="rId1061" xr:uid="{00000000-0004-0000-0000-000024040000}"/>
    <hyperlink ref="W1063" r:id="rId1062" xr:uid="{00000000-0004-0000-0000-000025040000}"/>
    <hyperlink ref="W1064" r:id="rId1063" xr:uid="{00000000-0004-0000-0000-000026040000}"/>
    <hyperlink ref="W1065" r:id="rId1064" xr:uid="{00000000-0004-0000-0000-000027040000}"/>
    <hyperlink ref="W1066" r:id="rId1065" xr:uid="{00000000-0004-0000-0000-000028040000}"/>
    <hyperlink ref="W1067" r:id="rId1066" xr:uid="{00000000-0004-0000-0000-000029040000}"/>
    <hyperlink ref="W1068" r:id="rId1067" xr:uid="{00000000-0004-0000-0000-00002A040000}"/>
    <hyperlink ref="W1069" r:id="rId1068" xr:uid="{00000000-0004-0000-0000-00002B040000}"/>
    <hyperlink ref="W1070" r:id="rId1069" xr:uid="{00000000-0004-0000-0000-00002C040000}"/>
    <hyperlink ref="W1071" r:id="rId1070" xr:uid="{00000000-0004-0000-0000-00002D040000}"/>
    <hyperlink ref="W1072" r:id="rId1071" xr:uid="{00000000-0004-0000-0000-00002E040000}"/>
    <hyperlink ref="W1073" r:id="rId1072" xr:uid="{00000000-0004-0000-0000-00002F040000}"/>
    <hyperlink ref="W1074" r:id="rId1073" xr:uid="{00000000-0004-0000-0000-000030040000}"/>
    <hyperlink ref="W1075" r:id="rId1074" xr:uid="{00000000-0004-0000-0000-000031040000}"/>
    <hyperlink ref="W1076" r:id="rId1075" xr:uid="{00000000-0004-0000-0000-000032040000}"/>
    <hyperlink ref="W1077" r:id="rId1076" xr:uid="{00000000-0004-0000-0000-000033040000}"/>
    <hyperlink ref="W1078" r:id="rId1077" xr:uid="{00000000-0004-0000-0000-000034040000}"/>
    <hyperlink ref="W1079" r:id="rId1078" xr:uid="{00000000-0004-0000-0000-000035040000}"/>
    <hyperlink ref="W1080" r:id="rId1079" xr:uid="{00000000-0004-0000-0000-000036040000}"/>
    <hyperlink ref="W1081" r:id="rId1080" xr:uid="{00000000-0004-0000-0000-000037040000}"/>
    <hyperlink ref="W1082" r:id="rId1081" xr:uid="{00000000-0004-0000-0000-000038040000}"/>
    <hyperlink ref="W1083" r:id="rId1082" xr:uid="{00000000-0004-0000-0000-000039040000}"/>
    <hyperlink ref="W1084" r:id="rId1083" xr:uid="{00000000-0004-0000-0000-00003A040000}"/>
    <hyperlink ref="W1085" r:id="rId1084" xr:uid="{00000000-0004-0000-0000-00003B040000}"/>
    <hyperlink ref="W1086" r:id="rId1085" xr:uid="{00000000-0004-0000-0000-00003C040000}"/>
    <hyperlink ref="W1087" r:id="rId1086" xr:uid="{00000000-0004-0000-0000-00003D040000}"/>
    <hyperlink ref="W1088" r:id="rId1087" xr:uid="{00000000-0004-0000-0000-00003E040000}"/>
    <hyperlink ref="W1089" r:id="rId1088" xr:uid="{00000000-0004-0000-0000-00003F040000}"/>
    <hyperlink ref="W1090" r:id="rId1089" xr:uid="{00000000-0004-0000-0000-000040040000}"/>
    <hyperlink ref="W1091" r:id="rId1090" xr:uid="{00000000-0004-0000-0000-000041040000}"/>
    <hyperlink ref="W1092" r:id="rId1091" xr:uid="{00000000-0004-0000-0000-000042040000}"/>
    <hyperlink ref="W1093" r:id="rId1092" xr:uid="{00000000-0004-0000-0000-000043040000}"/>
    <hyperlink ref="W1094" r:id="rId1093" xr:uid="{00000000-0004-0000-0000-000044040000}"/>
    <hyperlink ref="W1095" r:id="rId1094" xr:uid="{00000000-0004-0000-0000-000045040000}"/>
    <hyperlink ref="W1096" r:id="rId1095" xr:uid="{00000000-0004-0000-0000-000046040000}"/>
    <hyperlink ref="W1097" r:id="rId1096" xr:uid="{00000000-0004-0000-0000-000047040000}"/>
    <hyperlink ref="W1098" r:id="rId1097" xr:uid="{00000000-0004-0000-0000-000048040000}"/>
    <hyperlink ref="W1099" r:id="rId1098" xr:uid="{00000000-0004-0000-0000-000049040000}"/>
    <hyperlink ref="W1100" r:id="rId1099" xr:uid="{00000000-0004-0000-0000-00004A040000}"/>
    <hyperlink ref="W1101" r:id="rId1100" xr:uid="{00000000-0004-0000-0000-00004B040000}"/>
    <hyperlink ref="W1102" r:id="rId1101" xr:uid="{00000000-0004-0000-0000-00004C040000}"/>
    <hyperlink ref="W1103" r:id="rId1102" xr:uid="{00000000-0004-0000-0000-00004D040000}"/>
    <hyperlink ref="W1104" r:id="rId1103" xr:uid="{00000000-0004-0000-0000-00004E040000}"/>
    <hyperlink ref="W1105" r:id="rId1104" xr:uid="{00000000-0004-0000-0000-00004F040000}"/>
    <hyperlink ref="W1106" r:id="rId1105" xr:uid="{00000000-0004-0000-0000-000050040000}"/>
    <hyperlink ref="W1107" r:id="rId1106" xr:uid="{00000000-0004-0000-0000-000051040000}"/>
    <hyperlink ref="W1108" r:id="rId1107" xr:uid="{00000000-0004-0000-0000-000052040000}"/>
    <hyperlink ref="W1109" r:id="rId1108" xr:uid="{00000000-0004-0000-0000-000053040000}"/>
    <hyperlink ref="W1110" r:id="rId1109" xr:uid="{00000000-0004-0000-0000-000054040000}"/>
    <hyperlink ref="W1111" r:id="rId1110" xr:uid="{00000000-0004-0000-0000-000055040000}"/>
    <hyperlink ref="W1112" r:id="rId1111" xr:uid="{00000000-0004-0000-0000-000056040000}"/>
    <hyperlink ref="W1113" r:id="rId1112" xr:uid="{00000000-0004-0000-0000-000057040000}"/>
    <hyperlink ref="W1114" r:id="rId1113" xr:uid="{00000000-0004-0000-0000-000058040000}"/>
    <hyperlink ref="W1115" r:id="rId1114" xr:uid="{00000000-0004-0000-0000-000059040000}"/>
    <hyperlink ref="W1116" r:id="rId1115" xr:uid="{00000000-0004-0000-0000-00005A040000}"/>
    <hyperlink ref="W1117" r:id="rId1116" xr:uid="{00000000-0004-0000-0000-00005B040000}"/>
    <hyperlink ref="W1118" r:id="rId1117" xr:uid="{00000000-0004-0000-0000-00005C040000}"/>
    <hyperlink ref="W1119" r:id="rId1118" xr:uid="{00000000-0004-0000-0000-00005D040000}"/>
    <hyperlink ref="W1120" r:id="rId1119" xr:uid="{00000000-0004-0000-0000-00005E040000}"/>
    <hyperlink ref="W1121" r:id="rId1120" xr:uid="{00000000-0004-0000-0000-00005F040000}"/>
    <hyperlink ref="W1122" r:id="rId1121" xr:uid="{00000000-0004-0000-0000-000060040000}"/>
    <hyperlink ref="W1123" r:id="rId1122" xr:uid="{00000000-0004-0000-0000-000061040000}"/>
    <hyperlink ref="W1124" r:id="rId1123" xr:uid="{00000000-0004-0000-0000-000062040000}"/>
    <hyperlink ref="W1125" r:id="rId1124" xr:uid="{00000000-0004-0000-0000-000063040000}"/>
    <hyperlink ref="W1126" r:id="rId1125" xr:uid="{00000000-0004-0000-0000-000064040000}"/>
    <hyperlink ref="W1127" r:id="rId1126" xr:uid="{00000000-0004-0000-0000-000065040000}"/>
    <hyperlink ref="W1128" r:id="rId1127" xr:uid="{00000000-0004-0000-0000-000066040000}"/>
    <hyperlink ref="W1129" r:id="rId1128" xr:uid="{00000000-0004-0000-0000-000067040000}"/>
    <hyperlink ref="W1130" r:id="rId1129" xr:uid="{00000000-0004-0000-0000-000068040000}"/>
    <hyperlink ref="W1131" r:id="rId1130" xr:uid="{00000000-0004-0000-0000-000069040000}"/>
    <hyperlink ref="W1132" r:id="rId1131" xr:uid="{00000000-0004-0000-0000-00006A040000}"/>
    <hyperlink ref="W1133" r:id="rId1132" xr:uid="{00000000-0004-0000-0000-00006B040000}"/>
    <hyperlink ref="W1134" r:id="rId1133" xr:uid="{00000000-0004-0000-0000-00006C040000}"/>
    <hyperlink ref="W1135" r:id="rId1134" xr:uid="{00000000-0004-0000-0000-00006D040000}"/>
    <hyperlink ref="W1136" r:id="rId1135" xr:uid="{00000000-0004-0000-0000-00006E040000}"/>
    <hyperlink ref="W1137" r:id="rId1136" xr:uid="{00000000-0004-0000-0000-00006F040000}"/>
    <hyperlink ref="W1138" r:id="rId1137" xr:uid="{00000000-0004-0000-0000-000070040000}"/>
    <hyperlink ref="W1139" r:id="rId1138" xr:uid="{00000000-0004-0000-0000-000071040000}"/>
    <hyperlink ref="W1140" r:id="rId1139" xr:uid="{00000000-0004-0000-0000-000072040000}"/>
    <hyperlink ref="W1141" r:id="rId1140" xr:uid="{00000000-0004-0000-0000-000073040000}"/>
    <hyperlink ref="W1142" r:id="rId1141" xr:uid="{00000000-0004-0000-0000-000074040000}"/>
    <hyperlink ref="W1143" r:id="rId1142" xr:uid="{00000000-0004-0000-0000-000075040000}"/>
    <hyperlink ref="W1144" r:id="rId1143" xr:uid="{00000000-0004-0000-0000-000076040000}"/>
    <hyperlink ref="W1145" r:id="rId1144" xr:uid="{00000000-0004-0000-0000-000077040000}"/>
    <hyperlink ref="W1146" r:id="rId1145" xr:uid="{00000000-0004-0000-0000-000078040000}"/>
    <hyperlink ref="W1147" r:id="rId1146" xr:uid="{00000000-0004-0000-0000-000079040000}"/>
    <hyperlink ref="W1148" r:id="rId1147" xr:uid="{00000000-0004-0000-0000-00007A040000}"/>
    <hyperlink ref="W1149" r:id="rId1148" xr:uid="{00000000-0004-0000-0000-00007B040000}"/>
    <hyperlink ref="W1150" r:id="rId1149" xr:uid="{00000000-0004-0000-0000-00007C040000}"/>
    <hyperlink ref="W1151" r:id="rId1150" xr:uid="{00000000-0004-0000-0000-00007D040000}"/>
    <hyperlink ref="W1152" r:id="rId1151" xr:uid="{00000000-0004-0000-0000-00007E040000}"/>
    <hyperlink ref="W1153" r:id="rId1152" xr:uid="{00000000-0004-0000-0000-00007F040000}"/>
    <hyperlink ref="W1154" r:id="rId1153" xr:uid="{00000000-0004-0000-0000-000080040000}"/>
    <hyperlink ref="W1155" r:id="rId1154" xr:uid="{00000000-0004-0000-0000-000081040000}"/>
    <hyperlink ref="W1156" r:id="rId1155" xr:uid="{00000000-0004-0000-0000-000082040000}"/>
    <hyperlink ref="W1157" r:id="rId1156" xr:uid="{00000000-0004-0000-0000-000083040000}"/>
    <hyperlink ref="W1158" r:id="rId1157" xr:uid="{00000000-0004-0000-0000-000084040000}"/>
    <hyperlink ref="W1159" r:id="rId1158" xr:uid="{00000000-0004-0000-0000-000085040000}"/>
    <hyperlink ref="W1160" r:id="rId1159" xr:uid="{00000000-0004-0000-0000-000086040000}"/>
    <hyperlink ref="W1161" r:id="rId1160" xr:uid="{00000000-0004-0000-0000-000087040000}"/>
    <hyperlink ref="W1162" r:id="rId1161" xr:uid="{00000000-0004-0000-0000-000088040000}"/>
    <hyperlink ref="W1163" r:id="rId1162" xr:uid="{00000000-0004-0000-0000-000089040000}"/>
    <hyperlink ref="W1164" r:id="rId1163" xr:uid="{00000000-0004-0000-0000-00008A040000}"/>
    <hyperlink ref="W1165" r:id="rId1164" xr:uid="{00000000-0004-0000-0000-00008B040000}"/>
    <hyperlink ref="W1166" r:id="rId1165" xr:uid="{00000000-0004-0000-0000-00008C040000}"/>
    <hyperlink ref="W1167" r:id="rId1166" xr:uid="{00000000-0004-0000-0000-00008D040000}"/>
    <hyperlink ref="W1168" r:id="rId1167" xr:uid="{00000000-0004-0000-0000-00008E040000}"/>
    <hyperlink ref="W1169" r:id="rId1168" xr:uid="{00000000-0004-0000-0000-00008F040000}"/>
    <hyperlink ref="W1170" r:id="rId1169" xr:uid="{00000000-0004-0000-0000-000090040000}"/>
    <hyperlink ref="W1171" r:id="rId1170" xr:uid="{00000000-0004-0000-0000-000091040000}"/>
    <hyperlink ref="W1172" r:id="rId1171" xr:uid="{00000000-0004-0000-0000-000092040000}"/>
    <hyperlink ref="W1173" r:id="rId1172" xr:uid="{00000000-0004-0000-0000-000093040000}"/>
    <hyperlink ref="W1174" r:id="rId1173" xr:uid="{00000000-0004-0000-0000-000094040000}"/>
    <hyperlink ref="W1175" r:id="rId1174" xr:uid="{00000000-0004-0000-0000-000095040000}"/>
    <hyperlink ref="W1176" r:id="rId1175" xr:uid="{00000000-0004-0000-0000-000096040000}"/>
    <hyperlink ref="W1177" r:id="rId1176" xr:uid="{00000000-0004-0000-0000-000097040000}"/>
    <hyperlink ref="W1178" r:id="rId1177" xr:uid="{00000000-0004-0000-0000-000098040000}"/>
    <hyperlink ref="W1179" r:id="rId1178" xr:uid="{00000000-0004-0000-0000-000099040000}"/>
    <hyperlink ref="W1180" r:id="rId1179" xr:uid="{00000000-0004-0000-0000-00009A040000}"/>
    <hyperlink ref="W1181" r:id="rId1180" xr:uid="{00000000-0004-0000-0000-00009B040000}"/>
    <hyperlink ref="W1182" r:id="rId1181" xr:uid="{00000000-0004-0000-0000-00009C040000}"/>
    <hyperlink ref="W1183" r:id="rId1182" xr:uid="{00000000-0004-0000-0000-00009D040000}"/>
    <hyperlink ref="W1184" r:id="rId1183" xr:uid="{00000000-0004-0000-0000-00009E040000}"/>
    <hyperlink ref="W1185" r:id="rId1184" xr:uid="{00000000-0004-0000-0000-00009F040000}"/>
    <hyperlink ref="W1186" r:id="rId1185" xr:uid="{00000000-0004-0000-0000-0000A0040000}"/>
    <hyperlink ref="W1187" r:id="rId1186" xr:uid="{00000000-0004-0000-0000-0000A1040000}"/>
    <hyperlink ref="W1188" r:id="rId1187" xr:uid="{00000000-0004-0000-0000-0000A2040000}"/>
    <hyperlink ref="W1189" r:id="rId1188" xr:uid="{00000000-0004-0000-0000-0000A3040000}"/>
    <hyperlink ref="W1190" r:id="rId1189" xr:uid="{00000000-0004-0000-0000-0000A4040000}"/>
    <hyperlink ref="W1191" r:id="rId1190" xr:uid="{00000000-0004-0000-0000-0000A5040000}"/>
    <hyperlink ref="W1192" r:id="rId1191" xr:uid="{00000000-0004-0000-0000-0000A6040000}"/>
    <hyperlink ref="W1193" r:id="rId1192" xr:uid="{00000000-0004-0000-0000-0000A7040000}"/>
    <hyperlink ref="W1194" r:id="rId1193" xr:uid="{00000000-0004-0000-0000-0000A8040000}"/>
    <hyperlink ref="W1195" r:id="rId1194" xr:uid="{00000000-0004-0000-0000-0000A9040000}"/>
    <hyperlink ref="W1196" r:id="rId1195" xr:uid="{00000000-0004-0000-0000-0000AA040000}"/>
    <hyperlink ref="W1197" r:id="rId1196" xr:uid="{00000000-0004-0000-0000-0000AB040000}"/>
    <hyperlink ref="W1198" r:id="rId1197" xr:uid="{00000000-0004-0000-0000-0000AC040000}"/>
    <hyperlink ref="W1199" r:id="rId1198" xr:uid="{00000000-0004-0000-0000-0000AD040000}"/>
    <hyperlink ref="W1200" r:id="rId1199" xr:uid="{00000000-0004-0000-0000-0000AE040000}"/>
    <hyperlink ref="W1201" r:id="rId1200" xr:uid="{00000000-0004-0000-0000-0000AF040000}"/>
    <hyperlink ref="W1202" r:id="rId1201" xr:uid="{00000000-0004-0000-0000-0000B0040000}"/>
    <hyperlink ref="W1203" r:id="rId1202" xr:uid="{00000000-0004-0000-0000-0000B1040000}"/>
    <hyperlink ref="W1204" r:id="rId1203" xr:uid="{00000000-0004-0000-0000-0000B2040000}"/>
    <hyperlink ref="W1205" r:id="rId1204" xr:uid="{00000000-0004-0000-0000-0000B3040000}"/>
    <hyperlink ref="W1206" r:id="rId1205" xr:uid="{00000000-0004-0000-0000-0000B4040000}"/>
    <hyperlink ref="W1207" r:id="rId1206" xr:uid="{00000000-0004-0000-0000-0000B5040000}"/>
    <hyperlink ref="W1208" r:id="rId1207" xr:uid="{00000000-0004-0000-0000-0000B6040000}"/>
    <hyperlink ref="W1209" r:id="rId1208" xr:uid="{00000000-0004-0000-0000-0000B7040000}"/>
    <hyperlink ref="W1210" r:id="rId1209" xr:uid="{00000000-0004-0000-0000-0000B8040000}"/>
    <hyperlink ref="W1211" r:id="rId1210" xr:uid="{00000000-0004-0000-0000-0000B9040000}"/>
    <hyperlink ref="W1212" r:id="rId1211" xr:uid="{00000000-0004-0000-0000-0000BA040000}"/>
    <hyperlink ref="W1213" r:id="rId1212" xr:uid="{00000000-0004-0000-0000-0000BB040000}"/>
    <hyperlink ref="W1214" r:id="rId1213" xr:uid="{00000000-0004-0000-0000-0000BC040000}"/>
    <hyperlink ref="W1215" r:id="rId1214" xr:uid="{00000000-0004-0000-0000-0000BD040000}"/>
    <hyperlink ref="W1216" r:id="rId1215" xr:uid="{00000000-0004-0000-0000-0000BE040000}"/>
    <hyperlink ref="W1217" r:id="rId1216" xr:uid="{00000000-0004-0000-0000-0000BF040000}"/>
    <hyperlink ref="W1218" r:id="rId1217" xr:uid="{00000000-0004-0000-0000-0000C0040000}"/>
    <hyperlink ref="W1219" r:id="rId1218" xr:uid="{00000000-0004-0000-0000-0000C1040000}"/>
    <hyperlink ref="W1220" r:id="rId1219" xr:uid="{00000000-0004-0000-0000-0000C2040000}"/>
    <hyperlink ref="W1221" r:id="rId1220" xr:uid="{00000000-0004-0000-0000-0000C3040000}"/>
    <hyperlink ref="W1222" r:id="rId1221" xr:uid="{00000000-0004-0000-0000-0000C4040000}"/>
    <hyperlink ref="W1223" r:id="rId1222" xr:uid="{00000000-0004-0000-0000-0000C5040000}"/>
    <hyperlink ref="W1224" r:id="rId1223" xr:uid="{00000000-0004-0000-0000-0000C6040000}"/>
    <hyperlink ref="W1225" r:id="rId1224" xr:uid="{00000000-0004-0000-0000-0000C7040000}"/>
    <hyperlink ref="W1226" r:id="rId1225" xr:uid="{00000000-0004-0000-0000-0000C8040000}"/>
    <hyperlink ref="W1227" r:id="rId1226" xr:uid="{00000000-0004-0000-0000-0000C9040000}"/>
    <hyperlink ref="W1228" r:id="rId1227" xr:uid="{00000000-0004-0000-0000-0000CA040000}"/>
    <hyperlink ref="W1229" r:id="rId1228" xr:uid="{00000000-0004-0000-0000-0000CB040000}"/>
    <hyperlink ref="W1230" r:id="rId1229" xr:uid="{00000000-0004-0000-0000-0000CC040000}"/>
    <hyperlink ref="W1231" r:id="rId1230" xr:uid="{00000000-0004-0000-0000-0000CD040000}"/>
    <hyperlink ref="W1232" r:id="rId1231" xr:uid="{00000000-0004-0000-0000-0000CE040000}"/>
    <hyperlink ref="W1233" r:id="rId1232" xr:uid="{00000000-0004-0000-0000-0000CF040000}"/>
    <hyperlink ref="W1234" r:id="rId1233" xr:uid="{00000000-0004-0000-0000-0000D0040000}"/>
    <hyperlink ref="W1235" r:id="rId1234" xr:uid="{00000000-0004-0000-0000-0000D1040000}"/>
    <hyperlink ref="W1236" r:id="rId1235" xr:uid="{00000000-0004-0000-0000-0000D2040000}"/>
    <hyperlink ref="W1237" r:id="rId1236" xr:uid="{00000000-0004-0000-0000-0000D3040000}"/>
    <hyperlink ref="W1238" r:id="rId1237" xr:uid="{00000000-0004-0000-0000-0000D4040000}"/>
    <hyperlink ref="W1239" r:id="rId1238" xr:uid="{00000000-0004-0000-0000-0000D5040000}"/>
    <hyperlink ref="W1240" r:id="rId1239" xr:uid="{00000000-0004-0000-0000-0000D6040000}"/>
    <hyperlink ref="W1241" r:id="rId1240" xr:uid="{00000000-0004-0000-0000-0000D7040000}"/>
    <hyperlink ref="W1242" r:id="rId1241" xr:uid="{00000000-0004-0000-0000-0000D8040000}"/>
    <hyperlink ref="W1248" r:id="rId1242" xr:uid="{00000000-0004-0000-0000-0000D9040000}"/>
    <hyperlink ref="W1249" r:id="rId1243" xr:uid="{00000000-0004-0000-0000-0000DA040000}"/>
    <hyperlink ref="W1250" r:id="rId1244" xr:uid="{00000000-0004-0000-0000-0000DB040000}"/>
    <hyperlink ref="W1251" r:id="rId1245" xr:uid="{00000000-0004-0000-0000-0000DC040000}"/>
    <hyperlink ref="W1252" r:id="rId1246" xr:uid="{00000000-0004-0000-0000-0000DD040000}"/>
    <hyperlink ref="W1253" r:id="rId1247" xr:uid="{00000000-0004-0000-0000-0000DE040000}"/>
    <hyperlink ref="W1254" r:id="rId1248" xr:uid="{00000000-0004-0000-0000-0000DF040000}"/>
    <hyperlink ref="W1255" r:id="rId1249" xr:uid="{00000000-0004-0000-0000-0000E0040000}"/>
    <hyperlink ref="W1256" r:id="rId1250" xr:uid="{00000000-0004-0000-0000-0000E1040000}"/>
    <hyperlink ref="W1257" r:id="rId1251" xr:uid="{00000000-0004-0000-0000-0000E2040000}"/>
    <hyperlink ref="W1258" r:id="rId1252" xr:uid="{00000000-0004-0000-0000-0000E3040000}"/>
    <hyperlink ref="W1259" r:id="rId1253" xr:uid="{00000000-0004-0000-0000-0000E4040000}"/>
    <hyperlink ref="W1260" r:id="rId1254" xr:uid="{00000000-0004-0000-0000-0000E5040000}"/>
    <hyperlink ref="W1261" r:id="rId1255" xr:uid="{00000000-0004-0000-0000-0000E6040000}"/>
    <hyperlink ref="W1262" r:id="rId1256" xr:uid="{00000000-0004-0000-0000-0000E7040000}"/>
    <hyperlink ref="W1263" r:id="rId1257" xr:uid="{00000000-0004-0000-0000-0000E8040000}"/>
    <hyperlink ref="W1264" r:id="rId1258" xr:uid="{00000000-0004-0000-0000-0000E9040000}"/>
    <hyperlink ref="W1265" r:id="rId1259" xr:uid="{00000000-0004-0000-0000-0000EA040000}"/>
    <hyperlink ref="W1266" r:id="rId1260" xr:uid="{00000000-0004-0000-0000-0000EB040000}"/>
    <hyperlink ref="W1267" r:id="rId1261" xr:uid="{00000000-0004-0000-0000-0000EC040000}"/>
    <hyperlink ref="W1268" r:id="rId1262" xr:uid="{00000000-0004-0000-0000-0000ED040000}"/>
    <hyperlink ref="W1269" r:id="rId1263" xr:uid="{00000000-0004-0000-0000-0000EE040000}"/>
    <hyperlink ref="W1270" r:id="rId1264" xr:uid="{00000000-0004-0000-0000-0000EF040000}"/>
    <hyperlink ref="W1271" r:id="rId1265" xr:uid="{00000000-0004-0000-0000-0000F0040000}"/>
    <hyperlink ref="W1272" r:id="rId1266" xr:uid="{00000000-0004-0000-0000-0000F1040000}"/>
    <hyperlink ref="W1273" r:id="rId1267" xr:uid="{00000000-0004-0000-0000-0000F2040000}"/>
    <hyperlink ref="W1274" r:id="rId1268" xr:uid="{00000000-0004-0000-0000-0000F3040000}"/>
    <hyperlink ref="W1275" r:id="rId1269" xr:uid="{00000000-0004-0000-0000-0000F4040000}"/>
    <hyperlink ref="W1276" r:id="rId1270" xr:uid="{00000000-0004-0000-0000-0000F5040000}"/>
    <hyperlink ref="W1277" r:id="rId1271" xr:uid="{00000000-0004-0000-0000-0000F6040000}"/>
    <hyperlink ref="W1278" r:id="rId1272" xr:uid="{00000000-0004-0000-0000-0000F7040000}"/>
    <hyperlink ref="W1279" r:id="rId1273" xr:uid="{00000000-0004-0000-0000-0000F8040000}"/>
    <hyperlink ref="W1280" r:id="rId1274" xr:uid="{00000000-0004-0000-0000-0000F9040000}"/>
    <hyperlink ref="W1281" r:id="rId1275" xr:uid="{00000000-0004-0000-0000-0000FA040000}"/>
    <hyperlink ref="W1282" r:id="rId1276" xr:uid="{00000000-0004-0000-0000-0000FB040000}"/>
    <hyperlink ref="W1283" r:id="rId1277" xr:uid="{00000000-0004-0000-0000-0000FC040000}"/>
    <hyperlink ref="W1284" r:id="rId1278" xr:uid="{00000000-0004-0000-0000-0000FD040000}"/>
    <hyperlink ref="W1285" r:id="rId1279" xr:uid="{00000000-0004-0000-0000-0000FE040000}"/>
    <hyperlink ref="W1286" r:id="rId1280" xr:uid="{00000000-0004-0000-0000-0000FF040000}"/>
    <hyperlink ref="W1287" r:id="rId1281" xr:uid="{00000000-0004-0000-0000-000000050000}"/>
    <hyperlink ref="W1288" r:id="rId1282" xr:uid="{00000000-0004-0000-0000-000001050000}"/>
    <hyperlink ref="W1289" r:id="rId1283" xr:uid="{00000000-0004-0000-0000-000002050000}"/>
    <hyperlink ref="W1290" r:id="rId1284" xr:uid="{00000000-0004-0000-0000-000003050000}"/>
    <hyperlink ref="W1291" r:id="rId1285" xr:uid="{00000000-0004-0000-0000-000004050000}"/>
    <hyperlink ref="W1292" r:id="rId1286" xr:uid="{00000000-0004-0000-0000-000005050000}"/>
    <hyperlink ref="W1293" r:id="rId1287" xr:uid="{00000000-0004-0000-0000-000006050000}"/>
    <hyperlink ref="W1294" r:id="rId1288" xr:uid="{00000000-0004-0000-0000-000007050000}"/>
    <hyperlink ref="W1295" r:id="rId1289" xr:uid="{00000000-0004-0000-0000-000008050000}"/>
    <hyperlink ref="W1296" r:id="rId1290" xr:uid="{00000000-0004-0000-0000-000009050000}"/>
    <hyperlink ref="W1297" r:id="rId1291" xr:uid="{00000000-0004-0000-0000-00000A050000}"/>
    <hyperlink ref="W1298" r:id="rId1292" xr:uid="{00000000-0004-0000-0000-00000B050000}"/>
    <hyperlink ref="W1299" r:id="rId1293" xr:uid="{00000000-0004-0000-0000-00000C050000}"/>
    <hyperlink ref="W1300" r:id="rId1294" xr:uid="{00000000-0004-0000-0000-00000D050000}"/>
    <hyperlink ref="W1301" r:id="rId1295" xr:uid="{00000000-0004-0000-0000-00000E050000}"/>
    <hyperlink ref="W1302" r:id="rId1296" xr:uid="{00000000-0004-0000-0000-00000F050000}"/>
    <hyperlink ref="W1303" r:id="rId1297" xr:uid="{00000000-0004-0000-0000-000010050000}"/>
    <hyperlink ref="W1304" r:id="rId1298" xr:uid="{00000000-0004-0000-0000-000011050000}"/>
    <hyperlink ref="W1305" r:id="rId1299" xr:uid="{00000000-0004-0000-0000-000012050000}"/>
    <hyperlink ref="W1306" r:id="rId1300" xr:uid="{00000000-0004-0000-0000-000013050000}"/>
    <hyperlink ref="W1307" r:id="rId1301" xr:uid="{00000000-0004-0000-0000-000014050000}"/>
    <hyperlink ref="W1308" r:id="rId1302" xr:uid="{00000000-0004-0000-0000-000015050000}"/>
    <hyperlink ref="W1309" r:id="rId1303" xr:uid="{00000000-0004-0000-0000-000016050000}"/>
    <hyperlink ref="W1310" r:id="rId1304" xr:uid="{00000000-0004-0000-0000-000017050000}"/>
    <hyperlink ref="W1311" r:id="rId1305" xr:uid="{00000000-0004-0000-0000-000018050000}"/>
    <hyperlink ref="W1312" r:id="rId1306" xr:uid="{00000000-0004-0000-0000-000019050000}"/>
    <hyperlink ref="W1313" r:id="rId1307" xr:uid="{00000000-0004-0000-0000-00001A050000}"/>
    <hyperlink ref="W1314" r:id="rId1308" xr:uid="{00000000-0004-0000-0000-00001B050000}"/>
    <hyperlink ref="W1315" r:id="rId1309" xr:uid="{00000000-0004-0000-0000-00001C050000}"/>
    <hyperlink ref="W1316" r:id="rId1310" xr:uid="{00000000-0004-0000-0000-00001D050000}"/>
    <hyperlink ref="W1317" r:id="rId1311" xr:uid="{00000000-0004-0000-0000-00001E050000}"/>
    <hyperlink ref="W1318" r:id="rId1312" xr:uid="{00000000-0004-0000-0000-00001F050000}"/>
    <hyperlink ref="W1319" r:id="rId1313" xr:uid="{00000000-0004-0000-0000-000020050000}"/>
    <hyperlink ref="W1320" r:id="rId1314" xr:uid="{00000000-0004-0000-0000-000021050000}"/>
    <hyperlink ref="W1321" r:id="rId1315" xr:uid="{00000000-0004-0000-0000-000022050000}"/>
    <hyperlink ref="W1322" r:id="rId1316" xr:uid="{00000000-0004-0000-0000-000023050000}"/>
    <hyperlink ref="W1323" r:id="rId1317" xr:uid="{00000000-0004-0000-0000-000024050000}"/>
    <hyperlink ref="W1324" r:id="rId1318" xr:uid="{00000000-0004-0000-0000-000025050000}"/>
    <hyperlink ref="W1325" r:id="rId1319" xr:uid="{00000000-0004-0000-0000-000026050000}"/>
    <hyperlink ref="W1326" r:id="rId1320" xr:uid="{00000000-0004-0000-0000-000027050000}"/>
    <hyperlink ref="W1327" r:id="rId1321" xr:uid="{00000000-0004-0000-0000-000028050000}"/>
    <hyperlink ref="W1328" r:id="rId1322" xr:uid="{00000000-0004-0000-0000-000029050000}"/>
    <hyperlink ref="W1329" r:id="rId1323" xr:uid="{00000000-0004-0000-0000-00002A050000}"/>
    <hyperlink ref="W1330" r:id="rId1324" xr:uid="{00000000-0004-0000-0000-00002B050000}"/>
    <hyperlink ref="W1331" r:id="rId1325" xr:uid="{00000000-0004-0000-0000-00002C050000}"/>
    <hyperlink ref="W1332" r:id="rId1326" xr:uid="{00000000-0004-0000-0000-00002D050000}"/>
    <hyperlink ref="W1333" r:id="rId1327" xr:uid="{00000000-0004-0000-0000-00002E050000}"/>
    <hyperlink ref="W1334" r:id="rId1328" xr:uid="{00000000-0004-0000-0000-00002F050000}"/>
    <hyperlink ref="W1335" r:id="rId1329" xr:uid="{00000000-0004-0000-0000-000030050000}"/>
    <hyperlink ref="W1336" r:id="rId1330" xr:uid="{00000000-0004-0000-0000-000031050000}"/>
    <hyperlink ref="W1337" r:id="rId1331" xr:uid="{00000000-0004-0000-0000-000032050000}"/>
    <hyperlink ref="W1338" r:id="rId1332" xr:uid="{00000000-0004-0000-0000-000033050000}"/>
    <hyperlink ref="W1339" r:id="rId1333" xr:uid="{00000000-0004-0000-0000-000034050000}"/>
    <hyperlink ref="W1340" r:id="rId1334" xr:uid="{00000000-0004-0000-0000-000035050000}"/>
    <hyperlink ref="W1341" r:id="rId1335" xr:uid="{00000000-0004-0000-0000-000036050000}"/>
    <hyperlink ref="W1342" r:id="rId1336" xr:uid="{00000000-0004-0000-0000-000037050000}"/>
    <hyperlink ref="W1343" r:id="rId1337" xr:uid="{00000000-0004-0000-0000-000038050000}"/>
    <hyperlink ref="W1344" r:id="rId1338" xr:uid="{00000000-0004-0000-0000-000039050000}"/>
    <hyperlink ref="W1345" r:id="rId1339" xr:uid="{00000000-0004-0000-0000-00003A050000}"/>
    <hyperlink ref="W1346" r:id="rId1340" xr:uid="{00000000-0004-0000-0000-00003B050000}"/>
    <hyperlink ref="W1347" r:id="rId1341" xr:uid="{00000000-0004-0000-0000-00003C050000}"/>
    <hyperlink ref="W1348" r:id="rId1342" xr:uid="{00000000-0004-0000-0000-00003D050000}"/>
    <hyperlink ref="W1349" r:id="rId1343" xr:uid="{00000000-0004-0000-0000-00003E050000}"/>
    <hyperlink ref="W1350" r:id="rId1344" xr:uid="{00000000-0004-0000-0000-00003F050000}"/>
    <hyperlink ref="W1351" r:id="rId1345" xr:uid="{00000000-0004-0000-0000-000040050000}"/>
    <hyperlink ref="W1352" r:id="rId1346" xr:uid="{00000000-0004-0000-0000-000041050000}"/>
    <hyperlink ref="W1353" r:id="rId1347" xr:uid="{00000000-0004-0000-0000-000042050000}"/>
    <hyperlink ref="W1354" r:id="rId1348" xr:uid="{00000000-0004-0000-0000-000043050000}"/>
    <hyperlink ref="W1355" r:id="rId1349" xr:uid="{00000000-0004-0000-0000-000044050000}"/>
    <hyperlink ref="W1356" r:id="rId1350" xr:uid="{00000000-0004-0000-0000-000045050000}"/>
    <hyperlink ref="W1357" r:id="rId1351" xr:uid="{00000000-0004-0000-0000-000046050000}"/>
    <hyperlink ref="W1358" r:id="rId1352" xr:uid="{00000000-0004-0000-0000-000047050000}"/>
    <hyperlink ref="W1359" r:id="rId1353" xr:uid="{00000000-0004-0000-0000-000048050000}"/>
    <hyperlink ref="W1360" r:id="rId1354" xr:uid="{00000000-0004-0000-0000-000049050000}"/>
    <hyperlink ref="W1361" r:id="rId1355" xr:uid="{00000000-0004-0000-0000-00004A050000}"/>
    <hyperlink ref="W1362" r:id="rId1356" xr:uid="{00000000-0004-0000-0000-00004B050000}"/>
    <hyperlink ref="W1363" r:id="rId1357" xr:uid="{00000000-0004-0000-0000-00004C050000}"/>
    <hyperlink ref="W1364" r:id="rId1358" xr:uid="{00000000-0004-0000-0000-00004D050000}"/>
    <hyperlink ref="W1365" r:id="rId1359" xr:uid="{00000000-0004-0000-0000-00004E050000}"/>
    <hyperlink ref="W1366" r:id="rId1360" xr:uid="{00000000-0004-0000-0000-00004F050000}"/>
    <hyperlink ref="W1367" r:id="rId1361" xr:uid="{00000000-0004-0000-0000-000050050000}"/>
    <hyperlink ref="W1368" r:id="rId1362" xr:uid="{00000000-0004-0000-0000-000051050000}"/>
    <hyperlink ref="W1369" r:id="rId1363" xr:uid="{00000000-0004-0000-0000-000052050000}"/>
    <hyperlink ref="W1370" r:id="rId1364" xr:uid="{00000000-0004-0000-0000-000053050000}"/>
    <hyperlink ref="W1371" r:id="rId1365" xr:uid="{00000000-0004-0000-0000-000054050000}"/>
    <hyperlink ref="W1372" r:id="rId1366" xr:uid="{00000000-0004-0000-0000-000055050000}"/>
    <hyperlink ref="W1373" r:id="rId1367" xr:uid="{00000000-0004-0000-0000-000056050000}"/>
    <hyperlink ref="W1374" r:id="rId1368" xr:uid="{00000000-0004-0000-0000-000057050000}"/>
    <hyperlink ref="W1375" r:id="rId1369" xr:uid="{00000000-0004-0000-0000-000058050000}"/>
    <hyperlink ref="W1376" r:id="rId1370" xr:uid="{00000000-0004-0000-0000-000059050000}"/>
    <hyperlink ref="W1377" r:id="rId1371" xr:uid="{00000000-0004-0000-0000-00005A050000}"/>
    <hyperlink ref="W1378" r:id="rId1372" xr:uid="{00000000-0004-0000-0000-00005B050000}"/>
    <hyperlink ref="W1379" r:id="rId1373" xr:uid="{00000000-0004-0000-0000-00005C050000}"/>
    <hyperlink ref="W1380" r:id="rId1374" xr:uid="{00000000-0004-0000-0000-00005D050000}"/>
    <hyperlink ref="W1381" r:id="rId1375" xr:uid="{00000000-0004-0000-0000-00005E050000}"/>
    <hyperlink ref="W1382" r:id="rId1376" xr:uid="{00000000-0004-0000-0000-00005F050000}"/>
    <hyperlink ref="W1383" r:id="rId1377" xr:uid="{00000000-0004-0000-0000-000060050000}"/>
    <hyperlink ref="W1384" r:id="rId1378" xr:uid="{00000000-0004-0000-0000-000061050000}"/>
    <hyperlink ref="W1385" r:id="rId1379" xr:uid="{00000000-0004-0000-0000-000062050000}"/>
    <hyperlink ref="W1386" r:id="rId1380" xr:uid="{00000000-0004-0000-0000-000063050000}"/>
    <hyperlink ref="W1387" r:id="rId1381" xr:uid="{00000000-0004-0000-0000-000064050000}"/>
    <hyperlink ref="W1388" r:id="rId1382" xr:uid="{00000000-0004-0000-0000-000065050000}"/>
    <hyperlink ref="W1389" r:id="rId1383" xr:uid="{00000000-0004-0000-0000-000066050000}"/>
    <hyperlink ref="W1390" r:id="rId1384" xr:uid="{00000000-0004-0000-0000-000067050000}"/>
    <hyperlink ref="W1391" r:id="rId1385" xr:uid="{00000000-0004-0000-0000-000068050000}"/>
    <hyperlink ref="W1392" r:id="rId1386" xr:uid="{00000000-0004-0000-0000-000069050000}"/>
    <hyperlink ref="W1393" r:id="rId1387" xr:uid="{00000000-0004-0000-0000-00006A050000}"/>
    <hyperlink ref="W1394" r:id="rId1388" xr:uid="{00000000-0004-0000-0000-00006B050000}"/>
    <hyperlink ref="W1395" r:id="rId1389" xr:uid="{00000000-0004-0000-0000-00006C050000}"/>
    <hyperlink ref="W1396" r:id="rId1390" xr:uid="{00000000-0004-0000-0000-00006D050000}"/>
    <hyperlink ref="W1397" r:id="rId1391" xr:uid="{00000000-0004-0000-0000-00006E050000}"/>
    <hyperlink ref="W1398" r:id="rId1392" xr:uid="{00000000-0004-0000-0000-00006F050000}"/>
    <hyperlink ref="W1399" r:id="rId1393" xr:uid="{00000000-0004-0000-0000-000070050000}"/>
    <hyperlink ref="W1400" r:id="rId1394" xr:uid="{00000000-0004-0000-0000-000071050000}"/>
    <hyperlink ref="W1401" r:id="rId1395" xr:uid="{00000000-0004-0000-0000-000072050000}"/>
    <hyperlink ref="W1402" r:id="rId1396" xr:uid="{00000000-0004-0000-0000-000073050000}"/>
    <hyperlink ref="W1403" r:id="rId1397" xr:uid="{00000000-0004-0000-0000-000074050000}"/>
    <hyperlink ref="W1404" r:id="rId1398" xr:uid="{00000000-0004-0000-0000-000075050000}"/>
    <hyperlink ref="W1405" r:id="rId1399" xr:uid="{00000000-0004-0000-0000-000076050000}"/>
    <hyperlink ref="W1406" r:id="rId1400" xr:uid="{00000000-0004-0000-0000-000077050000}"/>
    <hyperlink ref="W1407" r:id="rId1401" xr:uid="{00000000-0004-0000-0000-000078050000}"/>
    <hyperlink ref="W1408" r:id="rId1402" xr:uid="{00000000-0004-0000-0000-000079050000}"/>
    <hyperlink ref="W1409" r:id="rId1403" xr:uid="{00000000-0004-0000-0000-00007A050000}"/>
    <hyperlink ref="W1410" r:id="rId1404" xr:uid="{00000000-0004-0000-0000-00007B050000}"/>
    <hyperlink ref="W1411" r:id="rId1405" xr:uid="{00000000-0004-0000-0000-00007C050000}"/>
    <hyperlink ref="W1412" r:id="rId1406" xr:uid="{00000000-0004-0000-0000-00007D050000}"/>
    <hyperlink ref="W1413" r:id="rId1407" xr:uid="{00000000-0004-0000-0000-00007E050000}"/>
    <hyperlink ref="W1414" r:id="rId1408" xr:uid="{00000000-0004-0000-0000-00007F050000}"/>
    <hyperlink ref="W1415" r:id="rId1409" xr:uid="{00000000-0004-0000-0000-000080050000}"/>
    <hyperlink ref="W1416" r:id="rId1410" xr:uid="{00000000-0004-0000-0000-000081050000}"/>
    <hyperlink ref="W1417" r:id="rId1411" xr:uid="{00000000-0004-0000-0000-000082050000}"/>
    <hyperlink ref="W1418" r:id="rId1412" xr:uid="{00000000-0004-0000-0000-000083050000}"/>
    <hyperlink ref="W1419" r:id="rId1413" xr:uid="{00000000-0004-0000-0000-000084050000}"/>
    <hyperlink ref="W1420" r:id="rId1414" xr:uid="{00000000-0004-0000-0000-000085050000}"/>
    <hyperlink ref="W1421" r:id="rId1415" xr:uid="{00000000-0004-0000-0000-000086050000}"/>
    <hyperlink ref="W1422" r:id="rId1416" xr:uid="{00000000-0004-0000-0000-000087050000}"/>
    <hyperlink ref="W1423" r:id="rId1417" xr:uid="{00000000-0004-0000-0000-000088050000}"/>
    <hyperlink ref="W1424" r:id="rId1418" xr:uid="{00000000-0004-0000-0000-000089050000}"/>
    <hyperlink ref="W1425" r:id="rId1419" xr:uid="{00000000-0004-0000-0000-00008A050000}"/>
    <hyperlink ref="W1426" r:id="rId1420" xr:uid="{00000000-0004-0000-0000-00008B050000}"/>
    <hyperlink ref="W1427" r:id="rId1421" xr:uid="{00000000-0004-0000-0000-00008C050000}"/>
    <hyperlink ref="W1428" r:id="rId1422" xr:uid="{00000000-0004-0000-0000-00008D050000}"/>
    <hyperlink ref="W1429" r:id="rId1423" xr:uid="{00000000-0004-0000-0000-00008E050000}"/>
    <hyperlink ref="W1430" r:id="rId1424" xr:uid="{00000000-0004-0000-0000-00008F050000}"/>
    <hyperlink ref="W1431" r:id="rId1425" xr:uid="{00000000-0004-0000-0000-000090050000}"/>
    <hyperlink ref="W1432" r:id="rId1426" xr:uid="{00000000-0004-0000-0000-000091050000}"/>
    <hyperlink ref="W1433" r:id="rId1427" xr:uid="{00000000-0004-0000-0000-000092050000}"/>
    <hyperlink ref="W1434" r:id="rId1428" xr:uid="{00000000-0004-0000-0000-000093050000}"/>
    <hyperlink ref="W1435" r:id="rId1429" xr:uid="{00000000-0004-0000-0000-000094050000}"/>
    <hyperlink ref="W1436" r:id="rId1430" xr:uid="{00000000-0004-0000-0000-000095050000}"/>
    <hyperlink ref="W1437" r:id="rId1431" xr:uid="{00000000-0004-0000-0000-000096050000}"/>
    <hyperlink ref="W1438" r:id="rId1432" xr:uid="{00000000-0004-0000-0000-000097050000}"/>
    <hyperlink ref="W1439" r:id="rId1433" xr:uid="{00000000-0004-0000-0000-000098050000}"/>
    <hyperlink ref="W1440" r:id="rId1434" xr:uid="{00000000-0004-0000-0000-000099050000}"/>
    <hyperlink ref="W1441" r:id="rId1435" xr:uid="{00000000-0004-0000-0000-00009A050000}"/>
    <hyperlink ref="W1442" r:id="rId1436" xr:uid="{00000000-0004-0000-0000-00009B050000}"/>
    <hyperlink ref="W1443" r:id="rId1437" xr:uid="{00000000-0004-0000-0000-00009C050000}"/>
    <hyperlink ref="W1444" r:id="rId1438" xr:uid="{00000000-0004-0000-0000-00009D050000}"/>
    <hyperlink ref="W1445" r:id="rId1439" xr:uid="{00000000-0004-0000-0000-00009E050000}"/>
    <hyperlink ref="W1446" r:id="rId1440" xr:uid="{00000000-0004-0000-0000-00009F050000}"/>
    <hyperlink ref="W1447" r:id="rId1441" xr:uid="{00000000-0004-0000-0000-0000A0050000}"/>
    <hyperlink ref="W1448" r:id="rId1442" xr:uid="{00000000-0004-0000-0000-0000A1050000}"/>
    <hyperlink ref="W1449" r:id="rId1443" xr:uid="{00000000-0004-0000-0000-0000A2050000}"/>
    <hyperlink ref="W1450" r:id="rId1444" xr:uid="{00000000-0004-0000-0000-0000A3050000}"/>
    <hyperlink ref="W1451" r:id="rId1445" xr:uid="{00000000-0004-0000-0000-0000A4050000}"/>
    <hyperlink ref="W1452" r:id="rId1446" xr:uid="{00000000-0004-0000-0000-0000A5050000}"/>
    <hyperlink ref="W1453" r:id="rId1447" xr:uid="{00000000-0004-0000-0000-0000A6050000}"/>
    <hyperlink ref="W1454" r:id="rId1448" xr:uid="{00000000-0004-0000-0000-0000A7050000}"/>
    <hyperlink ref="W1455" r:id="rId1449" xr:uid="{00000000-0004-0000-0000-0000A8050000}"/>
    <hyperlink ref="W1456" r:id="rId1450" xr:uid="{00000000-0004-0000-0000-0000A9050000}"/>
    <hyperlink ref="W1457" r:id="rId1451" xr:uid="{00000000-0004-0000-0000-0000AA050000}"/>
    <hyperlink ref="W1458" r:id="rId1452" xr:uid="{00000000-0004-0000-0000-0000AB050000}"/>
    <hyperlink ref="W1459" r:id="rId1453" xr:uid="{00000000-0004-0000-0000-0000AC050000}"/>
    <hyperlink ref="W1460" r:id="rId1454" xr:uid="{00000000-0004-0000-0000-0000AD050000}"/>
    <hyperlink ref="W1461" r:id="rId1455" xr:uid="{00000000-0004-0000-0000-0000AE050000}"/>
    <hyperlink ref="W1462" r:id="rId1456" xr:uid="{00000000-0004-0000-0000-0000AF050000}"/>
    <hyperlink ref="W1463" r:id="rId1457" xr:uid="{00000000-0004-0000-0000-0000B0050000}"/>
    <hyperlink ref="W1464" r:id="rId1458" xr:uid="{00000000-0004-0000-0000-0000B1050000}"/>
    <hyperlink ref="W1465" r:id="rId1459" xr:uid="{00000000-0004-0000-0000-0000B2050000}"/>
    <hyperlink ref="W1466" r:id="rId1460" xr:uid="{00000000-0004-0000-0000-0000B3050000}"/>
    <hyperlink ref="W1467" r:id="rId1461" xr:uid="{00000000-0004-0000-0000-0000B4050000}"/>
    <hyperlink ref="W1468" r:id="rId1462" xr:uid="{00000000-0004-0000-0000-0000B5050000}"/>
    <hyperlink ref="W1469" r:id="rId1463" xr:uid="{00000000-0004-0000-0000-0000B6050000}"/>
    <hyperlink ref="W1470" r:id="rId1464" xr:uid="{00000000-0004-0000-0000-0000B7050000}"/>
    <hyperlink ref="W1471" r:id="rId1465" xr:uid="{00000000-0004-0000-0000-0000B8050000}"/>
    <hyperlink ref="W1472" r:id="rId1466" xr:uid="{00000000-0004-0000-0000-0000B9050000}"/>
    <hyperlink ref="W1473" r:id="rId1467" xr:uid="{00000000-0004-0000-0000-0000BA050000}"/>
    <hyperlink ref="W1474" r:id="rId1468" xr:uid="{00000000-0004-0000-0000-0000BB050000}"/>
    <hyperlink ref="W1475" r:id="rId1469" xr:uid="{00000000-0004-0000-0000-0000BC050000}"/>
    <hyperlink ref="W1476" r:id="rId1470" xr:uid="{00000000-0004-0000-0000-0000BD050000}"/>
    <hyperlink ref="W1477" r:id="rId1471" xr:uid="{00000000-0004-0000-0000-0000BE050000}"/>
    <hyperlink ref="W1478" r:id="rId1472" xr:uid="{00000000-0004-0000-0000-0000BF050000}"/>
    <hyperlink ref="W1479" r:id="rId1473" xr:uid="{00000000-0004-0000-0000-0000C0050000}"/>
    <hyperlink ref="W1480" r:id="rId1474" xr:uid="{00000000-0004-0000-0000-0000C1050000}"/>
    <hyperlink ref="W1481" r:id="rId1475" xr:uid="{00000000-0004-0000-0000-0000C2050000}"/>
    <hyperlink ref="W1482" r:id="rId1476" xr:uid="{00000000-0004-0000-0000-0000C3050000}"/>
    <hyperlink ref="W1483" r:id="rId1477" xr:uid="{00000000-0004-0000-0000-0000C4050000}"/>
    <hyperlink ref="W1484" r:id="rId1478" xr:uid="{00000000-0004-0000-0000-0000C5050000}"/>
    <hyperlink ref="W1485" r:id="rId1479" xr:uid="{00000000-0004-0000-0000-0000C6050000}"/>
    <hyperlink ref="W1486" r:id="rId1480" xr:uid="{00000000-0004-0000-0000-0000C7050000}"/>
    <hyperlink ref="W1487" r:id="rId1481" xr:uid="{00000000-0004-0000-0000-0000C8050000}"/>
    <hyperlink ref="W1488" r:id="rId1482" xr:uid="{00000000-0004-0000-0000-0000C9050000}"/>
    <hyperlink ref="W1489" r:id="rId1483" xr:uid="{00000000-0004-0000-0000-0000CA050000}"/>
    <hyperlink ref="W1490" r:id="rId1484" xr:uid="{00000000-0004-0000-0000-0000CB050000}"/>
    <hyperlink ref="W1491" r:id="rId1485" xr:uid="{00000000-0004-0000-0000-0000CC050000}"/>
    <hyperlink ref="W1492" r:id="rId1486" xr:uid="{00000000-0004-0000-0000-0000CD050000}"/>
    <hyperlink ref="W1493" r:id="rId1487" xr:uid="{00000000-0004-0000-0000-0000CE050000}"/>
    <hyperlink ref="W1494" r:id="rId1488" xr:uid="{00000000-0004-0000-0000-0000CF050000}"/>
    <hyperlink ref="W1495" r:id="rId1489" xr:uid="{00000000-0004-0000-0000-0000D0050000}"/>
    <hyperlink ref="W1496" r:id="rId1490" xr:uid="{00000000-0004-0000-0000-0000D1050000}"/>
    <hyperlink ref="W1497" r:id="rId1491" xr:uid="{00000000-0004-0000-0000-0000D2050000}"/>
    <hyperlink ref="W1498" r:id="rId1492" xr:uid="{00000000-0004-0000-0000-0000D3050000}"/>
    <hyperlink ref="W1499" r:id="rId1493" xr:uid="{00000000-0004-0000-0000-0000D4050000}"/>
    <hyperlink ref="W1500" r:id="rId1494" xr:uid="{00000000-0004-0000-0000-0000D5050000}"/>
    <hyperlink ref="W1501" r:id="rId1495" xr:uid="{00000000-0004-0000-0000-0000D6050000}"/>
    <hyperlink ref="W1502" r:id="rId1496" xr:uid="{00000000-0004-0000-0000-0000D7050000}"/>
    <hyperlink ref="W1503" r:id="rId1497" xr:uid="{00000000-0004-0000-0000-0000D8050000}"/>
    <hyperlink ref="W1504" r:id="rId1498" xr:uid="{00000000-0004-0000-0000-0000D9050000}"/>
    <hyperlink ref="W1505" r:id="rId1499" xr:uid="{00000000-0004-0000-0000-0000DA050000}"/>
    <hyperlink ref="W1506" r:id="rId1500" xr:uid="{00000000-0004-0000-0000-0000DB050000}"/>
    <hyperlink ref="W1507" r:id="rId1501" xr:uid="{00000000-0004-0000-0000-0000DC050000}"/>
    <hyperlink ref="W1508" r:id="rId1502" xr:uid="{00000000-0004-0000-0000-0000DD050000}"/>
    <hyperlink ref="W1509" r:id="rId1503" xr:uid="{00000000-0004-0000-0000-0000DE050000}"/>
    <hyperlink ref="W1510" r:id="rId1504" xr:uid="{00000000-0004-0000-0000-0000DF050000}"/>
    <hyperlink ref="W1511" r:id="rId1505" xr:uid="{00000000-0004-0000-0000-0000E0050000}"/>
    <hyperlink ref="W1512" r:id="rId1506" xr:uid="{00000000-0004-0000-0000-0000E1050000}"/>
    <hyperlink ref="W1513" r:id="rId1507" xr:uid="{00000000-0004-0000-0000-0000E2050000}"/>
    <hyperlink ref="W1514" r:id="rId1508" xr:uid="{00000000-0004-0000-0000-0000E3050000}"/>
    <hyperlink ref="W1515" r:id="rId1509" xr:uid="{00000000-0004-0000-0000-0000E4050000}"/>
    <hyperlink ref="W1516" r:id="rId1510" xr:uid="{00000000-0004-0000-0000-0000E5050000}"/>
    <hyperlink ref="W1517" r:id="rId1511" xr:uid="{00000000-0004-0000-0000-0000E6050000}"/>
    <hyperlink ref="W1518" r:id="rId1512" xr:uid="{00000000-0004-0000-0000-0000E7050000}"/>
    <hyperlink ref="W1519" r:id="rId1513" xr:uid="{00000000-0004-0000-0000-0000E8050000}"/>
    <hyperlink ref="W1520" r:id="rId1514" xr:uid="{00000000-0004-0000-0000-0000E9050000}"/>
    <hyperlink ref="W1521" r:id="rId1515" xr:uid="{00000000-0004-0000-0000-0000EA050000}"/>
    <hyperlink ref="W1522" r:id="rId1516" xr:uid="{00000000-0004-0000-0000-0000EB050000}"/>
    <hyperlink ref="W1523" r:id="rId1517" xr:uid="{00000000-0004-0000-0000-0000EC050000}"/>
    <hyperlink ref="W1524" r:id="rId1518" xr:uid="{00000000-0004-0000-0000-0000ED050000}"/>
    <hyperlink ref="W1525" r:id="rId1519" xr:uid="{00000000-0004-0000-0000-0000EE050000}"/>
    <hyperlink ref="W1526" r:id="rId1520" xr:uid="{00000000-0004-0000-0000-0000EF050000}"/>
    <hyperlink ref="W1527" r:id="rId1521" xr:uid="{00000000-0004-0000-0000-0000F0050000}"/>
    <hyperlink ref="W1528" r:id="rId1522" xr:uid="{00000000-0004-0000-0000-0000F1050000}"/>
    <hyperlink ref="W1529" r:id="rId1523" xr:uid="{00000000-0004-0000-0000-0000F2050000}"/>
    <hyperlink ref="W1530" r:id="rId1524" xr:uid="{00000000-0004-0000-0000-0000F3050000}"/>
    <hyperlink ref="W1531" r:id="rId1525" xr:uid="{00000000-0004-0000-0000-0000F4050000}"/>
    <hyperlink ref="W1532" r:id="rId1526" xr:uid="{00000000-0004-0000-0000-0000F5050000}"/>
    <hyperlink ref="W1533" r:id="rId1527" xr:uid="{00000000-0004-0000-0000-0000F6050000}"/>
    <hyperlink ref="W1534" r:id="rId1528" xr:uid="{00000000-0004-0000-0000-0000F7050000}"/>
    <hyperlink ref="W1535" r:id="rId1529" xr:uid="{00000000-0004-0000-0000-0000F8050000}"/>
    <hyperlink ref="W1536" r:id="rId1530" xr:uid="{00000000-0004-0000-0000-0000F9050000}"/>
    <hyperlink ref="W1537" r:id="rId1531" xr:uid="{00000000-0004-0000-0000-0000FA050000}"/>
    <hyperlink ref="W1538" r:id="rId1532" xr:uid="{00000000-0004-0000-0000-0000FB050000}"/>
    <hyperlink ref="W1539" r:id="rId1533" xr:uid="{00000000-0004-0000-0000-0000FC050000}"/>
    <hyperlink ref="W1540" r:id="rId1534" xr:uid="{00000000-0004-0000-0000-0000FD050000}"/>
    <hyperlink ref="W1541" r:id="rId1535" xr:uid="{00000000-0004-0000-0000-0000FE050000}"/>
    <hyperlink ref="W1542" r:id="rId1536" xr:uid="{00000000-0004-0000-0000-0000FF050000}"/>
    <hyperlink ref="W1543" r:id="rId1537" xr:uid="{00000000-0004-0000-0000-000000060000}"/>
    <hyperlink ref="W1544" r:id="rId1538" xr:uid="{00000000-0004-0000-0000-000001060000}"/>
    <hyperlink ref="W1545" r:id="rId1539" xr:uid="{00000000-0004-0000-0000-000002060000}"/>
    <hyperlink ref="W1546" r:id="rId1540" xr:uid="{00000000-0004-0000-0000-000003060000}"/>
    <hyperlink ref="W1547" r:id="rId1541" xr:uid="{00000000-0004-0000-0000-000004060000}"/>
    <hyperlink ref="W1548" r:id="rId1542" xr:uid="{00000000-0004-0000-0000-000005060000}"/>
    <hyperlink ref="W1549" r:id="rId1543" xr:uid="{00000000-0004-0000-0000-000006060000}"/>
    <hyperlink ref="W1550" r:id="rId1544" xr:uid="{00000000-0004-0000-0000-000007060000}"/>
    <hyperlink ref="W1551" r:id="rId1545" xr:uid="{00000000-0004-0000-0000-000008060000}"/>
    <hyperlink ref="W1552" r:id="rId1546" xr:uid="{00000000-0004-0000-0000-000009060000}"/>
    <hyperlink ref="W1553" r:id="rId1547" xr:uid="{00000000-0004-0000-0000-00000A060000}"/>
    <hyperlink ref="W1554" r:id="rId1548" xr:uid="{00000000-0004-0000-0000-00000B060000}"/>
    <hyperlink ref="W1555" r:id="rId1549" xr:uid="{00000000-0004-0000-0000-00000C060000}"/>
    <hyperlink ref="W1556" r:id="rId1550" xr:uid="{00000000-0004-0000-0000-00000D060000}"/>
    <hyperlink ref="W1557" r:id="rId1551" xr:uid="{00000000-0004-0000-0000-00000E060000}"/>
    <hyperlink ref="W1558" r:id="rId1552" xr:uid="{00000000-0004-0000-0000-00000F060000}"/>
    <hyperlink ref="W1559" r:id="rId1553" xr:uid="{00000000-0004-0000-0000-000010060000}"/>
    <hyperlink ref="W1560" r:id="rId1554" xr:uid="{00000000-0004-0000-0000-000011060000}"/>
    <hyperlink ref="W1561" r:id="rId1555" xr:uid="{00000000-0004-0000-0000-000012060000}"/>
    <hyperlink ref="W1562" r:id="rId1556" xr:uid="{00000000-0004-0000-0000-000013060000}"/>
    <hyperlink ref="W1563" r:id="rId1557" xr:uid="{00000000-0004-0000-0000-000014060000}"/>
    <hyperlink ref="W1564" r:id="rId1558" xr:uid="{00000000-0004-0000-0000-000015060000}"/>
    <hyperlink ref="W1565" r:id="rId1559" xr:uid="{00000000-0004-0000-0000-000016060000}"/>
    <hyperlink ref="W1566" r:id="rId1560" xr:uid="{00000000-0004-0000-0000-000017060000}"/>
    <hyperlink ref="W1567" r:id="rId1561" xr:uid="{00000000-0004-0000-0000-000018060000}"/>
    <hyperlink ref="W1568" r:id="rId1562" xr:uid="{00000000-0004-0000-0000-000019060000}"/>
    <hyperlink ref="W1569" r:id="rId1563" xr:uid="{00000000-0004-0000-0000-00001A060000}"/>
    <hyperlink ref="W1570" r:id="rId1564" xr:uid="{00000000-0004-0000-0000-00001B060000}"/>
    <hyperlink ref="W1571" r:id="rId1565" xr:uid="{00000000-0004-0000-0000-00001C060000}"/>
    <hyperlink ref="W1572" r:id="rId1566" xr:uid="{00000000-0004-0000-0000-00001D060000}"/>
    <hyperlink ref="W1573" r:id="rId1567" xr:uid="{00000000-0004-0000-0000-00001E060000}"/>
    <hyperlink ref="W1574" r:id="rId1568" xr:uid="{00000000-0004-0000-0000-00001F060000}"/>
    <hyperlink ref="W1575" r:id="rId1569" xr:uid="{00000000-0004-0000-0000-000020060000}"/>
    <hyperlink ref="W1576" r:id="rId1570" xr:uid="{00000000-0004-0000-0000-000021060000}"/>
    <hyperlink ref="W1577" r:id="rId1571" xr:uid="{00000000-0004-0000-0000-000022060000}"/>
    <hyperlink ref="W1578" r:id="rId1572" xr:uid="{00000000-0004-0000-0000-000023060000}"/>
    <hyperlink ref="W1579" r:id="rId1573" xr:uid="{00000000-0004-0000-0000-000024060000}"/>
    <hyperlink ref="W1580" r:id="rId1574" xr:uid="{00000000-0004-0000-0000-000025060000}"/>
    <hyperlink ref="W1581" r:id="rId1575" xr:uid="{00000000-0004-0000-0000-000026060000}"/>
    <hyperlink ref="W1582" r:id="rId1576" xr:uid="{00000000-0004-0000-0000-000027060000}"/>
    <hyperlink ref="W1583" r:id="rId1577" xr:uid="{00000000-0004-0000-0000-000028060000}"/>
    <hyperlink ref="W1584" r:id="rId1578" xr:uid="{00000000-0004-0000-0000-000029060000}"/>
    <hyperlink ref="W1585" r:id="rId1579" xr:uid="{00000000-0004-0000-0000-00002A060000}"/>
    <hyperlink ref="W1586" r:id="rId1580" xr:uid="{00000000-0004-0000-0000-00002B060000}"/>
    <hyperlink ref="W1587" r:id="rId1581" xr:uid="{00000000-0004-0000-0000-00002C060000}"/>
    <hyperlink ref="W1588" r:id="rId1582" xr:uid="{00000000-0004-0000-0000-00002D060000}"/>
    <hyperlink ref="W1589" r:id="rId1583" xr:uid="{00000000-0004-0000-0000-00002E060000}"/>
    <hyperlink ref="W1590" r:id="rId1584" xr:uid="{00000000-0004-0000-0000-00002F060000}"/>
    <hyperlink ref="W1591" r:id="rId1585" xr:uid="{00000000-0004-0000-0000-000030060000}"/>
    <hyperlink ref="W1592" r:id="rId1586" xr:uid="{00000000-0004-0000-0000-000031060000}"/>
    <hyperlink ref="W1593" r:id="rId1587" xr:uid="{00000000-0004-0000-0000-000032060000}"/>
    <hyperlink ref="W1594" r:id="rId1588" xr:uid="{00000000-0004-0000-0000-000033060000}"/>
    <hyperlink ref="W1595" r:id="rId1589" xr:uid="{00000000-0004-0000-0000-000034060000}"/>
    <hyperlink ref="W1596" r:id="rId1590" xr:uid="{00000000-0004-0000-0000-000035060000}"/>
    <hyperlink ref="W1597" r:id="rId1591" xr:uid="{00000000-0004-0000-0000-000036060000}"/>
    <hyperlink ref="W1598" r:id="rId1592" xr:uid="{00000000-0004-0000-0000-000037060000}"/>
    <hyperlink ref="W1599" r:id="rId1593" xr:uid="{00000000-0004-0000-0000-000038060000}"/>
    <hyperlink ref="W1600" r:id="rId1594" xr:uid="{00000000-0004-0000-0000-000039060000}"/>
    <hyperlink ref="W1601" r:id="rId1595" xr:uid="{00000000-0004-0000-0000-00003A060000}"/>
    <hyperlink ref="W1602" r:id="rId1596" xr:uid="{00000000-0004-0000-0000-00003B060000}"/>
    <hyperlink ref="W1603" r:id="rId1597" xr:uid="{00000000-0004-0000-0000-00003C060000}"/>
    <hyperlink ref="W1604" r:id="rId1598" xr:uid="{00000000-0004-0000-0000-00003D060000}"/>
    <hyperlink ref="W1605" r:id="rId1599" xr:uid="{00000000-0004-0000-0000-00003E060000}"/>
    <hyperlink ref="W1606" r:id="rId1600" xr:uid="{00000000-0004-0000-0000-00003F060000}"/>
    <hyperlink ref="W1607" r:id="rId1601" xr:uid="{00000000-0004-0000-0000-000040060000}"/>
    <hyperlink ref="W1608" r:id="rId1602" xr:uid="{00000000-0004-0000-0000-000041060000}"/>
    <hyperlink ref="W1609" r:id="rId1603" xr:uid="{00000000-0004-0000-0000-000042060000}"/>
    <hyperlink ref="W1610" r:id="rId1604" xr:uid="{00000000-0004-0000-0000-000043060000}"/>
    <hyperlink ref="W1611" r:id="rId1605" xr:uid="{00000000-0004-0000-0000-000044060000}"/>
    <hyperlink ref="W1612" r:id="rId1606" xr:uid="{00000000-0004-0000-0000-000045060000}"/>
    <hyperlink ref="W1613" r:id="rId1607" xr:uid="{00000000-0004-0000-0000-000046060000}"/>
    <hyperlink ref="W1614" r:id="rId1608" xr:uid="{00000000-0004-0000-0000-000047060000}"/>
    <hyperlink ref="W1615" r:id="rId1609" xr:uid="{00000000-0004-0000-0000-000048060000}"/>
    <hyperlink ref="W1616" r:id="rId1610" xr:uid="{00000000-0004-0000-0000-000049060000}"/>
    <hyperlink ref="W1617" r:id="rId1611" xr:uid="{00000000-0004-0000-0000-00004A060000}"/>
    <hyperlink ref="W1618" r:id="rId1612" xr:uid="{00000000-0004-0000-0000-00004B060000}"/>
    <hyperlink ref="W1619" r:id="rId1613" xr:uid="{00000000-0004-0000-0000-00004C060000}"/>
    <hyperlink ref="W1620" r:id="rId1614" xr:uid="{00000000-0004-0000-0000-00004D060000}"/>
    <hyperlink ref="W1621" r:id="rId1615" xr:uid="{00000000-0004-0000-0000-00004E060000}"/>
    <hyperlink ref="W1622" r:id="rId1616" xr:uid="{00000000-0004-0000-0000-00004F060000}"/>
    <hyperlink ref="W1623" r:id="rId1617" xr:uid="{00000000-0004-0000-0000-000050060000}"/>
    <hyperlink ref="W1624" r:id="rId1618" xr:uid="{00000000-0004-0000-0000-000051060000}"/>
    <hyperlink ref="W1625" r:id="rId1619" xr:uid="{00000000-0004-0000-0000-000052060000}"/>
    <hyperlink ref="W1626" r:id="rId1620" xr:uid="{00000000-0004-0000-0000-000053060000}"/>
    <hyperlink ref="W1627" r:id="rId1621" xr:uid="{00000000-0004-0000-0000-000054060000}"/>
    <hyperlink ref="W1628" r:id="rId1622" xr:uid="{00000000-0004-0000-0000-000055060000}"/>
    <hyperlink ref="W1629" r:id="rId1623" xr:uid="{00000000-0004-0000-0000-000056060000}"/>
    <hyperlink ref="W1630" r:id="rId1624" xr:uid="{00000000-0004-0000-0000-000057060000}"/>
    <hyperlink ref="W1631" r:id="rId1625" xr:uid="{00000000-0004-0000-0000-000058060000}"/>
    <hyperlink ref="W1632" r:id="rId1626" xr:uid="{00000000-0004-0000-0000-000059060000}"/>
    <hyperlink ref="W1633" r:id="rId1627" xr:uid="{00000000-0004-0000-0000-00005A060000}"/>
    <hyperlink ref="W1634" r:id="rId1628" xr:uid="{00000000-0004-0000-0000-00005B060000}"/>
    <hyperlink ref="W1635" r:id="rId1629" xr:uid="{00000000-0004-0000-0000-00005C060000}"/>
    <hyperlink ref="W1636" r:id="rId1630" xr:uid="{00000000-0004-0000-0000-00005D060000}"/>
    <hyperlink ref="W1637" r:id="rId1631" xr:uid="{00000000-0004-0000-0000-00005E060000}"/>
    <hyperlink ref="W1638" r:id="rId1632" xr:uid="{00000000-0004-0000-0000-00005F060000}"/>
    <hyperlink ref="W1639" r:id="rId1633" xr:uid="{00000000-0004-0000-0000-000060060000}"/>
    <hyperlink ref="W1640" r:id="rId1634" xr:uid="{00000000-0004-0000-0000-000061060000}"/>
    <hyperlink ref="W1641" r:id="rId1635" xr:uid="{00000000-0004-0000-0000-000062060000}"/>
    <hyperlink ref="W1642" r:id="rId1636" xr:uid="{00000000-0004-0000-0000-000063060000}"/>
    <hyperlink ref="W1643" r:id="rId1637" xr:uid="{00000000-0004-0000-0000-000064060000}"/>
    <hyperlink ref="W1644" r:id="rId1638" xr:uid="{00000000-0004-0000-0000-000065060000}"/>
    <hyperlink ref="W1645" r:id="rId1639" xr:uid="{00000000-0004-0000-0000-000066060000}"/>
    <hyperlink ref="W1646" r:id="rId1640" xr:uid="{00000000-0004-0000-0000-000067060000}"/>
    <hyperlink ref="W1647" r:id="rId1641" xr:uid="{00000000-0004-0000-0000-000068060000}"/>
    <hyperlink ref="W1648" r:id="rId1642" xr:uid="{00000000-0004-0000-0000-000069060000}"/>
    <hyperlink ref="W1649" r:id="rId1643" xr:uid="{00000000-0004-0000-0000-00006A060000}"/>
    <hyperlink ref="W1650" r:id="rId1644" xr:uid="{00000000-0004-0000-0000-00006B060000}"/>
    <hyperlink ref="W1651" r:id="rId1645" xr:uid="{00000000-0004-0000-0000-00006C060000}"/>
    <hyperlink ref="W1652" r:id="rId1646" xr:uid="{00000000-0004-0000-0000-00006D060000}"/>
    <hyperlink ref="W1653" r:id="rId1647" xr:uid="{00000000-0004-0000-0000-00006E060000}"/>
    <hyperlink ref="W1654" r:id="rId1648" xr:uid="{00000000-0004-0000-0000-00006F060000}"/>
    <hyperlink ref="W1655" r:id="rId1649" xr:uid="{00000000-0004-0000-0000-000070060000}"/>
    <hyperlink ref="W1656" r:id="rId1650" xr:uid="{00000000-0004-0000-0000-000071060000}"/>
    <hyperlink ref="W1657" r:id="rId1651" xr:uid="{00000000-0004-0000-0000-000072060000}"/>
    <hyperlink ref="W1658" r:id="rId1652" xr:uid="{00000000-0004-0000-0000-000073060000}"/>
    <hyperlink ref="W1659" r:id="rId1653" xr:uid="{00000000-0004-0000-0000-000074060000}"/>
    <hyperlink ref="W1660" r:id="rId1654" xr:uid="{00000000-0004-0000-0000-000075060000}"/>
    <hyperlink ref="W1661" r:id="rId1655" xr:uid="{00000000-0004-0000-0000-000076060000}"/>
    <hyperlink ref="W1662" r:id="rId1656" xr:uid="{00000000-0004-0000-0000-000077060000}"/>
    <hyperlink ref="W1663" r:id="rId1657" xr:uid="{00000000-0004-0000-0000-000078060000}"/>
    <hyperlink ref="W1664" r:id="rId1658" xr:uid="{00000000-0004-0000-0000-000079060000}"/>
    <hyperlink ref="W1665" r:id="rId1659" xr:uid="{00000000-0004-0000-0000-00007A060000}"/>
    <hyperlink ref="W1666" r:id="rId1660" xr:uid="{00000000-0004-0000-0000-00007B060000}"/>
    <hyperlink ref="W1667" r:id="rId1661" xr:uid="{00000000-0004-0000-0000-00007C060000}"/>
    <hyperlink ref="W1668" r:id="rId1662" xr:uid="{00000000-0004-0000-0000-00007D060000}"/>
    <hyperlink ref="W1669" r:id="rId1663" xr:uid="{00000000-0004-0000-0000-00007E060000}"/>
    <hyperlink ref="W1670" r:id="rId1664" xr:uid="{00000000-0004-0000-0000-00007F060000}"/>
    <hyperlink ref="W1671" r:id="rId1665" xr:uid="{00000000-0004-0000-0000-000080060000}"/>
    <hyperlink ref="W1672" r:id="rId1666" xr:uid="{00000000-0004-0000-0000-000081060000}"/>
    <hyperlink ref="W1673" r:id="rId1667" xr:uid="{00000000-0004-0000-0000-000082060000}"/>
    <hyperlink ref="W1674" r:id="rId1668" xr:uid="{00000000-0004-0000-0000-000083060000}"/>
    <hyperlink ref="W1675" r:id="rId1669" xr:uid="{00000000-0004-0000-0000-000084060000}"/>
    <hyperlink ref="W1676" r:id="rId1670" xr:uid="{00000000-0004-0000-0000-000085060000}"/>
    <hyperlink ref="W1677" r:id="rId1671" xr:uid="{00000000-0004-0000-0000-000086060000}"/>
    <hyperlink ref="W1678" r:id="rId1672" xr:uid="{00000000-0004-0000-0000-000087060000}"/>
    <hyperlink ref="W1679" r:id="rId1673" xr:uid="{00000000-0004-0000-0000-000088060000}"/>
    <hyperlink ref="W1680" r:id="rId1674" xr:uid="{00000000-0004-0000-0000-000089060000}"/>
    <hyperlink ref="W1681" r:id="rId1675" xr:uid="{00000000-0004-0000-0000-00008A060000}"/>
    <hyperlink ref="W1682" r:id="rId1676" xr:uid="{00000000-0004-0000-0000-00008B060000}"/>
    <hyperlink ref="W1683" r:id="rId1677" xr:uid="{00000000-0004-0000-0000-00008C060000}"/>
    <hyperlink ref="W1684" r:id="rId1678" xr:uid="{00000000-0004-0000-0000-00008D060000}"/>
    <hyperlink ref="W1685" r:id="rId1679" xr:uid="{00000000-0004-0000-0000-00008E060000}"/>
    <hyperlink ref="W1686" r:id="rId1680" xr:uid="{00000000-0004-0000-0000-00008F060000}"/>
    <hyperlink ref="W1687" r:id="rId1681" xr:uid="{00000000-0004-0000-0000-000090060000}"/>
    <hyperlink ref="W1688" r:id="rId1682" xr:uid="{00000000-0004-0000-0000-000091060000}"/>
    <hyperlink ref="W1689" r:id="rId1683" xr:uid="{00000000-0004-0000-0000-000092060000}"/>
    <hyperlink ref="W1690" r:id="rId1684" xr:uid="{00000000-0004-0000-0000-000093060000}"/>
    <hyperlink ref="W1691" r:id="rId1685" xr:uid="{00000000-0004-0000-0000-000094060000}"/>
    <hyperlink ref="W1692" r:id="rId1686" xr:uid="{00000000-0004-0000-0000-000095060000}"/>
    <hyperlink ref="W1693" r:id="rId1687" xr:uid="{00000000-0004-0000-0000-000096060000}"/>
    <hyperlink ref="W1694" r:id="rId1688" xr:uid="{00000000-0004-0000-0000-000097060000}"/>
    <hyperlink ref="W1695" r:id="rId1689" xr:uid="{00000000-0004-0000-0000-000098060000}"/>
    <hyperlink ref="W1696" r:id="rId1690" xr:uid="{00000000-0004-0000-0000-000099060000}"/>
    <hyperlink ref="W1697" r:id="rId1691" xr:uid="{00000000-0004-0000-0000-00009A060000}"/>
    <hyperlink ref="W1698" r:id="rId1692" xr:uid="{00000000-0004-0000-0000-00009B060000}"/>
    <hyperlink ref="W1699" r:id="rId1693" xr:uid="{00000000-0004-0000-0000-00009C060000}"/>
    <hyperlink ref="W1700" r:id="rId1694" xr:uid="{00000000-0004-0000-0000-00009D060000}"/>
    <hyperlink ref="W1701" r:id="rId1695" xr:uid="{00000000-0004-0000-0000-00009E060000}"/>
    <hyperlink ref="W1702" r:id="rId1696" xr:uid="{00000000-0004-0000-0000-00009F060000}"/>
    <hyperlink ref="W1703" r:id="rId1697" xr:uid="{00000000-0004-0000-0000-0000A0060000}"/>
    <hyperlink ref="W1704" r:id="rId1698" xr:uid="{00000000-0004-0000-0000-0000A1060000}"/>
    <hyperlink ref="W1705" r:id="rId1699" xr:uid="{00000000-0004-0000-0000-0000A2060000}"/>
    <hyperlink ref="W1706" r:id="rId1700" xr:uid="{00000000-0004-0000-0000-0000A3060000}"/>
    <hyperlink ref="W1707" r:id="rId1701" xr:uid="{00000000-0004-0000-0000-0000A4060000}"/>
    <hyperlink ref="W1708" r:id="rId1702" xr:uid="{00000000-0004-0000-0000-0000A5060000}"/>
    <hyperlink ref="W1709" r:id="rId1703" xr:uid="{00000000-0004-0000-0000-0000A6060000}"/>
    <hyperlink ref="W1710" r:id="rId1704" xr:uid="{00000000-0004-0000-0000-0000A7060000}"/>
    <hyperlink ref="W1711" r:id="rId1705" xr:uid="{00000000-0004-0000-0000-0000A8060000}"/>
    <hyperlink ref="W1712" r:id="rId1706" xr:uid="{00000000-0004-0000-0000-0000A9060000}"/>
    <hyperlink ref="W1713" r:id="rId1707" xr:uid="{00000000-0004-0000-0000-0000AA060000}"/>
    <hyperlink ref="W1714" r:id="rId1708" xr:uid="{00000000-0004-0000-0000-0000AB060000}"/>
    <hyperlink ref="W1715" r:id="rId1709" xr:uid="{00000000-0004-0000-0000-0000AC060000}"/>
    <hyperlink ref="W1716" r:id="rId1710" xr:uid="{00000000-0004-0000-0000-0000AD060000}"/>
    <hyperlink ref="W1717" r:id="rId1711" xr:uid="{00000000-0004-0000-0000-0000AE060000}"/>
    <hyperlink ref="W1718" r:id="rId1712" xr:uid="{00000000-0004-0000-0000-0000AF060000}"/>
    <hyperlink ref="W1719" r:id="rId1713" xr:uid="{00000000-0004-0000-0000-0000B0060000}"/>
    <hyperlink ref="W1720" r:id="rId1714" xr:uid="{00000000-0004-0000-0000-0000B1060000}"/>
    <hyperlink ref="W1721" r:id="rId1715" xr:uid="{00000000-0004-0000-0000-0000B2060000}"/>
    <hyperlink ref="W1722" r:id="rId1716" xr:uid="{00000000-0004-0000-0000-0000B3060000}"/>
    <hyperlink ref="W1723" r:id="rId1717" xr:uid="{00000000-0004-0000-0000-0000B4060000}"/>
    <hyperlink ref="W1724" r:id="rId1718" xr:uid="{00000000-0004-0000-0000-0000B5060000}"/>
    <hyperlink ref="W1725" r:id="rId1719" xr:uid="{00000000-0004-0000-0000-0000B6060000}"/>
    <hyperlink ref="W1726" r:id="rId1720" xr:uid="{00000000-0004-0000-0000-0000B7060000}"/>
    <hyperlink ref="W1727" r:id="rId1721" xr:uid="{00000000-0004-0000-0000-0000B8060000}"/>
    <hyperlink ref="W1728" r:id="rId1722" xr:uid="{00000000-0004-0000-0000-0000B9060000}"/>
    <hyperlink ref="W1729" r:id="rId1723" xr:uid="{00000000-0004-0000-0000-0000BA060000}"/>
    <hyperlink ref="W1730" r:id="rId1724" xr:uid="{00000000-0004-0000-0000-0000BB060000}"/>
    <hyperlink ref="W1731" r:id="rId1725" xr:uid="{00000000-0004-0000-0000-0000BC060000}"/>
    <hyperlink ref="W1732" r:id="rId1726" xr:uid="{00000000-0004-0000-0000-0000BD060000}"/>
    <hyperlink ref="W1733" r:id="rId1727" xr:uid="{00000000-0004-0000-0000-0000BE060000}"/>
    <hyperlink ref="W1734" r:id="rId1728" xr:uid="{00000000-0004-0000-0000-0000BF060000}"/>
    <hyperlink ref="W1735" r:id="rId1729" xr:uid="{00000000-0004-0000-0000-0000C0060000}"/>
    <hyperlink ref="W1736" r:id="rId1730" xr:uid="{00000000-0004-0000-0000-0000C1060000}"/>
    <hyperlink ref="W1737" r:id="rId1731" xr:uid="{00000000-0004-0000-0000-0000C2060000}"/>
    <hyperlink ref="W1738" r:id="rId1732" xr:uid="{00000000-0004-0000-0000-0000C3060000}"/>
    <hyperlink ref="W1739" r:id="rId1733" xr:uid="{00000000-0004-0000-0000-0000C4060000}"/>
    <hyperlink ref="W1740" r:id="rId1734" xr:uid="{00000000-0004-0000-0000-0000C5060000}"/>
    <hyperlink ref="W1741" r:id="rId1735" xr:uid="{00000000-0004-0000-0000-0000C6060000}"/>
    <hyperlink ref="W1742" r:id="rId1736" xr:uid="{00000000-0004-0000-0000-0000C7060000}"/>
    <hyperlink ref="W1743" r:id="rId1737" xr:uid="{00000000-0004-0000-0000-0000C8060000}"/>
    <hyperlink ref="W1744" r:id="rId1738" xr:uid="{00000000-0004-0000-0000-0000C9060000}"/>
    <hyperlink ref="W1745" r:id="rId1739" xr:uid="{00000000-0004-0000-0000-0000CA060000}"/>
    <hyperlink ref="W1746" r:id="rId1740" xr:uid="{00000000-0004-0000-0000-0000CB060000}"/>
    <hyperlink ref="W1747" r:id="rId1741" xr:uid="{00000000-0004-0000-0000-0000CC060000}"/>
    <hyperlink ref="W1748" r:id="rId1742" xr:uid="{00000000-0004-0000-0000-0000CD060000}"/>
    <hyperlink ref="W1749" r:id="rId1743" xr:uid="{00000000-0004-0000-0000-0000CE060000}"/>
    <hyperlink ref="W1750" r:id="rId1744" xr:uid="{00000000-0004-0000-0000-0000CF060000}"/>
    <hyperlink ref="W1751" r:id="rId1745" xr:uid="{00000000-0004-0000-0000-0000D0060000}"/>
    <hyperlink ref="W1752" r:id="rId1746" xr:uid="{00000000-0004-0000-0000-0000D1060000}"/>
    <hyperlink ref="W1753" r:id="rId1747" xr:uid="{00000000-0004-0000-0000-0000D2060000}"/>
    <hyperlink ref="W1754" r:id="rId1748" xr:uid="{00000000-0004-0000-0000-0000D3060000}"/>
    <hyperlink ref="W1755" r:id="rId1749" xr:uid="{00000000-0004-0000-0000-0000D4060000}"/>
    <hyperlink ref="W1756" r:id="rId1750" xr:uid="{00000000-0004-0000-0000-0000D5060000}"/>
    <hyperlink ref="W1757" r:id="rId1751" xr:uid="{00000000-0004-0000-0000-0000D6060000}"/>
    <hyperlink ref="W1758" r:id="rId1752" xr:uid="{00000000-0004-0000-0000-0000D7060000}"/>
    <hyperlink ref="W1759" r:id="rId1753" xr:uid="{00000000-0004-0000-0000-0000D8060000}"/>
    <hyperlink ref="W1760" r:id="rId1754" xr:uid="{00000000-0004-0000-0000-0000D9060000}"/>
    <hyperlink ref="W1761" r:id="rId1755" xr:uid="{00000000-0004-0000-0000-0000DA060000}"/>
    <hyperlink ref="W1762" r:id="rId1756" xr:uid="{00000000-0004-0000-0000-0000DB060000}"/>
    <hyperlink ref="W1763" r:id="rId1757" xr:uid="{00000000-0004-0000-0000-0000DC060000}"/>
    <hyperlink ref="W1764" r:id="rId1758" xr:uid="{00000000-0004-0000-0000-0000DD060000}"/>
    <hyperlink ref="W1765" r:id="rId1759" xr:uid="{00000000-0004-0000-0000-0000DE060000}"/>
    <hyperlink ref="W1766" r:id="rId1760" xr:uid="{00000000-0004-0000-0000-0000DF060000}"/>
    <hyperlink ref="W1767" r:id="rId1761" xr:uid="{00000000-0004-0000-0000-0000E0060000}"/>
    <hyperlink ref="W1768" r:id="rId1762" xr:uid="{00000000-0004-0000-0000-0000E1060000}"/>
    <hyperlink ref="W1769" r:id="rId1763" xr:uid="{00000000-0004-0000-0000-0000E2060000}"/>
    <hyperlink ref="W1770" r:id="rId1764" xr:uid="{00000000-0004-0000-0000-0000E3060000}"/>
    <hyperlink ref="W1771" r:id="rId1765" xr:uid="{00000000-0004-0000-0000-0000E4060000}"/>
    <hyperlink ref="W1772" r:id="rId1766" xr:uid="{00000000-0004-0000-0000-0000E5060000}"/>
    <hyperlink ref="W1773" r:id="rId1767" xr:uid="{00000000-0004-0000-0000-0000E6060000}"/>
    <hyperlink ref="W1774" r:id="rId1768" xr:uid="{00000000-0004-0000-0000-0000E7060000}"/>
    <hyperlink ref="W1775" r:id="rId1769" xr:uid="{00000000-0004-0000-0000-0000E8060000}"/>
    <hyperlink ref="W1776" r:id="rId1770" xr:uid="{00000000-0004-0000-0000-0000E9060000}"/>
    <hyperlink ref="W1777" r:id="rId1771" xr:uid="{00000000-0004-0000-0000-0000EA060000}"/>
    <hyperlink ref="W1778" r:id="rId1772" xr:uid="{00000000-0004-0000-0000-0000EB060000}"/>
    <hyperlink ref="W1779" r:id="rId1773" xr:uid="{00000000-0004-0000-0000-0000EC060000}"/>
    <hyperlink ref="W1780" r:id="rId1774" xr:uid="{00000000-0004-0000-0000-0000ED060000}"/>
    <hyperlink ref="W1781" r:id="rId1775" xr:uid="{00000000-0004-0000-0000-0000EE060000}"/>
    <hyperlink ref="W1782" r:id="rId1776" xr:uid="{00000000-0004-0000-0000-0000EF060000}"/>
    <hyperlink ref="W1783" r:id="rId1777" xr:uid="{00000000-0004-0000-0000-0000F0060000}"/>
    <hyperlink ref="W1784" r:id="rId1778" xr:uid="{00000000-0004-0000-0000-0000F1060000}"/>
    <hyperlink ref="W1785" r:id="rId1779" xr:uid="{00000000-0004-0000-0000-0000F2060000}"/>
    <hyperlink ref="W1786" r:id="rId1780" xr:uid="{00000000-0004-0000-0000-0000F3060000}"/>
    <hyperlink ref="W1787" r:id="rId1781" xr:uid="{00000000-0004-0000-0000-0000F4060000}"/>
    <hyperlink ref="W1788" r:id="rId1782" xr:uid="{00000000-0004-0000-0000-0000F5060000}"/>
    <hyperlink ref="W1789" r:id="rId1783" xr:uid="{00000000-0004-0000-0000-0000F6060000}"/>
    <hyperlink ref="W1790" r:id="rId1784" xr:uid="{00000000-0004-0000-0000-0000F7060000}"/>
    <hyperlink ref="W1791" r:id="rId1785" xr:uid="{00000000-0004-0000-0000-0000F8060000}"/>
    <hyperlink ref="W1792" r:id="rId1786" xr:uid="{00000000-0004-0000-0000-0000F9060000}"/>
    <hyperlink ref="W1793" r:id="rId1787" xr:uid="{00000000-0004-0000-0000-0000FA060000}"/>
    <hyperlink ref="W1794" r:id="rId1788" xr:uid="{00000000-0004-0000-0000-0000FB060000}"/>
    <hyperlink ref="W1795" r:id="rId1789" xr:uid="{00000000-0004-0000-0000-0000FC060000}"/>
    <hyperlink ref="W1796" r:id="rId1790" xr:uid="{00000000-0004-0000-0000-0000FD060000}"/>
    <hyperlink ref="W1797" r:id="rId1791" xr:uid="{00000000-0004-0000-0000-0000FE060000}"/>
    <hyperlink ref="W1798" r:id="rId1792" xr:uid="{00000000-0004-0000-0000-0000FF060000}"/>
    <hyperlink ref="W1799" r:id="rId1793" xr:uid="{00000000-0004-0000-0000-000000070000}"/>
    <hyperlink ref="W1800" r:id="rId1794" xr:uid="{00000000-0004-0000-0000-000001070000}"/>
    <hyperlink ref="W1801" r:id="rId1795" xr:uid="{00000000-0004-0000-0000-000002070000}"/>
    <hyperlink ref="W1802" r:id="rId1796" xr:uid="{00000000-0004-0000-0000-000003070000}"/>
    <hyperlink ref="W1803" r:id="rId1797" xr:uid="{00000000-0004-0000-0000-000004070000}"/>
    <hyperlink ref="W1804" r:id="rId1798" xr:uid="{00000000-0004-0000-0000-000005070000}"/>
    <hyperlink ref="W1805" r:id="rId1799" xr:uid="{00000000-0004-0000-0000-000006070000}"/>
    <hyperlink ref="W1806" r:id="rId1800" xr:uid="{00000000-0004-0000-0000-000007070000}"/>
    <hyperlink ref="W1807" r:id="rId1801" xr:uid="{00000000-0004-0000-0000-000008070000}"/>
    <hyperlink ref="W1808" r:id="rId1802" xr:uid="{00000000-0004-0000-0000-000009070000}"/>
    <hyperlink ref="W1809" r:id="rId1803" xr:uid="{00000000-0004-0000-0000-00000A070000}"/>
    <hyperlink ref="W1810" r:id="rId1804" xr:uid="{00000000-0004-0000-0000-00000B070000}"/>
    <hyperlink ref="W1811" r:id="rId1805" xr:uid="{00000000-0004-0000-0000-00000C070000}"/>
    <hyperlink ref="W1812" r:id="rId1806" xr:uid="{00000000-0004-0000-0000-00000D070000}"/>
    <hyperlink ref="W1813" r:id="rId1807" xr:uid="{00000000-0004-0000-0000-00000E070000}"/>
    <hyperlink ref="W1814" r:id="rId1808" xr:uid="{00000000-0004-0000-0000-00000F070000}"/>
    <hyperlink ref="W1815" r:id="rId1809" xr:uid="{00000000-0004-0000-0000-000010070000}"/>
    <hyperlink ref="W1816" r:id="rId1810" xr:uid="{00000000-0004-0000-0000-000011070000}"/>
    <hyperlink ref="W1817" r:id="rId1811" xr:uid="{00000000-0004-0000-0000-000012070000}"/>
    <hyperlink ref="W1818" r:id="rId1812" xr:uid="{00000000-0004-0000-0000-000013070000}"/>
    <hyperlink ref="W1819" r:id="rId1813" xr:uid="{00000000-0004-0000-0000-000014070000}"/>
    <hyperlink ref="W1820" r:id="rId1814" xr:uid="{00000000-0004-0000-0000-000015070000}"/>
    <hyperlink ref="W1821" r:id="rId1815" xr:uid="{00000000-0004-0000-0000-000016070000}"/>
    <hyperlink ref="W1822" r:id="rId1816" xr:uid="{00000000-0004-0000-0000-000017070000}"/>
    <hyperlink ref="W1823" r:id="rId1817" xr:uid="{00000000-0004-0000-0000-000018070000}"/>
    <hyperlink ref="W1824" r:id="rId1818" xr:uid="{00000000-0004-0000-0000-000019070000}"/>
    <hyperlink ref="W1825" r:id="rId1819" xr:uid="{00000000-0004-0000-0000-00001A070000}"/>
    <hyperlink ref="W1826" r:id="rId1820" xr:uid="{00000000-0004-0000-0000-00001B070000}"/>
    <hyperlink ref="W1827" r:id="rId1821" xr:uid="{00000000-0004-0000-0000-00001C070000}"/>
    <hyperlink ref="W1828" r:id="rId1822" xr:uid="{00000000-0004-0000-0000-00001D070000}"/>
    <hyperlink ref="W1829" r:id="rId1823" xr:uid="{00000000-0004-0000-0000-00001E070000}"/>
    <hyperlink ref="W1830" r:id="rId1824" xr:uid="{00000000-0004-0000-0000-00001F070000}"/>
    <hyperlink ref="W1831" r:id="rId1825" xr:uid="{00000000-0004-0000-0000-000020070000}"/>
    <hyperlink ref="W1832" r:id="rId1826" xr:uid="{00000000-0004-0000-0000-000021070000}"/>
    <hyperlink ref="W1833" r:id="rId1827" xr:uid="{00000000-0004-0000-0000-000022070000}"/>
    <hyperlink ref="W1834" r:id="rId1828" xr:uid="{00000000-0004-0000-0000-000023070000}"/>
    <hyperlink ref="W1835" r:id="rId1829" xr:uid="{00000000-0004-0000-0000-000024070000}"/>
    <hyperlink ref="W1836" r:id="rId1830" xr:uid="{00000000-0004-0000-0000-000025070000}"/>
    <hyperlink ref="W1837" r:id="rId1831" xr:uid="{00000000-0004-0000-0000-000026070000}"/>
    <hyperlink ref="W1838" r:id="rId1832" xr:uid="{00000000-0004-0000-0000-000027070000}"/>
    <hyperlink ref="W1839" r:id="rId1833" xr:uid="{00000000-0004-0000-0000-000028070000}"/>
    <hyperlink ref="W1840" r:id="rId1834" xr:uid="{00000000-0004-0000-0000-000029070000}"/>
    <hyperlink ref="W1841" r:id="rId1835" xr:uid="{00000000-0004-0000-0000-00002A070000}"/>
    <hyperlink ref="W1842" r:id="rId1836" xr:uid="{00000000-0004-0000-0000-00002B070000}"/>
    <hyperlink ref="W1843" r:id="rId1837" xr:uid="{00000000-0004-0000-0000-00002C070000}"/>
    <hyperlink ref="W1844" r:id="rId1838" xr:uid="{00000000-0004-0000-0000-00002D070000}"/>
    <hyperlink ref="W1845" r:id="rId1839" xr:uid="{00000000-0004-0000-0000-00002E070000}"/>
    <hyperlink ref="W1846" r:id="rId1840" xr:uid="{00000000-0004-0000-0000-00002F070000}"/>
    <hyperlink ref="W1847" r:id="rId1841" xr:uid="{00000000-0004-0000-0000-000030070000}"/>
    <hyperlink ref="W1848" r:id="rId1842" xr:uid="{00000000-0004-0000-0000-000031070000}"/>
    <hyperlink ref="W1849" r:id="rId1843" xr:uid="{00000000-0004-0000-0000-000032070000}"/>
    <hyperlink ref="W1850" r:id="rId1844" xr:uid="{00000000-0004-0000-0000-000033070000}"/>
    <hyperlink ref="W1851" r:id="rId1845" xr:uid="{00000000-0004-0000-0000-000034070000}"/>
    <hyperlink ref="W1852" r:id="rId1846" xr:uid="{00000000-0004-0000-0000-000035070000}"/>
    <hyperlink ref="W1853" r:id="rId1847" xr:uid="{00000000-0004-0000-0000-000036070000}"/>
    <hyperlink ref="W1854" r:id="rId1848" xr:uid="{00000000-0004-0000-0000-000037070000}"/>
    <hyperlink ref="W1855" r:id="rId1849" xr:uid="{00000000-0004-0000-0000-000038070000}"/>
    <hyperlink ref="W1856" r:id="rId1850" xr:uid="{00000000-0004-0000-0000-000039070000}"/>
    <hyperlink ref="W1857" r:id="rId1851" xr:uid="{00000000-0004-0000-0000-00003A070000}"/>
    <hyperlink ref="W1858" r:id="rId1852" xr:uid="{00000000-0004-0000-0000-00003B070000}"/>
    <hyperlink ref="W1859" r:id="rId1853" xr:uid="{00000000-0004-0000-0000-00003C070000}"/>
    <hyperlink ref="W1860" r:id="rId1854" xr:uid="{00000000-0004-0000-0000-00003D070000}"/>
    <hyperlink ref="W1861" r:id="rId1855" xr:uid="{00000000-0004-0000-0000-00003E070000}"/>
    <hyperlink ref="W1862" r:id="rId1856" xr:uid="{00000000-0004-0000-0000-00003F070000}"/>
    <hyperlink ref="W1863" r:id="rId1857" xr:uid="{00000000-0004-0000-0000-000040070000}"/>
    <hyperlink ref="W1864" r:id="rId1858" xr:uid="{00000000-0004-0000-0000-000041070000}"/>
    <hyperlink ref="W1865" r:id="rId1859" xr:uid="{00000000-0004-0000-0000-000042070000}"/>
    <hyperlink ref="W1866" r:id="rId1860" xr:uid="{00000000-0004-0000-0000-000043070000}"/>
    <hyperlink ref="W1867" r:id="rId1861" xr:uid="{00000000-0004-0000-0000-000044070000}"/>
    <hyperlink ref="W1868" r:id="rId1862" xr:uid="{00000000-0004-0000-0000-000045070000}"/>
    <hyperlink ref="W1869" r:id="rId1863" xr:uid="{00000000-0004-0000-0000-000046070000}"/>
    <hyperlink ref="W1870" r:id="rId1864" xr:uid="{00000000-0004-0000-0000-000047070000}"/>
    <hyperlink ref="W1871" r:id="rId1865" xr:uid="{00000000-0004-0000-0000-000048070000}"/>
    <hyperlink ref="W1872" r:id="rId1866" xr:uid="{00000000-0004-0000-0000-000049070000}"/>
    <hyperlink ref="W1873" r:id="rId1867" xr:uid="{00000000-0004-0000-0000-00004A070000}"/>
    <hyperlink ref="W1874" r:id="rId1868" xr:uid="{00000000-0004-0000-0000-00004B070000}"/>
    <hyperlink ref="W1875" r:id="rId1869" xr:uid="{00000000-0004-0000-0000-00004C070000}"/>
    <hyperlink ref="W1876" r:id="rId1870" xr:uid="{00000000-0004-0000-0000-00004D070000}"/>
    <hyperlink ref="W1877" r:id="rId1871" xr:uid="{00000000-0004-0000-0000-00004E070000}"/>
    <hyperlink ref="W1878" r:id="rId1872" xr:uid="{00000000-0004-0000-0000-00004F070000}"/>
    <hyperlink ref="W1879" r:id="rId1873" xr:uid="{00000000-0004-0000-0000-000050070000}"/>
    <hyperlink ref="W1880" r:id="rId1874" xr:uid="{00000000-0004-0000-0000-000051070000}"/>
    <hyperlink ref="W1881" r:id="rId1875" xr:uid="{00000000-0004-0000-0000-000052070000}"/>
    <hyperlink ref="W1882" r:id="rId1876" xr:uid="{00000000-0004-0000-0000-000053070000}"/>
    <hyperlink ref="W1883" r:id="rId1877" xr:uid="{00000000-0004-0000-0000-000054070000}"/>
    <hyperlink ref="W1884" r:id="rId1878" xr:uid="{00000000-0004-0000-0000-000055070000}"/>
    <hyperlink ref="W1885" r:id="rId1879" xr:uid="{00000000-0004-0000-0000-000056070000}"/>
    <hyperlink ref="W1886" r:id="rId1880" xr:uid="{00000000-0004-0000-0000-000057070000}"/>
    <hyperlink ref="W1887" r:id="rId1881" xr:uid="{00000000-0004-0000-0000-000058070000}"/>
    <hyperlink ref="W1888" r:id="rId1882" xr:uid="{00000000-0004-0000-0000-000059070000}"/>
    <hyperlink ref="W1889" r:id="rId1883" xr:uid="{00000000-0004-0000-0000-00005A070000}"/>
    <hyperlink ref="W1890" r:id="rId1884" xr:uid="{00000000-0004-0000-0000-00005B070000}"/>
    <hyperlink ref="W1891" r:id="rId1885" xr:uid="{00000000-0004-0000-0000-00005C070000}"/>
    <hyperlink ref="W1892" r:id="rId1886" xr:uid="{00000000-0004-0000-0000-00005D070000}"/>
    <hyperlink ref="W1893" r:id="rId1887" xr:uid="{00000000-0004-0000-0000-00005E070000}"/>
    <hyperlink ref="W1894" r:id="rId1888" xr:uid="{00000000-0004-0000-0000-00005F070000}"/>
    <hyperlink ref="W1895" r:id="rId1889" xr:uid="{00000000-0004-0000-0000-000060070000}"/>
    <hyperlink ref="W1896" r:id="rId1890" xr:uid="{00000000-0004-0000-0000-000061070000}"/>
    <hyperlink ref="W1897" r:id="rId1891" xr:uid="{00000000-0004-0000-0000-000062070000}"/>
    <hyperlink ref="W1898" r:id="rId1892" xr:uid="{00000000-0004-0000-0000-000063070000}"/>
    <hyperlink ref="W1899" r:id="rId1893" xr:uid="{00000000-0004-0000-0000-000064070000}"/>
    <hyperlink ref="W1900" r:id="rId1894" xr:uid="{00000000-0004-0000-0000-000065070000}"/>
    <hyperlink ref="W1901" r:id="rId1895" xr:uid="{00000000-0004-0000-0000-000066070000}"/>
    <hyperlink ref="W1902" r:id="rId1896" xr:uid="{00000000-0004-0000-0000-000067070000}"/>
    <hyperlink ref="W1903" r:id="rId1897" xr:uid="{00000000-0004-0000-0000-000068070000}"/>
    <hyperlink ref="W1904" r:id="rId1898" xr:uid="{00000000-0004-0000-0000-000069070000}"/>
    <hyperlink ref="W1905" r:id="rId1899" xr:uid="{00000000-0004-0000-0000-00006A070000}"/>
    <hyperlink ref="W1906" r:id="rId1900" xr:uid="{00000000-0004-0000-0000-00006B070000}"/>
    <hyperlink ref="W1907" r:id="rId1901" xr:uid="{00000000-0004-0000-0000-00006C070000}"/>
    <hyperlink ref="W1908" r:id="rId1902" xr:uid="{00000000-0004-0000-0000-00006D070000}"/>
    <hyperlink ref="W1909" r:id="rId1903" xr:uid="{00000000-0004-0000-0000-00006E070000}"/>
    <hyperlink ref="W1910" r:id="rId1904" xr:uid="{00000000-0004-0000-0000-00006F070000}"/>
    <hyperlink ref="W1911" r:id="rId1905" xr:uid="{00000000-0004-0000-0000-000070070000}"/>
    <hyperlink ref="W1912" r:id="rId1906" xr:uid="{00000000-0004-0000-0000-000071070000}"/>
    <hyperlink ref="W1913" r:id="rId1907" xr:uid="{00000000-0004-0000-0000-000072070000}"/>
    <hyperlink ref="W1914" r:id="rId1908" xr:uid="{00000000-0004-0000-0000-000073070000}"/>
    <hyperlink ref="W1915" r:id="rId1909" xr:uid="{00000000-0004-0000-0000-000074070000}"/>
    <hyperlink ref="W1916" r:id="rId1910" xr:uid="{00000000-0004-0000-0000-000075070000}"/>
    <hyperlink ref="W1917" r:id="rId1911" xr:uid="{00000000-0004-0000-0000-000076070000}"/>
    <hyperlink ref="W1918" r:id="rId1912" xr:uid="{00000000-0004-0000-0000-000077070000}"/>
    <hyperlink ref="W1919" r:id="rId1913" xr:uid="{00000000-0004-0000-0000-000078070000}"/>
    <hyperlink ref="W1920" r:id="rId1914" xr:uid="{00000000-0004-0000-0000-000079070000}"/>
    <hyperlink ref="W1921" r:id="rId1915" xr:uid="{00000000-0004-0000-0000-00007A070000}"/>
    <hyperlink ref="W1922" r:id="rId1916" xr:uid="{00000000-0004-0000-0000-00007B070000}"/>
    <hyperlink ref="W1923" r:id="rId1917" xr:uid="{00000000-0004-0000-0000-00007C070000}"/>
    <hyperlink ref="W1924" r:id="rId1918" xr:uid="{00000000-0004-0000-0000-00007D070000}"/>
    <hyperlink ref="W1925" r:id="rId1919" xr:uid="{00000000-0004-0000-0000-00007E070000}"/>
    <hyperlink ref="W1926" r:id="rId1920" xr:uid="{00000000-0004-0000-0000-00007F070000}"/>
    <hyperlink ref="W1927" r:id="rId1921" xr:uid="{00000000-0004-0000-0000-000080070000}"/>
    <hyperlink ref="W1928" r:id="rId1922" xr:uid="{00000000-0004-0000-0000-000081070000}"/>
    <hyperlink ref="W1929" r:id="rId1923" xr:uid="{00000000-0004-0000-0000-000082070000}"/>
    <hyperlink ref="W1930" r:id="rId1924" xr:uid="{00000000-0004-0000-0000-000083070000}"/>
    <hyperlink ref="W1931" r:id="rId1925" xr:uid="{00000000-0004-0000-0000-000084070000}"/>
    <hyperlink ref="W1932" r:id="rId1926" xr:uid="{00000000-0004-0000-0000-000085070000}"/>
    <hyperlink ref="W1933" r:id="rId1927" xr:uid="{00000000-0004-0000-0000-000086070000}"/>
    <hyperlink ref="W1934" r:id="rId1928" xr:uid="{00000000-0004-0000-0000-000087070000}"/>
    <hyperlink ref="W1935" r:id="rId1929" xr:uid="{00000000-0004-0000-0000-000088070000}"/>
    <hyperlink ref="W1936" r:id="rId1930" xr:uid="{00000000-0004-0000-0000-000089070000}"/>
    <hyperlink ref="W1937" r:id="rId1931" xr:uid="{00000000-0004-0000-0000-00008A070000}"/>
    <hyperlink ref="W1938" r:id="rId1932" xr:uid="{00000000-0004-0000-0000-00008B070000}"/>
    <hyperlink ref="W1939" r:id="rId1933" xr:uid="{00000000-0004-0000-0000-00008C070000}"/>
    <hyperlink ref="W1940" r:id="rId1934" xr:uid="{00000000-0004-0000-0000-00008D070000}"/>
    <hyperlink ref="W1941" r:id="rId1935" xr:uid="{00000000-0004-0000-0000-00008E070000}"/>
    <hyperlink ref="W1942" r:id="rId1936" xr:uid="{00000000-0004-0000-0000-00008F070000}"/>
    <hyperlink ref="W1943" r:id="rId1937" xr:uid="{00000000-0004-0000-0000-000090070000}"/>
    <hyperlink ref="W1944" r:id="rId1938" xr:uid="{00000000-0004-0000-0000-000091070000}"/>
    <hyperlink ref="W1945" r:id="rId1939" xr:uid="{00000000-0004-0000-0000-000092070000}"/>
    <hyperlink ref="W1946" r:id="rId1940" xr:uid="{00000000-0004-0000-0000-000093070000}"/>
    <hyperlink ref="W1947" r:id="rId1941" xr:uid="{00000000-0004-0000-0000-000094070000}"/>
    <hyperlink ref="W1948" r:id="rId1942" xr:uid="{00000000-0004-0000-0000-000095070000}"/>
    <hyperlink ref="W1949" r:id="rId1943" xr:uid="{00000000-0004-0000-0000-000096070000}"/>
    <hyperlink ref="W1950" r:id="rId1944" xr:uid="{00000000-0004-0000-0000-000097070000}"/>
    <hyperlink ref="W1951" r:id="rId1945" xr:uid="{00000000-0004-0000-0000-000098070000}"/>
    <hyperlink ref="W1952" r:id="rId1946" xr:uid="{00000000-0004-0000-0000-000099070000}"/>
    <hyperlink ref="W1953" r:id="rId1947" xr:uid="{00000000-0004-0000-0000-00009A070000}"/>
    <hyperlink ref="W1954" r:id="rId1948" xr:uid="{00000000-0004-0000-0000-00009B070000}"/>
    <hyperlink ref="W1955" r:id="rId1949" xr:uid="{00000000-0004-0000-0000-00009C070000}"/>
    <hyperlink ref="W1956" r:id="rId1950" xr:uid="{00000000-0004-0000-0000-00009D070000}"/>
    <hyperlink ref="W1957" r:id="rId1951" xr:uid="{00000000-0004-0000-0000-00009E070000}"/>
    <hyperlink ref="W1958" r:id="rId1952" xr:uid="{00000000-0004-0000-0000-00009F070000}"/>
    <hyperlink ref="W1959" r:id="rId1953" xr:uid="{00000000-0004-0000-0000-0000A0070000}"/>
    <hyperlink ref="W1960" r:id="rId1954" xr:uid="{00000000-0004-0000-0000-0000A1070000}"/>
    <hyperlink ref="W1961" r:id="rId1955" xr:uid="{00000000-0004-0000-0000-0000A2070000}"/>
    <hyperlink ref="W1962" r:id="rId1956" xr:uid="{00000000-0004-0000-0000-0000A3070000}"/>
    <hyperlink ref="W1963" r:id="rId1957" xr:uid="{00000000-0004-0000-0000-0000A4070000}"/>
    <hyperlink ref="W1964" r:id="rId1958" xr:uid="{00000000-0004-0000-0000-0000A5070000}"/>
    <hyperlink ref="W1965" r:id="rId1959" xr:uid="{00000000-0004-0000-0000-0000A6070000}"/>
    <hyperlink ref="W1966" r:id="rId1960" xr:uid="{00000000-0004-0000-0000-0000A7070000}"/>
    <hyperlink ref="W1967" r:id="rId1961" xr:uid="{00000000-0004-0000-0000-0000A8070000}"/>
    <hyperlink ref="W1968" r:id="rId1962" xr:uid="{00000000-0004-0000-0000-0000A9070000}"/>
    <hyperlink ref="W1969" r:id="rId1963" xr:uid="{00000000-0004-0000-0000-0000AA070000}"/>
    <hyperlink ref="W1970" r:id="rId1964" xr:uid="{00000000-0004-0000-0000-0000AB070000}"/>
    <hyperlink ref="W1971" r:id="rId1965" xr:uid="{00000000-0004-0000-0000-0000AC070000}"/>
    <hyperlink ref="W1972" r:id="rId1966" xr:uid="{00000000-0004-0000-0000-0000AD070000}"/>
    <hyperlink ref="W1973" r:id="rId1967" xr:uid="{00000000-0004-0000-0000-0000AE070000}"/>
    <hyperlink ref="W1974" r:id="rId1968" xr:uid="{00000000-0004-0000-0000-0000AF070000}"/>
    <hyperlink ref="W1975" r:id="rId1969" xr:uid="{00000000-0004-0000-0000-0000B0070000}"/>
    <hyperlink ref="W1976" r:id="rId1970" xr:uid="{00000000-0004-0000-0000-0000B1070000}"/>
    <hyperlink ref="W1977" r:id="rId1971" xr:uid="{00000000-0004-0000-0000-0000B2070000}"/>
    <hyperlink ref="W1978" r:id="rId1972" xr:uid="{00000000-0004-0000-0000-0000B3070000}"/>
    <hyperlink ref="W1979" r:id="rId1973" xr:uid="{00000000-0004-0000-0000-0000B4070000}"/>
    <hyperlink ref="W1980" r:id="rId1974" xr:uid="{00000000-0004-0000-0000-0000B5070000}"/>
    <hyperlink ref="W1981" r:id="rId1975" xr:uid="{00000000-0004-0000-0000-0000B6070000}"/>
    <hyperlink ref="W1982" r:id="rId1976" xr:uid="{00000000-0004-0000-0000-0000B7070000}"/>
    <hyperlink ref="W1983" r:id="rId1977" xr:uid="{00000000-0004-0000-0000-0000B8070000}"/>
    <hyperlink ref="W1984" r:id="rId1978" xr:uid="{00000000-0004-0000-0000-0000B9070000}"/>
    <hyperlink ref="W1985" r:id="rId1979" xr:uid="{00000000-0004-0000-0000-0000BA070000}"/>
    <hyperlink ref="W1986" r:id="rId1980" xr:uid="{00000000-0004-0000-0000-0000BB070000}"/>
    <hyperlink ref="W1987" r:id="rId1981" xr:uid="{00000000-0004-0000-0000-0000BC070000}"/>
    <hyperlink ref="W1988" r:id="rId1982" xr:uid="{00000000-0004-0000-0000-0000BD070000}"/>
    <hyperlink ref="W1989" r:id="rId1983" xr:uid="{00000000-0004-0000-0000-0000BE070000}"/>
    <hyperlink ref="W1990" r:id="rId1984" xr:uid="{00000000-0004-0000-0000-0000BF070000}"/>
    <hyperlink ref="W1991" r:id="rId1985" xr:uid="{00000000-0004-0000-0000-0000C0070000}"/>
    <hyperlink ref="W1992" r:id="rId1986" xr:uid="{00000000-0004-0000-0000-0000C1070000}"/>
    <hyperlink ref="W1993" r:id="rId1987" xr:uid="{00000000-0004-0000-0000-0000C2070000}"/>
    <hyperlink ref="W1994" r:id="rId1988" xr:uid="{00000000-0004-0000-0000-0000C3070000}"/>
    <hyperlink ref="W1995" r:id="rId1989" xr:uid="{00000000-0004-0000-0000-0000C4070000}"/>
    <hyperlink ref="W1996" r:id="rId1990" xr:uid="{00000000-0004-0000-0000-0000C5070000}"/>
    <hyperlink ref="W1997" r:id="rId1991" xr:uid="{00000000-0004-0000-0000-0000C6070000}"/>
    <hyperlink ref="W1998" r:id="rId1992" xr:uid="{00000000-0004-0000-0000-0000C7070000}"/>
    <hyperlink ref="W1999" r:id="rId1993" xr:uid="{00000000-0004-0000-0000-0000C8070000}"/>
    <hyperlink ref="W2000" r:id="rId1994" xr:uid="{00000000-0004-0000-0000-0000C9070000}"/>
    <hyperlink ref="W2001" r:id="rId1995" xr:uid="{00000000-0004-0000-0000-0000CA070000}"/>
    <hyperlink ref="W2002" r:id="rId1996" xr:uid="{00000000-0004-0000-0000-0000CB070000}"/>
    <hyperlink ref="W2003" r:id="rId1997" xr:uid="{00000000-0004-0000-0000-0000CC070000}"/>
    <hyperlink ref="W2004" r:id="rId1998" xr:uid="{00000000-0004-0000-0000-0000CD070000}"/>
    <hyperlink ref="W2005" r:id="rId1999" xr:uid="{00000000-0004-0000-0000-0000CE070000}"/>
    <hyperlink ref="W2006" r:id="rId2000" xr:uid="{00000000-0004-0000-0000-0000CF070000}"/>
    <hyperlink ref="W2007" r:id="rId2001" xr:uid="{00000000-0004-0000-0000-0000D0070000}"/>
    <hyperlink ref="W2008" r:id="rId2002" xr:uid="{00000000-0004-0000-0000-0000D1070000}"/>
    <hyperlink ref="W2009" r:id="rId2003" xr:uid="{00000000-0004-0000-0000-0000D2070000}"/>
    <hyperlink ref="W2010" r:id="rId2004" xr:uid="{00000000-0004-0000-0000-0000D3070000}"/>
    <hyperlink ref="W2011" r:id="rId2005" xr:uid="{00000000-0004-0000-0000-0000D4070000}"/>
    <hyperlink ref="W2012" r:id="rId2006" xr:uid="{00000000-0004-0000-0000-0000D5070000}"/>
    <hyperlink ref="W2013" r:id="rId2007" xr:uid="{00000000-0004-0000-0000-0000D6070000}"/>
    <hyperlink ref="W2014" r:id="rId2008" xr:uid="{00000000-0004-0000-0000-0000D7070000}"/>
    <hyperlink ref="W2015" r:id="rId2009" xr:uid="{00000000-0004-0000-0000-0000D8070000}"/>
    <hyperlink ref="W2016" r:id="rId2010" xr:uid="{00000000-0004-0000-0000-0000D9070000}"/>
    <hyperlink ref="W2017" r:id="rId2011" xr:uid="{00000000-0004-0000-0000-0000DA070000}"/>
    <hyperlink ref="W2018" r:id="rId2012" xr:uid="{00000000-0004-0000-0000-0000DB070000}"/>
    <hyperlink ref="W2019" r:id="rId2013" xr:uid="{00000000-0004-0000-0000-0000DC070000}"/>
    <hyperlink ref="W2020" r:id="rId2014" xr:uid="{00000000-0004-0000-0000-0000DD070000}"/>
    <hyperlink ref="W2021" r:id="rId2015" xr:uid="{00000000-0004-0000-0000-0000DE070000}"/>
    <hyperlink ref="W2022" r:id="rId2016" xr:uid="{00000000-0004-0000-0000-0000DF070000}"/>
    <hyperlink ref="W2023" r:id="rId2017" xr:uid="{00000000-0004-0000-0000-0000E0070000}"/>
    <hyperlink ref="W2024" r:id="rId2018" xr:uid="{00000000-0004-0000-0000-0000E1070000}"/>
    <hyperlink ref="W2025" r:id="rId2019" xr:uid="{00000000-0004-0000-0000-0000E2070000}"/>
    <hyperlink ref="W2026" r:id="rId2020" xr:uid="{00000000-0004-0000-0000-0000E3070000}"/>
    <hyperlink ref="W2027" r:id="rId2021" xr:uid="{00000000-0004-0000-0000-0000E4070000}"/>
    <hyperlink ref="W2028" r:id="rId2022" xr:uid="{00000000-0004-0000-0000-0000E5070000}"/>
    <hyperlink ref="W2029" r:id="rId2023" xr:uid="{00000000-0004-0000-0000-0000E6070000}"/>
    <hyperlink ref="W2030" r:id="rId2024" xr:uid="{00000000-0004-0000-0000-0000E7070000}"/>
    <hyperlink ref="W2031" r:id="rId2025" xr:uid="{00000000-0004-0000-0000-0000E8070000}"/>
    <hyperlink ref="W2032" r:id="rId2026" xr:uid="{00000000-0004-0000-0000-0000E9070000}"/>
    <hyperlink ref="W2033" r:id="rId2027" xr:uid="{00000000-0004-0000-0000-0000EA070000}"/>
    <hyperlink ref="W2034" r:id="rId2028" xr:uid="{00000000-0004-0000-0000-0000EB070000}"/>
    <hyperlink ref="W2035" r:id="rId2029" xr:uid="{00000000-0004-0000-0000-0000EC070000}"/>
    <hyperlink ref="W2036" r:id="rId2030" xr:uid="{00000000-0004-0000-0000-0000ED070000}"/>
    <hyperlink ref="W2037" r:id="rId2031" xr:uid="{00000000-0004-0000-0000-0000EE070000}"/>
    <hyperlink ref="W2038" r:id="rId2032" xr:uid="{00000000-0004-0000-0000-0000EF070000}"/>
    <hyperlink ref="W2039" r:id="rId2033" xr:uid="{00000000-0004-0000-0000-0000F0070000}"/>
    <hyperlink ref="W2040" r:id="rId2034" xr:uid="{00000000-0004-0000-0000-0000F1070000}"/>
    <hyperlink ref="W2041" r:id="rId2035" xr:uid="{00000000-0004-0000-0000-0000F2070000}"/>
    <hyperlink ref="W2042" r:id="rId2036" xr:uid="{00000000-0004-0000-0000-0000F3070000}"/>
    <hyperlink ref="W2043" r:id="rId2037" xr:uid="{00000000-0004-0000-0000-0000F4070000}"/>
    <hyperlink ref="W2044" r:id="rId2038" xr:uid="{00000000-0004-0000-0000-0000F5070000}"/>
    <hyperlink ref="W2045" r:id="rId2039" xr:uid="{00000000-0004-0000-0000-0000F6070000}"/>
    <hyperlink ref="W2046" r:id="rId2040" xr:uid="{00000000-0004-0000-0000-0000F7070000}"/>
    <hyperlink ref="W2047" r:id="rId2041" xr:uid="{00000000-0004-0000-0000-0000F8070000}"/>
    <hyperlink ref="W2048" r:id="rId2042" xr:uid="{00000000-0004-0000-0000-0000F9070000}"/>
    <hyperlink ref="W2049" r:id="rId2043" xr:uid="{00000000-0004-0000-0000-0000FA070000}"/>
    <hyperlink ref="W2050" r:id="rId2044" xr:uid="{00000000-0004-0000-0000-0000FB070000}"/>
    <hyperlink ref="W2051" r:id="rId2045" xr:uid="{00000000-0004-0000-0000-0000FC070000}"/>
    <hyperlink ref="W2052" r:id="rId2046" xr:uid="{00000000-0004-0000-0000-0000FD070000}"/>
    <hyperlink ref="W2053" r:id="rId2047" xr:uid="{00000000-0004-0000-0000-0000FE070000}"/>
    <hyperlink ref="W2054" r:id="rId2048" xr:uid="{00000000-0004-0000-0000-0000FF070000}"/>
    <hyperlink ref="W2055" r:id="rId2049" xr:uid="{00000000-0004-0000-0000-000000080000}"/>
    <hyperlink ref="W2056" r:id="rId2050" xr:uid="{00000000-0004-0000-0000-000001080000}"/>
    <hyperlink ref="W2057" r:id="rId2051" xr:uid="{00000000-0004-0000-0000-000002080000}"/>
    <hyperlink ref="W2058" r:id="rId2052" xr:uid="{00000000-0004-0000-0000-000003080000}"/>
    <hyperlink ref="W2059" r:id="rId2053" xr:uid="{00000000-0004-0000-0000-000004080000}"/>
    <hyperlink ref="W2060" r:id="rId2054" xr:uid="{00000000-0004-0000-0000-000005080000}"/>
    <hyperlink ref="W2061" r:id="rId2055" xr:uid="{00000000-0004-0000-0000-000006080000}"/>
    <hyperlink ref="W2062" r:id="rId2056" xr:uid="{00000000-0004-0000-0000-000007080000}"/>
    <hyperlink ref="W2063" r:id="rId2057" xr:uid="{00000000-0004-0000-0000-000008080000}"/>
    <hyperlink ref="W2064" r:id="rId2058" xr:uid="{00000000-0004-0000-0000-000009080000}"/>
    <hyperlink ref="W2065" r:id="rId2059" xr:uid="{00000000-0004-0000-0000-00000A080000}"/>
    <hyperlink ref="W2066" r:id="rId2060" xr:uid="{00000000-0004-0000-0000-00000B080000}"/>
    <hyperlink ref="W2067" r:id="rId2061" xr:uid="{00000000-0004-0000-0000-00000C080000}"/>
    <hyperlink ref="W2068" r:id="rId2062" xr:uid="{00000000-0004-0000-0000-00000D080000}"/>
    <hyperlink ref="W2069" r:id="rId2063" xr:uid="{00000000-0004-0000-0000-00000E080000}"/>
    <hyperlink ref="W2070" r:id="rId2064" xr:uid="{00000000-0004-0000-0000-00000F080000}"/>
    <hyperlink ref="W2071" r:id="rId2065" xr:uid="{00000000-0004-0000-0000-000010080000}"/>
    <hyperlink ref="W2072" r:id="rId2066" xr:uid="{00000000-0004-0000-0000-000011080000}"/>
    <hyperlink ref="W2073" r:id="rId2067" xr:uid="{00000000-0004-0000-0000-000012080000}"/>
    <hyperlink ref="W2074" r:id="rId2068" xr:uid="{00000000-0004-0000-0000-000013080000}"/>
    <hyperlink ref="W2075" r:id="rId2069" xr:uid="{00000000-0004-0000-0000-000014080000}"/>
    <hyperlink ref="W2076" r:id="rId2070" xr:uid="{00000000-0004-0000-0000-000015080000}"/>
    <hyperlink ref="W2077" r:id="rId2071" xr:uid="{00000000-0004-0000-0000-000016080000}"/>
    <hyperlink ref="W2078" r:id="rId2072" xr:uid="{00000000-0004-0000-0000-000017080000}"/>
    <hyperlink ref="W2079" r:id="rId2073" xr:uid="{00000000-0004-0000-0000-000018080000}"/>
    <hyperlink ref="W2080" r:id="rId2074" xr:uid="{00000000-0004-0000-0000-000019080000}"/>
    <hyperlink ref="W2081" r:id="rId2075" xr:uid="{00000000-0004-0000-0000-00001A080000}"/>
    <hyperlink ref="W2082" r:id="rId2076" xr:uid="{00000000-0004-0000-0000-00001B080000}"/>
    <hyperlink ref="W2083" r:id="rId2077" xr:uid="{00000000-0004-0000-0000-00001C080000}"/>
    <hyperlink ref="W2084" r:id="rId2078" xr:uid="{00000000-0004-0000-0000-00001D080000}"/>
    <hyperlink ref="W2085" r:id="rId2079" xr:uid="{00000000-0004-0000-0000-00001E080000}"/>
    <hyperlink ref="W2086" r:id="rId2080" xr:uid="{00000000-0004-0000-0000-00001F080000}"/>
    <hyperlink ref="W2087" r:id="rId2081" xr:uid="{00000000-0004-0000-0000-000020080000}"/>
    <hyperlink ref="W2088" r:id="rId2082" xr:uid="{00000000-0004-0000-0000-000021080000}"/>
    <hyperlink ref="W2089" r:id="rId2083" xr:uid="{00000000-0004-0000-0000-000022080000}"/>
    <hyperlink ref="W2090" r:id="rId2084" xr:uid="{00000000-0004-0000-0000-000023080000}"/>
    <hyperlink ref="W2091" r:id="rId2085" xr:uid="{00000000-0004-0000-0000-000024080000}"/>
    <hyperlink ref="W2092" r:id="rId2086" xr:uid="{00000000-0004-0000-0000-000025080000}"/>
    <hyperlink ref="W2093" r:id="rId2087" xr:uid="{00000000-0004-0000-0000-000026080000}"/>
    <hyperlink ref="W2094" r:id="rId2088" xr:uid="{00000000-0004-0000-0000-000027080000}"/>
    <hyperlink ref="W2095" r:id="rId2089" xr:uid="{00000000-0004-0000-0000-000028080000}"/>
    <hyperlink ref="W2096" r:id="rId2090" xr:uid="{00000000-0004-0000-0000-000029080000}"/>
    <hyperlink ref="W2097" r:id="rId2091" xr:uid="{00000000-0004-0000-0000-00002A080000}"/>
    <hyperlink ref="W2098" r:id="rId2092" xr:uid="{00000000-0004-0000-0000-00002B080000}"/>
    <hyperlink ref="W2099" r:id="rId2093" xr:uid="{00000000-0004-0000-0000-00002C080000}"/>
    <hyperlink ref="W2100" r:id="rId2094" xr:uid="{00000000-0004-0000-0000-00002D080000}"/>
    <hyperlink ref="W2101" r:id="rId2095" xr:uid="{00000000-0004-0000-0000-00002E080000}"/>
    <hyperlink ref="W2102" r:id="rId2096" xr:uid="{00000000-0004-0000-0000-00002F080000}"/>
    <hyperlink ref="W2103" r:id="rId2097" xr:uid="{00000000-0004-0000-0000-000030080000}"/>
    <hyperlink ref="W2104" r:id="rId2098" xr:uid="{00000000-0004-0000-0000-000031080000}"/>
    <hyperlink ref="W2105" r:id="rId2099" xr:uid="{00000000-0004-0000-0000-000032080000}"/>
    <hyperlink ref="W2106" r:id="rId2100" xr:uid="{00000000-0004-0000-0000-000033080000}"/>
    <hyperlink ref="W2107" r:id="rId2101" xr:uid="{00000000-0004-0000-0000-000034080000}"/>
    <hyperlink ref="W2108" r:id="rId2102" xr:uid="{00000000-0004-0000-0000-000035080000}"/>
    <hyperlink ref="W2109" r:id="rId2103" xr:uid="{00000000-0004-0000-0000-000036080000}"/>
    <hyperlink ref="W2110" r:id="rId2104" xr:uid="{00000000-0004-0000-0000-000037080000}"/>
    <hyperlink ref="W2111" r:id="rId2105" xr:uid="{00000000-0004-0000-0000-000038080000}"/>
    <hyperlink ref="W2112" r:id="rId2106" xr:uid="{00000000-0004-0000-0000-000039080000}"/>
    <hyperlink ref="W2113" r:id="rId2107" xr:uid="{00000000-0004-0000-0000-00003A080000}"/>
    <hyperlink ref="W2114" r:id="rId2108" xr:uid="{00000000-0004-0000-0000-00003B080000}"/>
    <hyperlink ref="W2115" r:id="rId2109" xr:uid="{00000000-0004-0000-0000-00003C080000}"/>
    <hyperlink ref="W2116" r:id="rId2110" xr:uid="{00000000-0004-0000-0000-00003D080000}"/>
    <hyperlink ref="W2117" r:id="rId2111" xr:uid="{00000000-0004-0000-0000-00003E080000}"/>
    <hyperlink ref="W2118" r:id="rId2112" xr:uid="{00000000-0004-0000-0000-00003F080000}"/>
    <hyperlink ref="W2119" r:id="rId2113" xr:uid="{00000000-0004-0000-0000-000040080000}"/>
    <hyperlink ref="W2120" r:id="rId2114" xr:uid="{00000000-0004-0000-0000-000041080000}"/>
    <hyperlink ref="W2121" r:id="rId2115" xr:uid="{00000000-0004-0000-0000-000042080000}"/>
    <hyperlink ref="W2122" r:id="rId2116" xr:uid="{00000000-0004-0000-0000-000043080000}"/>
    <hyperlink ref="W2123" r:id="rId2117" xr:uid="{00000000-0004-0000-0000-000044080000}"/>
    <hyperlink ref="W2124" r:id="rId2118" xr:uid="{00000000-0004-0000-0000-000045080000}"/>
    <hyperlink ref="W2125" r:id="rId2119" xr:uid="{00000000-0004-0000-0000-000046080000}"/>
    <hyperlink ref="W2126" r:id="rId2120" xr:uid="{00000000-0004-0000-0000-000047080000}"/>
    <hyperlink ref="W2127" r:id="rId2121" xr:uid="{00000000-0004-0000-0000-000048080000}"/>
    <hyperlink ref="W2128" r:id="rId2122" xr:uid="{00000000-0004-0000-0000-000049080000}"/>
    <hyperlink ref="W2129" r:id="rId2123" xr:uid="{00000000-0004-0000-0000-00004A080000}"/>
    <hyperlink ref="W2130" r:id="rId2124" xr:uid="{00000000-0004-0000-0000-00004B080000}"/>
    <hyperlink ref="W2131" r:id="rId2125" xr:uid="{00000000-0004-0000-0000-00004C080000}"/>
    <hyperlink ref="W2132" r:id="rId2126" xr:uid="{00000000-0004-0000-0000-00004D080000}"/>
    <hyperlink ref="W2133" r:id="rId2127" xr:uid="{00000000-0004-0000-0000-00004E080000}"/>
    <hyperlink ref="W2134" r:id="rId2128" xr:uid="{00000000-0004-0000-0000-00004F080000}"/>
    <hyperlink ref="W2135" r:id="rId2129" xr:uid="{00000000-0004-0000-0000-000050080000}"/>
    <hyperlink ref="W2136" r:id="rId2130" xr:uid="{00000000-0004-0000-0000-000051080000}"/>
    <hyperlink ref="W2137" r:id="rId2131" xr:uid="{00000000-0004-0000-0000-000052080000}"/>
    <hyperlink ref="W2138" r:id="rId2132" xr:uid="{00000000-0004-0000-0000-000053080000}"/>
    <hyperlink ref="W2139" r:id="rId2133" xr:uid="{00000000-0004-0000-0000-000054080000}"/>
    <hyperlink ref="W2140" r:id="rId2134" xr:uid="{00000000-0004-0000-0000-000055080000}"/>
    <hyperlink ref="W2141" r:id="rId2135" xr:uid="{00000000-0004-0000-0000-000056080000}"/>
    <hyperlink ref="W2142" r:id="rId2136" xr:uid="{00000000-0004-0000-0000-000057080000}"/>
    <hyperlink ref="W2143" r:id="rId2137" xr:uid="{00000000-0004-0000-0000-000058080000}"/>
    <hyperlink ref="W2144" r:id="rId2138" xr:uid="{00000000-0004-0000-0000-000059080000}"/>
    <hyperlink ref="W2145" r:id="rId2139" xr:uid="{00000000-0004-0000-0000-00005A080000}"/>
    <hyperlink ref="W2146" r:id="rId2140" xr:uid="{00000000-0004-0000-0000-00005B080000}"/>
    <hyperlink ref="W2147" r:id="rId2141" xr:uid="{00000000-0004-0000-0000-00005C080000}"/>
    <hyperlink ref="W2148" r:id="rId2142" xr:uid="{00000000-0004-0000-0000-00005D080000}"/>
    <hyperlink ref="W2149" r:id="rId2143" xr:uid="{00000000-0004-0000-0000-00005E080000}"/>
    <hyperlink ref="W2150" r:id="rId2144" xr:uid="{00000000-0004-0000-0000-00005F080000}"/>
    <hyperlink ref="W2151" r:id="rId2145" xr:uid="{00000000-0004-0000-0000-000060080000}"/>
    <hyperlink ref="W2152" r:id="rId2146" xr:uid="{00000000-0004-0000-0000-000061080000}"/>
    <hyperlink ref="W2153" r:id="rId2147" xr:uid="{00000000-0004-0000-0000-000062080000}"/>
    <hyperlink ref="W2154" r:id="rId2148" xr:uid="{00000000-0004-0000-0000-000063080000}"/>
    <hyperlink ref="W2155" r:id="rId2149" xr:uid="{00000000-0004-0000-0000-000064080000}"/>
    <hyperlink ref="W2156" r:id="rId2150" xr:uid="{00000000-0004-0000-0000-000065080000}"/>
    <hyperlink ref="W2157" r:id="rId2151" xr:uid="{00000000-0004-0000-0000-000066080000}"/>
    <hyperlink ref="W2158" r:id="rId2152" xr:uid="{00000000-0004-0000-0000-000067080000}"/>
    <hyperlink ref="W2159" r:id="rId2153" xr:uid="{00000000-0004-0000-0000-000068080000}"/>
    <hyperlink ref="W2160" r:id="rId2154" xr:uid="{00000000-0004-0000-0000-000069080000}"/>
    <hyperlink ref="W2161" r:id="rId2155" xr:uid="{00000000-0004-0000-0000-00006A080000}"/>
    <hyperlink ref="W2162" r:id="rId2156" xr:uid="{00000000-0004-0000-0000-00006B080000}"/>
    <hyperlink ref="W2163" r:id="rId2157" xr:uid="{00000000-0004-0000-0000-00006C080000}"/>
    <hyperlink ref="W2164" r:id="rId2158" xr:uid="{00000000-0004-0000-0000-00006D080000}"/>
    <hyperlink ref="W2165" r:id="rId2159" xr:uid="{00000000-0004-0000-0000-00006E080000}"/>
    <hyperlink ref="W2166" r:id="rId2160" xr:uid="{00000000-0004-0000-0000-00006F080000}"/>
    <hyperlink ref="W2167" r:id="rId2161" xr:uid="{00000000-0004-0000-0000-000070080000}"/>
    <hyperlink ref="W2168" r:id="rId2162" xr:uid="{00000000-0004-0000-0000-000071080000}"/>
    <hyperlink ref="W2169" r:id="rId2163" xr:uid="{00000000-0004-0000-0000-000072080000}"/>
    <hyperlink ref="W2170" r:id="rId2164" xr:uid="{00000000-0004-0000-0000-000073080000}"/>
    <hyperlink ref="W2171" r:id="rId2165" xr:uid="{00000000-0004-0000-0000-000074080000}"/>
    <hyperlink ref="W2172" r:id="rId2166" xr:uid="{00000000-0004-0000-0000-000075080000}"/>
    <hyperlink ref="W2173" r:id="rId2167" xr:uid="{00000000-0004-0000-0000-000076080000}"/>
    <hyperlink ref="W2174" r:id="rId2168" xr:uid="{00000000-0004-0000-0000-000077080000}"/>
    <hyperlink ref="W2175" r:id="rId2169" xr:uid="{00000000-0004-0000-0000-000078080000}"/>
    <hyperlink ref="W2176" r:id="rId2170" xr:uid="{00000000-0004-0000-0000-000079080000}"/>
    <hyperlink ref="W2177" r:id="rId2171" xr:uid="{00000000-0004-0000-0000-00007A080000}"/>
    <hyperlink ref="W2178" r:id="rId2172" xr:uid="{00000000-0004-0000-0000-00007B080000}"/>
    <hyperlink ref="W2179" r:id="rId2173" xr:uid="{00000000-0004-0000-0000-00007C080000}"/>
    <hyperlink ref="W2180" r:id="rId2174" xr:uid="{00000000-0004-0000-0000-00007D080000}"/>
    <hyperlink ref="W2181" r:id="rId2175" xr:uid="{00000000-0004-0000-0000-00007E080000}"/>
    <hyperlink ref="W2182" r:id="rId2176" xr:uid="{00000000-0004-0000-0000-00007F080000}"/>
    <hyperlink ref="W2183" r:id="rId2177" xr:uid="{00000000-0004-0000-0000-000080080000}"/>
    <hyperlink ref="W2184" r:id="rId2178" xr:uid="{00000000-0004-0000-0000-000081080000}"/>
    <hyperlink ref="W2185" r:id="rId2179" xr:uid="{00000000-0004-0000-0000-000082080000}"/>
    <hyperlink ref="W2186" r:id="rId2180" xr:uid="{00000000-0004-0000-0000-000083080000}"/>
    <hyperlink ref="W2187" r:id="rId2181" xr:uid="{00000000-0004-0000-0000-000084080000}"/>
    <hyperlink ref="W2188" r:id="rId2182" xr:uid="{00000000-0004-0000-0000-000085080000}"/>
    <hyperlink ref="W2189" r:id="rId2183" xr:uid="{00000000-0004-0000-0000-000086080000}"/>
    <hyperlink ref="W2190" r:id="rId2184" xr:uid="{00000000-0004-0000-0000-000087080000}"/>
    <hyperlink ref="W2191" r:id="rId2185" xr:uid="{00000000-0004-0000-0000-000088080000}"/>
    <hyperlink ref="W2192" r:id="rId2186" xr:uid="{00000000-0004-0000-0000-000089080000}"/>
    <hyperlink ref="W2193" r:id="rId2187" xr:uid="{00000000-0004-0000-0000-00008A080000}"/>
    <hyperlink ref="W2194" r:id="rId2188" xr:uid="{00000000-0004-0000-0000-00008B080000}"/>
    <hyperlink ref="W2195" r:id="rId2189" xr:uid="{00000000-0004-0000-0000-00008C080000}"/>
    <hyperlink ref="W2196" r:id="rId2190" xr:uid="{00000000-0004-0000-0000-00008D080000}"/>
    <hyperlink ref="W2197" r:id="rId2191" xr:uid="{00000000-0004-0000-0000-00008E080000}"/>
    <hyperlink ref="W2198" r:id="rId2192" xr:uid="{00000000-0004-0000-0000-00008F080000}"/>
    <hyperlink ref="W2199" r:id="rId2193" xr:uid="{00000000-0004-0000-0000-000090080000}"/>
    <hyperlink ref="W2200" r:id="rId2194" xr:uid="{00000000-0004-0000-0000-000091080000}"/>
    <hyperlink ref="W2201" r:id="rId2195" xr:uid="{00000000-0004-0000-0000-000092080000}"/>
    <hyperlink ref="W2202" r:id="rId2196" xr:uid="{00000000-0004-0000-0000-000093080000}"/>
    <hyperlink ref="W2203" r:id="rId2197" xr:uid="{00000000-0004-0000-0000-000094080000}"/>
    <hyperlink ref="W2204" r:id="rId2198" xr:uid="{00000000-0004-0000-0000-000095080000}"/>
    <hyperlink ref="W2205" r:id="rId2199" xr:uid="{00000000-0004-0000-0000-000096080000}"/>
    <hyperlink ref="W2206" r:id="rId2200" xr:uid="{00000000-0004-0000-0000-000097080000}"/>
    <hyperlink ref="W2207" r:id="rId2201" xr:uid="{00000000-0004-0000-0000-000098080000}"/>
    <hyperlink ref="W2208" r:id="rId2202" xr:uid="{00000000-0004-0000-0000-000099080000}"/>
    <hyperlink ref="W2209" r:id="rId2203" xr:uid="{00000000-0004-0000-0000-00009A080000}"/>
    <hyperlink ref="W2210" r:id="rId2204" xr:uid="{00000000-0004-0000-0000-00009B080000}"/>
    <hyperlink ref="W2211" r:id="rId2205" xr:uid="{00000000-0004-0000-0000-00009C080000}"/>
    <hyperlink ref="W2212" r:id="rId2206" xr:uid="{00000000-0004-0000-0000-00009D080000}"/>
    <hyperlink ref="W2213" r:id="rId2207" xr:uid="{00000000-0004-0000-0000-00009E080000}"/>
    <hyperlink ref="W2214" r:id="rId2208" xr:uid="{00000000-0004-0000-0000-00009F080000}"/>
    <hyperlink ref="W2215" r:id="rId2209" xr:uid="{00000000-0004-0000-0000-0000A0080000}"/>
    <hyperlink ref="W2216" r:id="rId2210" xr:uid="{00000000-0004-0000-0000-0000A1080000}"/>
    <hyperlink ref="W2217" r:id="rId2211" xr:uid="{00000000-0004-0000-0000-0000A2080000}"/>
    <hyperlink ref="W2218" r:id="rId2212" xr:uid="{00000000-0004-0000-0000-0000A3080000}"/>
    <hyperlink ref="W2219" r:id="rId2213" xr:uid="{00000000-0004-0000-0000-0000A4080000}"/>
    <hyperlink ref="W2220" r:id="rId2214" xr:uid="{00000000-0004-0000-0000-0000A5080000}"/>
    <hyperlink ref="W2221" r:id="rId2215" xr:uid="{00000000-0004-0000-0000-0000A6080000}"/>
    <hyperlink ref="W2222" r:id="rId2216" xr:uid="{00000000-0004-0000-0000-0000A7080000}"/>
    <hyperlink ref="W2223" r:id="rId2217" xr:uid="{00000000-0004-0000-0000-0000A8080000}"/>
    <hyperlink ref="W2224" r:id="rId2218" xr:uid="{00000000-0004-0000-0000-0000A9080000}"/>
    <hyperlink ref="W2225" r:id="rId2219" xr:uid="{00000000-0004-0000-0000-0000AA080000}"/>
    <hyperlink ref="W2226" r:id="rId2220" xr:uid="{00000000-0004-0000-0000-0000AB080000}"/>
    <hyperlink ref="W2227" r:id="rId2221" xr:uid="{00000000-0004-0000-0000-0000AC080000}"/>
    <hyperlink ref="W2228" r:id="rId2222" xr:uid="{00000000-0004-0000-0000-0000AD080000}"/>
    <hyperlink ref="W2229" r:id="rId2223" xr:uid="{00000000-0004-0000-0000-0000AE080000}"/>
    <hyperlink ref="W2230" r:id="rId2224" xr:uid="{00000000-0004-0000-0000-0000AF080000}"/>
    <hyperlink ref="W2231" r:id="rId2225" xr:uid="{00000000-0004-0000-0000-0000B0080000}"/>
    <hyperlink ref="W2232" r:id="rId2226" xr:uid="{00000000-0004-0000-0000-0000B1080000}"/>
    <hyperlink ref="W2233" r:id="rId2227" xr:uid="{00000000-0004-0000-0000-0000B2080000}"/>
    <hyperlink ref="W2234" r:id="rId2228" xr:uid="{00000000-0004-0000-0000-0000B3080000}"/>
    <hyperlink ref="W2235" r:id="rId2229" xr:uid="{00000000-0004-0000-0000-0000B4080000}"/>
    <hyperlink ref="W2236" r:id="rId2230" xr:uid="{00000000-0004-0000-0000-0000B5080000}"/>
    <hyperlink ref="W2237" r:id="rId2231" xr:uid="{00000000-0004-0000-0000-0000B6080000}"/>
    <hyperlink ref="W2238" r:id="rId2232" xr:uid="{00000000-0004-0000-0000-0000B7080000}"/>
    <hyperlink ref="W2239" r:id="rId2233" xr:uid="{00000000-0004-0000-0000-0000B8080000}"/>
    <hyperlink ref="W2240" r:id="rId2234" xr:uid="{00000000-0004-0000-0000-0000B9080000}"/>
    <hyperlink ref="W2241" r:id="rId2235" xr:uid="{00000000-0004-0000-0000-0000BA080000}"/>
    <hyperlink ref="W2242" r:id="rId2236" xr:uid="{00000000-0004-0000-0000-0000BB080000}"/>
    <hyperlink ref="W2243" r:id="rId2237" xr:uid="{00000000-0004-0000-0000-0000BC080000}"/>
    <hyperlink ref="W2244" r:id="rId2238" xr:uid="{00000000-0004-0000-0000-0000BD080000}"/>
    <hyperlink ref="W2245" r:id="rId2239" xr:uid="{00000000-0004-0000-0000-0000BE080000}"/>
    <hyperlink ref="W2246" r:id="rId2240" xr:uid="{00000000-0004-0000-0000-0000BF080000}"/>
    <hyperlink ref="W2247" r:id="rId2241" xr:uid="{00000000-0004-0000-0000-0000C0080000}"/>
    <hyperlink ref="W2248" r:id="rId2242" xr:uid="{00000000-0004-0000-0000-0000C1080000}"/>
    <hyperlink ref="W2249" r:id="rId2243" xr:uid="{00000000-0004-0000-0000-0000C2080000}"/>
    <hyperlink ref="W2250" r:id="rId2244" xr:uid="{00000000-0004-0000-0000-0000C3080000}"/>
    <hyperlink ref="W2251" r:id="rId2245" xr:uid="{00000000-0004-0000-0000-0000C4080000}"/>
    <hyperlink ref="W2252" r:id="rId2246" xr:uid="{00000000-0004-0000-0000-0000C5080000}"/>
    <hyperlink ref="W2253" r:id="rId2247" xr:uid="{00000000-0004-0000-0000-0000C6080000}"/>
    <hyperlink ref="W2254" r:id="rId2248" xr:uid="{00000000-0004-0000-0000-0000C7080000}"/>
    <hyperlink ref="W2255" r:id="rId2249" xr:uid="{00000000-0004-0000-0000-0000C8080000}"/>
    <hyperlink ref="W2256" r:id="rId2250" xr:uid="{00000000-0004-0000-0000-0000C9080000}"/>
    <hyperlink ref="W2257" r:id="rId2251" xr:uid="{00000000-0004-0000-0000-0000CA080000}"/>
    <hyperlink ref="W2258" r:id="rId2252" xr:uid="{00000000-0004-0000-0000-0000CB080000}"/>
    <hyperlink ref="W2259" r:id="rId2253" xr:uid="{00000000-0004-0000-0000-0000CC080000}"/>
    <hyperlink ref="W2260" r:id="rId2254" xr:uid="{00000000-0004-0000-0000-0000CD080000}"/>
    <hyperlink ref="W2261" r:id="rId2255" xr:uid="{00000000-0004-0000-0000-0000CE080000}"/>
    <hyperlink ref="W2262" r:id="rId2256" xr:uid="{00000000-0004-0000-0000-0000CF080000}"/>
    <hyperlink ref="W2263" r:id="rId2257" xr:uid="{00000000-0004-0000-0000-0000D0080000}"/>
    <hyperlink ref="W2264" r:id="rId2258" xr:uid="{00000000-0004-0000-0000-0000D1080000}"/>
    <hyperlink ref="W2265" r:id="rId2259" xr:uid="{00000000-0004-0000-0000-0000D2080000}"/>
    <hyperlink ref="W2266" r:id="rId2260" xr:uid="{00000000-0004-0000-0000-0000D3080000}"/>
    <hyperlink ref="W2267" r:id="rId2261" xr:uid="{00000000-0004-0000-0000-0000D4080000}"/>
    <hyperlink ref="W2268" r:id="rId2262" xr:uid="{00000000-0004-0000-0000-0000D5080000}"/>
    <hyperlink ref="W2269" r:id="rId2263" xr:uid="{00000000-0004-0000-0000-0000D6080000}"/>
    <hyperlink ref="W2270" r:id="rId2264" xr:uid="{00000000-0004-0000-0000-0000D7080000}"/>
    <hyperlink ref="W2271" r:id="rId2265" xr:uid="{00000000-0004-0000-0000-0000D8080000}"/>
    <hyperlink ref="W2272" r:id="rId2266" xr:uid="{00000000-0004-0000-0000-0000D9080000}"/>
    <hyperlink ref="W2273" r:id="rId2267" xr:uid="{00000000-0004-0000-0000-0000DA080000}"/>
    <hyperlink ref="W2274" r:id="rId2268" xr:uid="{00000000-0004-0000-0000-0000DB080000}"/>
    <hyperlink ref="W2275" r:id="rId2269" xr:uid="{00000000-0004-0000-0000-0000DC080000}"/>
    <hyperlink ref="W2276" r:id="rId2270" xr:uid="{00000000-0004-0000-0000-0000DD080000}"/>
    <hyperlink ref="W2277" r:id="rId2271" xr:uid="{00000000-0004-0000-0000-0000DE080000}"/>
    <hyperlink ref="W2278" r:id="rId2272" xr:uid="{00000000-0004-0000-0000-0000DF080000}"/>
    <hyperlink ref="W2279" r:id="rId2273" xr:uid="{00000000-0004-0000-0000-0000E0080000}"/>
    <hyperlink ref="W2280" r:id="rId2274" xr:uid="{00000000-0004-0000-0000-0000E1080000}"/>
    <hyperlink ref="W2281" r:id="rId2275" xr:uid="{00000000-0004-0000-0000-0000E2080000}"/>
    <hyperlink ref="W2282" r:id="rId2276" xr:uid="{00000000-0004-0000-0000-0000E3080000}"/>
    <hyperlink ref="W2283" r:id="rId2277" xr:uid="{00000000-0004-0000-0000-0000E4080000}"/>
    <hyperlink ref="W2284" r:id="rId2278" xr:uid="{00000000-0004-0000-0000-0000E5080000}"/>
    <hyperlink ref="W2285" r:id="rId2279" xr:uid="{00000000-0004-0000-0000-0000E6080000}"/>
    <hyperlink ref="W2286" r:id="rId2280" xr:uid="{00000000-0004-0000-0000-0000E7080000}"/>
    <hyperlink ref="W2287" r:id="rId2281" xr:uid="{00000000-0004-0000-0000-0000E8080000}"/>
    <hyperlink ref="W2288" r:id="rId2282" xr:uid="{00000000-0004-0000-0000-0000E9080000}"/>
    <hyperlink ref="W2289" r:id="rId2283" xr:uid="{00000000-0004-0000-0000-0000EA080000}"/>
    <hyperlink ref="W2290" r:id="rId2284" xr:uid="{00000000-0004-0000-0000-0000EB080000}"/>
    <hyperlink ref="W2291" r:id="rId2285" xr:uid="{00000000-0004-0000-0000-0000EC080000}"/>
    <hyperlink ref="W2292" r:id="rId2286" xr:uid="{00000000-0004-0000-0000-0000ED080000}"/>
    <hyperlink ref="W2293" r:id="rId2287" xr:uid="{00000000-0004-0000-0000-0000EE080000}"/>
    <hyperlink ref="W2294" r:id="rId2288" xr:uid="{00000000-0004-0000-0000-0000EF080000}"/>
    <hyperlink ref="W2295" r:id="rId2289" xr:uid="{00000000-0004-0000-0000-0000F0080000}"/>
    <hyperlink ref="W2296" r:id="rId2290" xr:uid="{00000000-0004-0000-0000-0000F1080000}"/>
    <hyperlink ref="W2297" r:id="rId2291" xr:uid="{00000000-0004-0000-0000-0000F2080000}"/>
    <hyperlink ref="W2298" r:id="rId2292" xr:uid="{00000000-0004-0000-0000-0000F3080000}"/>
    <hyperlink ref="W2299" r:id="rId2293" xr:uid="{00000000-0004-0000-0000-0000F4080000}"/>
    <hyperlink ref="W2300" r:id="rId2294" xr:uid="{00000000-0004-0000-0000-0000F5080000}"/>
    <hyperlink ref="W2301" r:id="rId2295" xr:uid="{00000000-0004-0000-0000-0000F6080000}"/>
    <hyperlink ref="W2302" r:id="rId2296" xr:uid="{00000000-0004-0000-0000-0000F7080000}"/>
    <hyperlink ref="W2303" r:id="rId2297" xr:uid="{00000000-0004-0000-0000-0000F8080000}"/>
    <hyperlink ref="W2304" r:id="rId2298" xr:uid="{00000000-0004-0000-0000-0000F9080000}"/>
    <hyperlink ref="W2305" r:id="rId2299" xr:uid="{00000000-0004-0000-0000-0000FA080000}"/>
    <hyperlink ref="W2306" r:id="rId2300" xr:uid="{00000000-0004-0000-0000-0000FB080000}"/>
    <hyperlink ref="W2307" r:id="rId2301" xr:uid="{00000000-0004-0000-0000-0000FC080000}"/>
    <hyperlink ref="W2308" r:id="rId2302" xr:uid="{00000000-0004-0000-0000-0000FD080000}"/>
    <hyperlink ref="W2309" r:id="rId2303" xr:uid="{00000000-0004-0000-0000-0000FE080000}"/>
    <hyperlink ref="W2310" r:id="rId2304" xr:uid="{00000000-0004-0000-0000-0000FF080000}"/>
    <hyperlink ref="W2311" r:id="rId2305" xr:uid="{00000000-0004-0000-0000-000000090000}"/>
    <hyperlink ref="W2312" r:id="rId2306" xr:uid="{00000000-0004-0000-0000-000001090000}"/>
    <hyperlink ref="W2313" r:id="rId2307" xr:uid="{00000000-0004-0000-0000-000002090000}"/>
    <hyperlink ref="W2314" r:id="rId2308" xr:uid="{00000000-0004-0000-0000-000003090000}"/>
    <hyperlink ref="W2315" r:id="rId2309" xr:uid="{00000000-0004-0000-0000-000004090000}"/>
    <hyperlink ref="W2316" r:id="rId2310" xr:uid="{00000000-0004-0000-0000-000005090000}"/>
    <hyperlink ref="W2317" r:id="rId2311" xr:uid="{00000000-0004-0000-0000-000006090000}"/>
    <hyperlink ref="W2318" r:id="rId2312" xr:uid="{00000000-0004-0000-0000-000007090000}"/>
    <hyperlink ref="W2319" r:id="rId2313" xr:uid="{00000000-0004-0000-0000-000008090000}"/>
    <hyperlink ref="W2320" r:id="rId2314" xr:uid="{00000000-0004-0000-0000-000009090000}"/>
    <hyperlink ref="W2321" r:id="rId2315" xr:uid="{00000000-0004-0000-0000-00000A090000}"/>
    <hyperlink ref="W2322" r:id="rId2316" xr:uid="{00000000-0004-0000-0000-00000B090000}"/>
    <hyperlink ref="W2323" r:id="rId2317" xr:uid="{00000000-0004-0000-0000-00000C090000}"/>
    <hyperlink ref="W2324" r:id="rId2318" xr:uid="{00000000-0004-0000-0000-00000D090000}"/>
    <hyperlink ref="W2325" r:id="rId2319" xr:uid="{00000000-0004-0000-0000-00000E090000}"/>
    <hyperlink ref="W2326" r:id="rId2320" xr:uid="{00000000-0004-0000-0000-00000F090000}"/>
    <hyperlink ref="W2327" r:id="rId2321" xr:uid="{00000000-0004-0000-0000-000010090000}"/>
    <hyperlink ref="W2328" r:id="rId2322" xr:uid="{00000000-0004-0000-0000-000011090000}"/>
    <hyperlink ref="W2329" r:id="rId2323" xr:uid="{00000000-0004-0000-0000-000012090000}"/>
    <hyperlink ref="W2330" r:id="rId2324" xr:uid="{00000000-0004-0000-0000-000013090000}"/>
    <hyperlink ref="W2331" r:id="rId2325" xr:uid="{00000000-0004-0000-0000-000014090000}"/>
    <hyperlink ref="W2332" r:id="rId2326" xr:uid="{00000000-0004-0000-0000-000015090000}"/>
    <hyperlink ref="W2333" r:id="rId2327" xr:uid="{00000000-0004-0000-0000-000016090000}"/>
    <hyperlink ref="W2334" r:id="rId2328" xr:uid="{00000000-0004-0000-0000-000017090000}"/>
    <hyperlink ref="W2335" r:id="rId2329" xr:uid="{00000000-0004-0000-0000-000018090000}"/>
    <hyperlink ref="W2336" r:id="rId2330" xr:uid="{00000000-0004-0000-0000-000019090000}"/>
    <hyperlink ref="W2337" r:id="rId2331" xr:uid="{00000000-0004-0000-0000-00001A090000}"/>
    <hyperlink ref="W2338" r:id="rId2332" xr:uid="{00000000-0004-0000-0000-00001B090000}"/>
    <hyperlink ref="W2339" r:id="rId2333" xr:uid="{00000000-0004-0000-0000-00001C090000}"/>
    <hyperlink ref="W2340" r:id="rId2334" xr:uid="{00000000-0004-0000-0000-00001D090000}"/>
    <hyperlink ref="W2341" r:id="rId2335" xr:uid="{00000000-0004-0000-0000-00001E090000}"/>
    <hyperlink ref="W2342" r:id="rId2336" xr:uid="{00000000-0004-0000-0000-00001F090000}"/>
    <hyperlink ref="W2343" r:id="rId2337" xr:uid="{00000000-0004-0000-0000-000020090000}"/>
    <hyperlink ref="W2344" r:id="rId2338" xr:uid="{00000000-0004-0000-0000-000021090000}"/>
    <hyperlink ref="W2345" r:id="rId2339" xr:uid="{00000000-0004-0000-0000-000022090000}"/>
    <hyperlink ref="W2346" r:id="rId2340" xr:uid="{00000000-0004-0000-0000-000023090000}"/>
    <hyperlink ref="W2347" r:id="rId2341" xr:uid="{00000000-0004-0000-0000-000024090000}"/>
    <hyperlink ref="W2348" r:id="rId2342" xr:uid="{00000000-0004-0000-0000-000025090000}"/>
    <hyperlink ref="W2349" r:id="rId2343" xr:uid="{00000000-0004-0000-0000-000026090000}"/>
    <hyperlink ref="W2350" r:id="rId2344" xr:uid="{00000000-0004-0000-0000-000027090000}"/>
    <hyperlink ref="W2351" r:id="rId2345" xr:uid="{00000000-0004-0000-0000-000028090000}"/>
    <hyperlink ref="W2352" r:id="rId2346" xr:uid="{00000000-0004-0000-0000-000029090000}"/>
    <hyperlink ref="W2353" r:id="rId2347" xr:uid="{00000000-0004-0000-0000-00002A090000}"/>
    <hyperlink ref="W2354" r:id="rId2348" xr:uid="{00000000-0004-0000-0000-00002B090000}"/>
    <hyperlink ref="W2355" r:id="rId2349" xr:uid="{00000000-0004-0000-0000-00002C090000}"/>
    <hyperlink ref="W2356" r:id="rId2350" xr:uid="{00000000-0004-0000-0000-00002D090000}"/>
    <hyperlink ref="W2357" r:id="rId2351" xr:uid="{00000000-0004-0000-0000-00002E090000}"/>
    <hyperlink ref="W2358" r:id="rId2352" xr:uid="{00000000-0004-0000-0000-00002F090000}"/>
    <hyperlink ref="W2359" r:id="rId2353" xr:uid="{00000000-0004-0000-0000-000030090000}"/>
    <hyperlink ref="W2360" r:id="rId2354" xr:uid="{00000000-0004-0000-0000-000031090000}"/>
    <hyperlink ref="W2361" r:id="rId2355" xr:uid="{00000000-0004-0000-0000-000032090000}"/>
    <hyperlink ref="W2362" r:id="rId2356" xr:uid="{00000000-0004-0000-0000-000033090000}"/>
    <hyperlink ref="W2363" r:id="rId2357" xr:uid="{00000000-0004-0000-0000-000034090000}"/>
    <hyperlink ref="W2364" r:id="rId2358" xr:uid="{00000000-0004-0000-0000-000035090000}"/>
    <hyperlink ref="W2365" r:id="rId2359" xr:uid="{00000000-0004-0000-0000-000036090000}"/>
    <hyperlink ref="W2366" r:id="rId2360" xr:uid="{00000000-0004-0000-0000-000037090000}"/>
    <hyperlink ref="W2367" r:id="rId2361" xr:uid="{00000000-0004-0000-0000-000038090000}"/>
    <hyperlink ref="W2368" r:id="rId2362" xr:uid="{00000000-0004-0000-0000-000039090000}"/>
    <hyperlink ref="W2369" r:id="rId2363" xr:uid="{00000000-0004-0000-0000-00003A090000}"/>
    <hyperlink ref="W2370" r:id="rId2364" xr:uid="{00000000-0004-0000-0000-00003B090000}"/>
    <hyperlink ref="W2371" r:id="rId2365" xr:uid="{00000000-0004-0000-0000-00003C090000}"/>
    <hyperlink ref="W2372" r:id="rId2366" xr:uid="{00000000-0004-0000-0000-00003D090000}"/>
    <hyperlink ref="W2373" r:id="rId2367" xr:uid="{00000000-0004-0000-0000-00003E090000}"/>
    <hyperlink ref="W2374" r:id="rId2368" xr:uid="{00000000-0004-0000-0000-00003F090000}"/>
    <hyperlink ref="W2375" r:id="rId2369" xr:uid="{00000000-0004-0000-0000-000040090000}"/>
    <hyperlink ref="W2376" r:id="rId2370" xr:uid="{00000000-0004-0000-0000-000041090000}"/>
    <hyperlink ref="W2377" r:id="rId2371" xr:uid="{00000000-0004-0000-0000-000042090000}"/>
    <hyperlink ref="W2378" r:id="rId2372" xr:uid="{00000000-0004-0000-0000-000043090000}"/>
    <hyperlink ref="W2379" r:id="rId2373" xr:uid="{00000000-0004-0000-0000-000044090000}"/>
    <hyperlink ref="W2380" r:id="rId2374" xr:uid="{00000000-0004-0000-0000-000045090000}"/>
    <hyperlink ref="W2381" r:id="rId2375" xr:uid="{00000000-0004-0000-0000-000046090000}"/>
    <hyperlink ref="W2382" r:id="rId2376" xr:uid="{00000000-0004-0000-0000-000047090000}"/>
    <hyperlink ref="W2383" r:id="rId2377" xr:uid="{00000000-0004-0000-0000-000048090000}"/>
    <hyperlink ref="W2384" r:id="rId2378" xr:uid="{00000000-0004-0000-0000-000049090000}"/>
    <hyperlink ref="W2385" r:id="rId2379" xr:uid="{00000000-0004-0000-0000-00004A090000}"/>
    <hyperlink ref="W2386" r:id="rId2380" xr:uid="{00000000-0004-0000-0000-00004B090000}"/>
    <hyperlink ref="W2387" r:id="rId2381" xr:uid="{00000000-0004-0000-0000-00004C090000}"/>
    <hyperlink ref="W2388" r:id="rId2382" xr:uid="{00000000-0004-0000-0000-00004D090000}"/>
    <hyperlink ref="W2389" r:id="rId2383" xr:uid="{00000000-0004-0000-0000-00004E090000}"/>
    <hyperlink ref="W2390" r:id="rId2384" xr:uid="{00000000-0004-0000-0000-00004F090000}"/>
    <hyperlink ref="W2391" r:id="rId2385" xr:uid="{00000000-0004-0000-0000-000050090000}"/>
    <hyperlink ref="W2392" r:id="rId2386" xr:uid="{00000000-0004-0000-0000-000051090000}"/>
    <hyperlink ref="W2393" r:id="rId2387" xr:uid="{00000000-0004-0000-0000-000052090000}"/>
    <hyperlink ref="W2394" r:id="rId2388" xr:uid="{00000000-0004-0000-0000-000053090000}"/>
    <hyperlink ref="W2395" r:id="rId2389" xr:uid="{00000000-0004-0000-0000-000054090000}"/>
    <hyperlink ref="W2396" r:id="rId2390" xr:uid="{00000000-0004-0000-0000-000055090000}"/>
    <hyperlink ref="W2397" r:id="rId2391" xr:uid="{00000000-0004-0000-0000-000056090000}"/>
    <hyperlink ref="W2398" r:id="rId2392" xr:uid="{00000000-0004-0000-0000-000057090000}"/>
    <hyperlink ref="W2399" r:id="rId2393" xr:uid="{00000000-0004-0000-0000-000058090000}"/>
    <hyperlink ref="W2400" r:id="rId2394" xr:uid="{00000000-0004-0000-0000-000059090000}"/>
    <hyperlink ref="W2401" r:id="rId2395" xr:uid="{00000000-0004-0000-0000-00005A090000}"/>
    <hyperlink ref="W2402" r:id="rId2396" xr:uid="{00000000-0004-0000-0000-00005B090000}"/>
    <hyperlink ref="W2403" r:id="rId2397" xr:uid="{00000000-0004-0000-0000-00005C090000}"/>
    <hyperlink ref="W2404" r:id="rId2398" xr:uid="{00000000-0004-0000-0000-00005D090000}"/>
    <hyperlink ref="W2405" r:id="rId2399" xr:uid="{00000000-0004-0000-0000-00005E090000}"/>
    <hyperlink ref="W2406" r:id="rId2400" xr:uid="{00000000-0004-0000-0000-00005F090000}"/>
    <hyperlink ref="W2407" r:id="rId2401" xr:uid="{00000000-0004-0000-0000-000060090000}"/>
    <hyperlink ref="W2408" r:id="rId2402" xr:uid="{00000000-0004-0000-0000-000061090000}"/>
    <hyperlink ref="W2409" r:id="rId2403" xr:uid="{00000000-0004-0000-0000-000062090000}"/>
    <hyperlink ref="W2410" r:id="rId2404" xr:uid="{00000000-0004-0000-0000-000063090000}"/>
    <hyperlink ref="W2411" r:id="rId2405" xr:uid="{00000000-0004-0000-0000-000064090000}"/>
    <hyperlink ref="W2412" r:id="rId2406" xr:uid="{00000000-0004-0000-0000-000065090000}"/>
    <hyperlink ref="W2413" r:id="rId2407" xr:uid="{00000000-0004-0000-0000-000066090000}"/>
    <hyperlink ref="W2414" r:id="rId2408" xr:uid="{00000000-0004-0000-0000-000067090000}"/>
    <hyperlink ref="W2415" r:id="rId2409" xr:uid="{00000000-0004-0000-0000-000068090000}"/>
    <hyperlink ref="W2416" r:id="rId2410" xr:uid="{00000000-0004-0000-0000-000069090000}"/>
    <hyperlink ref="W2417" r:id="rId2411" xr:uid="{00000000-0004-0000-0000-00006A090000}"/>
    <hyperlink ref="W2418" r:id="rId2412" xr:uid="{00000000-0004-0000-0000-00006B090000}"/>
    <hyperlink ref="W2419" r:id="rId2413" xr:uid="{00000000-0004-0000-0000-00006C090000}"/>
    <hyperlink ref="W2420" r:id="rId2414" xr:uid="{00000000-0004-0000-0000-00006D090000}"/>
    <hyperlink ref="W2421" r:id="rId2415" xr:uid="{00000000-0004-0000-0000-00006E090000}"/>
    <hyperlink ref="W2422" r:id="rId2416" xr:uid="{00000000-0004-0000-0000-00006F090000}"/>
    <hyperlink ref="W2423" r:id="rId2417" xr:uid="{00000000-0004-0000-0000-000070090000}"/>
    <hyperlink ref="W2424" r:id="rId2418" xr:uid="{00000000-0004-0000-0000-000071090000}"/>
    <hyperlink ref="W2425" r:id="rId2419" xr:uid="{00000000-0004-0000-0000-000072090000}"/>
    <hyperlink ref="W2426" r:id="rId2420" xr:uid="{00000000-0004-0000-0000-000073090000}"/>
    <hyperlink ref="W2427" r:id="rId2421" xr:uid="{00000000-0004-0000-0000-000074090000}"/>
    <hyperlink ref="W2428" r:id="rId2422" xr:uid="{00000000-0004-0000-0000-000075090000}"/>
    <hyperlink ref="W2429" r:id="rId2423" xr:uid="{00000000-0004-0000-0000-000076090000}"/>
    <hyperlink ref="W2430" r:id="rId2424" xr:uid="{00000000-0004-0000-0000-000077090000}"/>
    <hyperlink ref="W2431" r:id="rId2425" xr:uid="{00000000-0004-0000-0000-000078090000}"/>
    <hyperlink ref="W2432" r:id="rId2426" xr:uid="{00000000-0004-0000-0000-000079090000}"/>
    <hyperlink ref="W2433" r:id="rId2427" xr:uid="{00000000-0004-0000-0000-00007A090000}"/>
    <hyperlink ref="W2434" r:id="rId2428" xr:uid="{00000000-0004-0000-0000-00007B090000}"/>
    <hyperlink ref="W2435" r:id="rId2429" xr:uid="{00000000-0004-0000-0000-00007C090000}"/>
    <hyperlink ref="W2436" r:id="rId2430" xr:uid="{00000000-0004-0000-0000-00007D090000}"/>
    <hyperlink ref="W2437" r:id="rId2431" xr:uid="{00000000-0004-0000-0000-00007E090000}"/>
    <hyperlink ref="W2438" r:id="rId2432" xr:uid="{00000000-0004-0000-0000-00007F090000}"/>
    <hyperlink ref="W2439" r:id="rId2433" xr:uid="{00000000-0004-0000-0000-000080090000}"/>
    <hyperlink ref="W2440" r:id="rId2434" xr:uid="{00000000-0004-0000-0000-000081090000}"/>
    <hyperlink ref="W2441" r:id="rId2435" xr:uid="{00000000-0004-0000-0000-000082090000}"/>
    <hyperlink ref="W2442" r:id="rId2436" xr:uid="{00000000-0004-0000-0000-000083090000}"/>
    <hyperlink ref="W2443" r:id="rId2437" xr:uid="{00000000-0004-0000-0000-000084090000}"/>
    <hyperlink ref="W2444" r:id="rId2438" xr:uid="{00000000-0004-0000-0000-000085090000}"/>
    <hyperlink ref="W2445" r:id="rId2439" xr:uid="{00000000-0004-0000-0000-000086090000}"/>
    <hyperlink ref="W2446" r:id="rId2440" xr:uid="{00000000-0004-0000-0000-000087090000}"/>
    <hyperlink ref="W2447" r:id="rId2441" xr:uid="{00000000-0004-0000-0000-000088090000}"/>
    <hyperlink ref="W2448" r:id="rId2442" xr:uid="{00000000-0004-0000-0000-000089090000}"/>
    <hyperlink ref="W2449" r:id="rId2443" xr:uid="{00000000-0004-0000-0000-00008A090000}"/>
    <hyperlink ref="W2450" r:id="rId2444" xr:uid="{00000000-0004-0000-0000-00008B090000}"/>
    <hyperlink ref="W2451" r:id="rId2445" xr:uid="{00000000-0004-0000-0000-00008C090000}"/>
    <hyperlink ref="W2452" r:id="rId2446" xr:uid="{00000000-0004-0000-0000-00008D090000}"/>
    <hyperlink ref="W2453" r:id="rId2447" xr:uid="{00000000-0004-0000-0000-00008E090000}"/>
    <hyperlink ref="W2454" r:id="rId2448" xr:uid="{00000000-0004-0000-0000-00008F090000}"/>
    <hyperlink ref="W2455" r:id="rId2449" xr:uid="{00000000-0004-0000-0000-000090090000}"/>
    <hyperlink ref="W2456" r:id="rId2450" xr:uid="{00000000-0004-0000-0000-000091090000}"/>
    <hyperlink ref="W2457" r:id="rId2451" xr:uid="{00000000-0004-0000-0000-000092090000}"/>
    <hyperlink ref="W2458" r:id="rId2452" xr:uid="{00000000-0004-0000-0000-000093090000}"/>
    <hyperlink ref="W2459" r:id="rId2453" xr:uid="{00000000-0004-0000-0000-000094090000}"/>
    <hyperlink ref="W2460" r:id="rId2454" xr:uid="{00000000-0004-0000-0000-000095090000}"/>
    <hyperlink ref="W2461" r:id="rId2455" xr:uid="{00000000-0004-0000-0000-000096090000}"/>
    <hyperlink ref="W2462" r:id="rId2456" xr:uid="{00000000-0004-0000-0000-000097090000}"/>
    <hyperlink ref="W2463" r:id="rId2457" xr:uid="{00000000-0004-0000-0000-000098090000}"/>
    <hyperlink ref="W2464" r:id="rId2458" xr:uid="{00000000-0004-0000-0000-000099090000}"/>
    <hyperlink ref="W2465" r:id="rId2459" xr:uid="{00000000-0004-0000-0000-00009A090000}"/>
    <hyperlink ref="W2466" r:id="rId2460" xr:uid="{00000000-0004-0000-0000-00009B090000}"/>
    <hyperlink ref="W2467" r:id="rId2461" xr:uid="{00000000-0004-0000-0000-00009C090000}"/>
    <hyperlink ref="W2468" r:id="rId2462" xr:uid="{00000000-0004-0000-0000-00009D090000}"/>
    <hyperlink ref="W2469" r:id="rId2463" xr:uid="{00000000-0004-0000-0000-00009E090000}"/>
    <hyperlink ref="W2470" r:id="rId2464" xr:uid="{00000000-0004-0000-0000-00009F090000}"/>
    <hyperlink ref="W2471" r:id="rId2465" xr:uid="{00000000-0004-0000-0000-0000A0090000}"/>
    <hyperlink ref="W2472" r:id="rId2466" xr:uid="{00000000-0004-0000-0000-0000A1090000}"/>
    <hyperlink ref="W2473" r:id="rId2467" xr:uid="{00000000-0004-0000-0000-0000A2090000}"/>
    <hyperlink ref="W2474" r:id="rId2468" xr:uid="{00000000-0004-0000-0000-0000A3090000}"/>
    <hyperlink ref="W2475" r:id="rId2469" xr:uid="{00000000-0004-0000-0000-0000A4090000}"/>
    <hyperlink ref="W2476" r:id="rId2470" xr:uid="{00000000-0004-0000-0000-0000A5090000}"/>
    <hyperlink ref="W2477" r:id="rId2471" xr:uid="{00000000-0004-0000-0000-0000A6090000}"/>
    <hyperlink ref="W2478" r:id="rId2472" xr:uid="{00000000-0004-0000-0000-0000A7090000}"/>
    <hyperlink ref="W2479" r:id="rId2473" xr:uid="{00000000-0004-0000-0000-0000A8090000}"/>
    <hyperlink ref="W2480" r:id="rId2474" xr:uid="{00000000-0004-0000-0000-0000A9090000}"/>
    <hyperlink ref="W2481" r:id="rId2475" xr:uid="{00000000-0004-0000-0000-0000AA090000}"/>
    <hyperlink ref="W2482" r:id="rId2476" xr:uid="{00000000-0004-0000-0000-0000AB090000}"/>
    <hyperlink ref="W2483" r:id="rId2477" xr:uid="{00000000-0004-0000-0000-0000AC090000}"/>
    <hyperlink ref="W2484" r:id="rId2478" xr:uid="{00000000-0004-0000-0000-0000AD090000}"/>
    <hyperlink ref="W2485" r:id="rId2479" xr:uid="{00000000-0004-0000-0000-0000AE090000}"/>
    <hyperlink ref="W2486" r:id="rId2480" xr:uid="{00000000-0004-0000-0000-0000AF090000}"/>
    <hyperlink ref="W2487" r:id="rId2481" xr:uid="{00000000-0004-0000-0000-0000B0090000}"/>
    <hyperlink ref="W2488" r:id="rId2482" xr:uid="{00000000-0004-0000-0000-0000B1090000}"/>
    <hyperlink ref="W2489" r:id="rId2483" xr:uid="{00000000-0004-0000-0000-0000B2090000}"/>
    <hyperlink ref="W2490" r:id="rId2484" xr:uid="{00000000-0004-0000-0000-0000B3090000}"/>
    <hyperlink ref="W2491" r:id="rId2485" xr:uid="{00000000-0004-0000-0000-0000B4090000}"/>
    <hyperlink ref="W2492" r:id="rId2486" xr:uid="{00000000-0004-0000-0000-0000B5090000}"/>
    <hyperlink ref="W2493" r:id="rId2487" xr:uid="{00000000-0004-0000-0000-0000B6090000}"/>
    <hyperlink ref="W2494" r:id="rId2488" xr:uid="{00000000-0004-0000-0000-0000B7090000}"/>
    <hyperlink ref="W2495" r:id="rId2489" xr:uid="{00000000-0004-0000-0000-0000B8090000}"/>
    <hyperlink ref="W2496" r:id="rId2490" xr:uid="{00000000-0004-0000-0000-0000B9090000}"/>
    <hyperlink ref="W2497" r:id="rId2491" xr:uid="{00000000-0004-0000-0000-0000BA090000}"/>
    <hyperlink ref="W2498" r:id="rId2492" xr:uid="{00000000-0004-0000-0000-0000BB090000}"/>
    <hyperlink ref="W2499" r:id="rId2493" xr:uid="{00000000-0004-0000-0000-0000BC090000}"/>
    <hyperlink ref="W2500" r:id="rId2494" xr:uid="{00000000-0004-0000-0000-0000BD090000}"/>
    <hyperlink ref="W2501" r:id="rId2495" xr:uid="{00000000-0004-0000-0000-0000BE090000}"/>
    <hyperlink ref="W2502" r:id="rId2496" xr:uid="{00000000-0004-0000-0000-0000BF090000}"/>
    <hyperlink ref="W2503" r:id="rId2497" xr:uid="{00000000-0004-0000-0000-0000C0090000}"/>
    <hyperlink ref="W2504" r:id="rId2498" xr:uid="{00000000-0004-0000-0000-0000C1090000}"/>
    <hyperlink ref="W2505" r:id="rId2499" xr:uid="{00000000-0004-0000-0000-0000C2090000}"/>
    <hyperlink ref="W2506" r:id="rId2500" xr:uid="{00000000-0004-0000-0000-0000C3090000}"/>
    <hyperlink ref="W2507" r:id="rId2501" xr:uid="{00000000-0004-0000-0000-0000C4090000}"/>
    <hyperlink ref="W2508" r:id="rId2502" xr:uid="{00000000-0004-0000-0000-0000C5090000}"/>
    <hyperlink ref="W2509" r:id="rId2503" xr:uid="{00000000-0004-0000-0000-0000C6090000}"/>
    <hyperlink ref="W2510" r:id="rId2504" xr:uid="{00000000-0004-0000-0000-0000C7090000}"/>
    <hyperlink ref="W2511" r:id="rId2505" xr:uid="{00000000-0004-0000-0000-0000C8090000}"/>
    <hyperlink ref="W2512" r:id="rId2506" xr:uid="{00000000-0004-0000-0000-0000C9090000}"/>
    <hyperlink ref="W2513" r:id="rId2507" xr:uid="{00000000-0004-0000-0000-0000CA090000}"/>
    <hyperlink ref="W2514" r:id="rId2508" xr:uid="{00000000-0004-0000-0000-0000CB090000}"/>
    <hyperlink ref="W2515" r:id="rId2509" xr:uid="{00000000-0004-0000-0000-0000CC090000}"/>
    <hyperlink ref="W2516" r:id="rId2510" xr:uid="{00000000-0004-0000-0000-0000CD090000}"/>
    <hyperlink ref="W2517" r:id="rId2511" xr:uid="{00000000-0004-0000-0000-0000CE090000}"/>
    <hyperlink ref="W2518" r:id="rId2512" xr:uid="{00000000-0004-0000-0000-0000CF090000}"/>
    <hyperlink ref="W2519" r:id="rId2513" xr:uid="{00000000-0004-0000-0000-0000D0090000}"/>
    <hyperlink ref="W2520" r:id="rId2514" xr:uid="{00000000-0004-0000-0000-0000D1090000}"/>
    <hyperlink ref="W2521" r:id="rId2515" xr:uid="{00000000-0004-0000-0000-0000D2090000}"/>
    <hyperlink ref="W2522" r:id="rId2516" xr:uid="{00000000-0004-0000-0000-0000D3090000}"/>
    <hyperlink ref="W2523" r:id="rId2517" xr:uid="{00000000-0004-0000-0000-0000D4090000}"/>
    <hyperlink ref="W2524" r:id="rId2518" xr:uid="{00000000-0004-0000-0000-0000D5090000}"/>
    <hyperlink ref="W2525" r:id="rId2519" xr:uid="{00000000-0004-0000-0000-0000D6090000}"/>
    <hyperlink ref="W2526" r:id="rId2520" xr:uid="{00000000-0004-0000-0000-0000D7090000}"/>
    <hyperlink ref="W2527" r:id="rId2521" xr:uid="{00000000-0004-0000-0000-0000D8090000}"/>
    <hyperlink ref="W2528" r:id="rId2522" xr:uid="{00000000-0004-0000-0000-0000D9090000}"/>
    <hyperlink ref="W2529" r:id="rId2523" xr:uid="{00000000-0004-0000-0000-0000DA090000}"/>
    <hyperlink ref="W2530" r:id="rId2524" xr:uid="{00000000-0004-0000-0000-0000DB090000}"/>
    <hyperlink ref="W2531" r:id="rId2525" xr:uid="{00000000-0004-0000-0000-0000DC090000}"/>
    <hyperlink ref="W2532" r:id="rId2526" xr:uid="{00000000-0004-0000-0000-0000DD090000}"/>
    <hyperlink ref="W2533" r:id="rId2527" xr:uid="{00000000-0004-0000-0000-0000DE090000}"/>
    <hyperlink ref="W2534" r:id="rId2528" xr:uid="{00000000-0004-0000-0000-0000DF090000}"/>
    <hyperlink ref="W2535" r:id="rId2529" xr:uid="{00000000-0004-0000-0000-0000E0090000}"/>
    <hyperlink ref="W2536" r:id="rId2530" xr:uid="{00000000-0004-0000-0000-0000E1090000}"/>
    <hyperlink ref="W2537" r:id="rId2531" xr:uid="{00000000-0004-0000-0000-0000E2090000}"/>
    <hyperlink ref="W2538" r:id="rId2532" xr:uid="{00000000-0004-0000-0000-0000E3090000}"/>
    <hyperlink ref="W2539" r:id="rId2533" xr:uid="{00000000-0004-0000-0000-0000E4090000}"/>
    <hyperlink ref="W2540" r:id="rId2534" xr:uid="{00000000-0004-0000-0000-0000E5090000}"/>
    <hyperlink ref="W2541" r:id="rId2535" xr:uid="{00000000-0004-0000-0000-0000E6090000}"/>
    <hyperlink ref="W2542" r:id="rId2536" xr:uid="{00000000-0004-0000-0000-0000E7090000}"/>
    <hyperlink ref="W2543" r:id="rId2537" xr:uid="{00000000-0004-0000-0000-0000E8090000}"/>
    <hyperlink ref="W2544" r:id="rId2538" xr:uid="{00000000-0004-0000-0000-0000E9090000}"/>
    <hyperlink ref="W2545" r:id="rId2539" xr:uid="{00000000-0004-0000-0000-0000EA090000}"/>
    <hyperlink ref="W2546" r:id="rId2540" xr:uid="{00000000-0004-0000-0000-0000EB090000}"/>
    <hyperlink ref="W2547" r:id="rId2541" xr:uid="{00000000-0004-0000-0000-0000EC090000}"/>
    <hyperlink ref="W2548" r:id="rId2542" xr:uid="{00000000-0004-0000-0000-0000ED090000}"/>
    <hyperlink ref="W2549" r:id="rId2543" xr:uid="{00000000-0004-0000-0000-0000EE090000}"/>
    <hyperlink ref="W2550" r:id="rId2544" xr:uid="{00000000-0004-0000-0000-0000EF090000}"/>
    <hyperlink ref="W2551" r:id="rId2545" xr:uid="{00000000-0004-0000-0000-0000F0090000}"/>
    <hyperlink ref="W2552" r:id="rId2546" xr:uid="{00000000-0004-0000-0000-0000F1090000}"/>
    <hyperlink ref="W2553" r:id="rId2547" xr:uid="{00000000-0004-0000-0000-0000F2090000}"/>
    <hyperlink ref="W2554" r:id="rId2548" xr:uid="{00000000-0004-0000-0000-0000F3090000}"/>
    <hyperlink ref="W2555" r:id="rId2549" xr:uid="{00000000-0004-0000-0000-0000F4090000}"/>
    <hyperlink ref="W2556" r:id="rId2550" xr:uid="{00000000-0004-0000-0000-0000F5090000}"/>
    <hyperlink ref="W2557" r:id="rId2551" xr:uid="{00000000-0004-0000-0000-0000F6090000}"/>
    <hyperlink ref="W2558" r:id="rId2552" xr:uid="{00000000-0004-0000-0000-0000F7090000}"/>
    <hyperlink ref="W2559" r:id="rId2553" xr:uid="{00000000-0004-0000-0000-0000F8090000}"/>
    <hyperlink ref="W2560" r:id="rId2554" xr:uid="{00000000-0004-0000-0000-0000F9090000}"/>
    <hyperlink ref="W2561" r:id="rId2555" xr:uid="{00000000-0004-0000-0000-0000FA090000}"/>
    <hyperlink ref="W2562" r:id="rId2556" xr:uid="{00000000-0004-0000-0000-0000FB090000}"/>
    <hyperlink ref="W2563" r:id="rId2557" xr:uid="{00000000-0004-0000-0000-0000FC090000}"/>
    <hyperlink ref="W2564" r:id="rId2558" xr:uid="{00000000-0004-0000-0000-0000FD090000}"/>
    <hyperlink ref="W2565" r:id="rId2559" xr:uid="{00000000-0004-0000-0000-0000FE090000}"/>
    <hyperlink ref="W2566" r:id="rId2560" xr:uid="{00000000-0004-0000-0000-0000FF090000}"/>
    <hyperlink ref="W2567" r:id="rId2561" xr:uid="{00000000-0004-0000-0000-0000000A0000}"/>
    <hyperlink ref="W2568" r:id="rId2562" xr:uid="{00000000-0004-0000-0000-0000010A0000}"/>
    <hyperlink ref="W2569" r:id="rId2563" xr:uid="{00000000-0004-0000-0000-0000020A0000}"/>
    <hyperlink ref="W2570" r:id="rId2564" xr:uid="{00000000-0004-0000-0000-0000030A0000}"/>
    <hyperlink ref="W2571" r:id="rId2565" xr:uid="{00000000-0004-0000-0000-0000040A0000}"/>
    <hyperlink ref="W2572" r:id="rId2566" xr:uid="{00000000-0004-0000-0000-0000050A0000}"/>
    <hyperlink ref="W2573" r:id="rId2567" xr:uid="{00000000-0004-0000-0000-0000060A0000}"/>
    <hyperlink ref="W2574" r:id="rId2568" xr:uid="{00000000-0004-0000-0000-0000070A0000}"/>
    <hyperlink ref="W2575" r:id="rId2569" xr:uid="{00000000-0004-0000-0000-0000080A0000}"/>
    <hyperlink ref="W2576" r:id="rId2570" xr:uid="{00000000-0004-0000-0000-0000090A0000}"/>
    <hyperlink ref="W2577" r:id="rId2571" xr:uid="{00000000-0004-0000-0000-00000A0A0000}"/>
    <hyperlink ref="W2578" r:id="rId2572" xr:uid="{00000000-0004-0000-0000-00000B0A0000}"/>
    <hyperlink ref="W2579" r:id="rId2573" xr:uid="{00000000-0004-0000-0000-00000C0A0000}"/>
    <hyperlink ref="W2580" r:id="rId2574" xr:uid="{00000000-0004-0000-0000-00000D0A0000}"/>
    <hyperlink ref="W2581" r:id="rId2575" xr:uid="{00000000-0004-0000-0000-00000E0A0000}"/>
    <hyperlink ref="W2582" r:id="rId2576" xr:uid="{00000000-0004-0000-0000-00000F0A0000}"/>
    <hyperlink ref="W2583" r:id="rId2577" xr:uid="{00000000-0004-0000-0000-0000100A0000}"/>
    <hyperlink ref="W2584" r:id="rId2578" xr:uid="{00000000-0004-0000-0000-0000110A0000}"/>
    <hyperlink ref="W2585" r:id="rId2579" xr:uid="{00000000-0004-0000-0000-0000120A0000}"/>
    <hyperlink ref="W2586" r:id="rId2580" xr:uid="{00000000-0004-0000-0000-0000130A0000}"/>
    <hyperlink ref="W2587" r:id="rId2581" xr:uid="{00000000-0004-0000-0000-0000140A0000}"/>
    <hyperlink ref="W2588" r:id="rId2582" xr:uid="{00000000-0004-0000-0000-0000150A0000}"/>
    <hyperlink ref="W2589" r:id="rId2583" xr:uid="{00000000-0004-0000-0000-0000160A0000}"/>
    <hyperlink ref="W2590" r:id="rId2584" xr:uid="{00000000-0004-0000-0000-0000170A0000}"/>
    <hyperlink ref="W2591" r:id="rId2585" xr:uid="{00000000-0004-0000-0000-0000180A0000}"/>
    <hyperlink ref="W2592" r:id="rId2586" xr:uid="{00000000-0004-0000-0000-0000190A0000}"/>
    <hyperlink ref="W2593" r:id="rId2587" xr:uid="{00000000-0004-0000-0000-00001A0A0000}"/>
    <hyperlink ref="W2594" r:id="rId2588" xr:uid="{00000000-0004-0000-0000-00001B0A0000}"/>
    <hyperlink ref="W2595" r:id="rId2589" xr:uid="{00000000-0004-0000-0000-00001C0A0000}"/>
    <hyperlink ref="W2596" r:id="rId2590" xr:uid="{00000000-0004-0000-0000-00001D0A0000}"/>
    <hyperlink ref="W2597" r:id="rId2591" xr:uid="{00000000-0004-0000-0000-00001E0A0000}"/>
    <hyperlink ref="W2598" r:id="rId2592" xr:uid="{00000000-0004-0000-0000-00001F0A0000}"/>
    <hyperlink ref="W2599" r:id="rId2593" xr:uid="{00000000-0004-0000-0000-0000200A0000}"/>
    <hyperlink ref="W2600" r:id="rId2594" xr:uid="{00000000-0004-0000-0000-0000210A0000}"/>
    <hyperlink ref="W2601" r:id="rId2595" xr:uid="{00000000-0004-0000-0000-0000220A0000}"/>
    <hyperlink ref="W2602" r:id="rId2596" xr:uid="{00000000-0004-0000-0000-0000230A0000}"/>
    <hyperlink ref="W2603" r:id="rId2597" xr:uid="{00000000-0004-0000-0000-0000240A0000}"/>
    <hyperlink ref="W2604" r:id="rId2598" xr:uid="{00000000-0004-0000-0000-0000250A0000}"/>
    <hyperlink ref="W2605" r:id="rId2599" xr:uid="{00000000-0004-0000-0000-0000260A0000}"/>
    <hyperlink ref="W2606" r:id="rId2600" xr:uid="{00000000-0004-0000-0000-0000270A0000}"/>
    <hyperlink ref="W2607" r:id="rId2601" xr:uid="{00000000-0004-0000-0000-0000280A0000}"/>
    <hyperlink ref="W2608" r:id="rId2602" xr:uid="{00000000-0004-0000-0000-0000290A0000}"/>
    <hyperlink ref="W2609" r:id="rId2603" xr:uid="{00000000-0004-0000-0000-00002A0A0000}"/>
    <hyperlink ref="W2610" r:id="rId2604" xr:uid="{00000000-0004-0000-0000-00002B0A0000}"/>
    <hyperlink ref="W2611" r:id="rId2605" xr:uid="{00000000-0004-0000-0000-00002C0A0000}"/>
    <hyperlink ref="W2612" r:id="rId2606" xr:uid="{00000000-0004-0000-0000-00002D0A0000}"/>
    <hyperlink ref="W2613" r:id="rId2607" xr:uid="{00000000-0004-0000-0000-00002E0A0000}"/>
    <hyperlink ref="W2614" r:id="rId2608" xr:uid="{00000000-0004-0000-0000-00002F0A0000}"/>
    <hyperlink ref="W2615" r:id="rId2609" xr:uid="{00000000-0004-0000-0000-0000300A0000}"/>
    <hyperlink ref="W2616" r:id="rId2610" xr:uid="{00000000-0004-0000-0000-0000310A0000}"/>
    <hyperlink ref="W2617" r:id="rId2611" xr:uid="{00000000-0004-0000-0000-0000320A0000}"/>
    <hyperlink ref="W2618" r:id="rId2612" xr:uid="{00000000-0004-0000-0000-0000330A0000}"/>
    <hyperlink ref="W2619" r:id="rId2613" xr:uid="{00000000-0004-0000-0000-0000340A0000}"/>
    <hyperlink ref="W2620" r:id="rId2614" xr:uid="{00000000-0004-0000-0000-0000350A0000}"/>
    <hyperlink ref="W2621" r:id="rId2615" xr:uid="{00000000-0004-0000-0000-0000360A0000}"/>
    <hyperlink ref="W2622" r:id="rId2616" xr:uid="{00000000-0004-0000-0000-0000370A0000}"/>
    <hyperlink ref="W2623" r:id="rId2617" xr:uid="{00000000-0004-0000-0000-0000380A0000}"/>
    <hyperlink ref="W2624" r:id="rId2618" xr:uid="{00000000-0004-0000-0000-0000390A0000}"/>
    <hyperlink ref="W2625" r:id="rId2619" xr:uid="{00000000-0004-0000-0000-00003A0A0000}"/>
    <hyperlink ref="W2626" r:id="rId2620" xr:uid="{00000000-0004-0000-0000-00003B0A0000}"/>
    <hyperlink ref="W2627" r:id="rId2621" xr:uid="{00000000-0004-0000-0000-00003C0A0000}"/>
    <hyperlink ref="W2628" r:id="rId2622" xr:uid="{00000000-0004-0000-0000-00003D0A0000}"/>
    <hyperlink ref="W2629" r:id="rId2623" xr:uid="{00000000-0004-0000-0000-00003E0A0000}"/>
    <hyperlink ref="W2630" r:id="rId2624" xr:uid="{00000000-0004-0000-0000-00003F0A0000}"/>
    <hyperlink ref="W2631" r:id="rId2625" xr:uid="{00000000-0004-0000-0000-0000400A0000}"/>
    <hyperlink ref="W2632" r:id="rId2626" xr:uid="{00000000-0004-0000-0000-0000410A0000}"/>
    <hyperlink ref="W2633" r:id="rId2627" xr:uid="{00000000-0004-0000-0000-0000420A0000}"/>
    <hyperlink ref="W2634" r:id="rId2628" xr:uid="{00000000-0004-0000-0000-0000430A0000}"/>
    <hyperlink ref="W2635" r:id="rId2629" xr:uid="{00000000-0004-0000-0000-0000440A0000}"/>
    <hyperlink ref="W2636" r:id="rId2630" xr:uid="{00000000-0004-0000-0000-0000450A0000}"/>
    <hyperlink ref="W2637" r:id="rId2631" xr:uid="{00000000-0004-0000-0000-0000460A0000}"/>
    <hyperlink ref="W2638" r:id="rId2632" xr:uid="{00000000-0004-0000-0000-0000470A0000}"/>
    <hyperlink ref="W2639" r:id="rId2633" xr:uid="{00000000-0004-0000-0000-0000480A0000}"/>
    <hyperlink ref="W2640" r:id="rId2634" xr:uid="{00000000-0004-0000-0000-0000490A0000}"/>
    <hyperlink ref="W2641" r:id="rId2635" xr:uid="{00000000-0004-0000-0000-00004A0A0000}"/>
    <hyperlink ref="W2642" r:id="rId2636" xr:uid="{00000000-0004-0000-0000-00004B0A0000}"/>
    <hyperlink ref="W2643" r:id="rId2637" xr:uid="{00000000-0004-0000-0000-00004C0A0000}"/>
    <hyperlink ref="W2644" r:id="rId2638" xr:uid="{00000000-0004-0000-0000-00004D0A0000}"/>
    <hyperlink ref="W2645" r:id="rId2639" xr:uid="{00000000-0004-0000-0000-00004E0A0000}"/>
    <hyperlink ref="W2646" r:id="rId2640" xr:uid="{00000000-0004-0000-0000-00004F0A0000}"/>
    <hyperlink ref="W2647" r:id="rId2641" xr:uid="{00000000-0004-0000-0000-0000500A0000}"/>
    <hyperlink ref="W2648" r:id="rId2642" xr:uid="{00000000-0004-0000-0000-0000510A0000}"/>
    <hyperlink ref="W2649" r:id="rId2643" xr:uid="{00000000-0004-0000-0000-0000520A0000}"/>
    <hyperlink ref="W2650" r:id="rId2644" xr:uid="{00000000-0004-0000-0000-0000530A0000}"/>
    <hyperlink ref="W2651" r:id="rId2645" xr:uid="{00000000-0004-0000-0000-0000540A0000}"/>
    <hyperlink ref="W2652" r:id="rId2646" xr:uid="{00000000-0004-0000-0000-0000550A0000}"/>
    <hyperlink ref="W2653" r:id="rId2647" xr:uid="{00000000-0004-0000-0000-0000560A0000}"/>
    <hyperlink ref="W2654" r:id="rId2648" xr:uid="{00000000-0004-0000-0000-0000570A0000}"/>
    <hyperlink ref="W2655" r:id="rId2649" xr:uid="{00000000-0004-0000-0000-0000580A0000}"/>
    <hyperlink ref="W2656" r:id="rId2650" xr:uid="{00000000-0004-0000-0000-0000590A0000}"/>
    <hyperlink ref="W2657" r:id="rId2651" xr:uid="{00000000-0004-0000-0000-00005A0A0000}"/>
    <hyperlink ref="W2658" r:id="rId2652" xr:uid="{00000000-0004-0000-0000-00005B0A0000}"/>
    <hyperlink ref="W2659" r:id="rId2653" xr:uid="{00000000-0004-0000-0000-00005C0A0000}"/>
    <hyperlink ref="W2660" r:id="rId2654" xr:uid="{00000000-0004-0000-0000-00005D0A0000}"/>
    <hyperlink ref="W2661" r:id="rId2655" xr:uid="{00000000-0004-0000-0000-00005E0A0000}"/>
    <hyperlink ref="W2662" r:id="rId2656" xr:uid="{00000000-0004-0000-0000-00005F0A0000}"/>
    <hyperlink ref="W2663" r:id="rId2657" xr:uid="{00000000-0004-0000-0000-0000600A0000}"/>
    <hyperlink ref="W2664" r:id="rId2658" xr:uid="{00000000-0004-0000-0000-0000610A0000}"/>
    <hyperlink ref="W2665" r:id="rId2659" xr:uid="{00000000-0004-0000-0000-0000620A0000}"/>
    <hyperlink ref="W2666" r:id="rId2660" xr:uid="{00000000-0004-0000-0000-0000630A0000}"/>
    <hyperlink ref="W2667" r:id="rId2661" xr:uid="{00000000-0004-0000-0000-0000640A0000}"/>
    <hyperlink ref="W2668" r:id="rId2662" xr:uid="{00000000-0004-0000-0000-0000650A0000}"/>
    <hyperlink ref="W2669" r:id="rId2663" xr:uid="{00000000-0004-0000-0000-0000660A0000}"/>
    <hyperlink ref="W2670" r:id="rId2664" xr:uid="{00000000-0004-0000-0000-0000670A0000}"/>
    <hyperlink ref="W2671" r:id="rId2665" xr:uid="{00000000-0004-0000-0000-0000680A0000}"/>
    <hyperlink ref="W2672" r:id="rId2666" xr:uid="{00000000-0004-0000-0000-0000690A0000}"/>
    <hyperlink ref="W2673" r:id="rId2667" xr:uid="{00000000-0004-0000-0000-00006A0A0000}"/>
    <hyperlink ref="W2674" r:id="rId2668" xr:uid="{00000000-0004-0000-0000-00006B0A0000}"/>
    <hyperlink ref="W2675" r:id="rId2669" xr:uid="{00000000-0004-0000-0000-00006C0A0000}"/>
    <hyperlink ref="W2676" r:id="rId2670" xr:uid="{00000000-0004-0000-0000-00006D0A0000}"/>
    <hyperlink ref="W2677" r:id="rId2671" xr:uid="{00000000-0004-0000-0000-00006E0A0000}"/>
    <hyperlink ref="W2678" r:id="rId2672" xr:uid="{00000000-0004-0000-0000-00006F0A0000}"/>
    <hyperlink ref="W2679" r:id="rId2673" xr:uid="{00000000-0004-0000-0000-0000700A0000}"/>
    <hyperlink ref="W2680" r:id="rId2674" xr:uid="{00000000-0004-0000-0000-0000710A0000}"/>
    <hyperlink ref="W2681" r:id="rId2675" xr:uid="{00000000-0004-0000-0000-0000720A0000}"/>
    <hyperlink ref="W2682" r:id="rId2676" xr:uid="{00000000-0004-0000-0000-0000730A0000}"/>
    <hyperlink ref="W2683" r:id="rId2677" xr:uid="{00000000-0004-0000-0000-0000740A0000}"/>
    <hyperlink ref="W2684" r:id="rId2678" xr:uid="{00000000-0004-0000-0000-0000750A0000}"/>
    <hyperlink ref="W2685" r:id="rId2679" xr:uid="{00000000-0004-0000-0000-0000760A0000}"/>
    <hyperlink ref="W2686" r:id="rId2680" xr:uid="{00000000-0004-0000-0000-0000770A0000}"/>
    <hyperlink ref="W2687" r:id="rId2681" xr:uid="{00000000-0004-0000-0000-0000780A0000}"/>
    <hyperlink ref="W2688" r:id="rId2682" xr:uid="{00000000-0004-0000-0000-0000790A0000}"/>
    <hyperlink ref="W2689" r:id="rId2683" xr:uid="{00000000-0004-0000-0000-00007A0A0000}"/>
    <hyperlink ref="W2690" r:id="rId2684" xr:uid="{00000000-0004-0000-0000-00007B0A0000}"/>
    <hyperlink ref="W2691" r:id="rId2685" xr:uid="{00000000-0004-0000-0000-00007C0A0000}"/>
    <hyperlink ref="W2692" r:id="rId2686" xr:uid="{00000000-0004-0000-0000-00007D0A0000}"/>
    <hyperlink ref="W2693" r:id="rId2687" xr:uid="{00000000-0004-0000-0000-00007E0A0000}"/>
    <hyperlink ref="W2694" r:id="rId2688" xr:uid="{00000000-0004-0000-0000-00007F0A0000}"/>
    <hyperlink ref="W2695" r:id="rId2689" xr:uid="{00000000-0004-0000-0000-0000800A0000}"/>
    <hyperlink ref="W2696" r:id="rId2690" xr:uid="{00000000-0004-0000-0000-0000810A0000}"/>
    <hyperlink ref="W2697" r:id="rId2691" xr:uid="{00000000-0004-0000-0000-0000820A0000}"/>
    <hyperlink ref="W2698" r:id="rId2692" xr:uid="{00000000-0004-0000-0000-0000830A0000}"/>
    <hyperlink ref="W2699" r:id="rId2693" xr:uid="{00000000-0004-0000-0000-0000840A0000}"/>
    <hyperlink ref="W2700" r:id="rId2694" xr:uid="{00000000-0004-0000-0000-0000850A0000}"/>
    <hyperlink ref="W2701" r:id="rId2695" xr:uid="{00000000-0004-0000-0000-0000860A0000}"/>
    <hyperlink ref="W2702" r:id="rId2696" xr:uid="{00000000-0004-0000-0000-0000870A0000}"/>
    <hyperlink ref="W2703" r:id="rId2697" xr:uid="{00000000-0004-0000-0000-0000880A0000}"/>
    <hyperlink ref="W2704" r:id="rId2698" xr:uid="{00000000-0004-0000-0000-0000890A0000}"/>
    <hyperlink ref="W2705" r:id="rId2699" xr:uid="{00000000-0004-0000-0000-00008A0A0000}"/>
    <hyperlink ref="W2706" r:id="rId2700" xr:uid="{00000000-0004-0000-0000-00008B0A0000}"/>
    <hyperlink ref="W2707" r:id="rId2701" xr:uid="{00000000-0004-0000-0000-00008C0A0000}"/>
    <hyperlink ref="W2708" r:id="rId2702" xr:uid="{00000000-0004-0000-0000-00008D0A0000}"/>
    <hyperlink ref="W2709" r:id="rId2703" xr:uid="{00000000-0004-0000-0000-00008E0A0000}"/>
    <hyperlink ref="W2710" r:id="rId2704" xr:uid="{00000000-0004-0000-0000-00008F0A0000}"/>
    <hyperlink ref="W2711" r:id="rId2705" xr:uid="{00000000-0004-0000-0000-0000900A0000}"/>
    <hyperlink ref="W2712" r:id="rId2706" xr:uid="{00000000-0004-0000-0000-0000910A0000}"/>
    <hyperlink ref="W2713" r:id="rId2707" xr:uid="{00000000-0004-0000-0000-0000920A0000}"/>
    <hyperlink ref="W2714" r:id="rId2708" xr:uid="{00000000-0004-0000-0000-0000930A0000}"/>
    <hyperlink ref="W2715" r:id="rId2709" xr:uid="{00000000-0004-0000-0000-0000940A0000}"/>
    <hyperlink ref="W2716" r:id="rId2710" xr:uid="{00000000-0004-0000-0000-0000950A0000}"/>
    <hyperlink ref="W2717" r:id="rId2711" xr:uid="{00000000-0004-0000-0000-0000960A0000}"/>
    <hyperlink ref="W2718" r:id="rId2712" xr:uid="{00000000-0004-0000-0000-0000970A0000}"/>
    <hyperlink ref="W2719" r:id="rId2713" xr:uid="{00000000-0004-0000-0000-0000980A0000}"/>
    <hyperlink ref="W2720" r:id="rId2714" xr:uid="{00000000-0004-0000-0000-0000990A0000}"/>
    <hyperlink ref="W2721" r:id="rId2715" xr:uid="{00000000-0004-0000-0000-00009A0A0000}"/>
    <hyperlink ref="W2722" r:id="rId2716" xr:uid="{00000000-0004-0000-0000-00009B0A0000}"/>
    <hyperlink ref="W2723" r:id="rId2717" xr:uid="{00000000-0004-0000-0000-00009C0A0000}"/>
    <hyperlink ref="W2724" r:id="rId2718" xr:uid="{00000000-0004-0000-0000-00009D0A0000}"/>
    <hyperlink ref="W2725" r:id="rId2719" xr:uid="{00000000-0004-0000-0000-00009E0A0000}"/>
    <hyperlink ref="W2726" r:id="rId2720" xr:uid="{00000000-0004-0000-0000-00009F0A0000}"/>
    <hyperlink ref="W2727" r:id="rId2721" xr:uid="{00000000-0004-0000-0000-0000A00A0000}"/>
    <hyperlink ref="W2728" r:id="rId2722" xr:uid="{00000000-0004-0000-0000-0000A10A0000}"/>
    <hyperlink ref="W2729" r:id="rId2723" xr:uid="{00000000-0004-0000-0000-0000A20A0000}"/>
    <hyperlink ref="W2730" r:id="rId2724" xr:uid="{00000000-0004-0000-0000-0000A30A0000}"/>
    <hyperlink ref="W2731" r:id="rId2725" xr:uid="{00000000-0004-0000-0000-0000A40A0000}"/>
    <hyperlink ref="W2732" r:id="rId2726" xr:uid="{00000000-0004-0000-0000-0000A50A0000}"/>
    <hyperlink ref="W2733" r:id="rId2727" xr:uid="{00000000-0004-0000-0000-0000A60A0000}"/>
    <hyperlink ref="W2734" r:id="rId2728" xr:uid="{00000000-0004-0000-0000-0000A70A0000}"/>
    <hyperlink ref="W2735" r:id="rId2729" xr:uid="{00000000-0004-0000-0000-0000A80A0000}"/>
    <hyperlink ref="W2736" r:id="rId2730" xr:uid="{00000000-0004-0000-0000-0000A90A0000}"/>
    <hyperlink ref="W2737" r:id="rId2731" xr:uid="{00000000-0004-0000-0000-0000AA0A0000}"/>
    <hyperlink ref="W2738" r:id="rId2732" xr:uid="{00000000-0004-0000-0000-0000AB0A0000}"/>
    <hyperlink ref="W2739" r:id="rId2733" xr:uid="{00000000-0004-0000-0000-0000AC0A0000}"/>
    <hyperlink ref="W2740" r:id="rId2734" xr:uid="{00000000-0004-0000-0000-0000AD0A0000}"/>
    <hyperlink ref="W2741" r:id="rId2735" xr:uid="{00000000-0004-0000-0000-0000AE0A0000}"/>
    <hyperlink ref="W2742" r:id="rId2736" xr:uid="{00000000-0004-0000-0000-0000AF0A0000}"/>
    <hyperlink ref="W2743" r:id="rId2737" xr:uid="{00000000-0004-0000-0000-0000B00A0000}"/>
    <hyperlink ref="W2744" r:id="rId2738" xr:uid="{00000000-0004-0000-0000-0000B10A0000}"/>
    <hyperlink ref="W2745" r:id="rId2739" xr:uid="{00000000-0004-0000-0000-0000B20A0000}"/>
    <hyperlink ref="W2746" r:id="rId2740" xr:uid="{00000000-0004-0000-0000-0000B30A0000}"/>
    <hyperlink ref="W2747" r:id="rId2741" xr:uid="{00000000-0004-0000-0000-0000B40A0000}"/>
    <hyperlink ref="W2748" r:id="rId2742" xr:uid="{00000000-0004-0000-0000-0000B50A0000}"/>
    <hyperlink ref="W2749" r:id="rId2743" xr:uid="{00000000-0004-0000-0000-0000B60A0000}"/>
    <hyperlink ref="W2750" r:id="rId2744" xr:uid="{00000000-0004-0000-0000-0000B70A0000}"/>
    <hyperlink ref="W2751" r:id="rId2745" xr:uid="{00000000-0004-0000-0000-0000B80A0000}"/>
    <hyperlink ref="W2752" r:id="rId2746" xr:uid="{00000000-0004-0000-0000-0000B90A0000}"/>
    <hyperlink ref="W2753" r:id="rId2747" xr:uid="{00000000-0004-0000-0000-0000BA0A0000}"/>
    <hyperlink ref="W2754" r:id="rId2748" xr:uid="{00000000-0004-0000-0000-0000BB0A0000}"/>
    <hyperlink ref="W2755" r:id="rId2749" xr:uid="{00000000-0004-0000-0000-0000BC0A0000}"/>
    <hyperlink ref="W2756" r:id="rId2750" xr:uid="{00000000-0004-0000-0000-0000BD0A0000}"/>
    <hyperlink ref="W2757" r:id="rId2751" xr:uid="{00000000-0004-0000-0000-0000BE0A0000}"/>
    <hyperlink ref="W2758" r:id="rId2752" xr:uid="{00000000-0004-0000-0000-0000BF0A0000}"/>
    <hyperlink ref="W2759" r:id="rId2753" xr:uid="{00000000-0004-0000-0000-0000C00A0000}"/>
    <hyperlink ref="W2760" r:id="rId2754" xr:uid="{00000000-0004-0000-0000-0000C10A0000}"/>
    <hyperlink ref="W2761" r:id="rId2755" xr:uid="{00000000-0004-0000-0000-0000C20A0000}"/>
    <hyperlink ref="W2762" r:id="rId2756" xr:uid="{00000000-0004-0000-0000-0000C30A0000}"/>
    <hyperlink ref="W2763" r:id="rId2757" xr:uid="{00000000-0004-0000-0000-0000C40A0000}"/>
    <hyperlink ref="W2764" r:id="rId2758" xr:uid="{00000000-0004-0000-0000-0000C50A0000}"/>
    <hyperlink ref="W2765" r:id="rId2759" xr:uid="{00000000-0004-0000-0000-0000C60A0000}"/>
    <hyperlink ref="W2766" r:id="rId2760" xr:uid="{00000000-0004-0000-0000-0000C70A0000}"/>
    <hyperlink ref="W2767" r:id="rId2761" xr:uid="{00000000-0004-0000-0000-0000C80A0000}"/>
    <hyperlink ref="W2768" r:id="rId2762" xr:uid="{00000000-0004-0000-0000-0000C90A0000}"/>
    <hyperlink ref="W2769" r:id="rId2763" xr:uid="{00000000-0004-0000-0000-0000CA0A0000}"/>
    <hyperlink ref="W2770" r:id="rId2764" xr:uid="{00000000-0004-0000-0000-0000CB0A0000}"/>
    <hyperlink ref="W2771" r:id="rId2765" xr:uid="{00000000-0004-0000-0000-0000CC0A0000}"/>
    <hyperlink ref="W2772" r:id="rId2766" xr:uid="{00000000-0004-0000-0000-0000CD0A0000}"/>
    <hyperlink ref="W2773" r:id="rId2767" xr:uid="{00000000-0004-0000-0000-0000CE0A0000}"/>
    <hyperlink ref="W2774" r:id="rId2768" xr:uid="{00000000-0004-0000-0000-0000CF0A0000}"/>
    <hyperlink ref="W2775" r:id="rId2769" xr:uid="{00000000-0004-0000-0000-0000D00A0000}"/>
    <hyperlink ref="W2776" r:id="rId2770" xr:uid="{00000000-0004-0000-0000-0000D10A0000}"/>
    <hyperlink ref="W2777" r:id="rId2771" xr:uid="{00000000-0004-0000-0000-0000D20A0000}"/>
    <hyperlink ref="W2778" r:id="rId2772" xr:uid="{00000000-0004-0000-0000-0000D30A0000}"/>
    <hyperlink ref="W2779" r:id="rId2773" xr:uid="{00000000-0004-0000-0000-0000D40A0000}"/>
    <hyperlink ref="W2780" r:id="rId2774" xr:uid="{00000000-0004-0000-0000-0000D50A0000}"/>
    <hyperlink ref="W2781" r:id="rId2775" xr:uid="{00000000-0004-0000-0000-0000D60A0000}"/>
    <hyperlink ref="W2782" r:id="rId2776" xr:uid="{00000000-0004-0000-0000-0000D70A0000}"/>
    <hyperlink ref="W2783" r:id="rId2777" xr:uid="{00000000-0004-0000-0000-0000D80A0000}"/>
    <hyperlink ref="W2784" r:id="rId2778" xr:uid="{00000000-0004-0000-0000-0000D90A0000}"/>
    <hyperlink ref="W2785" r:id="rId2779" xr:uid="{00000000-0004-0000-0000-0000DA0A0000}"/>
    <hyperlink ref="W2786" r:id="rId2780" xr:uid="{00000000-0004-0000-0000-0000DB0A0000}"/>
    <hyperlink ref="W2787" r:id="rId2781" xr:uid="{00000000-0004-0000-0000-0000DC0A0000}"/>
    <hyperlink ref="W2788" r:id="rId2782" xr:uid="{00000000-0004-0000-0000-0000DD0A0000}"/>
    <hyperlink ref="W2789" r:id="rId2783" xr:uid="{00000000-0004-0000-0000-0000DE0A0000}"/>
    <hyperlink ref="W2790" r:id="rId2784" xr:uid="{00000000-0004-0000-0000-0000DF0A0000}"/>
    <hyperlink ref="W2791" r:id="rId2785" xr:uid="{00000000-0004-0000-0000-0000E00A0000}"/>
    <hyperlink ref="W2792" r:id="rId2786" xr:uid="{00000000-0004-0000-0000-0000E10A0000}"/>
    <hyperlink ref="W2793" r:id="rId2787" xr:uid="{00000000-0004-0000-0000-0000E20A0000}"/>
    <hyperlink ref="W2794" r:id="rId2788" xr:uid="{00000000-0004-0000-0000-0000E30A0000}"/>
    <hyperlink ref="W2795" r:id="rId2789" xr:uid="{00000000-0004-0000-0000-0000E40A0000}"/>
    <hyperlink ref="W2796" r:id="rId2790" xr:uid="{00000000-0004-0000-0000-0000E50A0000}"/>
    <hyperlink ref="W2797" r:id="rId2791" xr:uid="{00000000-0004-0000-0000-0000E60A0000}"/>
    <hyperlink ref="W2798" r:id="rId2792" xr:uid="{00000000-0004-0000-0000-0000E70A0000}"/>
    <hyperlink ref="W2799" r:id="rId2793" xr:uid="{00000000-0004-0000-0000-0000E80A0000}"/>
    <hyperlink ref="W2800" r:id="rId2794" xr:uid="{00000000-0004-0000-0000-0000E90A0000}"/>
    <hyperlink ref="W2801" r:id="rId2795" xr:uid="{00000000-0004-0000-0000-0000EA0A0000}"/>
    <hyperlink ref="W2802" r:id="rId2796" xr:uid="{00000000-0004-0000-0000-0000EB0A0000}"/>
    <hyperlink ref="W2803" r:id="rId2797" xr:uid="{00000000-0004-0000-0000-0000EC0A0000}"/>
    <hyperlink ref="W2804" r:id="rId2798" xr:uid="{00000000-0004-0000-0000-0000ED0A0000}"/>
    <hyperlink ref="W2805" r:id="rId2799" xr:uid="{00000000-0004-0000-0000-0000EE0A0000}"/>
    <hyperlink ref="W2806" r:id="rId2800" xr:uid="{00000000-0004-0000-0000-0000EF0A0000}"/>
    <hyperlink ref="W2807" r:id="rId2801" xr:uid="{00000000-0004-0000-0000-0000F00A0000}"/>
    <hyperlink ref="W2808" r:id="rId2802" xr:uid="{00000000-0004-0000-0000-0000F10A0000}"/>
    <hyperlink ref="W2809" r:id="rId2803" xr:uid="{00000000-0004-0000-0000-0000F20A0000}"/>
    <hyperlink ref="W2810" r:id="rId2804" xr:uid="{00000000-0004-0000-0000-0000F30A0000}"/>
    <hyperlink ref="W2811" r:id="rId2805" xr:uid="{00000000-0004-0000-0000-0000F40A0000}"/>
    <hyperlink ref="W2812" r:id="rId2806" xr:uid="{00000000-0004-0000-0000-0000F50A0000}"/>
    <hyperlink ref="W2813" r:id="rId2807" xr:uid="{00000000-0004-0000-0000-0000F60A0000}"/>
    <hyperlink ref="W2814" r:id="rId2808" xr:uid="{00000000-0004-0000-0000-0000F70A0000}"/>
    <hyperlink ref="W2815" r:id="rId2809" xr:uid="{00000000-0004-0000-0000-0000F80A0000}"/>
    <hyperlink ref="W2816" r:id="rId2810" xr:uid="{00000000-0004-0000-0000-0000F90A0000}"/>
    <hyperlink ref="W2817" r:id="rId2811" xr:uid="{00000000-0004-0000-0000-0000FA0A0000}"/>
    <hyperlink ref="W2818" r:id="rId2812" xr:uid="{00000000-0004-0000-0000-0000FB0A0000}"/>
    <hyperlink ref="W2819" r:id="rId2813" xr:uid="{00000000-0004-0000-0000-0000FC0A0000}"/>
    <hyperlink ref="W2820" r:id="rId2814" xr:uid="{00000000-0004-0000-0000-0000FD0A0000}"/>
    <hyperlink ref="W2821" r:id="rId2815" xr:uid="{00000000-0004-0000-0000-0000FE0A0000}"/>
    <hyperlink ref="W2822" r:id="rId2816" xr:uid="{00000000-0004-0000-0000-0000FF0A0000}"/>
    <hyperlink ref="W2823" r:id="rId2817" xr:uid="{00000000-0004-0000-0000-0000000B0000}"/>
    <hyperlink ref="W2824" r:id="rId2818" xr:uid="{00000000-0004-0000-0000-0000010B0000}"/>
    <hyperlink ref="W2825" r:id="rId2819" xr:uid="{00000000-0004-0000-0000-0000020B0000}"/>
    <hyperlink ref="W2826" r:id="rId2820" xr:uid="{00000000-0004-0000-0000-0000030B0000}"/>
    <hyperlink ref="W2827" r:id="rId2821" xr:uid="{00000000-0004-0000-0000-0000040B0000}"/>
    <hyperlink ref="W2828" r:id="rId2822" xr:uid="{00000000-0004-0000-0000-0000050B0000}"/>
    <hyperlink ref="W2829" r:id="rId2823" xr:uid="{00000000-0004-0000-0000-0000060B0000}"/>
    <hyperlink ref="W2830" r:id="rId2824" xr:uid="{00000000-0004-0000-0000-0000070B0000}"/>
    <hyperlink ref="W2831" r:id="rId2825" xr:uid="{00000000-0004-0000-0000-0000080B0000}"/>
    <hyperlink ref="W2832" r:id="rId2826" xr:uid="{00000000-0004-0000-0000-0000090B0000}"/>
    <hyperlink ref="W2833" r:id="rId2827" xr:uid="{00000000-0004-0000-0000-00000A0B0000}"/>
    <hyperlink ref="W2834" r:id="rId2828" xr:uid="{00000000-0004-0000-0000-00000B0B0000}"/>
    <hyperlink ref="W2835" r:id="rId2829" xr:uid="{00000000-0004-0000-0000-00000C0B0000}"/>
    <hyperlink ref="W2836" r:id="rId2830" xr:uid="{00000000-0004-0000-0000-00000D0B0000}"/>
    <hyperlink ref="W2837" r:id="rId2831" xr:uid="{00000000-0004-0000-0000-00000E0B0000}"/>
    <hyperlink ref="W2838" r:id="rId2832" xr:uid="{00000000-0004-0000-0000-00000F0B0000}"/>
    <hyperlink ref="W2839" r:id="rId2833" xr:uid="{00000000-0004-0000-0000-0000100B0000}"/>
    <hyperlink ref="W2840" r:id="rId2834" xr:uid="{00000000-0004-0000-0000-0000110B0000}"/>
    <hyperlink ref="W2841" r:id="rId2835" xr:uid="{00000000-0004-0000-0000-0000120B0000}"/>
    <hyperlink ref="W2842" r:id="rId2836" xr:uid="{00000000-0004-0000-0000-0000130B0000}"/>
    <hyperlink ref="W2843" r:id="rId2837" xr:uid="{00000000-0004-0000-0000-0000140B0000}"/>
    <hyperlink ref="W2844" r:id="rId2838" xr:uid="{00000000-0004-0000-0000-0000150B0000}"/>
    <hyperlink ref="W2845" r:id="rId2839" xr:uid="{00000000-0004-0000-0000-0000160B0000}"/>
    <hyperlink ref="W2846" r:id="rId2840" xr:uid="{00000000-0004-0000-0000-0000170B0000}"/>
    <hyperlink ref="W2847" r:id="rId2841" xr:uid="{00000000-0004-0000-0000-0000180B0000}"/>
    <hyperlink ref="W2848" r:id="rId2842" xr:uid="{00000000-0004-0000-0000-0000190B0000}"/>
    <hyperlink ref="W2849" r:id="rId2843" xr:uid="{00000000-0004-0000-0000-00001A0B0000}"/>
    <hyperlink ref="W2850" r:id="rId2844" xr:uid="{00000000-0004-0000-0000-00001B0B0000}"/>
    <hyperlink ref="W2851" r:id="rId2845" xr:uid="{00000000-0004-0000-0000-00001C0B0000}"/>
    <hyperlink ref="W2852" r:id="rId2846" xr:uid="{00000000-0004-0000-0000-00001D0B0000}"/>
    <hyperlink ref="W2853" r:id="rId2847" xr:uid="{00000000-0004-0000-0000-00001E0B0000}"/>
    <hyperlink ref="W2854" r:id="rId2848" xr:uid="{00000000-0004-0000-0000-00001F0B0000}"/>
    <hyperlink ref="W2855" r:id="rId2849" xr:uid="{00000000-0004-0000-0000-0000200B0000}"/>
    <hyperlink ref="W2856" r:id="rId2850" xr:uid="{00000000-0004-0000-0000-0000210B0000}"/>
    <hyperlink ref="W2857" r:id="rId2851" xr:uid="{00000000-0004-0000-0000-0000220B0000}"/>
    <hyperlink ref="W2858" r:id="rId2852" xr:uid="{00000000-0004-0000-0000-0000230B0000}"/>
    <hyperlink ref="W2859" r:id="rId2853" location="content" xr:uid="{00000000-0004-0000-0000-0000240B0000}"/>
    <hyperlink ref="W2860" r:id="rId2854" location="content" xr:uid="{00000000-0004-0000-0000-0000250B0000}"/>
    <hyperlink ref="W2861" r:id="rId2855" location="content" xr:uid="{00000000-0004-0000-0000-0000260B0000}"/>
    <hyperlink ref="W2862" r:id="rId2856" location="content" xr:uid="{00000000-0004-0000-0000-0000270B0000}"/>
    <hyperlink ref="W2863" r:id="rId2857" location="content" xr:uid="{00000000-0004-0000-0000-0000280B0000}"/>
    <hyperlink ref="W2864" r:id="rId2858" location="content" xr:uid="{00000000-0004-0000-0000-0000290B0000}"/>
    <hyperlink ref="W2865" r:id="rId2859" location="content" xr:uid="{00000000-0004-0000-0000-00002A0B0000}"/>
    <hyperlink ref="W2866" r:id="rId2860" location="content" xr:uid="{00000000-0004-0000-0000-00002B0B0000}"/>
    <hyperlink ref="W2867" r:id="rId2861" location="content" xr:uid="{00000000-0004-0000-0000-00002C0B0000}"/>
    <hyperlink ref="W2868" r:id="rId2862" location="content" xr:uid="{00000000-0004-0000-0000-00002D0B0000}"/>
    <hyperlink ref="W2869" r:id="rId2863" location="content" xr:uid="{00000000-0004-0000-0000-00002E0B0000}"/>
    <hyperlink ref="W2870" r:id="rId2864" location="content" xr:uid="{00000000-0004-0000-0000-00002F0B0000}"/>
    <hyperlink ref="W2871" r:id="rId2865" location="content" xr:uid="{00000000-0004-0000-0000-0000300B0000}"/>
    <hyperlink ref="W2872" r:id="rId2866" location="content" xr:uid="{00000000-0004-0000-0000-0000310B0000}"/>
    <hyperlink ref="W2873" r:id="rId2867" location="content" xr:uid="{00000000-0004-0000-0000-0000320B0000}"/>
    <hyperlink ref="W2874" r:id="rId2868" location="content" xr:uid="{00000000-0004-0000-0000-0000330B0000}"/>
    <hyperlink ref="W2875" r:id="rId2869" location="content" xr:uid="{00000000-0004-0000-0000-0000340B0000}"/>
    <hyperlink ref="W2876" r:id="rId2870" location="content" xr:uid="{00000000-0004-0000-0000-0000350B0000}"/>
    <hyperlink ref="W2877" r:id="rId2871" location="content" xr:uid="{00000000-0004-0000-0000-0000360B0000}"/>
    <hyperlink ref="W2878" r:id="rId2872" location="content" xr:uid="{00000000-0004-0000-0000-0000370B0000}"/>
    <hyperlink ref="W2879" r:id="rId2873" location="content" xr:uid="{00000000-0004-0000-0000-0000380B0000}"/>
    <hyperlink ref="W2880" r:id="rId2874" location="content" xr:uid="{00000000-0004-0000-0000-0000390B0000}"/>
    <hyperlink ref="W2881" r:id="rId2875" location="content" xr:uid="{00000000-0004-0000-0000-00003A0B0000}"/>
    <hyperlink ref="W2882" r:id="rId2876" location="content" xr:uid="{00000000-0004-0000-0000-00003B0B0000}"/>
    <hyperlink ref="W2883" r:id="rId2877" location="content" xr:uid="{00000000-0004-0000-0000-00003C0B0000}"/>
    <hyperlink ref="W2884" r:id="rId2878" location="content" xr:uid="{00000000-0004-0000-0000-00003D0B0000}"/>
    <hyperlink ref="W2885" r:id="rId2879" location="content" xr:uid="{00000000-0004-0000-0000-00003E0B0000}"/>
    <hyperlink ref="W2886" r:id="rId2880" location="content" xr:uid="{00000000-0004-0000-0000-00003F0B0000}"/>
    <hyperlink ref="W2887" r:id="rId2881" location="content" xr:uid="{00000000-0004-0000-0000-0000400B0000}"/>
    <hyperlink ref="W2888" r:id="rId2882" location="content" xr:uid="{00000000-0004-0000-0000-0000410B0000}"/>
    <hyperlink ref="W2889" r:id="rId2883" location="content" xr:uid="{00000000-0004-0000-0000-0000420B0000}"/>
    <hyperlink ref="W2890" r:id="rId2884" location="content" xr:uid="{00000000-0004-0000-0000-0000430B0000}"/>
    <hyperlink ref="W2891" r:id="rId2885" location="content" xr:uid="{00000000-0004-0000-0000-0000440B0000}"/>
    <hyperlink ref="W2892" r:id="rId2886" location="content" xr:uid="{00000000-0004-0000-0000-0000450B0000}"/>
    <hyperlink ref="W2893" r:id="rId2887" location="content" xr:uid="{00000000-0004-0000-0000-0000460B0000}"/>
    <hyperlink ref="W2894" r:id="rId2888" location="content" xr:uid="{00000000-0004-0000-0000-0000470B0000}"/>
    <hyperlink ref="W2895" r:id="rId2889" location="content" xr:uid="{00000000-0004-0000-0000-0000480B0000}"/>
    <hyperlink ref="W2896" r:id="rId2890" location="content" xr:uid="{00000000-0004-0000-0000-0000490B0000}"/>
    <hyperlink ref="W2897" r:id="rId2891" location="content" xr:uid="{00000000-0004-0000-0000-00004A0B0000}"/>
    <hyperlink ref="W2898" r:id="rId2892" location="content" xr:uid="{00000000-0004-0000-0000-00004B0B0000}"/>
    <hyperlink ref="W2899" r:id="rId2893" location="content" xr:uid="{00000000-0004-0000-0000-00004C0B0000}"/>
    <hyperlink ref="W2900" r:id="rId2894" location="content" xr:uid="{00000000-0004-0000-0000-00004D0B0000}"/>
    <hyperlink ref="W2901" r:id="rId2895" location="content" xr:uid="{00000000-0004-0000-0000-00004E0B0000}"/>
    <hyperlink ref="W2902" r:id="rId2896" location="content" xr:uid="{00000000-0004-0000-0000-00004F0B0000}"/>
    <hyperlink ref="W2903" r:id="rId2897" location="content" xr:uid="{00000000-0004-0000-0000-0000500B0000}"/>
    <hyperlink ref="W2904" r:id="rId2898" location="content" xr:uid="{00000000-0004-0000-0000-0000510B0000}"/>
    <hyperlink ref="W2905" r:id="rId2899" location="content" xr:uid="{00000000-0004-0000-0000-0000520B0000}"/>
    <hyperlink ref="W2906" r:id="rId2900" location="content" xr:uid="{00000000-0004-0000-0000-0000530B0000}"/>
    <hyperlink ref="W2907" r:id="rId2901" location="content" xr:uid="{00000000-0004-0000-0000-0000540B0000}"/>
    <hyperlink ref="W2908" r:id="rId2902" location="content" xr:uid="{00000000-0004-0000-0000-0000550B0000}"/>
    <hyperlink ref="W2909" r:id="rId2903" location="content" xr:uid="{00000000-0004-0000-0000-0000560B0000}"/>
    <hyperlink ref="W2910" r:id="rId2904" location="content" xr:uid="{00000000-0004-0000-0000-0000570B0000}"/>
    <hyperlink ref="W2911" r:id="rId2905" location="content" xr:uid="{00000000-0004-0000-0000-0000580B0000}"/>
    <hyperlink ref="W2912" r:id="rId2906" location="content" xr:uid="{00000000-0004-0000-0000-0000590B0000}"/>
    <hyperlink ref="W2913" r:id="rId2907" location="content" xr:uid="{00000000-0004-0000-0000-00005A0B0000}"/>
    <hyperlink ref="W2914" r:id="rId2908" location="content" xr:uid="{00000000-0004-0000-0000-00005B0B0000}"/>
    <hyperlink ref="W2915" r:id="rId2909" location="content" xr:uid="{00000000-0004-0000-0000-00005C0B0000}"/>
    <hyperlink ref="W2916" r:id="rId2910" location="content" xr:uid="{00000000-0004-0000-0000-00005D0B0000}"/>
    <hyperlink ref="W2917" r:id="rId2911" location="content" xr:uid="{00000000-0004-0000-0000-00005E0B0000}"/>
    <hyperlink ref="W2918" r:id="rId2912" location="content" xr:uid="{00000000-0004-0000-0000-00005F0B0000}"/>
    <hyperlink ref="W2919" r:id="rId2913" location="content" xr:uid="{00000000-0004-0000-0000-0000600B0000}"/>
    <hyperlink ref="W2920" r:id="rId2914" location="content" xr:uid="{00000000-0004-0000-0000-0000610B0000}"/>
    <hyperlink ref="W2921" r:id="rId2915" location="content" xr:uid="{00000000-0004-0000-0000-0000620B0000}"/>
    <hyperlink ref="W2922" r:id="rId2916" location="content" xr:uid="{00000000-0004-0000-0000-0000630B0000}"/>
    <hyperlink ref="W2923" r:id="rId2917" location="content" xr:uid="{00000000-0004-0000-0000-0000640B0000}"/>
    <hyperlink ref="W2924" r:id="rId2918" location="content" xr:uid="{00000000-0004-0000-0000-0000650B0000}"/>
    <hyperlink ref="W2925" r:id="rId2919" location="content" xr:uid="{00000000-0004-0000-0000-0000660B0000}"/>
    <hyperlink ref="W2926" r:id="rId2920" location="content" xr:uid="{00000000-0004-0000-0000-0000670B0000}"/>
    <hyperlink ref="W2927" r:id="rId2921" location="content" xr:uid="{00000000-0004-0000-0000-0000680B0000}"/>
    <hyperlink ref="W2928" r:id="rId2922" location="content" xr:uid="{00000000-0004-0000-0000-0000690B0000}"/>
    <hyperlink ref="W2929" r:id="rId2923" location="content" xr:uid="{00000000-0004-0000-0000-00006A0B0000}"/>
    <hyperlink ref="W2930" r:id="rId2924" location="content" xr:uid="{00000000-0004-0000-0000-00006B0B0000}"/>
    <hyperlink ref="W2931" r:id="rId2925" location="content" xr:uid="{00000000-0004-0000-0000-00006C0B0000}"/>
    <hyperlink ref="W2932" r:id="rId2926" location="content" xr:uid="{00000000-0004-0000-0000-00006D0B0000}"/>
    <hyperlink ref="W2933" r:id="rId2927" location="content" xr:uid="{00000000-0004-0000-0000-00006E0B0000}"/>
    <hyperlink ref="W2934" r:id="rId2928" location="content" xr:uid="{00000000-0004-0000-0000-00006F0B0000}"/>
    <hyperlink ref="W2935" r:id="rId2929" location="content" xr:uid="{00000000-0004-0000-0000-0000700B0000}"/>
    <hyperlink ref="W2936" r:id="rId2930" location="content" xr:uid="{00000000-0004-0000-0000-0000710B0000}"/>
    <hyperlink ref="W2937" r:id="rId2931" location="content" xr:uid="{00000000-0004-0000-0000-0000720B0000}"/>
    <hyperlink ref="W2938" r:id="rId2932" location="content" xr:uid="{00000000-0004-0000-0000-0000730B0000}"/>
    <hyperlink ref="W2939" r:id="rId2933" location="content" xr:uid="{00000000-0004-0000-0000-0000740B0000}"/>
    <hyperlink ref="W2940" r:id="rId2934" location="content" xr:uid="{00000000-0004-0000-0000-0000750B0000}"/>
    <hyperlink ref="W2941" r:id="rId2935" location="content" xr:uid="{00000000-0004-0000-0000-0000760B0000}"/>
    <hyperlink ref="W2942" r:id="rId2936" location="content" xr:uid="{00000000-0004-0000-0000-0000770B0000}"/>
    <hyperlink ref="W2943" r:id="rId2937" location="content" xr:uid="{00000000-0004-0000-0000-0000780B0000}"/>
    <hyperlink ref="W2944" r:id="rId2938" location="content" xr:uid="{00000000-0004-0000-0000-0000790B0000}"/>
    <hyperlink ref="W2945" r:id="rId2939" location="content" xr:uid="{00000000-0004-0000-0000-00007A0B0000}"/>
    <hyperlink ref="W2946" r:id="rId2940" location="content" xr:uid="{00000000-0004-0000-0000-00007B0B0000}"/>
    <hyperlink ref="W2947" r:id="rId2941" location="content" xr:uid="{00000000-0004-0000-0000-00007C0B0000}"/>
    <hyperlink ref="W2948" r:id="rId2942" location="content" xr:uid="{00000000-0004-0000-0000-00007D0B0000}"/>
    <hyperlink ref="W2949" r:id="rId2943" location="content" xr:uid="{00000000-0004-0000-0000-00007E0B0000}"/>
    <hyperlink ref="W2950" r:id="rId2944" location="content" xr:uid="{00000000-0004-0000-0000-00007F0B0000}"/>
    <hyperlink ref="W2951" r:id="rId2945" location="content" xr:uid="{00000000-0004-0000-0000-0000800B0000}"/>
    <hyperlink ref="W2952" r:id="rId2946" location="content" xr:uid="{00000000-0004-0000-0000-0000810B0000}"/>
    <hyperlink ref="W2953" r:id="rId2947" location="content" xr:uid="{00000000-0004-0000-0000-0000820B0000}"/>
    <hyperlink ref="W2954" r:id="rId2948" location="content" xr:uid="{00000000-0004-0000-0000-0000830B0000}"/>
    <hyperlink ref="W2955" r:id="rId2949" location="content" xr:uid="{00000000-0004-0000-0000-0000840B0000}"/>
    <hyperlink ref="W2956" r:id="rId2950" location="content" xr:uid="{00000000-0004-0000-0000-0000850B0000}"/>
    <hyperlink ref="W2957" r:id="rId2951" location="content" xr:uid="{00000000-0004-0000-0000-0000860B0000}"/>
    <hyperlink ref="W2958" r:id="rId2952" location="content" xr:uid="{00000000-0004-0000-0000-0000870B0000}"/>
    <hyperlink ref="W2959" r:id="rId2953" location="content" xr:uid="{00000000-0004-0000-0000-0000880B0000}"/>
    <hyperlink ref="W2960" r:id="rId2954" location="content" xr:uid="{00000000-0004-0000-0000-0000890B0000}"/>
    <hyperlink ref="W2961" r:id="rId2955" location="content" xr:uid="{00000000-0004-0000-0000-00008A0B0000}"/>
    <hyperlink ref="W2962" r:id="rId2956" location="content" xr:uid="{00000000-0004-0000-0000-00008B0B0000}"/>
    <hyperlink ref="W2963" r:id="rId2957" location="content" xr:uid="{00000000-0004-0000-0000-00008C0B0000}"/>
    <hyperlink ref="W2964" r:id="rId2958" location="content" xr:uid="{00000000-0004-0000-0000-00008D0B0000}"/>
    <hyperlink ref="W2965" r:id="rId2959" location="content" xr:uid="{00000000-0004-0000-0000-00008E0B0000}"/>
    <hyperlink ref="W2966" r:id="rId2960" location="content" xr:uid="{00000000-0004-0000-0000-00008F0B0000}"/>
    <hyperlink ref="W2967" r:id="rId2961" location="content" xr:uid="{00000000-0004-0000-0000-0000900B0000}"/>
    <hyperlink ref="W2968" r:id="rId2962" location="content" xr:uid="{00000000-0004-0000-0000-0000910B0000}"/>
    <hyperlink ref="W2969" r:id="rId2963" location="content" xr:uid="{00000000-0004-0000-0000-0000920B0000}"/>
    <hyperlink ref="W2970" r:id="rId2964" location="content" xr:uid="{00000000-0004-0000-0000-0000930B0000}"/>
    <hyperlink ref="W2971" r:id="rId2965" location="content" xr:uid="{00000000-0004-0000-0000-0000940B0000}"/>
    <hyperlink ref="W2972" r:id="rId2966" location="content" xr:uid="{00000000-0004-0000-0000-0000950B0000}"/>
    <hyperlink ref="W2973" r:id="rId2967" location="content" xr:uid="{00000000-0004-0000-0000-0000960B0000}"/>
    <hyperlink ref="W2974" r:id="rId2968" location="content" xr:uid="{00000000-0004-0000-0000-0000970B0000}"/>
    <hyperlink ref="W2975" r:id="rId2969" location="content" xr:uid="{00000000-0004-0000-0000-0000980B0000}"/>
    <hyperlink ref="W2976" r:id="rId2970" location="content" xr:uid="{00000000-0004-0000-0000-0000990B0000}"/>
    <hyperlink ref="W2977" r:id="rId2971" location="content" xr:uid="{00000000-0004-0000-0000-00009A0B0000}"/>
    <hyperlink ref="W2978" r:id="rId2972" location="content" xr:uid="{00000000-0004-0000-0000-00009B0B0000}"/>
    <hyperlink ref="W2979" r:id="rId2973" location="content" xr:uid="{00000000-0004-0000-0000-00009C0B0000}"/>
    <hyperlink ref="W2980" r:id="rId2974" location="content" xr:uid="{00000000-0004-0000-0000-00009D0B0000}"/>
    <hyperlink ref="W2981" r:id="rId2975" location="content" xr:uid="{00000000-0004-0000-0000-00009E0B0000}"/>
    <hyperlink ref="W2982" r:id="rId2976" location="content" xr:uid="{00000000-0004-0000-0000-00009F0B0000}"/>
    <hyperlink ref="W2983" r:id="rId2977" location="content" xr:uid="{00000000-0004-0000-0000-0000A00B0000}"/>
    <hyperlink ref="W2984" r:id="rId2978" location="content" xr:uid="{00000000-0004-0000-0000-0000A10B0000}"/>
    <hyperlink ref="W2985" r:id="rId2979" location="content" xr:uid="{00000000-0004-0000-0000-0000A20B0000}"/>
    <hyperlink ref="W2986" r:id="rId2980" location="content" xr:uid="{00000000-0004-0000-0000-0000A30B0000}"/>
    <hyperlink ref="W2987" r:id="rId2981" location="content" xr:uid="{00000000-0004-0000-0000-0000A40B0000}"/>
    <hyperlink ref="W2988" r:id="rId2982" location="content" xr:uid="{00000000-0004-0000-0000-0000A50B0000}"/>
    <hyperlink ref="W2989" r:id="rId2983" location="content" xr:uid="{00000000-0004-0000-0000-0000A60B0000}"/>
    <hyperlink ref="W2990" r:id="rId2984" location="content" xr:uid="{00000000-0004-0000-0000-0000A70B0000}"/>
    <hyperlink ref="W2991" r:id="rId2985" location="content" xr:uid="{00000000-0004-0000-0000-0000A80B0000}"/>
    <hyperlink ref="W2992" r:id="rId2986" location="content" xr:uid="{00000000-0004-0000-0000-0000A90B0000}"/>
    <hyperlink ref="W2993" r:id="rId2987" location="content" xr:uid="{00000000-0004-0000-0000-0000AA0B0000}"/>
    <hyperlink ref="W2994" r:id="rId2988" location="content" xr:uid="{00000000-0004-0000-0000-0000AB0B0000}"/>
    <hyperlink ref="W2995" r:id="rId2989" location="content" xr:uid="{00000000-0004-0000-0000-0000AC0B0000}"/>
    <hyperlink ref="W2996" r:id="rId2990" location="content" xr:uid="{00000000-0004-0000-0000-0000AD0B0000}"/>
    <hyperlink ref="W2997" r:id="rId2991" location="content" xr:uid="{00000000-0004-0000-0000-0000AE0B0000}"/>
    <hyperlink ref="W2998" r:id="rId2992" location="content" xr:uid="{00000000-0004-0000-0000-0000AF0B0000}"/>
    <hyperlink ref="W2999" r:id="rId2993" location="content" xr:uid="{00000000-0004-0000-0000-0000B00B0000}"/>
    <hyperlink ref="W3000" r:id="rId2994" location="content" xr:uid="{00000000-0004-0000-0000-0000B10B0000}"/>
    <hyperlink ref="W3001" r:id="rId2995" location="content" xr:uid="{00000000-0004-0000-0000-0000B20B0000}"/>
    <hyperlink ref="W3002" r:id="rId2996" location="content" xr:uid="{00000000-0004-0000-0000-0000B30B0000}"/>
    <hyperlink ref="W3003" r:id="rId2997" location="content" xr:uid="{00000000-0004-0000-0000-0000B40B0000}"/>
    <hyperlink ref="W3004" r:id="rId2998" location="content" xr:uid="{00000000-0004-0000-0000-0000B50B0000}"/>
    <hyperlink ref="W3005" r:id="rId2999" location="content" xr:uid="{00000000-0004-0000-0000-0000B60B0000}"/>
    <hyperlink ref="W3006" r:id="rId3000" location="content" xr:uid="{00000000-0004-0000-0000-0000B70B0000}"/>
    <hyperlink ref="W3007" r:id="rId3001" location="content" xr:uid="{00000000-0004-0000-0000-0000B80B0000}"/>
    <hyperlink ref="W3008" r:id="rId3002" location="content" xr:uid="{00000000-0004-0000-0000-0000B90B0000}"/>
    <hyperlink ref="W3009" r:id="rId3003" location="content" xr:uid="{00000000-0004-0000-0000-0000BA0B0000}"/>
    <hyperlink ref="W3010" r:id="rId3004" location="content" xr:uid="{00000000-0004-0000-0000-0000BB0B0000}"/>
    <hyperlink ref="W3011" r:id="rId3005" location="content" xr:uid="{00000000-0004-0000-0000-0000BC0B0000}"/>
    <hyperlink ref="W3012" r:id="rId3006" location="content" xr:uid="{00000000-0004-0000-0000-0000BD0B0000}"/>
    <hyperlink ref="W3013" r:id="rId3007" location="content" xr:uid="{00000000-0004-0000-0000-0000BE0B0000}"/>
    <hyperlink ref="W3014" r:id="rId3008" location="content" xr:uid="{00000000-0004-0000-0000-0000BF0B0000}"/>
    <hyperlink ref="W3015" r:id="rId3009" location="content" xr:uid="{00000000-0004-0000-0000-0000C00B0000}"/>
    <hyperlink ref="W3016" r:id="rId3010" location="content" xr:uid="{00000000-0004-0000-0000-0000C10B0000}"/>
    <hyperlink ref="W3017" r:id="rId3011" location="content" xr:uid="{00000000-0004-0000-0000-0000C20B0000}"/>
    <hyperlink ref="W3018" r:id="rId3012" location="content" xr:uid="{00000000-0004-0000-0000-0000C30B0000}"/>
    <hyperlink ref="W3019" r:id="rId3013" location="content" xr:uid="{00000000-0004-0000-0000-0000C40B0000}"/>
    <hyperlink ref="W3020" r:id="rId3014" location="content" xr:uid="{00000000-0004-0000-0000-0000C50B0000}"/>
    <hyperlink ref="W3021" r:id="rId3015" location="content" xr:uid="{00000000-0004-0000-0000-0000C60B0000}"/>
    <hyperlink ref="W3022" r:id="rId3016" location="content" xr:uid="{00000000-0004-0000-0000-0000C70B0000}"/>
    <hyperlink ref="W3023" r:id="rId3017" location="content" xr:uid="{00000000-0004-0000-0000-0000C80B0000}"/>
    <hyperlink ref="W3024" r:id="rId3018" location="content" xr:uid="{00000000-0004-0000-0000-0000C90B0000}"/>
    <hyperlink ref="W3025" r:id="rId3019" location="content" xr:uid="{00000000-0004-0000-0000-0000CA0B0000}"/>
    <hyperlink ref="W3026" r:id="rId3020" location="content" xr:uid="{00000000-0004-0000-0000-0000CB0B0000}"/>
    <hyperlink ref="W3027" r:id="rId3021" location="content" xr:uid="{00000000-0004-0000-0000-0000CC0B0000}"/>
    <hyperlink ref="W3028" r:id="rId3022" location="content" xr:uid="{00000000-0004-0000-0000-0000CD0B0000}"/>
    <hyperlink ref="W3029" r:id="rId3023" location="content" xr:uid="{00000000-0004-0000-0000-0000CE0B0000}"/>
    <hyperlink ref="W3030" r:id="rId3024" location="content" xr:uid="{00000000-0004-0000-0000-0000CF0B0000}"/>
    <hyperlink ref="W3031" r:id="rId3025" location="content" xr:uid="{00000000-0004-0000-0000-0000D00B0000}"/>
    <hyperlink ref="W3032" r:id="rId3026" location="content" xr:uid="{00000000-0004-0000-0000-0000D10B0000}"/>
    <hyperlink ref="W3033" r:id="rId3027" location="content" xr:uid="{00000000-0004-0000-0000-0000D20B0000}"/>
    <hyperlink ref="W3034" r:id="rId3028" location="content" xr:uid="{00000000-0004-0000-0000-0000D30B0000}"/>
    <hyperlink ref="W3035" r:id="rId3029" location="content" xr:uid="{00000000-0004-0000-0000-0000D40B0000}"/>
    <hyperlink ref="W3036" r:id="rId3030" location="content" xr:uid="{00000000-0004-0000-0000-0000D50B0000}"/>
    <hyperlink ref="W3037" r:id="rId3031" location="content" xr:uid="{00000000-0004-0000-0000-0000D60B0000}"/>
    <hyperlink ref="W3038" r:id="rId3032" location="content" xr:uid="{00000000-0004-0000-0000-0000D70B0000}"/>
    <hyperlink ref="W3039" r:id="rId3033" location="content" xr:uid="{00000000-0004-0000-0000-0000D80B0000}"/>
    <hyperlink ref="W3040" r:id="rId3034" location="content" xr:uid="{00000000-0004-0000-0000-0000D90B0000}"/>
    <hyperlink ref="W3041" r:id="rId3035" location="content" xr:uid="{00000000-0004-0000-0000-0000DA0B0000}"/>
    <hyperlink ref="W3042" r:id="rId3036" location="content" xr:uid="{00000000-0004-0000-0000-0000DB0B0000}"/>
    <hyperlink ref="W3043" r:id="rId3037" location="content" xr:uid="{00000000-0004-0000-0000-0000DC0B0000}"/>
    <hyperlink ref="W3044" r:id="rId3038" location="content" xr:uid="{00000000-0004-0000-0000-0000DD0B0000}"/>
    <hyperlink ref="W3045" r:id="rId3039" location="content" xr:uid="{00000000-0004-0000-0000-0000DE0B0000}"/>
    <hyperlink ref="W3046" r:id="rId3040" location="content" xr:uid="{00000000-0004-0000-0000-0000DF0B0000}"/>
    <hyperlink ref="W3047" r:id="rId3041" location="content" xr:uid="{00000000-0004-0000-0000-0000E00B0000}"/>
    <hyperlink ref="W3048" r:id="rId3042" location="content" xr:uid="{00000000-0004-0000-0000-0000E10B0000}"/>
    <hyperlink ref="W3049" r:id="rId3043" location="content" xr:uid="{00000000-0004-0000-0000-0000E20B0000}"/>
    <hyperlink ref="W3050" r:id="rId3044" location="content" xr:uid="{00000000-0004-0000-0000-0000E30B0000}"/>
    <hyperlink ref="W3051" r:id="rId3045" location="content" xr:uid="{00000000-0004-0000-0000-0000E40B0000}"/>
    <hyperlink ref="W3052" r:id="rId3046" location="content" xr:uid="{00000000-0004-0000-0000-0000E50B0000}"/>
    <hyperlink ref="W3053" r:id="rId3047" location="content" xr:uid="{00000000-0004-0000-0000-0000E60B0000}"/>
    <hyperlink ref="W3054" r:id="rId3048" location="content" xr:uid="{00000000-0004-0000-0000-0000E70B0000}"/>
    <hyperlink ref="W3055" r:id="rId3049" location="content" xr:uid="{00000000-0004-0000-0000-0000E80B0000}"/>
    <hyperlink ref="W3056" r:id="rId3050" location="content" xr:uid="{00000000-0004-0000-0000-0000E90B0000}"/>
    <hyperlink ref="W3057" r:id="rId3051" location="content" xr:uid="{00000000-0004-0000-0000-0000EA0B0000}"/>
    <hyperlink ref="W3058" r:id="rId3052" location="content" xr:uid="{00000000-0004-0000-0000-0000EB0B0000}"/>
    <hyperlink ref="W3059" r:id="rId3053" location="content" xr:uid="{00000000-0004-0000-0000-0000EC0B0000}"/>
    <hyperlink ref="W3060" r:id="rId3054" location="content" xr:uid="{00000000-0004-0000-0000-0000ED0B0000}"/>
    <hyperlink ref="W3061" r:id="rId3055" location="content" xr:uid="{00000000-0004-0000-0000-0000EE0B0000}"/>
    <hyperlink ref="W3062" r:id="rId3056" location="content" xr:uid="{00000000-0004-0000-0000-0000EF0B0000}"/>
    <hyperlink ref="W3063" r:id="rId3057" location="content" xr:uid="{00000000-0004-0000-0000-0000F00B0000}"/>
    <hyperlink ref="W3064" r:id="rId3058" location="content" xr:uid="{00000000-0004-0000-0000-0000F10B0000}"/>
    <hyperlink ref="W3065" r:id="rId3059" location="content" xr:uid="{00000000-0004-0000-0000-0000F20B0000}"/>
    <hyperlink ref="W3066" r:id="rId3060" location="content" xr:uid="{00000000-0004-0000-0000-0000F30B0000}"/>
    <hyperlink ref="W3067" r:id="rId3061" location="content" xr:uid="{00000000-0004-0000-0000-0000F40B0000}"/>
    <hyperlink ref="W3068" r:id="rId3062" location="content" xr:uid="{00000000-0004-0000-0000-0000F50B0000}"/>
    <hyperlink ref="W3069" r:id="rId3063" location="content" xr:uid="{00000000-0004-0000-0000-0000F60B0000}"/>
    <hyperlink ref="W3070" r:id="rId3064" location="content" xr:uid="{00000000-0004-0000-0000-0000F70B0000}"/>
    <hyperlink ref="W3071" r:id="rId3065" location="content" xr:uid="{00000000-0004-0000-0000-0000F80B0000}"/>
    <hyperlink ref="W3072" r:id="rId3066" location="content" xr:uid="{00000000-0004-0000-0000-0000F90B0000}"/>
    <hyperlink ref="W3073" r:id="rId3067" location="content" xr:uid="{00000000-0004-0000-0000-0000FA0B0000}"/>
    <hyperlink ref="W3074" r:id="rId3068" location="content" xr:uid="{00000000-0004-0000-0000-0000FB0B0000}"/>
    <hyperlink ref="W3075" r:id="rId3069" location="content" xr:uid="{00000000-0004-0000-0000-0000FC0B0000}"/>
    <hyperlink ref="W3076" r:id="rId3070" location="content" xr:uid="{00000000-0004-0000-0000-0000FD0B0000}"/>
    <hyperlink ref="W3077" r:id="rId3071" location="content" xr:uid="{00000000-0004-0000-0000-0000FE0B0000}"/>
    <hyperlink ref="W3078" r:id="rId3072" location="content" xr:uid="{00000000-0004-0000-0000-0000FF0B0000}"/>
    <hyperlink ref="W3079" r:id="rId3073" location="content" xr:uid="{00000000-0004-0000-0000-0000000C0000}"/>
    <hyperlink ref="W3080" r:id="rId3074" location="content" xr:uid="{00000000-0004-0000-0000-0000010C0000}"/>
    <hyperlink ref="W3081" r:id="rId3075" location="content" xr:uid="{00000000-0004-0000-0000-0000020C0000}"/>
    <hyperlink ref="W3082" r:id="rId3076" location="content" xr:uid="{00000000-0004-0000-0000-0000030C0000}"/>
    <hyperlink ref="W3083" r:id="rId3077" location="content" xr:uid="{00000000-0004-0000-0000-0000040C0000}"/>
    <hyperlink ref="W3084" r:id="rId3078" location="content" xr:uid="{00000000-0004-0000-0000-0000050C0000}"/>
    <hyperlink ref="W3085" r:id="rId3079" location="content" xr:uid="{00000000-0004-0000-0000-0000060C0000}"/>
    <hyperlink ref="W3086" r:id="rId3080" location="content" xr:uid="{00000000-0004-0000-0000-0000070C0000}"/>
    <hyperlink ref="W3087" r:id="rId3081" location="content" xr:uid="{00000000-0004-0000-0000-0000080C0000}"/>
    <hyperlink ref="W3088" r:id="rId3082" location="content" xr:uid="{00000000-0004-0000-0000-0000090C0000}"/>
    <hyperlink ref="W3089" r:id="rId3083" location="content" xr:uid="{00000000-0004-0000-0000-00000A0C0000}"/>
    <hyperlink ref="W3090" r:id="rId3084" location="content" xr:uid="{00000000-0004-0000-0000-00000B0C0000}"/>
    <hyperlink ref="W3091" r:id="rId3085" location="content" xr:uid="{00000000-0004-0000-0000-00000C0C0000}"/>
    <hyperlink ref="W3092" r:id="rId3086" location="content" xr:uid="{00000000-0004-0000-0000-00000D0C0000}"/>
    <hyperlink ref="W3093" r:id="rId3087" location="content" xr:uid="{00000000-0004-0000-0000-00000E0C0000}"/>
    <hyperlink ref="W3094" r:id="rId3088" location="content" xr:uid="{00000000-0004-0000-0000-00000F0C0000}"/>
    <hyperlink ref="W3095" r:id="rId3089" location="content" xr:uid="{00000000-0004-0000-0000-0000100C0000}"/>
    <hyperlink ref="W3096" r:id="rId3090" location="content" xr:uid="{00000000-0004-0000-0000-0000110C0000}"/>
    <hyperlink ref="W3097" r:id="rId3091" location="content" xr:uid="{00000000-0004-0000-0000-0000120C0000}"/>
    <hyperlink ref="W3098" r:id="rId3092" location="content" xr:uid="{00000000-0004-0000-0000-0000130C0000}"/>
    <hyperlink ref="W3099" r:id="rId3093" location="content" xr:uid="{00000000-0004-0000-0000-0000140C0000}"/>
    <hyperlink ref="W3100" r:id="rId3094" location="content" xr:uid="{00000000-0004-0000-0000-0000150C0000}"/>
    <hyperlink ref="W3101" r:id="rId3095" location="content" xr:uid="{00000000-0004-0000-0000-0000160C0000}"/>
    <hyperlink ref="W3102" r:id="rId3096" location="content" xr:uid="{00000000-0004-0000-0000-0000170C0000}"/>
    <hyperlink ref="W3103" r:id="rId3097" xr:uid="{00000000-0004-0000-0000-0000180C0000}"/>
    <hyperlink ref="W3104" r:id="rId3098" xr:uid="{00000000-0004-0000-0000-0000190C0000}"/>
    <hyperlink ref="W3105" r:id="rId3099" xr:uid="{00000000-0004-0000-0000-00001A0C0000}"/>
    <hyperlink ref="W3106" r:id="rId3100" xr:uid="{00000000-0004-0000-0000-00001B0C0000}"/>
    <hyperlink ref="W3107" r:id="rId3101" xr:uid="{00000000-0004-0000-0000-00001C0C0000}"/>
    <hyperlink ref="W3108" r:id="rId3102" xr:uid="{00000000-0004-0000-0000-00001D0C0000}"/>
    <hyperlink ref="W3109" r:id="rId3103" xr:uid="{00000000-0004-0000-0000-00001E0C0000}"/>
    <hyperlink ref="W3110" r:id="rId3104" xr:uid="{00000000-0004-0000-0000-00001F0C0000}"/>
    <hyperlink ref="W3111" r:id="rId3105" xr:uid="{00000000-0004-0000-0000-0000200C0000}"/>
    <hyperlink ref="W3112" r:id="rId3106" xr:uid="{00000000-0004-0000-0000-0000210C0000}"/>
    <hyperlink ref="W3113" r:id="rId3107" xr:uid="{00000000-0004-0000-0000-0000220C0000}"/>
    <hyperlink ref="W3114" r:id="rId3108" xr:uid="{00000000-0004-0000-0000-0000230C0000}"/>
    <hyperlink ref="W3115" r:id="rId3109" xr:uid="{00000000-0004-0000-0000-0000240C0000}"/>
    <hyperlink ref="W3116" r:id="rId3110" xr:uid="{00000000-0004-0000-0000-0000250C0000}"/>
    <hyperlink ref="W3117" r:id="rId3111" xr:uid="{00000000-0004-0000-0000-0000260C0000}"/>
    <hyperlink ref="W3118" r:id="rId3112" xr:uid="{00000000-0004-0000-0000-0000270C0000}"/>
    <hyperlink ref="W3119" r:id="rId3113" xr:uid="{00000000-0004-0000-0000-0000280C0000}"/>
    <hyperlink ref="W3120" r:id="rId3114" xr:uid="{00000000-0004-0000-0000-0000290C0000}"/>
    <hyperlink ref="W3121" r:id="rId3115" xr:uid="{00000000-0004-0000-0000-00002A0C0000}"/>
    <hyperlink ref="W3122" r:id="rId3116" xr:uid="{00000000-0004-0000-0000-00002B0C0000}"/>
    <hyperlink ref="W3123" r:id="rId3117" xr:uid="{00000000-0004-0000-0000-00002C0C0000}"/>
    <hyperlink ref="W3124" r:id="rId3118" xr:uid="{00000000-0004-0000-0000-00002D0C0000}"/>
    <hyperlink ref="W3125" r:id="rId3119" xr:uid="{00000000-0004-0000-0000-00002E0C0000}"/>
    <hyperlink ref="W3126" r:id="rId3120" xr:uid="{00000000-0004-0000-0000-00002F0C0000}"/>
    <hyperlink ref="W3127" r:id="rId3121" xr:uid="{00000000-0004-0000-0000-0000300C0000}"/>
    <hyperlink ref="W3128" r:id="rId3122" xr:uid="{00000000-0004-0000-0000-0000310C0000}"/>
    <hyperlink ref="W3129" r:id="rId3123" xr:uid="{00000000-0004-0000-0000-0000320C0000}"/>
    <hyperlink ref="W3130" r:id="rId3124" xr:uid="{00000000-0004-0000-0000-0000330C0000}"/>
    <hyperlink ref="W3131" r:id="rId3125" xr:uid="{00000000-0004-0000-0000-0000340C0000}"/>
    <hyperlink ref="W3132" r:id="rId3126" xr:uid="{00000000-0004-0000-0000-0000350C0000}"/>
    <hyperlink ref="W3133" r:id="rId3127" xr:uid="{00000000-0004-0000-0000-0000360C0000}"/>
    <hyperlink ref="W3134" r:id="rId3128" xr:uid="{00000000-0004-0000-0000-0000370C0000}"/>
    <hyperlink ref="W3135" r:id="rId3129" xr:uid="{00000000-0004-0000-0000-0000380C0000}"/>
    <hyperlink ref="W3136" r:id="rId3130" xr:uid="{00000000-0004-0000-0000-0000390C0000}"/>
    <hyperlink ref="W3137" r:id="rId3131" xr:uid="{00000000-0004-0000-0000-00003A0C0000}"/>
    <hyperlink ref="W3138" r:id="rId3132" xr:uid="{00000000-0004-0000-0000-00003B0C0000}"/>
    <hyperlink ref="W3139" r:id="rId3133" xr:uid="{00000000-0004-0000-0000-00003C0C0000}"/>
    <hyperlink ref="W3140" r:id="rId3134" xr:uid="{00000000-0004-0000-0000-00003D0C0000}"/>
    <hyperlink ref="W3141" r:id="rId3135" xr:uid="{00000000-0004-0000-0000-00003E0C0000}"/>
    <hyperlink ref="W3142" r:id="rId3136" xr:uid="{00000000-0004-0000-0000-00003F0C0000}"/>
    <hyperlink ref="W3143" r:id="rId3137" xr:uid="{00000000-0004-0000-0000-0000400C0000}"/>
    <hyperlink ref="W3144" r:id="rId3138" xr:uid="{00000000-0004-0000-0000-0000410C0000}"/>
    <hyperlink ref="W3145" r:id="rId3139" xr:uid="{00000000-0004-0000-0000-0000420C0000}"/>
    <hyperlink ref="W3146" r:id="rId3140" xr:uid="{00000000-0004-0000-0000-0000430C0000}"/>
    <hyperlink ref="W3147" r:id="rId3141" xr:uid="{00000000-0004-0000-0000-0000440C0000}"/>
    <hyperlink ref="W3148" r:id="rId3142" xr:uid="{00000000-0004-0000-0000-0000450C0000}"/>
    <hyperlink ref="W3149" r:id="rId3143" xr:uid="{00000000-0004-0000-0000-0000460C0000}"/>
    <hyperlink ref="W3150" r:id="rId3144" xr:uid="{00000000-0004-0000-0000-0000470C0000}"/>
    <hyperlink ref="W3151" r:id="rId3145" xr:uid="{00000000-0004-0000-0000-0000480C0000}"/>
    <hyperlink ref="W3152" r:id="rId3146" xr:uid="{00000000-0004-0000-0000-0000490C0000}"/>
    <hyperlink ref="W3153" r:id="rId3147" xr:uid="{00000000-0004-0000-0000-00004A0C0000}"/>
    <hyperlink ref="W3154" r:id="rId3148" xr:uid="{00000000-0004-0000-0000-00004B0C0000}"/>
    <hyperlink ref="W3155" r:id="rId3149" xr:uid="{00000000-0004-0000-0000-00004C0C0000}"/>
    <hyperlink ref="W3156" r:id="rId3150" xr:uid="{00000000-0004-0000-0000-00004D0C0000}"/>
    <hyperlink ref="W3157" r:id="rId3151" xr:uid="{00000000-0004-0000-0000-00004E0C0000}"/>
    <hyperlink ref="W3158" r:id="rId3152" xr:uid="{00000000-0004-0000-0000-00004F0C0000}"/>
    <hyperlink ref="W3159" r:id="rId3153" xr:uid="{00000000-0004-0000-0000-0000500C0000}"/>
    <hyperlink ref="W3160" r:id="rId3154" xr:uid="{00000000-0004-0000-0000-0000510C0000}"/>
    <hyperlink ref="W3161" r:id="rId3155" xr:uid="{00000000-0004-0000-0000-0000520C0000}"/>
    <hyperlink ref="W3162" r:id="rId3156" xr:uid="{00000000-0004-0000-0000-0000530C0000}"/>
    <hyperlink ref="W3163" r:id="rId3157" xr:uid="{00000000-0004-0000-0000-0000540C0000}"/>
    <hyperlink ref="W3164" r:id="rId3158" xr:uid="{00000000-0004-0000-0000-0000550C0000}"/>
    <hyperlink ref="W3165" r:id="rId3159" xr:uid="{00000000-0004-0000-0000-0000560C0000}"/>
    <hyperlink ref="W3166" r:id="rId3160" xr:uid="{00000000-0004-0000-0000-0000570C0000}"/>
    <hyperlink ref="W3167" r:id="rId3161" xr:uid="{00000000-0004-0000-0000-0000580C0000}"/>
    <hyperlink ref="W3168" r:id="rId3162" xr:uid="{00000000-0004-0000-0000-0000590C0000}"/>
    <hyperlink ref="W3169" r:id="rId3163" xr:uid="{00000000-0004-0000-0000-00005A0C0000}"/>
    <hyperlink ref="W3170" r:id="rId3164" xr:uid="{00000000-0004-0000-0000-00005B0C0000}"/>
    <hyperlink ref="W3171" r:id="rId3165" xr:uid="{00000000-0004-0000-0000-00005C0C0000}"/>
    <hyperlink ref="W3172" r:id="rId3166" xr:uid="{00000000-0004-0000-0000-00005D0C0000}"/>
    <hyperlink ref="W3173" r:id="rId3167" xr:uid="{00000000-0004-0000-0000-00005E0C0000}"/>
    <hyperlink ref="W3174" r:id="rId3168" xr:uid="{00000000-0004-0000-0000-00005F0C0000}"/>
    <hyperlink ref="W3175" r:id="rId3169" xr:uid="{00000000-0004-0000-0000-0000600C0000}"/>
    <hyperlink ref="W3176" r:id="rId3170" xr:uid="{00000000-0004-0000-0000-0000610C0000}"/>
    <hyperlink ref="W3177" r:id="rId3171" xr:uid="{00000000-0004-0000-0000-0000620C0000}"/>
    <hyperlink ref="W3178" r:id="rId3172" xr:uid="{00000000-0004-0000-0000-0000630C0000}"/>
    <hyperlink ref="W3179" r:id="rId3173" xr:uid="{00000000-0004-0000-0000-0000640C0000}"/>
    <hyperlink ref="W3180" r:id="rId3174" xr:uid="{00000000-0004-0000-0000-0000650C0000}"/>
    <hyperlink ref="W3181" r:id="rId3175" xr:uid="{00000000-0004-0000-0000-0000660C0000}"/>
    <hyperlink ref="W3182" r:id="rId3176" xr:uid="{00000000-0004-0000-0000-0000670C0000}"/>
    <hyperlink ref="W3183" r:id="rId3177" xr:uid="{00000000-0004-0000-0000-0000680C0000}"/>
    <hyperlink ref="W3184" r:id="rId3178" xr:uid="{00000000-0004-0000-0000-0000690C0000}"/>
    <hyperlink ref="W3185" r:id="rId3179" xr:uid="{00000000-0004-0000-0000-00006A0C0000}"/>
    <hyperlink ref="W3186" r:id="rId3180" xr:uid="{00000000-0004-0000-0000-00006B0C0000}"/>
    <hyperlink ref="W3187" r:id="rId3181" xr:uid="{00000000-0004-0000-0000-00006C0C0000}"/>
    <hyperlink ref="W3188" r:id="rId3182" xr:uid="{00000000-0004-0000-0000-00006D0C0000}"/>
    <hyperlink ref="W3189" r:id="rId3183" xr:uid="{00000000-0004-0000-0000-00006E0C0000}"/>
    <hyperlink ref="W3190" r:id="rId3184" xr:uid="{00000000-0004-0000-0000-00006F0C0000}"/>
    <hyperlink ref="W3191" r:id="rId3185" xr:uid="{00000000-0004-0000-0000-0000700C0000}"/>
    <hyperlink ref="W3192" r:id="rId3186" xr:uid="{00000000-0004-0000-0000-0000710C0000}"/>
    <hyperlink ref="W3193" r:id="rId3187" xr:uid="{00000000-0004-0000-0000-0000720C0000}"/>
    <hyperlink ref="W3194" r:id="rId3188" xr:uid="{00000000-0004-0000-0000-0000730C0000}"/>
    <hyperlink ref="W3195" r:id="rId3189" xr:uid="{00000000-0004-0000-0000-0000740C0000}"/>
    <hyperlink ref="W3196" r:id="rId3190" xr:uid="{00000000-0004-0000-0000-0000750C0000}"/>
    <hyperlink ref="W3197" r:id="rId3191" xr:uid="{00000000-0004-0000-0000-0000760C0000}"/>
    <hyperlink ref="W3198" r:id="rId3192" xr:uid="{00000000-0004-0000-0000-0000770C0000}"/>
    <hyperlink ref="W3199" r:id="rId3193" xr:uid="{00000000-0004-0000-0000-0000780C0000}"/>
    <hyperlink ref="W3200" r:id="rId3194" xr:uid="{00000000-0004-0000-0000-0000790C0000}"/>
    <hyperlink ref="W3201" r:id="rId3195" xr:uid="{00000000-0004-0000-0000-00007A0C0000}"/>
    <hyperlink ref="W3202" r:id="rId3196" xr:uid="{00000000-0004-0000-0000-00007B0C0000}"/>
    <hyperlink ref="W3203" r:id="rId3197" xr:uid="{00000000-0004-0000-0000-00007C0C0000}"/>
    <hyperlink ref="W3204" r:id="rId3198" xr:uid="{00000000-0004-0000-0000-00007D0C0000}"/>
    <hyperlink ref="W3205" r:id="rId3199" xr:uid="{00000000-0004-0000-0000-00007E0C0000}"/>
    <hyperlink ref="W3206" r:id="rId3200" xr:uid="{00000000-0004-0000-0000-00007F0C0000}"/>
    <hyperlink ref="W3207" r:id="rId3201" xr:uid="{00000000-0004-0000-0000-0000800C0000}"/>
    <hyperlink ref="W3208" r:id="rId3202" xr:uid="{00000000-0004-0000-0000-0000810C0000}"/>
    <hyperlink ref="W3209" r:id="rId3203" xr:uid="{00000000-0004-0000-0000-0000820C0000}"/>
    <hyperlink ref="W3210" r:id="rId3204" xr:uid="{00000000-0004-0000-0000-0000830C0000}"/>
    <hyperlink ref="W3211" r:id="rId3205" xr:uid="{00000000-0004-0000-0000-0000840C0000}"/>
    <hyperlink ref="W3212" r:id="rId3206" xr:uid="{00000000-0004-0000-0000-0000850C0000}"/>
    <hyperlink ref="W3213" r:id="rId3207" xr:uid="{00000000-0004-0000-0000-0000860C0000}"/>
    <hyperlink ref="W3214" r:id="rId3208" xr:uid="{00000000-0004-0000-0000-0000870C0000}"/>
    <hyperlink ref="W3215" r:id="rId3209" xr:uid="{00000000-0004-0000-0000-0000880C0000}"/>
    <hyperlink ref="W3216" r:id="rId3210" xr:uid="{00000000-0004-0000-0000-0000890C0000}"/>
    <hyperlink ref="W3217" r:id="rId3211" xr:uid="{00000000-0004-0000-0000-00008A0C0000}"/>
    <hyperlink ref="W3218" r:id="rId3212" xr:uid="{00000000-0004-0000-0000-00008B0C0000}"/>
    <hyperlink ref="W3219" r:id="rId3213" xr:uid="{00000000-0004-0000-0000-00008C0C0000}"/>
    <hyperlink ref="W3220" r:id="rId3214" xr:uid="{00000000-0004-0000-0000-00008D0C0000}"/>
    <hyperlink ref="W3221" r:id="rId3215" xr:uid="{00000000-0004-0000-0000-00008E0C0000}"/>
    <hyperlink ref="W3222" r:id="rId3216" xr:uid="{00000000-0004-0000-0000-00008F0C0000}"/>
    <hyperlink ref="W3223" r:id="rId3217" xr:uid="{00000000-0004-0000-0000-0000900C0000}"/>
    <hyperlink ref="W3224" r:id="rId3218" xr:uid="{00000000-0004-0000-0000-0000910C0000}"/>
    <hyperlink ref="W3225" r:id="rId3219" xr:uid="{00000000-0004-0000-0000-0000920C0000}"/>
    <hyperlink ref="W3226" r:id="rId3220" xr:uid="{00000000-0004-0000-0000-0000930C0000}"/>
    <hyperlink ref="W3227" r:id="rId3221" xr:uid="{00000000-0004-0000-0000-0000940C0000}"/>
    <hyperlink ref="W3228" r:id="rId3222" xr:uid="{00000000-0004-0000-0000-0000950C0000}"/>
    <hyperlink ref="W3229" r:id="rId3223" xr:uid="{00000000-0004-0000-0000-0000960C0000}"/>
    <hyperlink ref="W3230" r:id="rId3224" xr:uid="{00000000-0004-0000-0000-0000970C0000}"/>
    <hyperlink ref="W3231" r:id="rId3225" xr:uid="{00000000-0004-0000-0000-0000980C0000}"/>
    <hyperlink ref="W3232" r:id="rId3226" xr:uid="{00000000-0004-0000-0000-0000990C0000}"/>
    <hyperlink ref="W3233" r:id="rId3227" xr:uid="{00000000-0004-0000-0000-00009A0C0000}"/>
    <hyperlink ref="W3234" r:id="rId3228" xr:uid="{00000000-0004-0000-0000-00009B0C0000}"/>
    <hyperlink ref="W3235" r:id="rId3229" xr:uid="{00000000-0004-0000-0000-00009C0C0000}"/>
    <hyperlink ref="W3236" r:id="rId3230" xr:uid="{00000000-0004-0000-0000-00009D0C0000}"/>
    <hyperlink ref="W3237" r:id="rId3231" xr:uid="{00000000-0004-0000-0000-00009E0C0000}"/>
    <hyperlink ref="W3238" r:id="rId3232" xr:uid="{00000000-0004-0000-0000-00009F0C0000}"/>
    <hyperlink ref="W3239" r:id="rId3233" xr:uid="{00000000-0004-0000-0000-0000A00C0000}"/>
    <hyperlink ref="W3240" r:id="rId3234" xr:uid="{00000000-0004-0000-0000-0000A10C0000}"/>
    <hyperlink ref="W3241" r:id="rId3235" xr:uid="{00000000-0004-0000-0000-0000A20C0000}"/>
    <hyperlink ref="W3242" r:id="rId3236" xr:uid="{00000000-0004-0000-0000-0000A30C0000}"/>
    <hyperlink ref="W3243" r:id="rId3237" xr:uid="{00000000-0004-0000-0000-0000A40C0000}"/>
    <hyperlink ref="W3244" r:id="rId3238" xr:uid="{00000000-0004-0000-0000-0000A50C0000}"/>
    <hyperlink ref="W3245" r:id="rId3239" xr:uid="{00000000-0004-0000-0000-0000A60C0000}"/>
    <hyperlink ref="W3246" r:id="rId3240" xr:uid="{00000000-0004-0000-0000-0000A70C0000}"/>
    <hyperlink ref="W3247" r:id="rId3241" xr:uid="{00000000-0004-0000-0000-0000A80C0000}"/>
    <hyperlink ref="W3248" r:id="rId3242" xr:uid="{00000000-0004-0000-0000-0000A90C0000}"/>
    <hyperlink ref="W3249" r:id="rId3243" xr:uid="{00000000-0004-0000-0000-0000AA0C0000}"/>
    <hyperlink ref="W3250" r:id="rId3244" xr:uid="{00000000-0004-0000-0000-0000AB0C0000}"/>
    <hyperlink ref="W3251" r:id="rId3245" xr:uid="{00000000-0004-0000-0000-0000AC0C0000}"/>
    <hyperlink ref="W3252" r:id="rId3246" xr:uid="{00000000-0004-0000-0000-0000AD0C0000}"/>
    <hyperlink ref="W3253" r:id="rId3247" xr:uid="{00000000-0004-0000-0000-0000AE0C0000}"/>
    <hyperlink ref="W3254" r:id="rId3248" xr:uid="{00000000-0004-0000-0000-0000AF0C0000}"/>
    <hyperlink ref="W3255" r:id="rId3249" xr:uid="{00000000-0004-0000-0000-0000B00C0000}"/>
    <hyperlink ref="W3256" r:id="rId3250" xr:uid="{00000000-0004-0000-0000-0000B10C0000}"/>
    <hyperlink ref="W3257" r:id="rId3251" xr:uid="{00000000-0004-0000-0000-0000B20C0000}"/>
    <hyperlink ref="W3258" r:id="rId3252" xr:uid="{00000000-0004-0000-0000-0000B30C0000}"/>
    <hyperlink ref="W3259" r:id="rId3253" xr:uid="{00000000-0004-0000-0000-0000B40C0000}"/>
    <hyperlink ref="W3260" r:id="rId3254" xr:uid="{00000000-0004-0000-0000-0000B50C0000}"/>
    <hyperlink ref="W3261" r:id="rId3255" xr:uid="{00000000-0004-0000-0000-0000B60C0000}"/>
    <hyperlink ref="W3262" r:id="rId3256" xr:uid="{00000000-0004-0000-0000-0000B70C0000}"/>
    <hyperlink ref="W3263" r:id="rId3257" xr:uid="{00000000-0004-0000-0000-0000B80C0000}"/>
    <hyperlink ref="W3264" r:id="rId3258" xr:uid="{00000000-0004-0000-0000-0000B90C0000}"/>
    <hyperlink ref="W3265" r:id="rId3259" xr:uid="{00000000-0004-0000-0000-0000BA0C0000}"/>
    <hyperlink ref="W3266" r:id="rId3260" xr:uid="{00000000-0004-0000-0000-0000BB0C0000}"/>
    <hyperlink ref="W3267" r:id="rId3261" xr:uid="{00000000-0004-0000-0000-0000BC0C0000}"/>
    <hyperlink ref="W3268" r:id="rId3262" xr:uid="{00000000-0004-0000-0000-0000BD0C0000}"/>
    <hyperlink ref="W3269" r:id="rId3263" xr:uid="{00000000-0004-0000-0000-0000BE0C0000}"/>
    <hyperlink ref="W3270" r:id="rId3264" xr:uid="{00000000-0004-0000-0000-0000BF0C0000}"/>
    <hyperlink ref="W3271" r:id="rId3265" xr:uid="{00000000-0004-0000-0000-0000C00C0000}"/>
    <hyperlink ref="W3272" r:id="rId3266" xr:uid="{00000000-0004-0000-0000-0000C10C0000}"/>
    <hyperlink ref="W3273" r:id="rId3267" xr:uid="{00000000-0004-0000-0000-0000C20C0000}"/>
    <hyperlink ref="W3274" r:id="rId3268" xr:uid="{00000000-0004-0000-0000-0000C30C0000}"/>
    <hyperlink ref="W3275" r:id="rId3269" xr:uid="{00000000-0004-0000-0000-0000C40C0000}"/>
    <hyperlink ref="W3276" r:id="rId3270" xr:uid="{00000000-0004-0000-0000-0000C50C0000}"/>
    <hyperlink ref="W3277" r:id="rId3271" xr:uid="{00000000-0004-0000-0000-0000C60C0000}"/>
    <hyperlink ref="W3278" r:id="rId3272" xr:uid="{00000000-0004-0000-0000-0000C70C0000}"/>
    <hyperlink ref="W3279" r:id="rId3273" xr:uid="{00000000-0004-0000-0000-0000C80C0000}"/>
    <hyperlink ref="W3280" r:id="rId3274" xr:uid="{00000000-0004-0000-0000-0000C90C0000}"/>
    <hyperlink ref="W3281" r:id="rId3275" xr:uid="{00000000-0004-0000-0000-0000CA0C0000}"/>
    <hyperlink ref="W3282" r:id="rId3276" xr:uid="{00000000-0004-0000-0000-0000CB0C0000}"/>
    <hyperlink ref="W3283" r:id="rId3277" xr:uid="{00000000-0004-0000-0000-0000CC0C0000}"/>
    <hyperlink ref="W3284" r:id="rId3278" xr:uid="{00000000-0004-0000-0000-0000CD0C0000}"/>
    <hyperlink ref="W3285" r:id="rId3279" xr:uid="{00000000-0004-0000-0000-0000CE0C0000}"/>
    <hyperlink ref="W3286" r:id="rId3280" xr:uid="{00000000-0004-0000-0000-0000CF0C0000}"/>
    <hyperlink ref="W3287" r:id="rId3281" xr:uid="{00000000-0004-0000-0000-0000D00C0000}"/>
    <hyperlink ref="W3288" r:id="rId3282" xr:uid="{00000000-0004-0000-0000-0000D10C0000}"/>
    <hyperlink ref="W3289" r:id="rId3283" xr:uid="{00000000-0004-0000-0000-0000D20C0000}"/>
    <hyperlink ref="W3290" r:id="rId3284" xr:uid="{00000000-0004-0000-0000-0000D30C0000}"/>
    <hyperlink ref="W3291" r:id="rId3285" xr:uid="{00000000-0004-0000-0000-0000D40C0000}"/>
    <hyperlink ref="W3292" r:id="rId3286" xr:uid="{00000000-0004-0000-0000-0000D50C0000}"/>
    <hyperlink ref="W3293" r:id="rId3287" xr:uid="{00000000-0004-0000-0000-0000D60C0000}"/>
    <hyperlink ref="W3294" r:id="rId3288" xr:uid="{00000000-0004-0000-0000-0000D70C0000}"/>
    <hyperlink ref="W3295" r:id="rId3289" xr:uid="{00000000-0004-0000-0000-0000D80C0000}"/>
    <hyperlink ref="W3296" r:id="rId3290" xr:uid="{00000000-0004-0000-0000-0000D90C0000}"/>
    <hyperlink ref="W3297" r:id="rId3291" xr:uid="{00000000-0004-0000-0000-0000DA0C0000}"/>
    <hyperlink ref="W3298" r:id="rId3292" xr:uid="{00000000-0004-0000-0000-0000DB0C0000}"/>
    <hyperlink ref="W3299" r:id="rId3293" xr:uid="{00000000-0004-0000-0000-0000DC0C0000}"/>
    <hyperlink ref="W3300" r:id="rId3294" xr:uid="{00000000-0004-0000-0000-0000DD0C0000}"/>
    <hyperlink ref="W3301" r:id="rId3295" xr:uid="{00000000-0004-0000-0000-0000DE0C0000}"/>
    <hyperlink ref="W3302" r:id="rId3296" xr:uid="{00000000-0004-0000-0000-0000DF0C0000}"/>
    <hyperlink ref="W3303" r:id="rId3297" xr:uid="{00000000-0004-0000-0000-0000E00C0000}"/>
    <hyperlink ref="W3304" r:id="rId3298" xr:uid="{00000000-0004-0000-0000-0000E10C0000}"/>
    <hyperlink ref="W3305" r:id="rId3299" xr:uid="{00000000-0004-0000-0000-0000E20C0000}"/>
    <hyperlink ref="W3306" r:id="rId3300" xr:uid="{00000000-0004-0000-0000-0000E30C0000}"/>
    <hyperlink ref="W3307" r:id="rId3301" xr:uid="{00000000-0004-0000-0000-0000E40C0000}"/>
    <hyperlink ref="W3308" r:id="rId3302" xr:uid="{00000000-0004-0000-0000-0000E50C0000}"/>
    <hyperlink ref="W3309" r:id="rId3303" xr:uid="{00000000-0004-0000-0000-0000E60C0000}"/>
    <hyperlink ref="W3310" r:id="rId3304" xr:uid="{00000000-0004-0000-0000-0000E70C0000}"/>
    <hyperlink ref="W3311" r:id="rId3305" xr:uid="{00000000-0004-0000-0000-0000E80C0000}"/>
    <hyperlink ref="W3312" r:id="rId3306" xr:uid="{00000000-0004-0000-0000-0000E90C0000}"/>
    <hyperlink ref="W3313" r:id="rId3307" xr:uid="{00000000-0004-0000-0000-0000EA0C0000}"/>
    <hyperlink ref="W3314" r:id="rId3308" xr:uid="{00000000-0004-0000-0000-0000EB0C0000}"/>
    <hyperlink ref="W3315" r:id="rId3309" xr:uid="{00000000-0004-0000-0000-0000EC0C0000}"/>
    <hyperlink ref="W3316" r:id="rId3310" xr:uid="{00000000-0004-0000-0000-0000ED0C0000}"/>
    <hyperlink ref="W3317" r:id="rId3311" xr:uid="{00000000-0004-0000-0000-0000EE0C0000}"/>
    <hyperlink ref="W3318" r:id="rId3312" xr:uid="{00000000-0004-0000-0000-0000EF0C0000}"/>
    <hyperlink ref="W3319" r:id="rId3313" xr:uid="{00000000-0004-0000-0000-0000F00C0000}"/>
    <hyperlink ref="W3320" r:id="rId3314" xr:uid="{00000000-0004-0000-0000-0000F10C0000}"/>
    <hyperlink ref="W3321" r:id="rId3315" xr:uid="{00000000-0004-0000-0000-0000F20C0000}"/>
    <hyperlink ref="W3322" r:id="rId3316" xr:uid="{00000000-0004-0000-0000-0000F30C0000}"/>
    <hyperlink ref="W3323" r:id="rId3317" xr:uid="{00000000-0004-0000-0000-0000F40C0000}"/>
    <hyperlink ref="W3324" r:id="rId3318" xr:uid="{00000000-0004-0000-0000-0000F50C0000}"/>
    <hyperlink ref="W3325" r:id="rId3319" xr:uid="{00000000-0004-0000-0000-0000F60C0000}"/>
    <hyperlink ref="W3326" r:id="rId3320" xr:uid="{00000000-0004-0000-0000-0000F70C0000}"/>
    <hyperlink ref="W3327" r:id="rId3321" xr:uid="{00000000-0004-0000-0000-0000F80C0000}"/>
    <hyperlink ref="W3328" r:id="rId3322" xr:uid="{00000000-0004-0000-0000-0000F90C0000}"/>
    <hyperlink ref="W3329" r:id="rId3323" xr:uid="{00000000-0004-0000-0000-0000FA0C0000}"/>
    <hyperlink ref="W3330" r:id="rId3324" xr:uid="{00000000-0004-0000-0000-0000FB0C0000}"/>
    <hyperlink ref="W3331" r:id="rId3325" xr:uid="{00000000-0004-0000-0000-0000FC0C0000}"/>
    <hyperlink ref="W3332" r:id="rId3326" xr:uid="{00000000-0004-0000-0000-0000FD0C0000}"/>
    <hyperlink ref="W3333" r:id="rId3327" xr:uid="{00000000-0004-0000-0000-0000FE0C0000}"/>
    <hyperlink ref="W3334" r:id="rId3328" xr:uid="{00000000-0004-0000-0000-0000FF0C0000}"/>
    <hyperlink ref="W3335" r:id="rId3329" xr:uid="{00000000-0004-0000-0000-0000000D0000}"/>
    <hyperlink ref="W3336" r:id="rId3330" xr:uid="{00000000-0004-0000-0000-0000010D0000}"/>
    <hyperlink ref="W3337" r:id="rId3331" xr:uid="{00000000-0004-0000-0000-0000020D0000}"/>
    <hyperlink ref="W3338" r:id="rId3332" xr:uid="{00000000-0004-0000-0000-0000030D0000}"/>
    <hyperlink ref="W3339" r:id="rId3333" xr:uid="{00000000-0004-0000-0000-0000040D0000}"/>
    <hyperlink ref="W3340" r:id="rId3334" xr:uid="{00000000-0004-0000-0000-0000050D0000}"/>
    <hyperlink ref="W3341" r:id="rId3335" xr:uid="{00000000-0004-0000-0000-0000060D0000}"/>
    <hyperlink ref="W3342" r:id="rId3336" xr:uid="{00000000-0004-0000-0000-0000070D0000}"/>
    <hyperlink ref="W3343" r:id="rId3337" xr:uid="{00000000-0004-0000-0000-0000080D0000}"/>
    <hyperlink ref="W3344" r:id="rId3338" xr:uid="{00000000-0004-0000-0000-0000090D0000}"/>
    <hyperlink ref="W3345" r:id="rId3339" xr:uid="{00000000-0004-0000-0000-00000A0D0000}"/>
    <hyperlink ref="W3346" r:id="rId3340" xr:uid="{00000000-0004-0000-0000-00000B0D0000}"/>
    <hyperlink ref="W3347" r:id="rId3341" xr:uid="{00000000-0004-0000-0000-00000C0D0000}"/>
    <hyperlink ref="W3348" r:id="rId3342" xr:uid="{00000000-0004-0000-0000-00000D0D0000}"/>
    <hyperlink ref="W3349" r:id="rId3343" xr:uid="{00000000-0004-0000-0000-00000E0D0000}"/>
    <hyperlink ref="W3350" r:id="rId3344" xr:uid="{00000000-0004-0000-0000-00000F0D0000}"/>
    <hyperlink ref="W3351" r:id="rId3345" xr:uid="{00000000-0004-0000-0000-0000100D0000}"/>
    <hyperlink ref="W3352" r:id="rId3346" xr:uid="{00000000-0004-0000-0000-0000110D0000}"/>
    <hyperlink ref="W3353" r:id="rId3347" xr:uid="{00000000-0004-0000-0000-0000120D0000}"/>
    <hyperlink ref="W3354" r:id="rId3348" xr:uid="{00000000-0004-0000-0000-0000130D0000}"/>
    <hyperlink ref="W3355" r:id="rId3349" xr:uid="{00000000-0004-0000-0000-0000140D0000}"/>
    <hyperlink ref="W3356" r:id="rId3350" xr:uid="{00000000-0004-0000-0000-0000150D0000}"/>
    <hyperlink ref="W3357" r:id="rId3351" xr:uid="{00000000-0004-0000-0000-0000160D0000}"/>
    <hyperlink ref="W3358" r:id="rId3352" xr:uid="{00000000-0004-0000-0000-0000170D0000}"/>
    <hyperlink ref="W3359" r:id="rId3353" xr:uid="{00000000-0004-0000-0000-0000180D0000}"/>
    <hyperlink ref="W3360" r:id="rId3354" xr:uid="{00000000-0004-0000-0000-0000190D0000}"/>
    <hyperlink ref="W3361" r:id="rId3355" xr:uid="{00000000-0004-0000-0000-00001A0D0000}"/>
    <hyperlink ref="W3362" r:id="rId3356" xr:uid="{00000000-0004-0000-0000-00001B0D0000}"/>
    <hyperlink ref="W3363" r:id="rId3357" xr:uid="{00000000-0004-0000-0000-00001C0D0000}"/>
    <hyperlink ref="W3364" r:id="rId3358" xr:uid="{00000000-0004-0000-0000-00001D0D0000}"/>
    <hyperlink ref="W3365" r:id="rId3359" xr:uid="{00000000-0004-0000-0000-00001E0D0000}"/>
    <hyperlink ref="W3366" r:id="rId3360" xr:uid="{00000000-0004-0000-0000-00001F0D0000}"/>
    <hyperlink ref="W3367" r:id="rId3361" xr:uid="{00000000-0004-0000-0000-0000200D0000}"/>
    <hyperlink ref="W3368" r:id="rId3362" xr:uid="{00000000-0004-0000-0000-0000210D0000}"/>
    <hyperlink ref="W3369" r:id="rId3363" xr:uid="{00000000-0004-0000-0000-0000220D0000}"/>
    <hyperlink ref="W3370" r:id="rId3364" xr:uid="{00000000-0004-0000-0000-0000230D0000}"/>
    <hyperlink ref="W3371" r:id="rId3365" xr:uid="{00000000-0004-0000-0000-0000240D0000}"/>
    <hyperlink ref="W3372" r:id="rId3366" xr:uid="{00000000-0004-0000-0000-0000250D0000}"/>
    <hyperlink ref="W3373" r:id="rId3367" xr:uid="{00000000-0004-0000-0000-0000260D0000}"/>
    <hyperlink ref="W3374" r:id="rId3368" xr:uid="{00000000-0004-0000-0000-0000270D0000}"/>
    <hyperlink ref="W3375" r:id="rId3369" xr:uid="{00000000-0004-0000-0000-0000280D0000}"/>
    <hyperlink ref="W3376" r:id="rId3370" xr:uid="{00000000-0004-0000-0000-0000290D0000}"/>
    <hyperlink ref="W3377" r:id="rId3371" xr:uid="{00000000-0004-0000-0000-00002A0D0000}"/>
    <hyperlink ref="W3378" r:id="rId3372" xr:uid="{00000000-0004-0000-0000-00002B0D0000}"/>
    <hyperlink ref="W3379" r:id="rId3373" xr:uid="{00000000-0004-0000-0000-00002C0D0000}"/>
    <hyperlink ref="W3380" r:id="rId3374" xr:uid="{00000000-0004-0000-0000-00002D0D0000}"/>
    <hyperlink ref="W3381" r:id="rId3375" xr:uid="{00000000-0004-0000-0000-00002E0D0000}"/>
    <hyperlink ref="W3382" r:id="rId3376" xr:uid="{00000000-0004-0000-0000-00002F0D0000}"/>
    <hyperlink ref="W3383" r:id="rId3377" xr:uid="{00000000-0004-0000-0000-0000300D0000}"/>
    <hyperlink ref="W3384" r:id="rId3378" xr:uid="{00000000-0004-0000-0000-0000310D0000}"/>
    <hyperlink ref="W3385" r:id="rId3379" xr:uid="{00000000-0004-0000-0000-0000320D0000}"/>
    <hyperlink ref="W3386" r:id="rId3380" xr:uid="{00000000-0004-0000-0000-0000330D0000}"/>
    <hyperlink ref="W3387" r:id="rId3381" xr:uid="{00000000-0004-0000-0000-0000340D0000}"/>
    <hyperlink ref="W3388" r:id="rId3382" xr:uid="{00000000-0004-0000-0000-0000350D0000}"/>
    <hyperlink ref="W3389" r:id="rId3383" xr:uid="{00000000-0004-0000-0000-0000360D0000}"/>
    <hyperlink ref="W3390" r:id="rId3384" xr:uid="{00000000-0004-0000-0000-0000370D0000}"/>
    <hyperlink ref="W3391" r:id="rId3385" xr:uid="{00000000-0004-0000-0000-0000380D0000}"/>
    <hyperlink ref="W3392" r:id="rId3386" xr:uid="{00000000-0004-0000-0000-0000390D0000}"/>
    <hyperlink ref="W3393" r:id="rId3387" xr:uid="{00000000-0004-0000-0000-00003A0D0000}"/>
    <hyperlink ref="W3394" r:id="rId3388" xr:uid="{00000000-0004-0000-0000-00003B0D0000}"/>
    <hyperlink ref="W3395" r:id="rId3389" xr:uid="{00000000-0004-0000-0000-00003C0D0000}"/>
    <hyperlink ref="W3396" r:id="rId3390" xr:uid="{00000000-0004-0000-0000-00003D0D0000}"/>
    <hyperlink ref="W3397" r:id="rId3391" xr:uid="{00000000-0004-0000-0000-00003E0D0000}"/>
    <hyperlink ref="W3398" r:id="rId3392" xr:uid="{00000000-0004-0000-0000-00003F0D0000}"/>
    <hyperlink ref="W3399" r:id="rId3393" xr:uid="{00000000-0004-0000-0000-0000400D0000}"/>
    <hyperlink ref="W3400" r:id="rId3394" xr:uid="{00000000-0004-0000-0000-0000410D0000}"/>
    <hyperlink ref="W3401" r:id="rId3395" xr:uid="{00000000-0004-0000-0000-0000420D0000}"/>
    <hyperlink ref="W3402" r:id="rId3396" xr:uid="{00000000-0004-0000-0000-0000430D0000}"/>
    <hyperlink ref="W3403" r:id="rId3397" xr:uid="{00000000-0004-0000-0000-0000440D0000}"/>
    <hyperlink ref="W3404" r:id="rId3398" xr:uid="{00000000-0004-0000-0000-0000450D0000}"/>
    <hyperlink ref="W3405" r:id="rId3399" xr:uid="{00000000-0004-0000-0000-0000460D0000}"/>
    <hyperlink ref="W3406" r:id="rId3400" xr:uid="{00000000-0004-0000-0000-0000470D0000}"/>
    <hyperlink ref="W3407" r:id="rId3401" xr:uid="{00000000-0004-0000-0000-0000480D0000}"/>
    <hyperlink ref="W3408" r:id="rId3402" xr:uid="{00000000-0004-0000-0000-0000490D0000}"/>
    <hyperlink ref="W3409" r:id="rId3403" xr:uid="{00000000-0004-0000-0000-00004A0D0000}"/>
    <hyperlink ref="W3410" r:id="rId3404" xr:uid="{00000000-0004-0000-0000-00004B0D0000}"/>
    <hyperlink ref="W3411" r:id="rId3405" xr:uid="{00000000-0004-0000-0000-00004C0D0000}"/>
    <hyperlink ref="W3412" r:id="rId3406" xr:uid="{00000000-0004-0000-0000-00004D0D0000}"/>
    <hyperlink ref="W3413" r:id="rId3407" xr:uid="{00000000-0004-0000-0000-00004E0D0000}"/>
    <hyperlink ref="W3414" r:id="rId3408" xr:uid="{00000000-0004-0000-0000-00004F0D0000}"/>
    <hyperlink ref="W3415" r:id="rId3409" xr:uid="{00000000-0004-0000-0000-0000500D0000}"/>
    <hyperlink ref="W3416" r:id="rId3410" xr:uid="{00000000-0004-0000-0000-0000510D0000}"/>
    <hyperlink ref="W3417" r:id="rId3411" xr:uid="{00000000-0004-0000-0000-0000520D0000}"/>
    <hyperlink ref="W3418" r:id="rId3412" xr:uid="{00000000-0004-0000-0000-0000530D0000}"/>
    <hyperlink ref="W3419" r:id="rId3413" xr:uid="{00000000-0004-0000-0000-0000540D0000}"/>
    <hyperlink ref="W3420" r:id="rId3414" xr:uid="{00000000-0004-0000-0000-0000550D0000}"/>
    <hyperlink ref="W3421" r:id="rId3415" xr:uid="{00000000-0004-0000-0000-0000560D0000}"/>
    <hyperlink ref="W3422" r:id="rId3416" xr:uid="{00000000-0004-0000-0000-0000570D0000}"/>
    <hyperlink ref="W3423" r:id="rId3417" xr:uid="{00000000-0004-0000-0000-0000580D0000}"/>
    <hyperlink ref="W3424" r:id="rId3418" xr:uid="{00000000-0004-0000-0000-0000590D0000}"/>
    <hyperlink ref="W3425" r:id="rId3419" xr:uid="{00000000-0004-0000-0000-00005A0D0000}"/>
    <hyperlink ref="W3426" r:id="rId3420" xr:uid="{00000000-0004-0000-0000-00005B0D0000}"/>
    <hyperlink ref="W3427" r:id="rId3421" xr:uid="{00000000-0004-0000-0000-00005C0D0000}"/>
    <hyperlink ref="W3428" r:id="rId3422" xr:uid="{00000000-0004-0000-0000-00005D0D0000}"/>
    <hyperlink ref="W3429" r:id="rId3423" xr:uid="{00000000-0004-0000-0000-00005E0D0000}"/>
    <hyperlink ref="W3430" r:id="rId3424" xr:uid="{00000000-0004-0000-0000-00005F0D0000}"/>
    <hyperlink ref="W3431" r:id="rId3425" xr:uid="{00000000-0004-0000-0000-0000600D0000}"/>
    <hyperlink ref="W3432" r:id="rId3426" xr:uid="{00000000-0004-0000-0000-0000610D0000}"/>
    <hyperlink ref="W3433" r:id="rId3427" xr:uid="{00000000-0004-0000-0000-0000620D0000}"/>
    <hyperlink ref="W3434" r:id="rId3428" xr:uid="{00000000-0004-0000-0000-0000630D0000}"/>
    <hyperlink ref="W3435" r:id="rId3429" xr:uid="{00000000-0004-0000-0000-0000640D0000}"/>
    <hyperlink ref="W3436" r:id="rId3430" xr:uid="{00000000-0004-0000-0000-0000650D0000}"/>
    <hyperlink ref="W3437" r:id="rId3431" xr:uid="{00000000-0004-0000-0000-0000660D0000}"/>
    <hyperlink ref="W3438" r:id="rId3432" xr:uid="{00000000-0004-0000-0000-0000670D0000}"/>
    <hyperlink ref="W3439" r:id="rId3433" xr:uid="{00000000-0004-0000-0000-0000680D0000}"/>
    <hyperlink ref="W3440" r:id="rId3434" xr:uid="{00000000-0004-0000-0000-0000690D0000}"/>
    <hyperlink ref="W3441" r:id="rId3435" xr:uid="{00000000-0004-0000-0000-00006A0D0000}"/>
    <hyperlink ref="W3442" r:id="rId3436" xr:uid="{00000000-0004-0000-0000-00006B0D0000}"/>
    <hyperlink ref="W3443" r:id="rId3437" xr:uid="{00000000-0004-0000-0000-00006C0D0000}"/>
    <hyperlink ref="W3444" r:id="rId3438" xr:uid="{00000000-0004-0000-0000-00006D0D0000}"/>
    <hyperlink ref="W3445" r:id="rId3439" xr:uid="{00000000-0004-0000-0000-00006E0D0000}"/>
    <hyperlink ref="W3446" r:id="rId3440" xr:uid="{00000000-0004-0000-0000-00006F0D0000}"/>
    <hyperlink ref="W3447" r:id="rId3441" xr:uid="{00000000-0004-0000-0000-0000700D0000}"/>
    <hyperlink ref="W3448" r:id="rId3442" xr:uid="{00000000-0004-0000-0000-0000710D0000}"/>
    <hyperlink ref="W3449" r:id="rId3443" xr:uid="{00000000-0004-0000-0000-0000720D0000}"/>
    <hyperlink ref="W3450" r:id="rId3444" xr:uid="{00000000-0004-0000-0000-0000730D0000}"/>
    <hyperlink ref="W3451" r:id="rId3445" xr:uid="{00000000-0004-0000-0000-0000740D0000}"/>
    <hyperlink ref="W3452" r:id="rId3446" xr:uid="{00000000-0004-0000-0000-0000750D0000}"/>
    <hyperlink ref="W3453" r:id="rId3447" xr:uid="{00000000-0004-0000-0000-0000760D0000}"/>
    <hyperlink ref="W3454" r:id="rId3448" xr:uid="{00000000-0004-0000-0000-0000770D0000}"/>
    <hyperlink ref="W3455" r:id="rId3449" xr:uid="{00000000-0004-0000-0000-0000780D0000}"/>
    <hyperlink ref="W3456" r:id="rId3450" xr:uid="{00000000-0004-0000-0000-0000790D0000}"/>
    <hyperlink ref="W3457" r:id="rId3451" xr:uid="{00000000-0004-0000-0000-00007A0D0000}"/>
    <hyperlink ref="W3458" r:id="rId3452" xr:uid="{00000000-0004-0000-0000-00007B0D0000}"/>
    <hyperlink ref="W3459" r:id="rId3453" xr:uid="{00000000-0004-0000-0000-00007C0D0000}"/>
    <hyperlink ref="W3460" r:id="rId3454" xr:uid="{00000000-0004-0000-0000-00007D0D0000}"/>
    <hyperlink ref="W3461" r:id="rId3455" xr:uid="{00000000-0004-0000-0000-00007E0D0000}"/>
    <hyperlink ref="W3462" r:id="rId3456" xr:uid="{00000000-0004-0000-0000-00007F0D0000}"/>
    <hyperlink ref="W3463" r:id="rId3457" xr:uid="{00000000-0004-0000-0000-0000800D0000}"/>
    <hyperlink ref="W3464" r:id="rId3458" xr:uid="{00000000-0004-0000-0000-0000810D0000}"/>
    <hyperlink ref="W3465" r:id="rId3459" xr:uid="{00000000-0004-0000-0000-0000820D0000}"/>
    <hyperlink ref="W3466" r:id="rId3460" xr:uid="{00000000-0004-0000-0000-0000830D0000}"/>
    <hyperlink ref="W3467" r:id="rId3461" xr:uid="{00000000-0004-0000-0000-0000840D0000}"/>
    <hyperlink ref="W3468" r:id="rId3462" xr:uid="{00000000-0004-0000-0000-0000850D0000}"/>
    <hyperlink ref="W3469" r:id="rId3463" xr:uid="{00000000-0004-0000-0000-0000860D0000}"/>
    <hyperlink ref="W3470" r:id="rId3464" xr:uid="{00000000-0004-0000-0000-0000870D0000}"/>
    <hyperlink ref="W3471" r:id="rId3465" xr:uid="{00000000-0004-0000-0000-0000880D0000}"/>
    <hyperlink ref="W3472" r:id="rId3466" xr:uid="{00000000-0004-0000-0000-0000890D0000}"/>
    <hyperlink ref="W3473" r:id="rId3467" xr:uid="{00000000-0004-0000-0000-00008A0D0000}"/>
    <hyperlink ref="W3474" r:id="rId3468" xr:uid="{00000000-0004-0000-0000-00008B0D0000}"/>
    <hyperlink ref="W3475" r:id="rId3469" xr:uid="{00000000-0004-0000-0000-00008C0D0000}"/>
    <hyperlink ref="W3476" r:id="rId3470" xr:uid="{00000000-0004-0000-0000-00008D0D0000}"/>
    <hyperlink ref="W3477" r:id="rId3471" xr:uid="{00000000-0004-0000-0000-00008E0D0000}"/>
    <hyperlink ref="W3478" r:id="rId3472" xr:uid="{00000000-0004-0000-0000-00008F0D0000}"/>
    <hyperlink ref="W3479" r:id="rId3473" xr:uid="{00000000-0004-0000-0000-0000900D0000}"/>
    <hyperlink ref="W3480" r:id="rId3474" xr:uid="{00000000-0004-0000-0000-0000910D0000}"/>
    <hyperlink ref="W3481" r:id="rId3475" xr:uid="{00000000-0004-0000-0000-0000920D0000}"/>
    <hyperlink ref="W3482" r:id="rId3476" xr:uid="{00000000-0004-0000-0000-0000930D0000}"/>
    <hyperlink ref="W3483" r:id="rId3477" xr:uid="{00000000-0004-0000-0000-0000940D0000}"/>
    <hyperlink ref="W3484" r:id="rId3478" xr:uid="{00000000-0004-0000-0000-0000950D0000}"/>
    <hyperlink ref="W3485" r:id="rId3479" xr:uid="{00000000-0004-0000-0000-0000960D0000}"/>
    <hyperlink ref="W3486" r:id="rId3480" xr:uid="{00000000-0004-0000-0000-0000970D0000}"/>
    <hyperlink ref="W3487" r:id="rId3481" xr:uid="{00000000-0004-0000-0000-0000980D0000}"/>
    <hyperlink ref="W3488" r:id="rId3482" xr:uid="{00000000-0004-0000-0000-0000990D0000}"/>
    <hyperlink ref="W3489" r:id="rId3483" xr:uid="{00000000-0004-0000-0000-00009A0D0000}"/>
    <hyperlink ref="W3490" r:id="rId3484" xr:uid="{00000000-0004-0000-0000-00009B0D0000}"/>
    <hyperlink ref="W3491" r:id="rId3485" xr:uid="{00000000-0004-0000-0000-00009C0D0000}"/>
    <hyperlink ref="W3492" r:id="rId3486" xr:uid="{00000000-0004-0000-0000-00009D0D0000}"/>
    <hyperlink ref="W3493" r:id="rId3487" xr:uid="{00000000-0004-0000-0000-00009E0D0000}"/>
    <hyperlink ref="W3494" r:id="rId3488" xr:uid="{00000000-0004-0000-0000-00009F0D0000}"/>
    <hyperlink ref="W3495" r:id="rId3489" xr:uid="{00000000-0004-0000-0000-0000A00D0000}"/>
    <hyperlink ref="W3496" r:id="rId3490" xr:uid="{00000000-0004-0000-0000-0000A10D0000}"/>
    <hyperlink ref="W3497" r:id="rId3491" xr:uid="{00000000-0004-0000-0000-0000A20D0000}"/>
    <hyperlink ref="W3498" r:id="rId3492" xr:uid="{00000000-0004-0000-0000-0000A30D0000}"/>
    <hyperlink ref="W3499" r:id="rId3493" xr:uid="{00000000-0004-0000-0000-0000A40D0000}"/>
    <hyperlink ref="W3500" r:id="rId3494" xr:uid="{00000000-0004-0000-0000-0000A50D0000}"/>
    <hyperlink ref="W3501" r:id="rId3495" xr:uid="{00000000-0004-0000-0000-0000A60D0000}"/>
    <hyperlink ref="W3502" r:id="rId3496" xr:uid="{00000000-0004-0000-0000-0000A70D0000}"/>
    <hyperlink ref="W3503" r:id="rId3497" xr:uid="{00000000-0004-0000-0000-0000A80D0000}"/>
    <hyperlink ref="W3504" r:id="rId3498" xr:uid="{00000000-0004-0000-0000-0000A90D0000}"/>
    <hyperlink ref="W3505" r:id="rId3499" xr:uid="{00000000-0004-0000-0000-0000AA0D0000}"/>
    <hyperlink ref="W3506" r:id="rId3500" xr:uid="{00000000-0004-0000-0000-0000AB0D0000}"/>
    <hyperlink ref="W3507" r:id="rId3501" xr:uid="{00000000-0004-0000-0000-0000AC0D0000}"/>
    <hyperlink ref="W3508" r:id="rId3502" xr:uid="{00000000-0004-0000-0000-0000AD0D0000}"/>
    <hyperlink ref="W3509" r:id="rId3503" xr:uid="{00000000-0004-0000-0000-0000AE0D0000}"/>
    <hyperlink ref="W3510" r:id="rId3504" xr:uid="{00000000-0004-0000-0000-0000AF0D0000}"/>
    <hyperlink ref="W3511" r:id="rId3505" xr:uid="{00000000-0004-0000-0000-0000B00D0000}"/>
    <hyperlink ref="W3512" r:id="rId3506" xr:uid="{00000000-0004-0000-0000-0000B10D0000}"/>
    <hyperlink ref="W3513" r:id="rId3507" xr:uid="{00000000-0004-0000-0000-0000B20D0000}"/>
    <hyperlink ref="W3514" r:id="rId3508" xr:uid="{00000000-0004-0000-0000-0000B30D0000}"/>
    <hyperlink ref="W3515" r:id="rId3509" xr:uid="{00000000-0004-0000-0000-0000B40D0000}"/>
    <hyperlink ref="W3516" r:id="rId3510" xr:uid="{00000000-0004-0000-0000-0000B50D0000}"/>
    <hyperlink ref="W3517" r:id="rId3511" xr:uid="{00000000-0004-0000-0000-0000B60D0000}"/>
    <hyperlink ref="W3518" r:id="rId3512" xr:uid="{00000000-0004-0000-0000-0000B70D0000}"/>
    <hyperlink ref="W3519" r:id="rId3513" xr:uid="{00000000-0004-0000-0000-0000B80D0000}"/>
    <hyperlink ref="W3520" r:id="rId3514" xr:uid="{00000000-0004-0000-0000-0000B90D0000}"/>
    <hyperlink ref="W3521" r:id="rId3515" xr:uid="{00000000-0004-0000-0000-0000BA0D0000}"/>
    <hyperlink ref="W3522" r:id="rId3516" xr:uid="{00000000-0004-0000-0000-0000BB0D0000}"/>
    <hyperlink ref="W3523" r:id="rId3517" xr:uid="{00000000-0004-0000-0000-0000BC0D0000}"/>
    <hyperlink ref="W3524" r:id="rId3518" xr:uid="{00000000-0004-0000-0000-0000BD0D0000}"/>
    <hyperlink ref="W3525" r:id="rId3519" xr:uid="{00000000-0004-0000-0000-0000BE0D0000}"/>
    <hyperlink ref="W3526" r:id="rId3520" xr:uid="{00000000-0004-0000-0000-0000BF0D0000}"/>
    <hyperlink ref="W3527" r:id="rId3521" xr:uid="{00000000-0004-0000-0000-0000C00D0000}"/>
    <hyperlink ref="W3528" r:id="rId3522" xr:uid="{00000000-0004-0000-0000-0000C10D0000}"/>
    <hyperlink ref="W3529" r:id="rId3523" xr:uid="{00000000-0004-0000-0000-0000C20D0000}"/>
    <hyperlink ref="W3530" r:id="rId3524" xr:uid="{00000000-0004-0000-0000-0000C30D0000}"/>
    <hyperlink ref="W3531" r:id="rId3525" xr:uid="{00000000-0004-0000-0000-0000C40D0000}"/>
    <hyperlink ref="W3532" r:id="rId3526" xr:uid="{00000000-0004-0000-0000-0000C50D0000}"/>
    <hyperlink ref="W3533" r:id="rId3527" xr:uid="{00000000-0004-0000-0000-0000C60D0000}"/>
    <hyperlink ref="W3534" r:id="rId3528" xr:uid="{00000000-0004-0000-0000-0000C70D0000}"/>
    <hyperlink ref="W3535" r:id="rId3529" xr:uid="{00000000-0004-0000-0000-0000C80D0000}"/>
    <hyperlink ref="W3536" r:id="rId3530" xr:uid="{00000000-0004-0000-0000-0000C90D0000}"/>
    <hyperlink ref="W3537" r:id="rId3531" xr:uid="{00000000-0004-0000-0000-0000CA0D0000}"/>
    <hyperlink ref="W3538" r:id="rId3532" xr:uid="{00000000-0004-0000-0000-0000CB0D0000}"/>
    <hyperlink ref="W3539" r:id="rId3533" xr:uid="{00000000-0004-0000-0000-0000CC0D0000}"/>
    <hyperlink ref="W3540" r:id="rId3534" xr:uid="{00000000-0004-0000-0000-0000CD0D0000}"/>
    <hyperlink ref="W3541" r:id="rId3535" xr:uid="{00000000-0004-0000-0000-0000CE0D0000}"/>
    <hyperlink ref="W3542" r:id="rId3536" xr:uid="{00000000-0004-0000-0000-0000CF0D0000}"/>
    <hyperlink ref="W3543" r:id="rId3537" xr:uid="{00000000-0004-0000-0000-0000D00D0000}"/>
    <hyperlink ref="W3544" r:id="rId3538" xr:uid="{00000000-0004-0000-0000-0000D10D0000}"/>
    <hyperlink ref="W3545" r:id="rId3539" xr:uid="{00000000-0004-0000-0000-0000D20D0000}"/>
    <hyperlink ref="W3546" r:id="rId3540" xr:uid="{00000000-0004-0000-0000-0000D30D0000}"/>
    <hyperlink ref="W3547" r:id="rId3541" xr:uid="{00000000-0004-0000-0000-0000D40D0000}"/>
    <hyperlink ref="W3548" r:id="rId3542" xr:uid="{00000000-0004-0000-0000-0000D50D0000}"/>
    <hyperlink ref="W3549" r:id="rId3543" xr:uid="{00000000-0004-0000-0000-0000D60D0000}"/>
    <hyperlink ref="W3550" r:id="rId3544" xr:uid="{00000000-0004-0000-0000-0000D70D0000}"/>
    <hyperlink ref="W3551" r:id="rId3545" xr:uid="{00000000-0004-0000-0000-0000D80D0000}"/>
    <hyperlink ref="W3552" r:id="rId3546" xr:uid="{00000000-0004-0000-0000-0000D90D0000}"/>
    <hyperlink ref="W3553" r:id="rId3547" xr:uid="{00000000-0004-0000-0000-0000DA0D0000}"/>
    <hyperlink ref="W3554" r:id="rId3548" xr:uid="{00000000-0004-0000-0000-0000DB0D0000}"/>
    <hyperlink ref="W3555" r:id="rId3549" xr:uid="{00000000-0004-0000-0000-0000DC0D0000}"/>
    <hyperlink ref="W3556" r:id="rId3550" xr:uid="{00000000-0004-0000-0000-0000DD0D0000}"/>
    <hyperlink ref="W3557" r:id="rId3551" xr:uid="{00000000-0004-0000-0000-0000DE0D0000}"/>
    <hyperlink ref="W3558" r:id="rId3552" xr:uid="{00000000-0004-0000-0000-0000DF0D0000}"/>
    <hyperlink ref="W3559" r:id="rId3553" xr:uid="{00000000-0004-0000-0000-0000E00D0000}"/>
    <hyperlink ref="W3560" r:id="rId3554" xr:uid="{00000000-0004-0000-0000-0000E10D0000}"/>
    <hyperlink ref="W3561" r:id="rId3555" xr:uid="{00000000-0004-0000-0000-0000E20D0000}"/>
    <hyperlink ref="W3562" r:id="rId3556" xr:uid="{00000000-0004-0000-0000-0000E30D0000}"/>
    <hyperlink ref="W3563" r:id="rId3557" xr:uid="{00000000-0004-0000-0000-0000E40D0000}"/>
    <hyperlink ref="W3564" r:id="rId3558" xr:uid="{00000000-0004-0000-0000-0000E50D0000}"/>
    <hyperlink ref="W3565" r:id="rId3559" xr:uid="{00000000-0004-0000-0000-0000E60D0000}"/>
    <hyperlink ref="W3566" r:id="rId3560" xr:uid="{00000000-0004-0000-0000-0000E70D0000}"/>
    <hyperlink ref="W3567" r:id="rId3561" xr:uid="{00000000-0004-0000-0000-0000E80D0000}"/>
    <hyperlink ref="W3568" r:id="rId3562" xr:uid="{00000000-0004-0000-0000-0000E90D0000}"/>
    <hyperlink ref="W3569" r:id="rId3563" xr:uid="{00000000-0004-0000-0000-0000EA0D0000}"/>
    <hyperlink ref="W3570" r:id="rId3564" xr:uid="{00000000-0004-0000-0000-0000EB0D0000}"/>
    <hyperlink ref="W3571" r:id="rId3565" xr:uid="{00000000-0004-0000-0000-0000EC0D0000}"/>
    <hyperlink ref="W3572" r:id="rId3566" xr:uid="{00000000-0004-0000-0000-0000ED0D0000}"/>
    <hyperlink ref="W3573" r:id="rId3567" xr:uid="{00000000-0004-0000-0000-0000EE0D0000}"/>
    <hyperlink ref="W3574" r:id="rId3568" xr:uid="{00000000-0004-0000-0000-0000EF0D0000}"/>
    <hyperlink ref="W3575" r:id="rId3569" xr:uid="{00000000-0004-0000-0000-0000F00D0000}"/>
    <hyperlink ref="W3576" r:id="rId3570" xr:uid="{00000000-0004-0000-0000-0000F10D0000}"/>
    <hyperlink ref="W3577" r:id="rId3571" xr:uid="{00000000-0004-0000-0000-0000F20D0000}"/>
    <hyperlink ref="W3578" r:id="rId3572" xr:uid="{00000000-0004-0000-0000-0000F30D0000}"/>
    <hyperlink ref="W3579" r:id="rId3573" xr:uid="{00000000-0004-0000-0000-0000F40D0000}"/>
    <hyperlink ref="W3580" r:id="rId3574" xr:uid="{00000000-0004-0000-0000-0000F50D0000}"/>
    <hyperlink ref="W3581" r:id="rId3575" xr:uid="{00000000-0004-0000-0000-0000F60D0000}"/>
    <hyperlink ref="W3582" r:id="rId3576" xr:uid="{00000000-0004-0000-0000-0000F70D0000}"/>
    <hyperlink ref="W3583" r:id="rId3577" xr:uid="{00000000-0004-0000-0000-0000F80D0000}"/>
    <hyperlink ref="W3584" r:id="rId3578" xr:uid="{00000000-0004-0000-0000-0000F90D0000}"/>
    <hyperlink ref="W3585" r:id="rId3579" xr:uid="{00000000-0004-0000-0000-0000FA0D0000}"/>
    <hyperlink ref="W3586" r:id="rId3580" xr:uid="{00000000-0004-0000-0000-0000FB0D0000}"/>
    <hyperlink ref="W3587" r:id="rId3581" xr:uid="{00000000-0004-0000-0000-0000FC0D0000}"/>
    <hyperlink ref="W3588" r:id="rId3582" xr:uid="{00000000-0004-0000-0000-0000FD0D0000}"/>
    <hyperlink ref="W3589" r:id="rId3583" xr:uid="{00000000-0004-0000-0000-0000FE0D0000}"/>
    <hyperlink ref="W3590" r:id="rId3584" xr:uid="{00000000-0004-0000-0000-0000FF0D0000}"/>
    <hyperlink ref="W3591" r:id="rId3585" xr:uid="{00000000-0004-0000-0000-0000000E0000}"/>
    <hyperlink ref="W3592" r:id="rId3586" xr:uid="{00000000-0004-0000-0000-0000010E0000}"/>
    <hyperlink ref="W3593" r:id="rId3587" xr:uid="{00000000-0004-0000-0000-0000020E0000}"/>
    <hyperlink ref="W3594" r:id="rId3588" xr:uid="{00000000-0004-0000-0000-0000030E0000}"/>
    <hyperlink ref="W3595" r:id="rId3589" xr:uid="{00000000-0004-0000-0000-0000040E0000}"/>
    <hyperlink ref="W3596" r:id="rId3590" xr:uid="{00000000-0004-0000-0000-0000050E0000}"/>
    <hyperlink ref="W3597" r:id="rId3591" xr:uid="{00000000-0004-0000-0000-0000060E0000}"/>
    <hyperlink ref="W3598" r:id="rId3592" xr:uid="{00000000-0004-0000-0000-0000070E0000}"/>
    <hyperlink ref="W3599" r:id="rId3593" xr:uid="{00000000-0004-0000-0000-0000080E0000}"/>
    <hyperlink ref="W3600" r:id="rId3594" xr:uid="{00000000-0004-0000-0000-0000090E0000}"/>
    <hyperlink ref="W3601" r:id="rId3595" xr:uid="{00000000-0004-0000-0000-00000A0E0000}"/>
    <hyperlink ref="W3602" r:id="rId3596" xr:uid="{00000000-0004-0000-0000-00000B0E0000}"/>
    <hyperlink ref="W3603" r:id="rId3597" xr:uid="{00000000-0004-0000-0000-00000C0E0000}"/>
    <hyperlink ref="W3604" r:id="rId3598" xr:uid="{00000000-0004-0000-0000-00000D0E0000}"/>
    <hyperlink ref="W3605" r:id="rId3599" xr:uid="{00000000-0004-0000-0000-00000E0E0000}"/>
    <hyperlink ref="W3606" r:id="rId3600" xr:uid="{00000000-0004-0000-0000-00000F0E0000}"/>
    <hyperlink ref="W3607" r:id="rId3601" xr:uid="{00000000-0004-0000-0000-0000100E0000}"/>
    <hyperlink ref="W3608" r:id="rId3602" xr:uid="{00000000-0004-0000-0000-0000110E0000}"/>
    <hyperlink ref="W3609" r:id="rId3603" xr:uid="{00000000-0004-0000-0000-0000120E0000}"/>
    <hyperlink ref="W3610" r:id="rId3604" xr:uid="{00000000-0004-0000-0000-0000130E0000}"/>
    <hyperlink ref="W3611" r:id="rId3605" xr:uid="{00000000-0004-0000-0000-0000140E0000}"/>
    <hyperlink ref="W3612" r:id="rId3606" xr:uid="{00000000-0004-0000-0000-0000150E0000}"/>
    <hyperlink ref="W3613" r:id="rId3607" xr:uid="{00000000-0004-0000-0000-0000160E0000}"/>
    <hyperlink ref="W3614" r:id="rId3608" xr:uid="{00000000-0004-0000-0000-0000170E0000}"/>
    <hyperlink ref="W3615" r:id="rId3609" xr:uid="{00000000-0004-0000-0000-0000180E0000}"/>
    <hyperlink ref="W3616" r:id="rId3610" xr:uid="{00000000-0004-0000-0000-0000190E0000}"/>
    <hyperlink ref="W3617" r:id="rId3611" xr:uid="{00000000-0004-0000-0000-00001A0E0000}"/>
    <hyperlink ref="W3618" r:id="rId3612" xr:uid="{00000000-0004-0000-0000-00001B0E0000}"/>
    <hyperlink ref="W3619" r:id="rId3613" xr:uid="{00000000-0004-0000-0000-00001C0E0000}"/>
    <hyperlink ref="W3620" r:id="rId3614" xr:uid="{00000000-0004-0000-0000-00001D0E0000}"/>
    <hyperlink ref="W3621" r:id="rId3615" xr:uid="{00000000-0004-0000-0000-00001E0E0000}"/>
    <hyperlink ref="W3622" r:id="rId3616" xr:uid="{00000000-0004-0000-0000-00001F0E0000}"/>
    <hyperlink ref="W3623" r:id="rId3617" xr:uid="{00000000-0004-0000-0000-0000200E0000}"/>
    <hyperlink ref="W3624" r:id="rId3618" xr:uid="{00000000-0004-0000-0000-0000210E0000}"/>
    <hyperlink ref="W3625" r:id="rId3619" xr:uid="{00000000-0004-0000-0000-0000220E0000}"/>
    <hyperlink ref="W3626" r:id="rId3620" xr:uid="{00000000-0004-0000-0000-0000230E0000}"/>
    <hyperlink ref="W3627" r:id="rId3621" xr:uid="{00000000-0004-0000-0000-0000240E0000}"/>
    <hyperlink ref="W3628" r:id="rId3622" xr:uid="{00000000-0004-0000-0000-0000250E0000}"/>
    <hyperlink ref="W3629" r:id="rId3623" xr:uid="{00000000-0004-0000-0000-0000260E0000}"/>
    <hyperlink ref="W3630" r:id="rId3624" xr:uid="{00000000-0004-0000-0000-0000270E0000}"/>
    <hyperlink ref="W3631" r:id="rId3625" xr:uid="{00000000-0004-0000-0000-0000280E0000}"/>
    <hyperlink ref="W3632" r:id="rId3626" xr:uid="{00000000-0004-0000-0000-0000290E0000}"/>
    <hyperlink ref="W3633" r:id="rId3627" xr:uid="{00000000-0004-0000-0000-00002A0E0000}"/>
    <hyperlink ref="W3634" r:id="rId3628" xr:uid="{00000000-0004-0000-0000-00002B0E0000}"/>
    <hyperlink ref="W3635" r:id="rId3629" xr:uid="{00000000-0004-0000-0000-00002C0E0000}"/>
    <hyperlink ref="W3636" r:id="rId3630" xr:uid="{00000000-0004-0000-0000-00002D0E0000}"/>
    <hyperlink ref="W3637" r:id="rId3631" xr:uid="{00000000-0004-0000-0000-00002E0E0000}"/>
    <hyperlink ref="W3638" r:id="rId3632" xr:uid="{00000000-0004-0000-0000-00002F0E0000}"/>
    <hyperlink ref="W3639" r:id="rId3633" xr:uid="{00000000-0004-0000-0000-0000300E0000}"/>
    <hyperlink ref="W3640" r:id="rId3634" xr:uid="{00000000-0004-0000-0000-0000310E0000}"/>
    <hyperlink ref="W3641" r:id="rId3635" xr:uid="{00000000-0004-0000-0000-0000320E0000}"/>
    <hyperlink ref="W3642" r:id="rId3636" xr:uid="{00000000-0004-0000-0000-0000330E0000}"/>
    <hyperlink ref="W3643" r:id="rId3637" xr:uid="{00000000-0004-0000-0000-0000340E0000}"/>
    <hyperlink ref="W3644" r:id="rId3638" xr:uid="{00000000-0004-0000-0000-0000350E0000}"/>
    <hyperlink ref="W3645" r:id="rId3639" xr:uid="{00000000-0004-0000-0000-0000360E0000}"/>
    <hyperlink ref="W3646" r:id="rId3640" xr:uid="{00000000-0004-0000-0000-0000370E0000}"/>
    <hyperlink ref="W3647" r:id="rId3641" xr:uid="{00000000-0004-0000-0000-0000380E0000}"/>
    <hyperlink ref="W3648" r:id="rId3642" xr:uid="{00000000-0004-0000-0000-0000390E0000}"/>
    <hyperlink ref="W3649" r:id="rId3643" xr:uid="{00000000-0004-0000-0000-00003A0E0000}"/>
    <hyperlink ref="W3650" r:id="rId3644" xr:uid="{00000000-0004-0000-0000-00003B0E0000}"/>
    <hyperlink ref="W3651" r:id="rId3645" xr:uid="{00000000-0004-0000-0000-00003C0E0000}"/>
    <hyperlink ref="W3652" r:id="rId3646" xr:uid="{00000000-0004-0000-0000-00003D0E0000}"/>
    <hyperlink ref="W3653" r:id="rId3647" xr:uid="{00000000-0004-0000-0000-00003E0E0000}"/>
    <hyperlink ref="W3654" r:id="rId3648" xr:uid="{00000000-0004-0000-0000-00003F0E0000}"/>
    <hyperlink ref="W3655" r:id="rId3649" xr:uid="{00000000-0004-0000-0000-0000400E0000}"/>
    <hyperlink ref="W3656" r:id="rId3650" xr:uid="{00000000-0004-0000-0000-0000410E0000}"/>
    <hyperlink ref="W3657" r:id="rId3651" xr:uid="{00000000-0004-0000-0000-0000420E0000}"/>
    <hyperlink ref="W3658" r:id="rId3652" xr:uid="{00000000-0004-0000-0000-0000430E0000}"/>
    <hyperlink ref="W3659" r:id="rId3653" xr:uid="{00000000-0004-0000-0000-0000440E0000}"/>
    <hyperlink ref="W3660" r:id="rId3654" xr:uid="{00000000-0004-0000-0000-0000450E0000}"/>
    <hyperlink ref="W3661" r:id="rId3655" xr:uid="{00000000-0004-0000-0000-0000460E0000}"/>
    <hyperlink ref="W3662" r:id="rId3656" xr:uid="{00000000-0004-0000-0000-0000470E0000}"/>
    <hyperlink ref="W3663" r:id="rId3657" xr:uid="{00000000-0004-0000-0000-0000480E0000}"/>
    <hyperlink ref="W3664" r:id="rId3658" xr:uid="{00000000-0004-0000-0000-0000490E0000}"/>
    <hyperlink ref="W3665" r:id="rId3659" xr:uid="{00000000-0004-0000-0000-00004A0E0000}"/>
    <hyperlink ref="W3666" r:id="rId3660" xr:uid="{00000000-0004-0000-0000-00004B0E0000}"/>
    <hyperlink ref="W3667" r:id="rId3661" xr:uid="{00000000-0004-0000-0000-00004C0E0000}"/>
    <hyperlink ref="W3668" r:id="rId3662" xr:uid="{00000000-0004-0000-0000-00004D0E0000}"/>
    <hyperlink ref="W3669" r:id="rId3663" xr:uid="{00000000-0004-0000-0000-00004E0E0000}"/>
    <hyperlink ref="W3670" r:id="rId3664" xr:uid="{00000000-0004-0000-0000-00004F0E0000}"/>
    <hyperlink ref="W3671" r:id="rId3665" xr:uid="{00000000-0004-0000-0000-0000500E0000}"/>
    <hyperlink ref="W3672" r:id="rId3666" xr:uid="{00000000-0004-0000-0000-0000510E0000}"/>
    <hyperlink ref="W3673" r:id="rId3667" xr:uid="{00000000-0004-0000-0000-0000520E0000}"/>
    <hyperlink ref="W3674" r:id="rId3668" xr:uid="{00000000-0004-0000-0000-0000530E0000}"/>
    <hyperlink ref="W3675" r:id="rId3669" xr:uid="{00000000-0004-0000-0000-0000540E0000}"/>
    <hyperlink ref="W3676" r:id="rId3670" xr:uid="{00000000-0004-0000-0000-0000550E0000}"/>
    <hyperlink ref="W3677" r:id="rId3671" xr:uid="{00000000-0004-0000-0000-0000560E0000}"/>
    <hyperlink ref="W3678" r:id="rId3672" xr:uid="{00000000-0004-0000-0000-0000570E0000}"/>
    <hyperlink ref="W3679" r:id="rId3673" xr:uid="{00000000-0004-0000-0000-0000580E0000}"/>
    <hyperlink ref="W3680" r:id="rId3674" xr:uid="{00000000-0004-0000-0000-0000590E0000}"/>
    <hyperlink ref="W3681" r:id="rId3675" xr:uid="{00000000-0004-0000-0000-00005A0E0000}"/>
    <hyperlink ref="W3682" r:id="rId3676" xr:uid="{00000000-0004-0000-0000-00005B0E0000}"/>
    <hyperlink ref="W3683" r:id="rId3677" xr:uid="{00000000-0004-0000-0000-00005C0E0000}"/>
    <hyperlink ref="W3684" r:id="rId3678" xr:uid="{00000000-0004-0000-0000-00005D0E0000}"/>
    <hyperlink ref="W3685" r:id="rId3679" xr:uid="{00000000-0004-0000-0000-00005E0E0000}"/>
    <hyperlink ref="W3686" r:id="rId3680" xr:uid="{00000000-0004-0000-0000-00005F0E0000}"/>
    <hyperlink ref="W3687" r:id="rId3681" xr:uid="{00000000-0004-0000-0000-0000600E0000}"/>
    <hyperlink ref="W3688" r:id="rId3682" xr:uid="{00000000-0004-0000-0000-0000610E0000}"/>
    <hyperlink ref="W3689" r:id="rId3683" xr:uid="{00000000-0004-0000-0000-0000620E0000}"/>
    <hyperlink ref="W3690" r:id="rId3684" xr:uid="{00000000-0004-0000-0000-0000630E0000}"/>
    <hyperlink ref="W3691" r:id="rId3685" xr:uid="{00000000-0004-0000-0000-0000640E0000}"/>
    <hyperlink ref="W3692" r:id="rId3686" xr:uid="{00000000-0004-0000-0000-0000650E0000}"/>
    <hyperlink ref="W3693" r:id="rId3687" xr:uid="{00000000-0004-0000-0000-0000660E0000}"/>
    <hyperlink ref="W3694" r:id="rId3688" xr:uid="{00000000-0004-0000-0000-0000670E0000}"/>
    <hyperlink ref="W3695" r:id="rId3689" xr:uid="{00000000-0004-0000-0000-0000680E0000}"/>
    <hyperlink ref="W3696" r:id="rId3690" xr:uid="{00000000-0004-0000-0000-0000690E0000}"/>
    <hyperlink ref="W3697" r:id="rId3691" xr:uid="{00000000-0004-0000-0000-00006A0E0000}"/>
    <hyperlink ref="W3698" r:id="rId3692" xr:uid="{00000000-0004-0000-0000-00006B0E0000}"/>
    <hyperlink ref="W3699" r:id="rId3693" xr:uid="{00000000-0004-0000-0000-00006C0E0000}"/>
    <hyperlink ref="W3700" r:id="rId3694" xr:uid="{00000000-0004-0000-0000-00006D0E0000}"/>
    <hyperlink ref="W3701" r:id="rId3695" xr:uid="{00000000-0004-0000-0000-00006E0E0000}"/>
    <hyperlink ref="W3702" r:id="rId3696" xr:uid="{00000000-0004-0000-0000-00006F0E0000}"/>
    <hyperlink ref="W3703" r:id="rId3697" xr:uid="{00000000-0004-0000-0000-0000700E0000}"/>
    <hyperlink ref="W3704" r:id="rId3698" xr:uid="{00000000-0004-0000-0000-0000710E0000}"/>
    <hyperlink ref="W3705" r:id="rId3699" xr:uid="{00000000-0004-0000-0000-0000720E0000}"/>
    <hyperlink ref="W3706" r:id="rId3700" xr:uid="{00000000-0004-0000-0000-0000730E0000}"/>
    <hyperlink ref="W3707" r:id="rId3701" xr:uid="{00000000-0004-0000-0000-0000740E0000}"/>
    <hyperlink ref="W3708" r:id="rId3702" xr:uid="{00000000-0004-0000-0000-0000750E0000}"/>
    <hyperlink ref="W3709" r:id="rId3703" xr:uid="{00000000-0004-0000-0000-0000760E0000}"/>
    <hyperlink ref="W3710" r:id="rId3704" xr:uid="{00000000-0004-0000-0000-0000770E0000}"/>
    <hyperlink ref="W3711" r:id="rId3705" xr:uid="{00000000-0004-0000-0000-0000780E0000}"/>
    <hyperlink ref="W3712" r:id="rId3706" xr:uid="{00000000-0004-0000-0000-0000790E0000}"/>
    <hyperlink ref="W3713" r:id="rId3707" xr:uid="{00000000-0004-0000-0000-00007A0E0000}"/>
    <hyperlink ref="W3714" r:id="rId3708" xr:uid="{00000000-0004-0000-0000-00007B0E0000}"/>
    <hyperlink ref="W3715" r:id="rId3709" xr:uid="{00000000-0004-0000-0000-00007C0E0000}"/>
    <hyperlink ref="W3716" r:id="rId3710" xr:uid="{00000000-0004-0000-0000-00007D0E0000}"/>
    <hyperlink ref="W3717" r:id="rId3711" xr:uid="{00000000-0004-0000-0000-00007E0E0000}"/>
    <hyperlink ref="W3718" r:id="rId3712" xr:uid="{00000000-0004-0000-0000-00007F0E0000}"/>
    <hyperlink ref="W3719" r:id="rId3713" xr:uid="{00000000-0004-0000-0000-0000800E0000}"/>
    <hyperlink ref="W3720" r:id="rId3714" xr:uid="{00000000-0004-0000-0000-0000810E0000}"/>
    <hyperlink ref="W3721" r:id="rId3715" xr:uid="{00000000-0004-0000-0000-0000820E0000}"/>
    <hyperlink ref="W3722" r:id="rId3716" xr:uid="{00000000-0004-0000-0000-0000830E0000}"/>
    <hyperlink ref="W3723" r:id="rId3717" xr:uid="{00000000-0004-0000-0000-0000840E0000}"/>
    <hyperlink ref="W3724" r:id="rId3718" xr:uid="{00000000-0004-0000-0000-0000850E0000}"/>
    <hyperlink ref="W3725" r:id="rId3719" xr:uid="{00000000-0004-0000-0000-0000860E0000}"/>
    <hyperlink ref="W3726" r:id="rId3720" xr:uid="{00000000-0004-0000-0000-0000870E0000}"/>
    <hyperlink ref="W3727" r:id="rId3721" xr:uid="{00000000-0004-0000-0000-0000880E0000}"/>
    <hyperlink ref="W3728" r:id="rId3722" xr:uid="{00000000-0004-0000-0000-0000890E0000}"/>
    <hyperlink ref="W3729" r:id="rId3723" xr:uid="{00000000-0004-0000-0000-00008A0E0000}"/>
    <hyperlink ref="W3730" r:id="rId3724" xr:uid="{00000000-0004-0000-0000-00008B0E0000}"/>
    <hyperlink ref="W3731" r:id="rId3725" xr:uid="{00000000-0004-0000-0000-00008C0E0000}"/>
    <hyperlink ref="W3732" r:id="rId3726" xr:uid="{00000000-0004-0000-0000-00008D0E0000}"/>
    <hyperlink ref="W3733" r:id="rId3727" xr:uid="{00000000-0004-0000-0000-00008E0E0000}"/>
    <hyperlink ref="W3734" r:id="rId3728" xr:uid="{00000000-0004-0000-0000-00008F0E0000}"/>
    <hyperlink ref="W3735" r:id="rId3729" xr:uid="{00000000-0004-0000-0000-0000900E0000}"/>
    <hyperlink ref="W3736" r:id="rId3730" xr:uid="{00000000-0004-0000-0000-0000910E0000}"/>
    <hyperlink ref="W3737" r:id="rId3731" xr:uid="{00000000-0004-0000-0000-0000920E0000}"/>
    <hyperlink ref="W3738" r:id="rId3732" xr:uid="{00000000-0004-0000-0000-0000930E0000}"/>
    <hyperlink ref="W3739" r:id="rId3733" xr:uid="{00000000-0004-0000-0000-0000940E0000}"/>
    <hyperlink ref="W3740" r:id="rId3734" xr:uid="{00000000-0004-0000-0000-0000950E0000}"/>
    <hyperlink ref="W3741" r:id="rId3735" xr:uid="{00000000-0004-0000-0000-0000960E0000}"/>
    <hyperlink ref="W3742" r:id="rId3736" xr:uid="{00000000-0004-0000-0000-0000970E0000}"/>
    <hyperlink ref="W3743" r:id="rId3737" xr:uid="{00000000-0004-0000-0000-0000980E0000}"/>
    <hyperlink ref="W3744" r:id="rId3738" xr:uid="{00000000-0004-0000-0000-0000990E0000}"/>
    <hyperlink ref="W3745" r:id="rId3739" xr:uid="{00000000-0004-0000-0000-00009A0E0000}"/>
    <hyperlink ref="W3746" r:id="rId3740" xr:uid="{00000000-0004-0000-0000-00009B0E0000}"/>
    <hyperlink ref="W3747" r:id="rId3741" xr:uid="{00000000-0004-0000-0000-00009C0E0000}"/>
    <hyperlink ref="W3748" r:id="rId3742" xr:uid="{00000000-0004-0000-0000-00009D0E0000}"/>
    <hyperlink ref="W3749" r:id="rId3743" xr:uid="{00000000-0004-0000-0000-00009E0E0000}"/>
    <hyperlink ref="W3750" r:id="rId3744" xr:uid="{00000000-0004-0000-0000-00009F0E0000}"/>
    <hyperlink ref="W3751" r:id="rId3745" xr:uid="{00000000-0004-0000-0000-0000A00E0000}"/>
    <hyperlink ref="W3752" r:id="rId3746" xr:uid="{00000000-0004-0000-0000-0000A10E0000}"/>
    <hyperlink ref="W3753" r:id="rId3747" xr:uid="{00000000-0004-0000-0000-0000A20E0000}"/>
    <hyperlink ref="W3754" r:id="rId3748" xr:uid="{00000000-0004-0000-0000-0000A30E0000}"/>
    <hyperlink ref="W3755" r:id="rId3749" xr:uid="{00000000-0004-0000-0000-0000A40E0000}"/>
    <hyperlink ref="W3756" r:id="rId3750" xr:uid="{00000000-0004-0000-0000-0000A50E0000}"/>
    <hyperlink ref="W3757" r:id="rId3751" xr:uid="{00000000-0004-0000-0000-0000A60E0000}"/>
    <hyperlink ref="W3758" r:id="rId3752" xr:uid="{00000000-0004-0000-0000-0000A70E0000}"/>
    <hyperlink ref="W3759" r:id="rId3753" xr:uid="{00000000-0004-0000-0000-0000A80E0000}"/>
    <hyperlink ref="W3760" r:id="rId3754" xr:uid="{00000000-0004-0000-0000-0000A90E0000}"/>
    <hyperlink ref="W3761" r:id="rId3755" xr:uid="{00000000-0004-0000-0000-0000AA0E0000}"/>
    <hyperlink ref="W3762" r:id="rId3756" xr:uid="{00000000-0004-0000-0000-0000AB0E0000}"/>
    <hyperlink ref="W3763" r:id="rId3757" xr:uid="{00000000-0004-0000-0000-0000AC0E0000}"/>
    <hyperlink ref="W3764" r:id="rId3758" xr:uid="{00000000-0004-0000-0000-0000AD0E0000}"/>
    <hyperlink ref="W3765" r:id="rId3759" xr:uid="{00000000-0004-0000-0000-0000AE0E0000}"/>
    <hyperlink ref="W3766" r:id="rId3760" xr:uid="{00000000-0004-0000-0000-0000AF0E0000}"/>
    <hyperlink ref="W3767" r:id="rId3761" xr:uid="{00000000-0004-0000-0000-0000B00E0000}"/>
    <hyperlink ref="W3768" r:id="rId3762" xr:uid="{00000000-0004-0000-0000-0000B10E0000}"/>
    <hyperlink ref="W3769" r:id="rId3763" xr:uid="{00000000-0004-0000-0000-0000B20E0000}"/>
    <hyperlink ref="W3770" r:id="rId3764" xr:uid="{00000000-0004-0000-0000-0000B30E0000}"/>
    <hyperlink ref="W3771" r:id="rId3765" xr:uid="{00000000-0004-0000-0000-0000B40E0000}"/>
    <hyperlink ref="W3772" r:id="rId3766" xr:uid="{00000000-0004-0000-0000-0000B50E0000}"/>
    <hyperlink ref="W3773" r:id="rId3767" xr:uid="{00000000-0004-0000-0000-0000B60E0000}"/>
    <hyperlink ref="W3774" r:id="rId3768" xr:uid="{00000000-0004-0000-0000-0000B70E0000}"/>
    <hyperlink ref="W3775" r:id="rId3769" xr:uid="{00000000-0004-0000-0000-0000B80E0000}"/>
    <hyperlink ref="W3776" r:id="rId3770" xr:uid="{00000000-0004-0000-0000-0000B90E0000}"/>
    <hyperlink ref="W3777" r:id="rId3771" xr:uid="{00000000-0004-0000-0000-0000BA0E0000}"/>
    <hyperlink ref="W3778" r:id="rId3772" xr:uid="{00000000-0004-0000-0000-0000BB0E0000}"/>
    <hyperlink ref="W3779" r:id="rId3773" xr:uid="{00000000-0004-0000-0000-0000BC0E0000}"/>
    <hyperlink ref="W3780" r:id="rId3774" xr:uid="{00000000-0004-0000-0000-0000BD0E0000}"/>
    <hyperlink ref="W3781" r:id="rId3775" xr:uid="{00000000-0004-0000-0000-0000BE0E0000}"/>
    <hyperlink ref="W3782" r:id="rId3776" xr:uid="{00000000-0004-0000-0000-0000BF0E0000}"/>
    <hyperlink ref="W3783" r:id="rId3777" xr:uid="{00000000-0004-0000-0000-0000C00E0000}"/>
    <hyperlink ref="W3784" r:id="rId3778" xr:uid="{00000000-0004-0000-0000-0000C10E0000}"/>
    <hyperlink ref="W3785" r:id="rId3779" xr:uid="{00000000-0004-0000-0000-0000C20E0000}"/>
    <hyperlink ref="W3786" r:id="rId3780" xr:uid="{00000000-0004-0000-0000-0000C30E0000}"/>
    <hyperlink ref="W3787" r:id="rId3781" xr:uid="{00000000-0004-0000-0000-0000C40E0000}"/>
    <hyperlink ref="W3788" r:id="rId3782" xr:uid="{00000000-0004-0000-0000-0000C50E0000}"/>
    <hyperlink ref="W3789" r:id="rId3783" xr:uid="{00000000-0004-0000-0000-0000C60E0000}"/>
    <hyperlink ref="W3790" r:id="rId3784" xr:uid="{00000000-0004-0000-0000-0000C70E0000}"/>
    <hyperlink ref="W3791" r:id="rId3785" xr:uid="{00000000-0004-0000-0000-0000C80E0000}"/>
    <hyperlink ref="W3792" r:id="rId3786" xr:uid="{00000000-0004-0000-0000-0000C90E0000}"/>
    <hyperlink ref="W3793" r:id="rId3787" xr:uid="{00000000-0004-0000-0000-0000CA0E0000}"/>
    <hyperlink ref="W3794" r:id="rId3788" xr:uid="{00000000-0004-0000-0000-0000CB0E0000}"/>
    <hyperlink ref="W3795" r:id="rId3789" xr:uid="{00000000-0004-0000-0000-0000CC0E0000}"/>
    <hyperlink ref="W3796" r:id="rId3790" xr:uid="{00000000-0004-0000-0000-0000CD0E0000}"/>
    <hyperlink ref="W3797" r:id="rId3791" xr:uid="{00000000-0004-0000-0000-0000CE0E0000}"/>
    <hyperlink ref="W3798" r:id="rId3792" xr:uid="{00000000-0004-0000-0000-0000CF0E0000}"/>
    <hyperlink ref="W3799" r:id="rId3793" xr:uid="{00000000-0004-0000-0000-0000D00E0000}"/>
    <hyperlink ref="W3800" r:id="rId3794" xr:uid="{00000000-0004-0000-0000-0000D10E0000}"/>
    <hyperlink ref="W3801" r:id="rId3795" xr:uid="{00000000-0004-0000-0000-0000D20E0000}"/>
    <hyperlink ref="W3802" r:id="rId3796" xr:uid="{00000000-0004-0000-0000-0000D30E0000}"/>
    <hyperlink ref="W3803" r:id="rId3797" xr:uid="{00000000-0004-0000-0000-0000D40E0000}"/>
    <hyperlink ref="W3804" r:id="rId3798" xr:uid="{00000000-0004-0000-0000-0000D50E0000}"/>
    <hyperlink ref="W3805" r:id="rId3799" xr:uid="{00000000-0004-0000-0000-0000D60E0000}"/>
    <hyperlink ref="W3806" r:id="rId3800" xr:uid="{00000000-0004-0000-0000-0000D70E0000}"/>
    <hyperlink ref="W3807" r:id="rId3801" xr:uid="{00000000-0004-0000-0000-0000D80E0000}"/>
    <hyperlink ref="W3808" r:id="rId3802" xr:uid="{00000000-0004-0000-0000-0000D90E0000}"/>
    <hyperlink ref="W3809" r:id="rId3803" xr:uid="{00000000-0004-0000-0000-0000DA0E0000}"/>
    <hyperlink ref="W3810" r:id="rId3804" xr:uid="{00000000-0004-0000-0000-0000DB0E0000}"/>
    <hyperlink ref="W3811" r:id="rId3805" xr:uid="{00000000-0004-0000-0000-0000DC0E0000}"/>
    <hyperlink ref="W3812" r:id="rId3806" xr:uid="{00000000-0004-0000-0000-0000DD0E0000}"/>
    <hyperlink ref="W3813" r:id="rId3807" xr:uid="{00000000-0004-0000-0000-0000DE0E0000}"/>
    <hyperlink ref="W3814" r:id="rId3808" xr:uid="{00000000-0004-0000-0000-0000DF0E0000}"/>
    <hyperlink ref="W3815" r:id="rId3809" xr:uid="{00000000-0004-0000-0000-0000E00E0000}"/>
    <hyperlink ref="W3816" r:id="rId3810" xr:uid="{00000000-0004-0000-0000-0000E10E0000}"/>
    <hyperlink ref="W3817" r:id="rId3811" xr:uid="{00000000-0004-0000-0000-0000E20E0000}"/>
    <hyperlink ref="W3818" r:id="rId3812" xr:uid="{00000000-0004-0000-0000-0000E30E0000}"/>
    <hyperlink ref="W3819" r:id="rId3813" xr:uid="{00000000-0004-0000-0000-0000E40E0000}"/>
    <hyperlink ref="W3820" r:id="rId3814" xr:uid="{00000000-0004-0000-0000-0000E50E0000}"/>
    <hyperlink ref="W3821" r:id="rId3815" xr:uid="{00000000-0004-0000-0000-0000E60E0000}"/>
    <hyperlink ref="W3822" r:id="rId3816" xr:uid="{00000000-0004-0000-0000-0000E70E0000}"/>
    <hyperlink ref="W3823" r:id="rId3817" xr:uid="{00000000-0004-0000-0000-0000E80E0000}"/>
    <hyperlink ref="W3824" r:id="rId3818" xr:uid="{00000000-0004-0000-0000-0000E90E0000}"/>
    <hyperlink ref="W3825" r:id="rId3819" xr:uid="{00000000-0004-0000-0000-0000EA0E0000}"/>
    <hyperlink ref="W3826" r:id="rId3820" xr:uid="{00000000-0004-0000-0000-0000EB0E0000}"/>
    <hyperlink ref="W3827" r:id="rId3821" xr:uid="{00000000-0004-0000-0000-0000EC0E0000}"/>
    <hyperlink ref="W3828" r:id="rId3822" xr:uid="{00000000-0004-0000-0000-0000ED0E0000}"/>
    <hyperlink ref="W3829" r:id="rId3823" xr:uid="{00000000-0004-0000-0000-0000EE0E0000}"/>
    <hyperlink ref="W3830" r:id="rId3824" xr:uid="{00000000-0004-0000-0000-0000EF0E0000}"/>
    <hyperlink ref="W3831" r:id="rId3825" xr:uid="{00000000-0004-0000-0000-0000F00E0000}"/>
    <hyperlink ref="W3832" r:id="rId3826" xr:uid="{00000000-0004-0000-0000-0000F10E0000}"/>
    <hyperlink ref="W3833" r:id="rId3827" xr:uid="{00000000-0004-0000-0000-0000F20E0000}"/>
    <hyperlink ref="W3834" r:id="rId3828" xr:uid="{00000000-0004-0000-0000-0000F30E0000}"/>
    <hyperlink ref="W3835" r:id="rId3829" xr:uid="{00000000-0004-0000-0000-0000F40E0000}"/>
    <hyperlink ref="W3836" r:id="rId3830" xr:uid="{00000000-0004-0000-0000-0000F50E0000}"/>
    <hyperlink ref="W3837" r:id="rId3831" xr:uid="{00000000-0004-0000-0000-0000F60E0000}"/>
    <hyperlink ref="W3838" r:id="rId3832" xr:uid="{00000000-0004-0000-0000-0000F70E0000}"/>
    <hyperlink ref="W3839" r:id="rId3833" xr:uid="{00000000-0004-0000-0000-0000F80E0000}"/>
    <hyperlink ref="W3840" r:id="rId3834" xr:uid="{00000000-0004-0000-0000-0000F90E0000}"/>
    <hyperlink ref="W3841" r:id="rId3835" xr:uid="{00000000-0004-0000-0000-0000FA0E0000}"/>
    <hyperlink ref="W3842" r:id="rId3836" xr:uid="{00000000-0004-0000-0000-0000FB0E0000}"/>
    <hyperlink ref="W3843" r:id="rId3837" xr:uid="{00000000-0004-0000-0000-0000FC0E0000}"/>
    <hyperlink ref="W3844" r:id="rId3838" xr:uid="{00000000-0004-0000-0000-0000FD0E0000}"/>
    <hyperlink ref="W3845" r:id="rId3839" xr:uid="{00000000-0004-0000-0000-0000FE0E0000}"/>
    <hyperlink ref="W3846" r:id="rId3840" xr:uid="{00000000-0004-0000-0000-0000FF0E0000}"/>
    <hyperlink ref="W3847" r:id="rId3841" xr:uid="{00000000-0004-0000-0000-0000000F0000}"/>
    <hyperlink ref="W3848" r:id="rId3842" xr:uid="{00000000-0004-0000-0000-0000010F0000}"/>
    <hyperlink ref="W3849" r:id="rId3843" xr:uid="{00000000-0004-0000-0000-0000020F0000}"/>
    <hyperlink ref="W3850" r:id="rId3844" xr:uid="{00000000-0004-0000-0000-0000030F0000}"/>
    <hyperlink ref="W3851" r:id="rId3845" xr:uid="{00000000-0004-0000-0000-0000040F0000}"/>
    <hyperlink ref="W3852" r:id="rId3846" xr:uid="{00000000-0004-0000-0000-0000050F0000}"/>
    <hyperlink ref="W3853" r:id="rId3847" xr:uid="{00000000-0004-0000-0000-0000060F0000}"/>
    <hyperlink ref="W3854" r:id="rId3848" xr:uid="{00000000-0004-0000-0000-0000070F0000}"/>
    <hyperlink ref="W3855" r:id="rId3849" xr:uid="{00000000-0004-0000-0000-0000080F0000}"/>
    <hyperlink ref="W3856" r:id="rId3850" xr:uid="{00000000-0004-0000-0000-0000090F0000}"/>
    <hyperlink ref="W3857" r:id="rId3851" xr:uid="{00000000-0004-0000-0000-00000A0F0000}"/>
    <hyperlink ref="W3858" r:id="rId3852" xr:uid="{00000000-0004-0000-0000-00000B0F0000}"/>
    <hyperlink ref="W3859" r:id="rId3853" xr:uid="{00000000-0004-0000-0000-00000C0F0000}"/>
    <hyperlink ref="W3860" r:id="rId3854" xr:uid="{00000000-0004-0000-0000-00000D0F0000}"/>
    <hyperlink ref="W3861" r:id="rId3855" xr:uid="{00000000-0004-0000-0000-00000E0F0000}"/>
    <hyperlink ref="W3862" r:id="rId3856" xr:uid="{00000000-0004-0000-0000-00000F0F0000}"/>
    <hyperlink ref="W3863" r:id="rId3857" xr:uid="{00000000-0004-0000-0000-0000100F0000}"/>
    <hyperlink ref="W3864" r:id="rId3858" xr:uid="{00000000-0004-0000-0000-0000110F0000}"/>
    <hyperlink ref="W3865" r:id="rId3859" xr:uid="{00000000-0004-0000-0000-0000120F0000}"/>
    <hyperlink ref="W3866" r:id="rId3860" xr:uid="{00000000-0004-0000-0000-0000130F0000}"/>
    <hyperlink ref="W3867" r:id="rId3861" xr:uid="{00000000-0004-0000-0000-0000140F0000}"/>
    <hyperlink ref="W3868" r:id="rId3862" xr:uid="{00000000-0004-0000-0000-0000150F0000}"/>
    <hyperlink ref="W3869" r:id="rId3863" xr:uid="{00000000-0004-0000-0000-0000160F0000}"/>
    <hyperlink ref="W3870" r:id="rId3864" xr:uid="{00000000-0004-0000-0000-0000170F0000}"/>
    <hyperlink ref="W3871" r:id="rId3865" xr:uid="{00000000-0004-0000-0000-0000180F0000}"/>
    <hyperlink ref="W3872" r:id="rId3866" xr:uid="{00000000-0004-0000-0000-0000190F0000}"/>
    <hyperlink ref="W3873" r:id="rId3867" xr:uid="{00000000-0004-0000-0000-00001A0F0000}"/>
    <hyperlink ref="W3874" r:id="rId3868" xr:uid="{00000000-0004-0000-0000-00001B0F0000}"/>
    <hyperlink ref="W3875" r:id="rId3869" xr:uid="{00000000-0004-0000-0000-00001C0F0000}"/>
    <hyperlink ref="W3876" r:id="rId3870" xr:uid="{00000000-0004-0000-0000-00001D0F0000}"/>
    <hyperlink ref="W3877" r:id="rId3871" xr:uid="{00000000-0004-0000-0000-00001E0F0000}"/>
    <hyperlink ref="W3878" r:id="rId3872" xr:uid="{00000000-0004-0000-0000-00001F0F0000}"/>
    <hyperlink ref="W3879" r:id="rId3873" xr:uid="{00000000-0004-0000-0000-0000200F0000}"/>
    <hyperlink ref="W3880" r:id="rId3874" xr:uid="{00000000-0004-0000-0000-0000210F0000}"/>
    <hyperlink ref="W3881" r:id="rId3875" xr:uid="{00000000-0004-0000-0000-0000220F0000}"/>
    <hyperlink ref="W3882" r:id="rId3876" xr:uid="{00000000-0004-0000-0000-0000230F0000}"/>
    <hyperlink ref="W3883" r:id="rId3877" xr:uid="{00000000-0004-0000-0000-0000240F0000}"/>
    <hyperlink ref="W3884" r:id="rId3878" xr:uid="{00000000-0004-0000-0000-0000250F0000}"/>
    <hyperlink ref="W3885" r:id="rId3879" xr:uid="{00000000-0004-0000-0000-0000260F0000}"/>
    <hyperlink ref="W3886" r:id="rId3880" xr:uid="{00000000-0004-0000-0000-0000270F0000}"/>
    <hyperlink ref="W3887" r:id="rId3881" xr:uid="{00000000-0004-0000-0000-0000280F0000}"/>
    <hyperlink ref="W3888" r:id="rId3882" xr:uid="{00000000-0004-0000-0000-0000290F0000}"/>
    <hyperlink ref="W3889" r:id="rId3883" xr:uid="{00000000-0004-0000-0000-00002A0F0000}"/>
    <hyperlink ref="W3890" r:id="rId3884" xr:uid="{00000000-0004-0000-0000-00002B0F0000}"/>
    <hyperlink ref="W3891" r:id="rId3885" xr:uid="{00000000-0004-0000-0000-00002C0F0000}"/>
    <hyperlink ref="W3892" r:id="rId3886" xr:uid="{00000000-0004-0000-0000-00002D0F0000}"/>
    <hyperlink ref="W3893" r:id="rId3887" xr:uid="{00000000-0004-0000-0000-00002E0F0000}"/>
    <hyperlink ref="W3894" r:id="rId3888" xr:uid="{00000000-0004-0000-0000-00002F0F0000}"/>
    <hyperlink ref="W3895" r:id="rId3889" xr:uid="{00000000-0004-0000-0000-0000300F0000}"/>
    <hyperlink ref="W3896" r:id="rId3890" xr:uid="{00000000-0004-0000-0000-0000310F0000}"/>
    <hyperlink ref="W3897" r:id="rId3891" xr:uid="{00000000-0004-0000-0000-0000320F0000}"/>
    <hyperlink ref="W3898" r:id="rId3892" xr:uid="{00000000-0004-0000-0000-0000330F0000}"/>
    <hyperlink ref="W3899" r:id="rId3893" xr:uid="{00000000-0004-0000-0000-0000340F0000}"/>
    <hyperlink ref="W3900" r:id="rId3894" xr:uid="{00000000-0004-0000-0000-0000350F0000}"/>
    <hyperlink ref="W3901" r:id="rId3895" xr:uid="{00000000-0004-0000-0000-0000360F0000}"/>
    <hyperlink ref="W3902" r:id="rId3896" xr:uid="{00000000-0004-0000-0000-0000370F0000}"/>
    <hyperlink ref="W3903" r:id="rId3897" xr:uid="{00000000-0004-0000-0000-0000380F0000}"/>
    <hyperlink ref="W3904" r:id="rId3898" xr:uid="{00000000-0004-0000-0000-0000390F0000}"/>
    <hyperlink ref="W3905" r:id="rId3899" xr:uid="{00000000-0004-0000-0000-00003A0F0000}"/>
    <hyperlink ref="W3906" r:id="rId3900" xr:uid="{00000000-0004-0000-0000-00003B0F0000}"/>
    <hyperlink ref="W3907" r:id="rId3901" xr:uid="{00000000-0004-0000-0000-00003C0F0000}"/>
    <hyperlink ref="W3908" r:id="rId3902" xr:uid="{00000000-0004-0000-0000-00003D0F0000}"/>
    <hyperlink ref="W3909" r:id="rId3903" xr:uid="{00000000-0004-0000-0000-00003E0F0000}"/>
    <hyperlink ref="W3910" r:id="rId3904" xr:uid="{00000000-0004-0000-0000-00003F0F0000}"/>
    <hyperlink ref="W3911" r:id="rId3905" xr:uid="{00000000-0004-0000-0000-0000400F0000}"/>
    <hyperlink ref="W3912" r:id="rId3906" xr:uid="{00000000-0004-0000-0000-0000410F0000}"/>
    <hyperlink ref="W3913" r:id="rId3907" xr:uid="{00000000-0004-0000-0000-0000420F0000}"/>
    <hyperlink ref="W3914" r:id="rId3908" xr:uid="{00000000-0004-0000-0000-0000430F0000}"/>
    <hyperlink ref="W3915" r:id="rId3909" xr:uid="{00000000-0004-0000-0000-0000440F0000}"/>
    <hyperlink ref="W3916" r:id="rId3910" xr:uid="{00000000-0004-0000-0000-0000450F0000}"/>
    <hyperlink ref="W3917" r:id="rId3911" xr:uid="{00000000-0004-0000-0000-0000460F0000}"/>
    <hyperlink ref="W3918" r:id="rId3912" xr:uid="{00000000-0004-0000-0000-0000470F0000}"/>
    <hyperlink ref="W3919" r:id="rId3913" xr:uid="{00000000-0004-0000-0000-0000480F0000}"/>
    <hyperlink ref="W3920" r:id="rId3914" xr:uid="{00000000-0004-0000-0000-0000490F0000}"/>
    <hyperlink ref="W3921" r:id="rId3915" xr:uid="{00000000-0004-0000-0000-00004A0F0000}"/>
    <hyperlink ref="W3922" r:id="rId3916" xr:uid="{00000000-0004-0000-0000-00004B0F0000}"/>
    <hyperlink ref="W3923" r:id="rId3917" xr:uid="{00000000-0004-0000-0000-00004C0F0000}"/>
    <hyperlink ref="W3924" r:id="rId3918" xr:uid="{00000000-0004-0000-0000-00004D0F0000}"/>
    <hyperlink ref="W3925" r:id="rId3919" xr:uid="{00000000-0004-0000-0000-00004E0F0000}"/>
    <hyperlink ref="W3926" r:id="rId3920" xr:uid="{00000000-0004-0000-0000-00004F0F0000}"/>
    <hyperlink ref="W3927" r:id="rId3921" xr:uid="{00000000-0004-0000-0000-0000500F0000}"/>
    <hyperlink ref="W3928" r:id="rId3922" xr:uid="{00000000-0004-0000-0000-0000510F0000}"/>
    <hyperlink ref="W3929" r:id="rId3923" xr:uid="{00000000-0004-0000-0000-0000520F0000}"/>
    <hyperlink ref="W3930" r:id="rId3924" xr:uid="{00000000-0004-0000-0000-0000530F0000}"/>
    <hyperlink ref="W3931" r:id="rId3925" xr:uid="{00000000-0004-0000-0000-0000540F0000}"/>
    <hyperlink ref="W3932" r:id="rId3926" xr:uid="{00000000-0004-0000-0000-0000550F0000}"/>
    <hyperlink ref="W3933" r:id="rId3927" xr:uid="{00000000-0004-0000-0000-0000560F0000}"/>
    <hyperlink ref="W3934" r:id="rId3928" xr:uid="{00000000-0004-0000-0000-0000570F0000}"/>
    <hyperlink ref="W3935" r:id="rId3929" xr:uid="{00000000-0004-0000-0000-0000580F0000}"/>
    <hyperlink ref="W3936" r:id="rId3930" xr:uid="{00000000-0004-0000-0000-0000590F0000}"/>
    <hyperlink ref="W3937" r:id="rId3931" xr:uid="{00000000-0004-0000-0000-00005A0F0000}"/>
    <hyperlink ref="W3938" r:id="rId3932" xr:uid="{00000000-0004-0000-0000-00005B0F0000}"/>
    <hyperlink ref="W3939" r:id="rId3933" xr:uid="{00000000-0004-0000-0000-00005C0F0000}"/>
    <hyperlink ref="W3940" r:id="rId3934" xr:uid="{00000000-0004-0000-0000-00005D0F0000}"/>
    <hyperlink ref="W3941" r:id="rId3935" xr:uid="{00000000-0004-0000-0000-00005E0F0000}"/>
    <hyperlink ref="W3942" r:id="rId3936" xr:uid="{00000000-0004-0000-0000-00005F0F0000}"/>
    <hyperlink ref="W3943" r:id="rId3937" xr:uid="{00000000-0004-0000-0000-0000600F0000}"/>
    <hyperlink ref="W3944" r:id="rId3938" xr:uid="{00000000-0004-0000-0000-0000610F0000}"/>
    <hyperlink ref="W3945" r:id="rId3939" xr:uid="{00000000-0004-0000-0000-0000620F0000}"/>
    <hyperlink ref="W3946" r:id="rId3940" xr:uid="{00000000-0004-0000-0000-0000630F0000}"/>
    <hyperlink ref="W3947" r:id="rId3941" xr:uid="{00000000-0004-0000-0000-0000640F0000}"/>
    <hyperlink ref="W3948" r:id="rId3942" xr:uid="{00000000-0004-0000-0000-0000650F0000}"/>
    <hyperlink ref="W3949" r:id="rId3943" xr:uid="{00000000-0004-0000-0000-0000660F0000}"/>
    <hyperlink ref="W3950" r:id="rId3944" xr:uid="{00000000-0004-0000-0000-0000670F0000}"/>
    <hyperlink ref="W3951" r:id="rId3945" xr:uid="{00000000-0004-0000-0000-0000680F0000}"/>
    <hyperlink ref="W3952" r:id="rId3946" xr:uid="{00000000-0004-0000-0000-0000690F0000}"/>
    <hyperlink ref="W3953" r:id="rId3947" xr:uid="{00000000-0004-0000-0000-00006A0F0000}"/>
    <hyperlink ref="W3954" r:id="rId3948" xr:uid="{00000000-0004-0000-0000-00006B0F0000}"/>
    <hyperlink ref="W3955" r:id="rId3949" xr:uid="{00000000-0004-0000-0000-00006C0F0000}"/>
    <hyperlink ref="W3956" r:id="rId3950" xr:uid="{00000000-0004-0000-0000-00006D0F0000}"/>
    <hyperlink ref="W3957" r:id="rId3951" xr:uid="{00000000-0004-0000-0000-00006E0F0000}"/>
    <hyperlink ref="W3958" r:id="rId3952" xr:uid="{00000000-0004-0000-0000-00006F0F0000}"/>
    <hyperlink ref="W3959" r:id="rId3953" xr:uid="{00000000-0004-0000-0000-0000700F0000}"/>
    <hyperlink ref="W3960" r:id="rId3954" xr:uid="{00000000-0004-0000-0000-0000710F0000}"/>
    <hyperlink ref="W3961" r:id="rId3955" xr:uid="{00000000-0004-0000-0000-0000720F0000}"/>
    <hyperlink ref="W3962" r:id="rId3956" xr:uid="{00000000-0004-0000-0000-0000730F0000}"/>
    <hyperlink ref="W3963" r:id="rId3957" xr:uid="{00000000-0004-0000-0000-0000740F0000}"/>
    <hyperlink ref="W3964" r:id="rId3958" xr:uid="{00000000-0004-0000-0000-0000750F0000}"/>
    <hyperlink ref="W3965" r:id="rId3959" xr:uid="{00000000-0004-0000-0000-0000760F0000}"/>
    <hyperlink ref="W3966" r:id="rId3960" xr:uid="{00000000-0004-0000-0000-0000770F0000}"/>
    <hyperlink ref="W3967" r:id="rId3961" xr:uid="{00000000-0004-0000-0000-0000780F0000}"/>
    <hyperlink ref="W3968" r:id="rId3962" xr:uid="{00000000-0004-0000-0000-0000790F0000}"/>
    <hyperlink ref="W3969" r:id="rId3963" xr:uid="{00000000-0004-0000-0000-00007A0F0000}"/>
    <hyperlink ref="W3970" r:id="rId3964" xr:uid="{00000000-0004-0000-0000-00007B0F0000}"/>
    <hyperlink ref="W3971" r:id="rId3965" xr:uid="{00000000-0004-0000-0000-00007C0F0000}"/>
    <hyperlink ref="W3972" r:id="rId3966" xr:uid="{00000000-0004-0000-0000-00007D0F0000}"/>
    <hyperlink ref="W3973" r:id="rId3967" xr:uid="{00000000-0004-0000-0000-00007E0F0000}"/>
    <hyperlink ref="W3974" r:id="rId3968" xr:uid="{00000000-0004-0000-0000-00007F0F0000}"/>
    <hyperlink ref="W3975" r:id="rId3969" xr:uid="{00000000-0004-0000-0000-0000800F0000}"/>
    <hyperlink ref="W3976" r:id="rId3970" xr:uid="{00000000-0004-0000-0000-0000810F0000}"/>
    <hyperlink ref="W3977" r:id="rId3971" xr:uid="{00000000-0004-0000-0000-0000820F0000}"/>
    <hyperlink ref="W3978" r:id="rId3972" xr:uid="{00000000-0004-0000-0000-0000830F0000}"/>
    <hyperlink ref="W3979" r:id="rId3973" xr:uid="{00000000-0004-0000-0000-0000840F0000}"/>
    <hyperlink ref="W3980" r:id="rId3974" xr:uid="{00000000-0004-0000-0000-0000850F0000}"/>
    <hyperlink ref="W3981" r:id="rId3975" xr:uid="{00000000-0004-0000-0000-0000860F0000}"/>
    <hyperlink ref="W3982" r:id="rId3976" xr:uid="{00000000-0004-0000-0000-0000870F0000}"/>
    <hyperlink ref="W3983" r:id="rId3977" xr:uid="{00000000-0004-0000-0000-0000880F0000}"/>
    <hyperlink ref="W3984" r:id="rId3978" xr:uid="{00000000-0004-0000-0000-0000890F0000}"/>
    <hyperlink ref="W3985" r:id="rId3979" xr:uid="{00000000-0004-0000-0000-00008A0F0000}"/>
    <hyperlink ref="W3986" r:id="rId3980" xr:uid="{00000000-0004-0000-0000-00008B0F0000}"/>
    <hyperlink ref="W3987" r:id="rId3981" xr:uid="{00000000-0004-0000-0000-00008C0F0000}"/>
    <hyperlink ref="W3988" r:id="rId3982" xr:uid="{00000000-0004-0000-0000-00008D0F0000}"/>
    <hyperlink ref="W3989" r:id="rId3983" xr:uid="{00000000-0004-0000-0000-00008E0F0000}"/>
    <hyperlink ref="W3990" r:id="rId3984" xr:uid="{00000000-0004-0000-0000-00008F0F0000}"/>
    <hyperlink ref="W3991" r:id="rId3985" xr:uid="{00000000-0004-0000-0000-0000900F0000}"/>
    <hyperlink ref="W3992" r:id="rId3986" xr:uid="{00000000-0004-0000-0000-0000910F0000}"/>
    <hyperlink ref="W3993" r:id="rId3987" xr:uid="{00000000-0004-0000-0000-0000920F0000}"/>
    <hyperlink ref="W3994" r:id="rId3988" xr:uid="{00000000-0004-0000-0000-0000930F0000}"/>
    <hyperlink ref="W3995" r:id="rId3989" xr:uid="{00000000-0004-0000-0000-0000940F0000}"/>
    <hyperlink ref="W3996" r:id="rId3990" xr:uid="{00000000-0004-0000-0000-0000950F0000}"/>
    <hyperlink ref="W3997" r:id="rId3991" xr:uid="{00000000-0004-0000-0000-0000960F0000}"/>
    <hyperlink ref="W3998" r:id="rId3992" xr:uid="{00000000-0004-0000-0000-0000970F0000}"/>
    <hyperlink ref="W3999" r:id="rId3993" xr:uid="{00000000-0004-0000-0000-0000980F0000}"/>
    <hyperlink ref="W4000" r:id="rId3994" xr:uid="{00000000-0004-0000-0000-0000990F0000}"/>
    <hyperlink ref="W4001" r:id="rId3995" xr:uid="{00000000-0004-0000-0000-00009A0F0000}"/>
    <hyperlink ref="W4002" r:id="rId3996" xr:uid="{00000000-0004-0000-0000-00009B0F0000}"/>
    <hyperlink ref="W4003" r:id="rId3997" xr:uid="{00000000-0004-0000-0000-00009C0F0000}"/>
    <hyperlink ref="W4004" r:id="rId3998" xr:uid="{00000000-0004-0000-0000-00009D0F0000}"/>
    <hyperlink ref="W4005" r:id="rId3999" xr:uid="{00000000-0004-0000-0000-00009E0F0000}"/>
    <hyperlink ref="W4006" r:id="rId4000" xr:uid="{00000000-0004-0000-0000-00009F0F0000}"/>
    <hyperlink ref="W4007" r:id="rId4001" xr:uid="{00000000-0004-0000-0000-0000A00F0000}"/>
    <hyperlink ref="W4008" r:id="rId4002" xr:uid="{00000000-0004-0000-0000-0000A10F0000}"/>
    <hyperlink ref="W4009" r:id="rId4003" xr:uid="{00000000-0004-0000-0000-0000A20F0000}"/>
    <hyperlink ref="W4010" r:id="rId4004" xr:uid="{00000000-0004-0000-0000-0000A30F0000}"/>
    <hyperlink ref="W4011" r:id="rId4005" xr:uid="{00000000-0004-0000-0000-0000A40F0000}"/>
    <hyperlink ref="W4012" r:id="rId4006" xr:uid="{00000000-0004-0000-0000-0000A50F0000}"/>
    <hyperlink ref="W4013" r:id="rId4007" xr:uid="{00000000-0004-0000-0000-0000A60F0000}"/>
    <hyperlink ref="W4014" r:id="rId4008" xr:uid="{00000000-0004-0000-0000-0000A70F0000}"/>
    <hyperlink ref="W4015" r:id="rId4009" xr:uid="{00000000-0004-0000-0000-0000A80F0000}"/>
    <hyperlink ref="W4016" r:id="rId4010" xr:uid="{00000000-0004-0000-0000-0000A90F0000}"/>
    <hyperlink ref="W4017" r:id="rId4011" xr:uid="{00000000-0004-0000-0000-0000AA0F0000}"/>
    <hyperlink ref="W4018" r:id="rId4012" xr:uid="{00000000-0004-0000-0000-0000AB0F0000}"/>
    <hyperlink ref="W4019" r:id="rId4013" xr:uid="{00000000-0004-0000-0000-0000AC0F0000}"/>
    <hyperlink ref="W4020" r:id="rId4014" xr:uid="{00000000-0004-0000-0000-0000AD0F0000}"/>
    <hyperlink ref="W4021" r:id="rId4015" xr:uid="{00000000-0004-0000-0000-0000AE0F0000}"/>
    <hyperlink ref="W4022" r:id="rId4016" xr:uid="{00000000-0004-0000-0000-0000AF0F0000}"/>
    <hyperlink ref="W4023" r:id="rId4017" xr:uid="{00000000-0004-0000-0000-0000B00F0000}"/>
    <hyperlink ref="W4024" r:id="rId4018" xr:uid="{00000000-0004-0000-0000-0000B10F0000}"/>
    <hyperlink ref="W4025" r:id="rId4019" xr:uid="{00000000-0004-0000-0000-0000B20F0000}"/>
    <hyperlink ref="W4026" r:id="rId4020" xr:uid="{00000000-0004-0000-0000-0000B30F0000}"/>
    <hyperlink ref="W4027" r:id="rId4021" xr:uid="{00000000-0004-0000-0000-0000B40F0000}"/>
    <hyperlink ref="W4028" r:id="rId4022" xr:uid="{00000000-0004-0000-0000-0000B50F0000}"/>
    <hyperlink ref="W4029" r:id="rId4023" xr:uid="{00000000-0004-0000-0000-0000B60F0000}"/>
    <hyperlink ref="W4030" r:id="rId4024" xr:uid="{00000000-0004-0000-0000-0000B70F0000}"/>
    <hyperlink ref="W4031" r:id="rId4025" xr:uid="{00000000-0004-0000-0000-0000B80F0000}"/>
    <hyperlink ref="W4032" r:id="rId4026" xr:uid="{00000000-0004-0000-0000-0000B90F0000}"/>
    <hyperlink ref="W4033" r:id="rId4027" xr:uid="{00000000-0004-0000-0000-0000BA0F0000}"/>
    <hyperlink ref="W4034" r:id="rId4028" xr:uid="{00000000-0004-0000-0000-0000BB0F0000}"/>
    <hyperlink ref="W4035" r:id="rId4029" xr:uid="{00000000-0004-0000-0000-0000BC0F0000}"/>
    <hyperlink ref="W4036" r:id="rId4030" xr:uid="{00000000-0004-0000-0000-0000BD0F0000}"/>
    <hyperlink ref="W4037" r:id="rId4031" xr:uid="{00000000-0004-0000-0000-0000BE0F0000}"/>
    <hyperlink ref="W4038" r:id="rId4032" xr:uid="{00000000-0004-0000-0000-0000BF0F0000}"/>
    <hyperlink ref="W4039" r:id="rId4033" xr:uid="{00000000-0004-0000-0000-0000C00F0000}"/>
    <hyperlink ref="W4040" r:id="rId4034" xr:uid="{00000000-0004-0000-0000-0000C10F0000}"/>
    <hyperlink ref="W4041" r:id="rId4035" xr:uid="{00000000-0004-0000-0000-0000C20F0000}"/>
    <hyperlink ref="W4042" r:id="rId4036" xr:uid="{00000000-0004-0000-0000-0000C30F0000}"/>
    <hyperlink ref="W4043" r:id="rId4037" xr:uid="{00000000-0004-0000-0000-0000C40F0000}"/>
    <hyperlink ref="W4044" r:id="rId4038" xr:uid="{00000000-0004-0000-0000-0000C50F0000}"/>
    <hyperlink ref="W4045" r:id="rId4039" xr:uid="{00000000-0004-0000-0000-0000C60F0000}"/>
    <hyperlink ref="W4046" r:id="rId4040" xr:uid="{00000000-0004-0000-0000-0000C70F0000}"/>
    <hyperlink ref="W4047" r:id="rId4041" xr:uid="{00000000-0004-0000-0000-0000C80F0000}"/>
    <hyperlink ref="W4048" r:id="rId4042" xr:uid="{00000000-0004-0000-0000-0000C90F0000}"/>
    <hyperlink ref="W4049" r:id="rId4043" xr:uid="{00000000-0004-0000-0000-0000CA0F0000}"/>
    <hyperlink ref="W4050" r:id="rId4044" xr:uid="{00000000-0004-0000-0000-0000CB0F0000}"/>
    <hyperlink ref="W4051" r:id="rId4045" xr:uid="{00000000-0004-0000-0000-0000CC0F0000}"/>
    <hyperlink ref="W4052" r:id="rId4046" xr:uid="{00000000-0004-0000-0000-0000CD0F0000}"/>
    <hyperlink ref="W4053" r:id="rId4047" xr:uid="{00000000-0004-0000-0000-0000CE0F0000}"/>
    <hyperlink ref="W4054" r:id="rId4048" xr:uid="{00000000-0004-0000-0000-0000CF0F0000}"/>
    <hyperlink ref="W4055" r:id="rId4049" xr:uid="{00000000-0004-0000-0000-0000D00F0000}"/>
    <hyperlink ref="W4056" r:id="rId4050" xr:uid="{00000000-0004-0000-0000-0000D10F0000}"/>
    <hyperlink ref="W4057" r:id="rId4051" xr:uid="{00000000-0004-0000-0000-0000D20F0000}"/>
    <hyperlink ref="W4058" r:id="rId4052" xr:uid="{00000000-0004-0000-0000-0000D30F0000}"/>
    <hyperlink ref="W4059" r:id="rId4053" xr:uid="{00000000-0004-0000-0000-0000D40F0000}"/>
    <hyperlink ref="W4060" r:id="rId4054" xr:uid="{00000000-0004-0000-0000-0000D50F0000}"/>
    <hyperlink ref="W4061" r:id="rId4055" xr:uid="{00000000-0004-0000-0000-0000D60F0000}"/>
    <hyperlink ref="W4062" r:id="rId4056" xr:uid="{00000000-0004-0000-0000-0000D70F0000}"/>
    <hyperlink ref="W4063" r:id="rId4057" xr:uid="{00000000-0004-0000-0000-0000D80F0000}"/>
    <hyperlink ref="W4064" r:id="rId4058" xr:uid="{00000000-0004-0000-0000-0000D90F0000}"/>
    <hyperlink ref="W4065" r:id="rId4059" xr:uid="{00000000-0004-0000-0000-0000DA0F0000}"/>
    <hyperlink ref="W4066" r:id="rId4060" xr:uid="{00000000-0004-0000-0000-0000DB0F0000}"/>
    <hyperlink ref="W4067" r:id="rId4061" xr:uid="{00000000-0004-0000-0000-0000DC0F0000}"/>
    <hyperlink ref="W4068" r:id="rId4062" xr:uid="{00000000-0004-0000-0000-0000DD0F0000}"/>
    <hyperlink ref="W4069" r:id="rId4063" xr:uid="{00000000-0004-0000-0000-0000DE0F0000}"/>
    <hyperlink ref="W4070" r:id="rId4064" xr:uid="{00000000-0004-0000-0000-0000DF0F0000}"/>
    <hyperlink ref="W4071" r:id="rId4065" xr:uid="{00000000-0004-0000-0000-0000E00F0000}"/>
    <hyperlink ref="W4072" r:id="rId4066" xr:uid="{00000000-0004-0000-0000-0000E10F0000}"/>
    <hyperlink ref="W4073" r:id="rId4067" xr:uid="{00000000-0004-0000-0000-0000E20F0000}"/>
    <hyperlink ref="W4074" r:id="rId4068" xr:uid="{00000000-0004-0000-0000-0000E30F0000}"/>
    <hyperlink ref="W4075" r:id="rId4069" xr:uid="{00000000-0004-0000-0000-0000E40F0000}"/>
    <hyperlink ref="W4076" r:id="rId4070" xr:uid="{00000000-0004-0000-0000-0000E50F0000}"/>
    <hyperlink ref="W4077" r:id="rId4071" xr:uid="{00000000-0004-0000-0000-0000E60F0000}"/>
    <hyperlink ref="W4078" r:id="rId4072" xr:uid="{00000000-0004-0000-0000-0000E70F0000}"/>
    <hyperlink ref="W4079" r:id="rId4073" xr:uid="{00000000-0004-0000-0000-0000E80F0000}"/>
    <hyperlink ref="W4080" r:id="rId4074" xr:uid="{00000000-0004-0000-0000-0000E90F0000}"/>
    <hyperlink ref="W4081" r:id="rId4075" xr:uid="{00000000-0004-0000-0000-0000EA0F0000}"/>
    <hyperlink ref="W4082" r:id="rId4076" xr:uid="{00000000-0004-0000-0000-0000EB0F0000}"/>
    <hyperlink ref="W4083" r:id="rId4077" xr:uid="{00000000-0004-0000-0000-0000EC0F0000}"/>
    <hyperlink ref="W4084" r:id="rId4078" xr:uid="{00000000-0004-0000-0000-0000ED0F0000}"/>
    <hyperlink ref="W4085" r:id="rId4079" xr:uid="{00000000-0004-0000-0000-0000EE0F0000}"/>
    <hyperlink ref="W4086" r:id="rId4080" xr:uid="{00000000-0004-0000-0000-0000EF0F0000}"/>
    <hyperlink ref="W4087" r:id="rId4081" xr:uid="{00000000-0004-0000-0000-0000F00F0000}"/>
    <hyperlink ref="W4088" r:id="rId4082" xr:uid="{00000000-0004-0000-0000-0000F10F0000}"/>
    <hyperlink ref="W4089" r:id="rId4083" xr:uid="{00000000-0004-0000-0000-0000F20F0000}"/>
    <hyperlink ref="W4090" r:id="rId4084" xr:uid="{00000000-0004-0000-0000-0000F30F0000}"/>
    <hyperlink ref="W4091" r:id="rId4085" xr:uid="{00000000-0004-0000-0000-0000F40F0000}"/>
    <hyperlink ref="W4092" r:id="rId4086" xr:uid="{00000000-0004-0000-0000-0000F50F0000}"/>
    <hyperlink ref="W4093" r:id="rId4087" xr:uid="{00000000-0004-0000-0000-0000F60F0000}"/>
    <hyperlink ref="W4094" r:id="rId4088" xr:uid="{00000000-0004-0000-0000-0000F70F0000}"/>
    <hyperlink ref="W4095" r:id="rId4089" xr:uid="{00000000-0004-0000-0000-0000F80F0000}"/>
    <hyperlink ref="W4096" r:id="rId4090" xr:uid="{00000000-0004-0000-0000-0000F90F0000}"/>
    <hyperlink ref="W4097" r:id="rId4091" xr:uid="{00000000-0004-0000-0000-0000FA0F0000}"/>
    <hyperlink ref="W4098" r:id="rId4092" xr:uid="{00000000-0004-0000-0000-0000FB0F0000}"/>
    <hyperlink ref="W4099" r:id="rId4093" xr:uid="{00000000-0004-0000-0000-0000FC0F0000}"/>
    <hyperlink ref="W4100" r:id="rId4094" xr:uid="{00000000-0004-0000-0000-0000FD0F0000}"/>
    <hyperlink ref="W4101" r:id="rId4095" xr:uid="{00000000-0004-0000-0000-0000FE0F0000}"/>
    <hyperlink ref="W4102" r:id="rId4096" xr:uid="{00000000-0004-0000-0000-0000FF0F0000}"/>
    <hyperlink ref="W4103" r:id="rId4097" xr:uid="{00000000-0004-0000-0000-000000100000}"/>
    <hyperlink ref="W4104" r:id="rId4098" xr:uid="{00000000-0004-0000-0000-000001100000}"/>
    <hyperlink ref="W4105" r:id="rId4099" xr:uid="{00000000-0004-0000-0000-000002100000}"/>
    <hyperlink ref="W4106" r:id="rId4100" xr:uid="{00000000-0004-0000-0000-000003100000}"/>
    <hyperlink ref="W4107" r:id="rId4101" xr:uid="{00000000-0004-0000-0000-000004100000}"/>
    <hyperlink ref="W4108" r:id="rId4102" xr:uid="{00000000-0004-0000-0000-000005100000}"/>
    <hyperlink ref="W4109" r:id="rId4103" xr:uid="{00000000-0004-0000-0000-000006100000}"/>
    <hyperlink ref="W4110" r:id="rId4104" xr:uid="{00000000-0004-0000-0000-000007100000}"/>
    <hyperlink ref="W4111" r:id="rId4105" xr:uid="{00000000-0004-0000-0000-000008100000}"/>
    <hyperlink ref="W4112" r:id="rId4106" xr:uid="{00000000-0004-0000-0000-000009100000}"/>
    <hyperlink ref="W4113" r:id="rId4107" xr:uid="{00000000-0004-0000-0000-00000A100000}"/>
    <hyperlink ref="W4114" r:id="rId4108" xr:uid="{00000000-0004-0000-0000-00000B100000}"/>
    <hyperlink ref="W4115" r:id="rId4109" xr:uid="{00000000-0004-0000-0000-00000C100000}"/>
    <hyperlink ref="W4116" r:id="rId4110" xr:uid="{00000000-0004-0000-0000-00000D100000}"/>
    <hyperlink ref="W4117" r:id="rId4111" xr:uid="{00000000-0004-0000-0000-00000E100000}"/>
    <hyperlink ref="W4118" r:id="rId4112" xr:uid="{00000000-0004-0000-0000-00000F100000}"/>
    <hyperlink ref="W4119" r:id="rId4113" xr:uid="{00000000-0004-0000-0000-000010100000}"/>
    <hyperlink ref="W4120" r:id="rId4114" xr:uid="{00000000-0004-0000-0000-000011100000}"/>
    <hyperlink ref="W4121" r:id="rId4115" xr:uid="{00000000-0004-0000-0000-000012100000}"/>
    <hyperlink ref="W4122" r:id="rId4116" xr:uid="{00000000-0004-0000-0000-000013100000}"/>
    <hyperlink ref="W4123" r:id="rId4117" xr:uid="{00000000-0004-0000-0000-000014100000}"/>
    <hyperlink ref="W4124" r:id="rId4118" xr:uid="{00000000-0004-0000-0000-000015100000}"/>
    <hyperlink ref="W4125" r:id="rId4119" xr:uid="{00000000-0004-0000-0000-000016100000}"/>
    <hyperlink ref="W4126" r:id="rId4120" xr:uid="{00000000-0004-0000-0000-000017100000}"/>
    <hyperlink ref="W4127" r:id="rId4121" xr:uid="{00000000-0004-0000-0000-000018100000}"/>
    <hyperlink ref="W4128" r:id="rId4122" xr:uid="{00000000-0004-0000-0000-000019100000}"/>
    <hyperlink ref="W4129" r:id="rId4123" xr:uid="{00000000-0004-0000-0000-00001A100000}"/>
    <hyperlink ref="W4130" r:id="rId4124" xr:uid="{00000000-0004-0000-0000-00001B100000}"/>
    <hyperlink ref="W4131" r:id="rId4125" xr:uid="{00000000-0004-0000-0000-00001C100000}"/>
    <hyperlink ref="W4132" r:id="rId4126" xr:uid="{00000000-0004-0000-0000-00001D100000}"/>
    <hyperlink ref="W4133" r:id="rId4127" xr:uid="{00000000-0004-0000-0000-00001E100000}"/>
    <hyperlink ref="W4134" r:id="rId4128" xr:uid="{00000000-0004-0000-0000-00001F100000}"/>
    <hyperlink ref="W4135" r:id="rId4129" xr:uid="{00000000-0004-0000-0000-000020100000}"/>
    <hyperlink ref="W4136" r:id="rId4130" xr:uid="{00000000-0004-0000-0000-000021100000}"/>
    <hyperlink ref="W4137" r:id="rId4131" xr:uid="{00000000-0004-0000-0000-000022100000}"/>
    <hyperlink ref="W4138" r:id="rId4132" xr:uid="{00000000-0004-0000-0000-000023100000}"/>
    <hyperlink ref="W4139" r:id="rId4133" xr:uid="{00000000-0004-0000-0000-000024100000}"/>
    <hyperlink ref="W4140" r:id="rId4134" xr:uid="{00000000-0004-0000-0000-000025100000}"/>
    <hyperlink ref="W4141" r:id="rId4135" xr:uid="{00000000-0004-0000-0000-000026100000}"/>
    <hyperlink ref="W4142" r:id="rId4136" xr:uid="{00000000-0004-0000-0000-000027100000}"/>
    <hyperlink ref="W4143" r:id="rId4137" xr:uid="{00000000-0004-0000-0000-000028100000}"/>
    <hyperlink ref="W4144" r:id="rId4138" xr:uid="{00000000-0004-0000-0000-000029100000}"/>
    <hyperlink ref="W4145" r:id="rId4139" xr:uid="{00000000-0004-0000-0000-00002A100000}"/>
    <hyperlink ref="W4146" r:id="rId4140" xr:uid="{00000000-0004-0000-0000-00002B100000}"/>
    <hyperlink ref="W4147" r:id="rId4141" xr:uid="{00000000-0004-0000-0000-00002C100000}"/>
    <hyperlink ref="W4148" r:id="rId4142" xr:uid="{00000000-0004-0000-0000-00002D100000}"/>
    <hyperlink ref="W4149" r:id="rId4143" xr:uid="{00000000-0004-0000-0000-00002E100000}"/>
    <hyperlink ref="W4150" r:id="rId4144" xr:uid="{00000000-0004-0000-0000-00002F100000}"/>
    <hyperlink ref="W4151" r:id="rId4145" xr:uid="{00000000-0004-0000-0000-000030100000}"/>
    <hyperlink ref="W4152" r:id="rId4146" xr:uid="{00000000-0004-0000-0000-000031100000}"/>
    <hyperlink ref="W4153" r:id="rId4147" xr:uid="{00000000-0004-0000-0000-000032100000}"/>
    <hyperlink ref="W4154" r:id="rId4148" xr:uid="{00000000-0004-0000-0000-000033100000}"/>
    <hyperlink ref="W4155" r:id="rId4149" xr:uid="{00000000-0004-0000-0000-000034100000}"/>
    <hyperlink ref="W4156" r:id="rId4150" xr:uid="{00000000-0004-0000-0000-000035100000}"/>
    <hyperlink ref="W4157" r:id="rId4151" xr:uid="{00000000-0004-0000-0000-000036100000}"/>
    <hyperlink ref="W4158" r:id="rId4152" xr:uid="{00000000-0004-0000-0000-000037100000}"/>
    <hyperlink ref="W4159" r:id="rId4153" xr:uid="{00000000-0004-0000-0000-000038100000}"/>
    <hyperlink ref="W4160" r:id="rId4154" xr:uid="{00000000-0004-0000-0000-000039100000}"/>
    <hyperlink ref="W4161" r:id="rId4155" xr:uid="{00000000-0004-0000-0000-00003A100000}"/>
    <hyperlink ref="W4162" r:id="rId4156" xr:uid="{00000000-0004-0000-0000-00003B100000}"/>
    <hyperlink ref="W4163" r:id="rId4157" xr:uid="{00000000-0004-0000-0000-00003C100000}"/>
    <hyperlink ref="W4164" r:id="rId4158" xr:uid="{00000000-0004-0000-0000-00003D100000}"/>
    <hyperlink ref="W4165" r:id="rId4159" xr:uid="{00000000-0004-0000-0000-00003E100000}"/>
    <hyperlink ref="W4166" r:id="rId4160" xr:uid="{00000000-0004-0000-0000-00003F100000}"/>
    <hyperlink ref="W4167" r:id="rId4161" xr:uid="{00000000-0004-0000-0000-000040100000}"/>
    <hyperlink ref="W4168" r:id="rId4162" xr:uid="{00000000-0004-0000-0000-000041100000}"/>
    <hyperlink ref="W4169" r:id="rId4163" xr:uid="{00000000-0004-0000-0000-000042100000}"/>
    <hyperlink ref="W4170" r:id="rId4164" xr:uid="{00000000-0004-0000-0000-000043100000}"/>
    <hyperlink ref="W4171" r:id="rId4165" xr:uid="{00000000-0004-0000-0000-000044100000}"/>
    <hyperlink ref="W4172" r:id="rId4166" xr:uid="{00000000-0004-0000-0000-000045100000}"/>
    <hyperlink ref="W4173" r:id="rId4167" xr:uid="{00000000-0004-0000-0000-000046100000}"/>
    <hyperlink ref="W4174" r:id="rId4168" xr:uid="{00000000-0004-0000-0000-000047100000}"/>
    <hyperlink ref="W4175" r:id="rId4169" xr:uid="{00000000-0004-0000-0000-000048100000}"/>
    <hyperlink ref="W4176" r:id="rId4170" xr:uid="{00000000-0004-0000-0000-000049100000}"/>
    <hyperlink ref="W4177" r:id="rId4171" xr:uid="{00000000-0004-0000-0000-00004A100000}"/>
    <hyperlink ref="W4178" r:id="rId4172" xr:uid="{00000000-0004-0000-0000-00004B100000}"/>
    <hyperlink ref="W4179" r:id="rId4173" xr:uid="{00000000-0004-0000-0000-00004C100000}"/>
    <hyperlink ref="W4180" r:id="rId4174" xr:uid="{00000000-0004-0000-0000-00004D100000}"/>
    <hyperlink ref="W4181" r:id="rId4175" xr:uid="{00000000-0004-0000-0000-00004E100000}"/>
    <hyperlink ref="W4182" r:id="rId4176" xr:uid="{00000000-0004-0000-0000-00004F100000}"/>
    <hyperlink ref="W4183" r:id="rId4177" xr:uid="{00000000-0004-0000-0000-000050100000}"/>
    <hyperlink ref="W4184" r:id="rId4178" xr:uid="{00000000-0004-0000-0000-000051100000}"/>
    <hyperlink ref="W4185" r:id="rId4179" xr:uid="{00000000-0004-0000-0000-000052100000}"/>
    <hyperlink ref="W4186" r:id="rId4180" xr:uid="{00000000-0004-0000-0000-000053100000}"/>
    <hyperlink ref="W4187" r:id="rId4181" xr:uid="{00000000-0004-0000-0000-000054100000}"/>
    <hyperlink ref="W4188" r:id="rId4182" xr:uid="{00000000-0004-0000-0000-000055100000}"/>
    <hyperlink ref="W4189" r:id="rId4183" xr:uid="{00000000-0004-0000-0000-000056100000}"/>
    <hyperlink ref="W4190" r:id="rId4184" xr:uid="{00000000-0004-0000-0000-000057100000}"/>
    <hyperlink ref="W4191" r:id="rId4185" xr:uid="{00000000-0004-0000-0000-000058100000}"/>
    <hyperlink ref="W4192" r:id="rId4186" xr:uid="{00000000-0004-0000-0000-000059100000}"/>
    <hyperlink ref="W4193" r:id="rId4187" xr:uid="{00000000-0004-0000-0000-00005A100000}"/>
    <hyperlink ref="W4194" r:id="rId4188" xr:uid="{00000000-0004-0000-0000-00005B100000}"/>
    <hyperlink ref="W4195" r:id="rId4189" xr:uid="{00000000-0004-0000-0000-00005C100000}"/>
    <hyperlink ref="W4196" r:id="rId4190" xr:uid="{00000000-0004-0000-0000-00005D100000}"/>
    <hyperlink ref="W4197" r:id="rId4191" xr:uid="{00000000-0004-0000-0000-00005E100000}"/>
    <hyperlink ref="W4198" r:id="rId4192" xr:uid="{00000000-0004-0000-0000-00005F100000}"/>
    <hyperlink ref="W4199" r:id="rId4193" xr:uid="{00000000-0004-0000-0000-000060100000}"/>
    <hyperlink ref="W4200" r:id="rId4194" xr:uid="{00000000-0004-0000-0000-000061100000}"/>
    <hyperlink ref="W4201" r:id="rId4195" xr:uid="{00000000-0004-0000-0000-000062100000}"/>
    <hyperlink ref="W4202" r:id="rId4196" xr:uid="{00000000-0004-0000-0000-000063100000}"/>
    <hyperlink ref="W4203" r:id="rId4197" xr:uid="{00000000-0004-0000-0000-000064100000}"/>
    <hyperlink ref="W4204" r:id="rId4198" xr:uid="{00000000-0004-0000-0000-000065100000}"/>
    <hyperlink ref="W4205" r:id="rId4199" xr:uid="{00000000-0004-0000-0000-000066100000}"/>
    <hyperlink ref="W4206" r:id="rId4200" xr:uid="{00000000-0004-0000-0000-000067100000}"/>
    <hyperlink ref="W4207" r:id="rId4201" xr:uid="{00000000-0004-0000-0000-000068100000}"/>
    <hyperlink ref="W4208" r:id="rId4202" xr:uid="{00000000-0004-0000-0000-000069100000}"/>
    <hyperlink ref="W4209" r:id="rId4203" xr:uid="{00000000-0004-0000-0000-00006A100000}"/>
    <hyperlink ref="W4210" r:id="rId4204" xr:uid="{00000000-0004-0000-0000-00006B100000}"/>
    <hyperlink ref="W4211" r:id="rId4205" xr:uid="{00000000-0004-0000-0000-00006C100000}"/>
    <hyperlink ref="W4212" r:id="rId4206" xr:uid="{00000000-0004-0000-0000-00006D100000}"/>
    <hyperlink ref="W4213" r:id="rId4207" xr:uid="{00000000-0004-0000-0000-00006E100000}"/>
    <hyperlink ref="W4214" r:id="rId4208" xr:uid="{00000000-0004-0000-0000-00006F100000}"/>
    <hyperlink ref="W4215" r:id="rId4209" xr:uid="{00000000-0004-0000-0000-000070100000}"/>
    <hyperlink ref="W4216" r:id="rId4210" xr:uid="{00000000-0004-0000-0000-000071100000}"/>
    <hyperlink ref="W4217" r:id="rId4211" xr:uid="{00000000-0004-0000-0000-000072100000}"/>
    <hyperlink ref="W4218" r:id="rId4212" xr:uid="{00000000-0004-0000-0000-000073100000}"/>
    <hyperlink ref="W4219" r:id="rId4213" xr:uid="{00000000-0004-0000-0000-000074100000}"/>
    <hyperlink ref="W4220" r:id="rId4214" xr:uid="{00000000-0004-0000-0000-000075100000}"/>
    <hyperlink ref="W4221" r:id="rId4215" xr:uid="{00000000-0004-0000-0000-000076100000}"/>
    <hyperlink ref="W4222" r:id="rId4216" xr:uid="{00000000-0004-0000-0000-000077100000}"/>
    <hyperlink ref="W4223" r:id="rId4217" xr:uid="{00000000-0004-0000-0000-000078100000}"/>
    <hyperlink ref="W4224" r:id="rId4218" xr:uid="{00000000-0004-0000-0000-000079100000}"/>
    <hyperlink ref="W4225" r:id="rId4219" xr:uid="{00000000-0004-0000-0000-00007A100000}"/>
    <hyperlink ref="W4226" r:id="rId4220" xr:uid="{00000000-0004-0000-0000-00007B100000}"/>
    <hyperlink ref="W4227" r:id="rId4221" xr:uid="{00000000-0004-0000-0000-00007C100000}"/>
    <hyperlink ref="W4228" r:id="rId4222" xr:uid="{00000000-0004-0000-0000-00007D100000}"/>
    <hyperlink ref="W4229" r:id="rId4223" xr:uid="{00000000-0004-0000-0000-00007E100000}"/>
    <hyperlink ref="W4230" r:id="rId4224" xr:uid="{00000000-0004-0000-0000-00007F100000}"/>
    <hyperlink ref="W4231" r:id="rId4225" xr:uid="{00000000-0004-0000-0000-000080100000}"/>
    <hyperlink ref="W4232" r:id="rId4226" xr:uid="{00000000-0004-0000-0000-000081100000}"/>
    <hyperlink ref="W4233" r:id="rId4227" xr:uid="{00000000-0004-0000-0000-000082100000}"/>
    <hyperlink ref="W4234" r:id="rId4228" xr:uid="{00000000-0004-0000-0000-000083100000}"/>
    <hyperlink ref="W4235" r:id="rId4229" xr:uid="{00000000-0004-0000-0000-000084100000}"/>
    <hyperlink ref="W4236" r:id="rId4230" xr:uid="{00000000-0004-0000-0000-000085100000}"/>
    <hyperlink ref="W4237" r:id="rId4231" xr:uid="{00000000-0004-0000-0000-000086100000}"/>
    <hyperlink ref="W4238" r:id="rId4232" xr:uid="{00000000-0004-0000-0000-000087100000}"/>
    <hyperlink ref="W4239" r:id="rId4233" xr:uid="{00000000-0004-0000-0000-000088100000}"/>
    <hyperlink ref="W4240" r:id="rId4234" xr:uid="{00000000-0004-0000-0000-000089100000}"/>
    <hyperlink ref="W4241" r:id="rId4235" xr:uid="{00000000-0004-0000-0000-00008A100000}"/>
    <hyperlink ref="W4242" r:id="rId4236" xr:uid="{00000000-0004-0000-0000-00008B100000}"/>
    <hyperlink ref="W4243" r:id="rId4237" xr:uid="{00000000-0004-0000-0000-00008C100000}"/>
    <hyperlink ref="W4244" r:id="rId4238" xr:uid="{00000000-0004-0000-0000-00008D100000}"/>
    <hyperlink ref="W4245" r:id="rId4239" xr:uid="{00000000-0004-0000-0000-00008E100000}"/>
    <hyperlink ref="W4246" r:id="rId4240" xr:uid="{00000000-0004-0000-0000-00008F100000}"/>
    <hyperlink ref="W4247" r:id="rId4241" xr:uid="{00000000-0004-0000-0000-000090100000}"/>
    <hyperlink ref="W4248" r:id="rId4242" xr:uid="{00000000-0004-0000-0000-000091100000}"/>
    <hyperlink ref="W4249" r:id="rId4243" xr:uid="{00000000-0004-0000-0000-000092100000}"/>
    <hyperlink ref="W4250" r:id="rId4244" xr:uid="{00000000-0004-0000-0000-000093100000}"/>
    <hyperlink ref="W4251" r:id="rId4245" xr:uid="{00000000-0004-0000-0000-000094100000}"/>
    <hyperlink ref="W4252" r:id="rId4246" xr:uid="{00000000-0004-0000-0000-000095100000}"/>
    <hyperlink ref="W4253" r:id="rId4247" xr:uid="{00000000-0004-0000-0000-000096100000}"/>
    <hyperlink ref="W4254" r:id="rId4248" xr:uid="{00000000-0004-0000-0000-000097100000}"/>
    <hyperlink ref="W4255" r:id="rId4249" xr:uid="{00000000-0004-0000-0000-000098100000}"/>
    <hyperlink ref="W4256" r:id="rId4250" xr:uid="{00000000-0004-0000-0000-000099100000}"/>
    <hyperlink ref="W4257" r:id="rId4251" xr:uid="{00000000-0004-0000-0000-00009A100000}"/>
    <hyperlink ref="W4258" r:id="rId4252" xr:uid="{00000000-0004-0000-0000-00009B100000}"/>
    <hyperlink ref="W4259" r:id="rId4253" xr:uid="{00000000-0004-0000-0000-00009C100000}"/>
    <hyperlink ref="W4260" r:id="rId4254" xr:uid="{00000000-0004-0000-0000-00009D100000}"/>
    <hyperlink ref="W4261" r:id="rId4255" xr:uid="{00000000-0004-0000-0000-00009E100000}"/>
    <hyperlink ref="W4262" r:id="rId4256" xr:uid="{00000000-0004-0000-0000-00009F100000}"/>
    <hyperlink ref="W4263" r:id="rId4257" xr:uid="{00000000-0004-0000-0000-0000A0100000}"/>
    <hyperlink ref="W4264" r:id="rId4258" xr:uid="{00000000-0004-0000-0000-0000A1100000}"/>
    <hyperlink ref="W4265" r:id="rId4259" xr:uid="{00000000-0004-0000-0000-0000A2100000}"/>
    <hyperlink ref="W4266" r:id="rId4260" xr:uid="{00000000-0004-0000-0000-0000A3100000}"/>
    <hyperlink ref="W4267" r:id="rId4261" xr:uid="{00000000-0004-0000-0000-0000A4100000}"/>
    <hyperlink ref="W4268" r:id="rId4262" xr:uid="{00000000-0004-0000-0000-0000A5100000}"/>
    <hyperlink ref="W4269" r:id="rId4263" xr:uid="{00000000-0004-0000-0000-0000A6100000}"/>
    <hyperlink ref="W4270" r:id="rId4264" xr:uid="{00000000-0004-0000-0000-0000A7100000}"/>
    <hyperlink ref="W4271" r:id="rId4265" xr:uid="{00000000-0004-0000-0000-0000A8100000}"/>
    <hyperlink ref="W4272" r:id="rId4266" xr:uid="{00000000-0004-0000-0000-0000A9100000}"/>
    <hyperlink ref="W4273" r:id="rId4267" xr:uid="{00000000-0004-0000-0000-0000AA100000}"/>
    <hyperlink ref="W4274" r:id="rId4268" xr:uid="{00000000-0004-0000-0000-0000AB100000}"/>
    <hyperlink ref="W4275" r:id="rId4269" xr:uid="{00000000-0004-0000-0000-0000AC100000}"/>
    <hyperlink ref="W4276" r:id="rId4270" xr:uid="{00000000-0004-0000-0000-0000AD100000}"/>
    <hyperlink ref="W4277" r:id="rId4271" xr:uid="{00000000-0004-0000-0000-0000AE100000}"/>
    <hyperlink ref="W4278" r:id="rId4272" xr:uid="{00000000-0004-0000-0000-0000AF100000}"/>
    <hyperlink ref="W4279" r:id="rId4273" xr:uid="{00000000-0004-0000-0000-0000B0100000}"/>
    <hyperlink ref="W4280" r:id="rId4274" xr:uid="{00000000-0004-0000-0000-0000B1100000}"/>
    <hyperlink ref="W4281" r:id="rId4275" xr:uid="{00000000-0004-0000-0000-0000B2100000}"/>
    <hyperlink ref="W4282" r:id="rId4276" xr:uid="{00000000-0004-0000-0000-0000B3100000}"/>
    <hyperlink ref="W4283" r:id="rId4277" xr:uid="{00000000-0004-0000-0000-0000B4100000}"/>
    <hyperlink ref="W4284" r:id="rId4278" xr:uid="{00000000-0004-0000-0000-0000B5100000}"/>
    <hyperlink ref="W4285" r:id="rId4279" xr:uid="{00000000-0004-0000-0000-0000B6100000}"/>
    <hyperlink ref="W4286" r:id="rId4280" xr:uid="{00000000-0004-0000-0000-0000B7100000}"/>
    <hyperlink ref="W4287" r:id="rId4281" xr:uid="{00000000-0004-0000-0000-0000B8100000}"/>
    <hyperlink ref="W4288" r:id="rId4282" xr:uid="{00000000-0004-0000-0000-0000B9100000}"/>
    <hyperlink ref="W4289" r:id="rId4283" xr:uid="{00000000-0004-0000-0000-0000BA100000}"/>
    <hyperlink ref="W4290" r:id="rId4284" xr:uid="{00000000-0004-0000-0000-0000BB100000}"/>
    <hyperlink ref="W4291" r:id="rId4285" xr:uid="{00000000-0004-0000-0000-0000BC100000}"/>
    <hyperlink ref="W4292" r:id="rId4286" xr:uid="{00000000-0004-0000-0000-0000BD100000}"/>
    <hyperlink ref="W4293" r:id="rId4287" xr:uid="{00000000-0004-0000-0000-0000BE100000}"/>
    <hyperlink ref="W4294" r:id="rId4288" xr:uid="{00000000-0004-0000-0000-0000BF100000}"/>
    <hyperlink ref="W4295" r:id="rId4289" xr:uid="{00000000-0004-0000-0000-0000C0100000}"/>
    <hyperlink ref="W4296" r:id="rId4290" xr:uid="{00000000-0004-0000-0000-0000C1100000}"/>
    <hyperlink ref="W4297" r:id="rId4291" xr:uid="{00000000-0004-0000-0000-0000C2100000}"/>
    <hyperlink ref="W4298" r:id="rId4292" xr:uid="{00000000-0004-0000-0000-0000C3100000}"/>
    <hyperlink ref="W4299" r:id="rId4293" xr:uid="{00000000-0004-0000-0000-0000C4100000}"/>
    <hyperlink ref="W4300" r:id="rId4294" xr:uid="{00000000-0004-0000-0000-0000C5100000}"/>
    <hyperlink ref="W4301" r:id="rId4295" xr:uid="{00000000-0004-0000-0000-0000C6100000}"/>
    <hyperlink ref="W4302" r:id="rId4296" xr:uid="{00000000-0004-0000-0000-0000C7100000}"/>
    <hyperlink ref="W4303" r:id="rId4297" xr:uid="{00000000-0004-0000-0000-0000C8100000}"/>
    <hyperlink ref="W4304" r:id="rId4298" xr:uid="{00000000-0004-0000-0000-0000C9100000}"/>
    <hyperlink ref="W4305" r:id="rId4299" xr:uid="{00000000-0004-0000-0000-0000CA100000}"/>
    <hyperlink ref="W4306" r:id="rId4300" xr:uid="{00000000-0004-0000-0000-0000CB100000}"/>
    <hyperlink ref="W4307" r:id="rId4301" xr:uid="{00000000-0004-0000-0000-0000CC100000}"/>
    <hyperlink ref="W4308" r:id="rId4302" xr:uid="{00000000-0004-0000-0000-0000CD100000}"/>
    <hyperlink ref="W4309" r:id="rId4303" xr:uid="{00000000-0004-0000-0000-0000CE100000}"/>
    <hyperlink ref="W4310" r:id="rId4304" xr:uid="{00000000-0004-0000-0000-0000CF100000}"/>
    <hyperlink ref="W4311" r:id="rId4305" xr:uid="{00000000-0004-0000-0000-0000D0100000}"/>
    <hyperlink ref="W4312" r:id="rId4306" xr:uid="{00000000-0004-0000-0000-0000D1100000}"/>
    <hyperlink ref="W4313" r:id="rId4307" xr:uid="{00000000-0004-0000-0000-0000D2100000}"/>
    <hyperlink ref="W4314" r:id="rId4308" xr:uid="{00000000-0004-0000-0000-0000D3100000}"/>
    <hyperlink ref="W4315" r:id="rId4309" xr:uid="{00000000-0004-0000-0000-0000D4100000}"/>
    <hyperlink ref="W4316" r:id="rId4310" xr:uid="{00000000-0004-0000-0000-0000D5100000}"/>
    <hyperlink ref="W4317" r:id="rId4311" xr:uid="{00000000-0004-0000-0000-0000D6100000}"/>
    <hyperlink ref="W4318" r:id="rId4312" xr:uid="{00000000-0004-0000-0000-0000D7100000}"/>
    <hyperlink ref="W4319" r:id="rId4313" xr:uid="{00000000-0004-0000-0000-0000D8100000}"/>
    <hyperlink ref="W4320" r:id="rId4314" xr:uid="{00000000-0004-0000-0000-0000D9100000}"/>
    <hyperlink ref="W4321" r:id="rId4315" xr:uid="{00000000-0004-0000-0000-0000DA100000}"/>
    <hyperlink ref="W4322" r:id="rId4316" xr:uid="{00000000-0004-0000-0000-0000DB100000}"/>
    <hyperlink ref="W4323" r:id="rId4317" xr:uid="{00000000-0004-0000-0000-0000DC100000}"/>
    <hyperlink ref="W4324" r:id="rId4318" xr:uid="{00000000-0004-0000-0000-0000DD100000}"/>
    <hyperlink ref="W4325" r:id="rId4319" xr:uid="{00000000-0004-0000-0000-0000DE100000}"/>
    <hyperlink ref="W4326" r:id="rId4320" xr:uid="{00000000-0004-0000-0000-0000DF100000}"/>
    <hyperlink ref="W4327" r:id="rId4321" xr:uid="{00000000-0004-0000-0000-0000E0100000}"/>
    <hyperlink ref="W4328" r:id="rId4322" xr:uid="{00000000-0004-0000-0000-0000E1100000}"/>
    <hyperlink ref="W4329" r:id="rId4323" xr:uid="{00000000-0004-0000-0000-0000E2100000}"/>
    <hyperlink ref="W4330" r:id="rId4324" xr:uid="{00000000-0004-0000-0000-0000E3100000}"/>
    <hyperlink ref="W4331" r:id="rId4325" xr:uid="{00000000-0004-0000-0000-0000E4100000}"/>
    <hyperlink ref="W4332" r:id="rId4326" xr:uid="{00000000-0004-0000-0000-0000E5100000}"/>
    <hyperlink ref="W4333" r:id="rId4327" xr:uid="{00000000-0004-0000-0000-0000E6100000}"/>
    <hyperlink ref="W4334" r:id="rId4328" xr:uid="{00000000-0004-0000-0000-0000E7100000}"/>
    <hyperlink ref="W4335" r:id="rId4329" xr:uid="{00000000-0004-0000-0000-0000E8100000}"/>
    <hyperlink ref="W4336" r:id="rId4330" xr:uid="{00000000-0004-0000-0000-0000E9100000}"/>
    <hyperlink ref="W4337" r:id="rId4331" xr:uid="{00000000-0004-0000-0000-0000EA100000}"/>
    <hyperlink ref="W4338" r:id="rId4332" xr:uid="{00000000-0004-0000-0000-0000EB100000}"/>
    <hyperlink ref="W4339" r:id="rId4333" xr:uid="{00000000-0004-0000-0000-0000EC100000}"/>
    <hyperlink ref="W4340" r:id="rId4334" xr:uid="{00000000-0004-0000-0000-0000ED100000}"/>
    <hyperlink ref="W4341" r:id="rId4335" xr:uid="{00000000-0004-0000-0000-0000EE100000}"/>
    <hyperlink ref="W4342" r:id="rId4336" xr:uid="{00000000-0004-0000-0000-0000EF100000}"/>
    <hyperlink ref="W4343" r:id="rId4337" xr:uid="{00000000-0004-0000-0000-0000F0100000}"/>
    <hyperlink ref="W4344" r:id="rId4338" xr:uid="{00000000-0004-0000-0000-0000F1100000}"/>
    <hyperlink ref="W4345" r:id="rId4339" xr:uid="{00000000-0004-0000-0000-0000F2100000}"/>
    <hyperlink ref="W4346" r:id="rId4340" xr:uid="{00000000-0004-0000-0000-0000F3100000}"/>
    <hyperlink ref="W4347" r:id="rId4341" xr:uid="{00000000-0004-0000-0000-0000F4100000}"/>
    <hyperlink ref="W4348" r:id="rId4342" xr:uid="{00000000-0004-0000-0000-0000F5100000}"/>
    <hyperlink ref="W4349" r:id="rId4343" xr:uid="{00000000-0004-0000-0000-0000F6100000}"/>
    <hyperlink ref="W4350" r:id="rId4344" xr:uid="{00000000-0004-0000-0000-0000F7100000}"/>
    <hyperlink ref="W4351" r:id="rId4345" xr:uid="{00000000-0004-0000-0000-0000F8100000}"/>
    <hyperlink ref="W4352" r:id="rId4346" xr:uid="{00000000-0004-0000-0000-0000F9100000}"/>
    <hyperlink ref="W4353" r:id="rId4347" xr:uid="{00000000-0004-0000-0000-0000FA100000}"/>
    <hyperlink ref="W4354" r:id="rId4348" xr:uid="{00000000-0004-0000-0000-0000FB100000}"/>
    <hyperlink ref="W4355" r:id="rId4349" xr:uid="{00000000-0004-0000-0000-0000FC100000}"/>
    <hyperlink ref="W4356" r:id="rId4350" xr:uid="{00000000-0004-0000-0000-0000FD100000}"/>
    <hyperlink ref="W4357" r:id="rId4351" xr:uid="{00000000-0004-0000-0000-0000FE100000}"/>
    <hyperlink ref="W4358" r:id="rId4352" xr:uid="{00000000-0004-0000-0000-0000FF100000}"/>
    <hyperlink ref="W4359" r:id="rId4353" xr:uid="{00000000-0004-0000-0000-000000110000}"/>
    <hyperlink ref="W4360" r:id="rId4354" xr:uid="{00000000-0004-0000-0000-000001110000}"/>
    <hyperlink ref="W4361" r:id="rId4355" xr:uid="{00000000-0004-0000-0000-000002110000}"/>
    <hyperlink ref="W4362" r:id="rId4356" xr:uid="{00000000-0004-0000-0000-000003110000}"/>
    <hyperlink ref="W4363" r:id="rId4357" xr:uid="{00000000-0004-0000-0000-000004110000}"/>
    <hyperlink ref="W4364" r:id="rId4358" xr:uid="{00000000-0004-0000-0000-000005110000}"/>
    <hyperlink ref="W4365" r:id="rId4359" xr:uid="{00000000-0004-0000-0000-000006110000}"/>
    <hyperlink ref="W4366" r:id="rId4360" xr:uid="{00000000-0004-0000-0000-000007110000}"/>
    <hyperlink ref="W4367" r:id="rId4361" xr:uid="{00000000-0004-0000-0000-000008110000}"/>
    <hyperlink ref="W4368" r:id="rId4362" xr:uid="{00000000-0004-0000-0000-000009110000}"/>
    <hyperlink ref="W4369" r:id="rId4363" xr:uid="{00000000-0004-0000-0000-00000A110000}"/>
    <hyperlink ref="W4370" r:id="rId4364" xr:uid="{00000000-0004-0000-0000-00000B110000}"/>
    <hyperlink ref="W4371" r:id="rId4365" xr:uid="{00000000-0004-0000-0000-00000C110000}"/>
    <hyperlink ref="W4372" r:id="rId4366" xr:uid="{00000000-0004-0000-0000-00000D110000}"/>
    <hyperlink ref="W4373" r:id="rId4367" xr:uid="{00000000-0004-0000-0000-00000E110000}"/>
    <hyperlink ref="W4374" r:id="rId4368" xr:uid="{00000000-0004-0000-0000-00000F110000}"/>
    <hyperlink ref="W4375" r:id="rId4369" xr:uid="{00000000-0004-0000-0000-000010110000}"/>
    <hyperlink ref="W4376" r:id="rId4370" xr:uid="{00000000-0004-0000-0000-000011110000}"/>
    <hyperlink ref="W4377" r:id="rId4371" xr:uid="{00000000-0004-0000-0000-000012110000}"/>
    <hyperlink ref="W4378" r:id="rId4372" xr:uid="{00000000-0004-0000-0000-000013110000}"/>
    <hyperlink ref="W4379" r:id="rId4373" xr:uid="{00000000-0004-0000-0000-000014110000}"/>
    <hyperlink ref="W4380" r:id="rId4374" xr:uid="{00000000-0004-0000-0000-000015110000}"/>
    <hyperlink ref="W4381" r:id="rId4375" xr:uid="{00000000-0004-0000-0000-000016110000}"/>
    <hyperlink ref="W4382" r:id="rId4376" xr:uid="{00000000-0004-0000-0000-000017110000}"/>
    <hyperlink ref="W4383" r:id="rId4377" xr:uid="{00000000-0004-0000-0000-000018110000}"/>
    <hyperlink ref="W4384" r:id="rId4378" xr:uid="{00000000-0004-0000-0000-000019110000}"/>
    <hyperlink ref="W4385" r:id="rId4379" xr:uid="{00000000-0004-0000-0000-00001A110000}"/>
    <hyperlink ref="W4386" r:id="rId4380" xr:uid="{00000000-0004-0000-0000-00001B110000}"/>
    <hyperlink ref="W4387" r:id="rId4381" xr:uid="{00000000-0004-0000-0000-00001C110000}"/>
    <hyperlink ref="W4388" r:id="rId4382" xr:uid="{00000000-0004-0000-0000-00001D110000}"/>
    <hyperlink ref="W4389" r:id="rId4383" xr:uid="{00000000-0004-0000-0000-00001E110000}"/>
    <hyperlink ref="W4390" r:id="rId4384" xr:uid="{00000000-0004-0000-0000-00001F110000}"/>
    <hyperlink ref="W4391" r:id="rId4385" xr:uid="{00000000-0004-0000-0000-000020110000}"/>
    <hyperlink ref="W4392" r:id="rId4386" xr:uid="{00000000-0004-0000-0000-000021110000}"/>
    <hyperlink ref="W4393" r:id="rId4387" xr:uid="{00000000-0004-0000-0000-000022110000}"/>
    <hyperlink ref="W4394" r:id="rId4388" xr:uid="{00000000-0004-0000-0000-000023110000}"/>
    <hyperlink ref="W4395" r:id="rId4389" xr:uid="{00000000-0004-0000-0000-000024110000}"/>
    <hyperlink ref="W4396" r:id="rId4390" xr:uid="{00000000-0004-0000-0000-000025110000}"/>
    <hyperlink ref="W4397" r:id="rId4391" xr:uid="{00000000-0004-0000-0000-000026110000}"/>
    <hyperlink ref="W4398" r:id="rId4392" xr:uid="{00000000-0004-0000-0000-000027110000}"/>
    <hyperlink ref="W4399" r:id="rId4393" xr:uid="{00000000-0004-0000-0000-000028110000}"/>
    <hyperlink ref="W4400" r:id="rId4394" xr:uid="{00000000-0004-0000-0000-000029110000}"/>
    <hyperlink ref="W4401" r:id="rId4395" xr:uid="{00000000-0004-0000-0000-00002A110000}"/>
    <hyperlink ref="W4402" r:id="rId4396" xr:uid="{00000000-0004-0000-0000-00002B110000}"/>
    <hyperlink ref="W4403" r:id="rId4397" xr:uid="{00000000-0004-0000-0000-00002C110000}"/>
    <hyperlink ref="W4404" r:id="rId4398" xr:uid="{00000000-0004-0000-0000-00002D110000}"/>
    <hyperlink ref="W4405" r:id="rId4399" xr:uid="{00000000-0004-0000-0000-00002E110000}"/>
    <hyperlink ref="W4406" r:id="rId4400" xr:uid="{00000000-0004-0000-0000-00002F110000}"/>
    <hyperlink ref="W4407" r:id="rId4401" xr:uid="{00000000-0004-0000-0000-000030110000}"/>
    <hyperlink ref="W4408" r:id="rId4402" xr:uid="{00000000-0004-0000-0000-000031110000}"/>
    <hyperlink ref="W4409" r:id="rId4403" xr:uid="{00000000-0004-0000-0000-000032110000}"/>
    <hyperlink ref="W4410" r:id="rId4404" xr:uid="{00000000-0004-0000-0000-000033110000}"/>
    <hyperlink ref="W4411" r:id="rId4405" xr:uid="{00000000-0004-0000-0000-000034110000}"/>
    <hyperlink ref="W4412" r:id="rId4406" xr:uid="{00000000-0004-0000-0000-000035110000}"/>
    <hyperlink ref="W4413" r:id="rId4407" xr:uid="{00000000-0004-0000-0000-000036110000}"/>
    <hyperlink ref="W4414" r:id="rId4408" xr:uid="{00000000-0004-0000-0000-000037110000}"/>
    <hyperlink ref="W4415" r:id="rId4409" xr:uid="{00000000-0004-0000-0000-000038110000}"/>
    <hyperlink ref="W4416" r:id="rId4410" xr:uid="{00000000-0004-0000-0000-000039110000}"/>
    <hyperlink ref="W4417" r:id="rId4411" xr:uid="{00000000-0004-0000-0000-00003A110000}"/>
    <hyperlink ref="W4418" r:id="rId4412" xr:uid="{00000000-0004-0000-0000-00003B110000}"/>
    <hyperlink ref="W4419" r:id="rId4413" xr:uid="{00000000-0004-0000-0000-00003C110000}"/>
    <hyperlink ref="W4420" r:id="rId4414" xr:uid="{00000000-0004-0000-0000-00003D110000}"/>
    <hyperlink ref="W4421" r:id="rId4415" xr:uid="{00000000-0004-0000-0000-00003E110000}"/>
    <hyperlink ref="W4422" r:id="rId4416" xr:uid="{00000000-0004-0000-0000-00003F110000}"/>
    <hyperlink ref="W4423" r:id="rId4417" xr:uid="{00000000-0004-0000-0000-000040110000}"/>
    <hyperlink ref="W4424" r:id="rId4418" xr:uid="{00000000-0004-0000-0000-000041110000}"/>
    <hyperlink ref="W4425" r:id="rId4419" xr:uid="{00000000-0004-0000-0000-000042110000}"/>
    <hyperlink ref="W4426" r:id="rId4420" xr:uid="{00000000-0004-0000-0000-000043110000}"/>
    <hyperlink ref="W4427" r:id="rId4421" xr:uid="{00000000-0004-0000-0000-000044110000}"/>
    <hyperlink ref="W4428" r:id="rId4422" xr:uid="{00000000-0004-0000-0000-000045110000}"/>
    <hyperlink ref="W4429" r:id="rId4423" xr:uid="{00000000-0004-0000-0000-000046110000}"/>
    <hyperlink ref="W4430" r:id="rId4424" xr:uid="{00000000-0004-0000-0000-000047110000}"/>
    <hyperlink ref="W4431" r:id="rId4425" xr:uid="{00000000-0004-0000-0000-000048110000}"/>
    <hyperlink ref="W4432" r:id="rId4426" xr:uid="{00000000-0004-0000-0000-000049110000}"/>
    <hyperlink ref="W4433" r:id="rId4427" xr:uid="{00000000-0004-0000-0000-00004A110000}"/>
    <hyperlink ref="W4434" r:id="rId4428" xr:uid="{00000000-0004-0000-0000-00004B110000}"/>
    <hyperlink ref="W4435" r:id="rId4429" xr:uid="{00000000-0004-0000-0000-00004C110000}"/>
    <hyperlink ref="W4436" r:id="rId4430" xr:uid="{00000000-0004-0000-0000-00004D110000}"/>
    <hyperlink ref="W4437" r:id="rId4431" xr:uid="{00000000-0004-0000-0000-00004E110000}"/>
    <hyperlink ref="W4438" r:id="rId4432" xr:uid="{00000000-0004-0000-0000-00004F110000}"/>
    <hyperlink ref="W4439" r:id="rId4433" xr:uid="{00000000-0004-0000-0000-000050110000}"/>
    <hyperlink ref="W4440" r:id="rId4434" xr:uid="{00000000-0004-0000-0000-000051110000}"/>
    <hyperlink ref="W4441" r:id="rId4435" xr:uid="{00000000-0004-0000-0000-000052110000}"/>
    <hyperlink ref="W4442" r:id="rId4436" xr:uid="{00000000-0004-0000-0000-000053110000}"/>
    <hyperlink ref="W4443" r:id="rId4437" xr:uid="{00000000-0004-0000-0000-000054110000}"/>
    <hyperlink ref="W4444" r:id="rId4438" xr:uid="{00000000-0004-0000-0000-000055110000}"/>
    <hyperlink ref="W4445" r:id="rId4439" xr:uid="{00000000-0004-0000-0000-000056110000}"/>
    <hyperlink ref="W4446" r:id="rId4440" xr:uid="{00000000-0004-0000-0000-000057110000}"/>
    <hyperlink ref="W4447" r:id="rId4441" xr:uid="{00000000-0004-0000-0000-000058110000}"/>
    <hyperlink ref="W4448" r:id="rId4442" xr:uid="{00000000-0004-0000-0000-000059110000}"/>
    <hyperlink ref="W4449" r:id="rId4443" xr:uid="{00000000-0004-0000-0000-00005A110000}"/>
    <hyperlink ref="W4450" r:id="rId4444" xr:uid="{00000000-0004-0000-0000-00005B110000}"/>
    <hyperlink ref="W4451" r:id="rId4445" xr:uid="{00000000-0004-0000-0000-00005C110000}"/>
    <hyperlink ref="W4452" r:id="rId4446" xr:uid="{00000000-0004-0000-0000-00005D110000}"/>
    <hyperlink ref="W4453" r:id="rId4447" xr:uid="{00000000-0004-0000-0000-00005E110000}"/>
    <hyperlink ref="W4454" r:id="rId4448" xr:uid="{00000000-0004-0000-0000-00005F110000}"/>
    <hyperlink ref="W4455" r:id="rId4449" xr:uid="{00000000-0004-0000-0000-000060110000}"/>
    <hyperlink ref="W4456" r:id="rId4450" xr:uid="{00000000-0004-0000-0000-000061110000}"/>
    <hyperlink ref="W4457" r:id="rId4451" xr:uid="{00000000-0004-0000-0000-000062110000}"/>
    <hyperlink ref="W4458" r:id="rId4452" xr:uid="{00000000-0004-0000-0000-000063110000}"/>
    <hyperlink ref="W4459" r:id="rId4453" xr:uid="{00000000-0004-0000-0000-000064110000}"/>
    <hyperlink ref="W4460" r:id="rId4454" xr:uid="{00000000-0004-0000-0000-000065110000}"/>
    <hyperlink ref="W4461" r:id="rId4455" xr:uid="{00000000-0004-0000-0000-000066110000}"/>
    <hyperlink ref="W4462" r:id="rId4456" xr:uid="{00000000-0004-0000-0000-000067110000}"/>
    <hyperlink ref="W4463" r:id="rId4457" xr:uid="{00000000-0004-0000-0000-000068110000}"/>
    <hyperlink ref="W4464" r:id="rId4458" xr:uid="{00000000-0004-0000-0000-000069110000}"/>
    <hyperlink ref="W4465" r:id="rId4459" xr:uid="{00000000-0004-0000-0000-00006A110000}"/>
    <hyperlink ref="W4466" r:id="rId4460" xr:uid="{00000000-0004-0000-0000-00006B110000}"/>
    <hyperlink ref="W4467" r:id="rId4461" xr:uid="{00000000-0004-0000-0000-00006C110000}"/>
    <hyperlink ref="W4468" r:id="rId4462" xr:uid="{00000000-0004-0000-0000-00006D110000}"/>
    <hyperlink ref="W4469" r:id="rId4463" xr:uid="{00000000-0004-0000-0000-00006E110000}"/>
    <hyperlink ref="W4470" r:id="rId4464" xr:uid="{00000000-0004-0000-0000-00006F110000}"/>
    <hyperlink ref="W4471" r:id="rId4465" xr:uid="{00000000-0004-0000-0000-000070110000}"/>
    <hyperlink ref="W4472" r:id="rId4466" xr:uid="{00000000-0004-0000-0000-000071110000}"/>
    <hyperlink ref="W4473" r:id="rId4467" xr:uid="{00000000-0004-0000-0000-000072110000}"/>
    <hyperlink ref="W4474" r:id="rId4468" xr:uid="{00000000-0004-0000-0000-000073110000}"/>
    <hyperlink ref="W4475" r:id="rId4469" xr:uid="{00000000-0004-0000-0000-000074110000}"/>
    <hyperlink ref="W4476" r:id="rId4470" xr:uid="{00000000-0004-0000-0000-000075110000}"/>
    <hyperlink ref="W4477" r:id="rId4471" xr:uid="{00000000-0004-0000-0000-000076110000}"/>
    <hyperlink ref="W4478" r:id="rId4472" xr:uid="{00000000-0004-0000-0000-000077110000}"/>
    <hyperlink ref="W4479" r:id="rId4473" xr:uid="{00000000-0004-0000-0000-000078110000}"/>
    <hyperlink ref="W4480" r:id="rId4474" xr:uid="{00000000-0004-0000-0000-000079110000}"/>
    <hyperlink ref="W4481" r:id="rId4475" xr:uid="{00000000-0004-0000-0000-00007A110000}"/>
    <hyperlink ref="W4482" r:id="rId4476" xr:uid="{00000000-0004-0000-0000-00007B110000}"/>
    <hyperlink ref="W4483" r:id="rId4477" xr:uid="{00000000-0004-0000-0000-00007C110000}"/>
    <hyperlink ref="W4484" r:id="rId4478" xr:uid="{00000000-0004-0000-0000-00007D110000}"/>
    <hyperlink ref="W4485" r:id="rId4479" xr:uid="{00000000-0004-0000-0000-00007E110000}"/>
    <hyperlink ref="W4486" r:id="rId4480" xr:uid="{00000000-0004-0000-0000-00007F110000}"/>
    <hyperlink ref="W4487" r:id="rId4481" xr:uid="{00000000-0004-0000-0000-000080110000}"/>
    <hyperlink ref="W4488" r:id="rId4482" xr:uid="{00000000-0004-0000-0000-000081110000}"/>
    <hyperlink ref="W4489" r:id="rId4483" xr:uid="{00000000-0004-0000-0000-000082110000}"/>
    <hyperlink ref="W4490" r:id="rId4484" xr:uid="{00000000-0004-0000-0000-000083110000}"/>
    <hyperlink ref="W4491" r:id="rId4485" xr:uid="{00000000-0004-0000-0000-000084110000}"/>
    <hyperlink ref="W4492" r:id="rId4486" xr:uid="{00000000-0004-0000-0000-000085110000}"/>
    <hyperlink ref="W4493" r:id="rId4487" xr:uid="{00000000-0004-0000-0000-000086110000}"/>
    <hyperlink ref="W4494" r:id="rId4488" xr:uid="{00000000-0004-0000-0000-000087110000}"/>
    <hyperlink ref="W4495" r:id="rId4489" xr:uid="{00000000-0004-0000-0000-000088110000}"/>
    <hyperlink ref="W4496" r:id="rId4490" xr:uid="{00000000-0004-0000-0000-000089110000}"/>
    <hyperlink ref="W4497" r:id="rId4491" xr:uid="{00000000-0004-0000-0000-00008A110000}"/>
    <hyperlink ref="W4498" r:id="rId4492" xr:uid="{00000000-0004-0000-0000-00008B110000}"/>
    <hyperlink ref="W4499" r:id="rId4493" xr:uid="{00000000-0004-0000-0000-00008C110000}"/>
    <hyperlink ref="W4500" r:id="rId4494" xr:uid="{00000000-0004-0000-0000-00008D110000}"/>
    <hyperlink ref="W4501" r:id="rId4495" xr:uid="{00000000-0004-0000-0000-00008E110000}"/>
    <hyperlink ref="W4502" r:id="rId4496" xr:uid="{00000000-0004-0000-0000-00008F110000}"/>
    <hyperlink ref="W4503" r:id="rId4497" xr:uid="{00000000-0004-0000-0000-000090110000}"/>
    <hyperlink ref="W4504" r:id="rId4498" xr:uid="{00000000-0004-0000-0000-000091110000}"/>
    <hyperlink ref="W4505" r:id="rId4499" xr:uid="{00000000-0004-0000-0000-000092110000}"/>
    <hyperlink ref="W4506" r:id="rId4500" xr:uid="{00000000-0004-0000-0000-000093110000}"/>
    <hyperlink ref="W4507" r:id="rId4501" xr:uid="{00000000-0004-0000-0000-000094110000}"/>
    <hyperlink ref="W4508" r:id="rId4502" xr:uid="{00000000-0004-0000-0000-000095110000}"/>
    <hyperlink ref="W4509" r:id="rId4503" xr:uid="{00000000-0004-0000-0000-000096110000}"/>
    <hyperlink ref="W4510" r:id="rId4504" xr:uid="{00000000-0004-0000-0000-000097110000}"/>
    <hyperlink ref="W4511" r:id="rId4505" xr:uid="{00000000-0004-0000-0000-000098110000}"/>
    <hyperlink ref="W4512" r:id="rId4506" xr:uid="{00000000-0004-0000-0000-000099110000}"/>
    <hyperlink ref="W4513" r:id="rId4507" xr:uid="{00000000-0004-0000-0000-00009A110000}"/>
    <hyperlink ref="W4514" r:id="rId4508" xr:uid="{00000000-0004-0000-0000-00009B110000}"/>
    <hyperlink ref="W4515" r:id="rId4509" xr:uid="{00000000-0004-0000-0000-00009C110000}"/>
    <hyperlink ref="W4516" r:id="rId4510" xr:uid="{00000000-0004-0000-0000-00009D110000}"/>
    <hyperlink ref="W4517" r:id="rId4511" xr:uid="{00000000-0004-0000-0000-00009E110000}"/>
    <hyperlink ref="W4518" r:id="rId4512" xr:uid="{00000000-0004-0000-0000-00009F110000}"/>
    <hyperlink ref="W4519" r:id="rId4513" xr:uid="{00000000-0004-0000-0000-0000A0110000}"/>
    <hyperlink ref="W4520" r:id="rId4514" xr:uid="{00000000-0004-0000-0000-0000A1110000}"/>
    <hyperlink ref="W4521" r:id="rId4515" xr:uid="{00000000-0004-0000-0000-0000A2110000}"/>
    <hyperlink ref="W4522" r:id="rId4516" xr:uid="{00000000-0004-0000-0000-0000A3110000}"/>
    <hyperlink ref="W4523" r:id="rId4517" xr:uid="{00000000-0004-0000-0000-0000A4110000}"/>
    <hyperlink ref="W4524" r:id="rId4518" xr:uid="{00000000-0004-0000-0000-0000A5110000}"/>
    <hyperlink ref="W4525" r:id="rId4519" xr:uid="{00000000-0004-0000-0000-0000A6110000}"/>
    <hyperlink ref="W4526" r:id="rId4520" xr:uid="{00000000-0004-0000-0000-0000A7110000}"/>
    <hyperlink ref="W4527" r:id="rId4521" xr:uid="{00000000-0004-0000-0000-0000A8110000}"/>
    <hyperlink ref="W4528" r:id="rId4522" xr:uid="{00000000-0004-0000-0000-0000A9110000}"/>
    <hyperlink ref="W4529" r:id="rId4523" xr:uid="{00000000-0004-0000-0000-0000AA110000}"/>
    <hyperlink ref="W4530" r:id="rId4524" xr:uid="{00000000-0004-0000-0000-0000AB110000}"/>
    <hyperlink ref="W4531" r:id="rId4525" xr:uid="{00000000-0004-0000-0000-0000AC110000}"/>
    <hyperlink ref="W4532" r:id="rId4526" xr:uid="{00000000-0004-0000-0000-0000AD110000}"/>
    <hyperlink ref="W4533" r:id="rId4527" xr:uid="{00000000-0004-0000-0000-0000AE110000}"/>
    <hyperlink ref="W4534" r:id="rId4528" xr:uid="{00000000-0004-0000-0000-0000AF110000}"/>
    <hyperlink ref="W4535" r:id="rId4529" xr:uid="{00000000-0004-0000-0000-0000B0110000}"/>
    <hyperlink ref="W4536" r:id="rId4530" xr:uid="{00000000-0004-0000-0000-0000B1110000}"/>
    <hyperlink ref="W4537" r:id="rId4531" xr:uid="{00000000-0004-0000-0000-0000B2110000}"/>
    <hyperlink ref="W4538" r:id="rId4532" xr:uid="{00000000-0004-0000-0000-0000B3110000}"/>
    <hyperlink ref="W4539" r:id="rId4533" xr:uid="{00000000-0004-0000-0000-0000B4110000}"/>
    <hyperlink ref="W4540" r:id="rId4534" xr:uid="{00000000-0004-0000-0000-0000B5110000}"/>
    <hyperlink ref="W4541" r:id="rId4535" xr:uid="{00000000-0004-0000-0000-0000B6110000}"/>
    <hyperlink ref="W4542" r:id="rId4536" xr:uid="{00000000-0004-0000-0000-0000B7110000}"/>
    <hyperlink ref="W4543" r:id="rId4537" xr:uid="{00000000-0004-0000-0000-0000B8110000}"/>
    <hyperlink ref="W4544" r:id="rId4538" xr:uid="{00000000-0004-0000-0000-0000B9110000}"/>
    <hyperlink ref="W4545" r:id="rId4539" xr:uid="{00000000-0004-0000-0000-0000BA110000}"/>
    <hyperlink ref="W4546" r:id="rId4540" xr:uid="{00000000-0004-0000-0000-0000BB110000}"/>
    <hyperlink ref="W4547" r:id="rId4541" xr:uid="{00000000-0004-0000-0000-0000BC110000}"/>
    <hyperlink ref="W4548" r:id="rId4542" xr:uid="{00000000-0004-0000-0000-0000BD110000}"/>
    <hyperlink ref="W4549" r:id="rId4543" xr:uid="{00000000-0004-0000-0000-0000BE110000}"/>
    <hyperlink ref="W4550" r:id="rId4544" xr:uid="{00000000-0004-0000-0000-0000BF110000}"/>
    <hyperlink ref="W4551" r:id="rId4545" xr:uid="{00000000-0004-0000-0000-0000C0110000}"/>
    <hyperlink ref="W4552" r:id="rId4546" xr:uid="{00000000-0004-0000-0000-0000C1110000}"/>
    <hyperlink ref="W4553" r:id="rId4547" xr:uid="{00000000-0004-0000-0000-0000C2110000}"/>
    <hyperlink ref="W4554" r:id="rId4548" xr:uid="{00000000-0004-0000-0000-0000C3110000}"/>
    <hyperlink ref="W4555" r:id="rId4549" xr:uid="{00000000-0004-0000-0000-0000C4110000}"/>
    <hyperlink ref="W4556" r:id="rId4550" xr:uid="{00000000-0004-0000-0000-0000C5110000}"/>
    <hyperlink ref="W4557" r:id="rId4551" xr:uid="{00000000-0004-0000-0000-0000C6110000}"/>
    <hyperlink ref="W4558" r:id="rId4552" xr:uid="{00000000-0004-0000-0000-0000C7110000}"/>
    <hyperlink ref="W4559" r:id="rId4553" xr:uid="{00000000-0004-0000-0000-0000C8110000}"/>
    <hyperlink ref="W4560" r:id="rId4554" xr:uid="{00000000-0004-0000-0000-0000C9110000}"/>
    <hyperlink ref="W4561" r:id="rId4555" xr:uid="{00000000-0004-0000-0000-0000CA110000}"/>
    <hyperlink ref="W4562" r:id="rId4556" xr:uid="{00000000-0004-0000-0000-0000CB110000}"/>
    <hyperlink ref="W4563" r:id="rId4557" xr:uid="{00000000-0004-0000-0000-0000CC110000}"/>
    <hyperlink ref="W4564" r:id="rId4558" xr:uid="{00000000-0004-0000-0000-0000CD110000}"/>
    <hyperlink ref="W4565" r:id="rId4559" xr:uid="{00000000-0004-0000-0000-0000CE110000}"/>
    <hyperlink ref="W4566" r:id="rId4560" xr:uid="{00000000-0004-0000-0000-0000CF110000}"/>
    <hyperlink ref="W4567" r:id="rId4561" xr:uid="{00000000-0004-0000-0000-0000D0110000}"/>
    <hyperlink ref="W4568" r:id="rId4562" xr:uid="{00000000-0004-0000-0000-0000D1110000}"/>
    <hyperlink ref="W4569" r:id="rId4563" xr:uid="{00000000-0004-0000-0000-0000D2110000}"/>
    <hyperlink ref="W4570" r:id="rId4564" xr:uid="{00000000-0004-0000-0000-0000D3110000}"/>
    <hyperlink ref="W4571" r:id="rId4565" xr:uid="{00000000-0004-0000-0000-0000D4110000}"/>
    <hyperlink ref="W4572" r:id="rId4566" xr:uid="{00000000-0004-0000-0000-0000D5110000}"/>
    <hyperlink ref="W4573" r:id="rId4567" xr:uid="{00000000-0004-0000-0000-0000D6110000}"/>
    <hyperlink ref="W4574" r:id="rId4568" xr:uid="{00000000-0004-0000-0000-0000D7110000}"/>
    <hyperlink ref="W4575" r:id="rId4569" xr:uid="{00000000-0004-0000-0000-0000D8110000}"/>
    <hyperlink ref="W4576" r:id="rId4570" xr:uid="{00000000-0004-0000-0000-0000D9110000}"/>
    <hyperlink ref="W4577" r:id="rId4571" xr:uid="{00000000-0004-0000-0000-0000DA110000}"/>
    <hyperlink ref="W4578" r:id="rId4572" xr:uid="{00000000-0004-0000-0000-0000DB110000}"/>
    <hyperlink ref="W4579" r:id="rId4573" xr:uid="{00000000-0004-0000-0000-0000DC110000}"/>
    <hyperlink ref="W4580" r:id="rId4574" xr:uid="{00000000-0004-0000-0000-0000DD110000}"/>
    <hyperlink ref="W4581" r:id="rId4575" xr:uid="{00000000-0004-0000-0000-0000DE110000}"/>
    <hyperlink ref="W4582" r:id="rId4576" xr:uid="{00000000-0004-0000-0000-0000DF110000}"/>
    <hyperlink ref="W4583" r:id="rId4577" xr:uid="{00000000-0004-0000-0000-0000E0110000}"/>
    <hyperlink ref="W4584" r:id="rId4578" xr:uid="{00000000-0004-0000-0000-0000E1110000}"/>
    <hyperlink ref="W4585" r:id="rId4579" xr:uid="{00000000-0004-0000-0000-0000E2110000}"/>
    <hyperlink ref="W4586" r:id="rId4580" xr:uid="{00000000-0004-0000-0000-0000E3110000}"/>
    <hyperlink ref="W4587" r:id="rId4581" xr:uid="{00000000-0004-0000-0000-0000E4110000}"/>
    <hyperlink ref="W4588" r:id="rId4582" xr:uid="{00000000-0004-0000-0000-0000E5110000}"/>
    <hyperlink ref="W4589" r:id="rId4583" xr:uid="{00000000-0004-0000-0000-0000E6110000}"/>
    <hyperlink ref="W4590" r:id="rId4584" xr:uid="{00000000-0004-0000-0000-0000E7110000}"/>
    <hyperlink ref="W4591" r:id="rId4585" xr:uid="{00000000-0004-0000-0000-0000E8110000}"/>
    <hyperlink ref="W4592" r:id="rId4586" xr:uid="{00000000-0004-0000-0000-0000E9110000}"/>
    <hyperlink ref="W4593" r:id="rId4587" xr:uid="{00000000-0004-0000-0000-0000EA110000}"/>
    <hyperlink ref="W4594" r:id="rId4588" xr:uid="{00000000-0004-0000-0000-0000EB110000}"/>
    <hyperlink ref="W4595" r:id="rId4589" xr:uid="{00000000-0004-0000-0000-0000EC110000}"/>
    <hyperlink ref="W4596" r:id="rId4590" xr:uid="{00000000-0004-0000-0000-0000ED110000}"/>
    <hyperlink ref="W4597" r:id="rId4591" xr:uid="{00000000-0004-0000-0000-0000EE110000}"/>
    <hyperlink ref="W4598" r:id="rId4592" xr:uid="{00000000-0004-0000-0000-0000EF110000}"/>
    <hyperlink ref="W4599" r:id="rId4593" xr:uid="{00000000-0004-0000-0000-0000F0110000}"/>
    <hyperlink ref="W4600" r:id="rId4594" xr:uid="{00000000-0004-0000-0000-0000F1110000}"/>
    <hyperlink ref="W4601" r:id="rId4595" xr:uid="{00000000-0004-0000-0000-0000F2110000}"/>
    <hyperlink ref="W4602" r:id="rId4596" xr:uid="{00000000-0004-0000-0000-0000F3110000}"/>
    <hyperlink ref="W4603" r:id="rId4597" xr:uid="{00000000-0004-0000-0000-0000F4110000}"/>
    <hyperlink ref="W4604" r:id="rId4598" xr:uid="{00000000-0004-0000-0000-0000F5110000}"/>
    <hyperlink ref="W4605" r:id="rId4599" xr:uid="{00000000-0004-0000-0000-0000F6110000}"/>
    <hyperlink ref="W4606" r:id="rId4600" xr:uid="{00000000-0004-0000-0000-0000F7110000}"/>
    <hyperlink ref="W4607" r:id="rId4601" xr:uid="{00000000-0004-0000-0000-0000F8110000}"/>
    <hyperlink ref="W4608" r:id="rId4602" xr:uid="{00000000-0004-0000-0000-0000F9110000}"/>
    <hyperlink ref="W4609" r:id="rId4603" xr:uid="{00000000-0004-0000-0000-0000FA110000}"/>
    <hyperlink ref="W4610" r:id="rId4604" xr:uid="{00000000-0004-0000-0000-0000FB110000}"/>
    <hyperlink ref="W4611" r:id="rId4605" xr:uid="{00000000-0004-0000-0000-0000FC110000}"/>
    <hyperlink ref="W4612" r:id="rId4606" xr:uid="{00000000-0004-0000-0000-0000FD110000}"/>
    <hyperlink ref="W4613" r:id="rId4607" xr:uid="{00000000-0004-0000-0000-0000FE110000}"/>
    <hyperlink ref="W4614" r:id="rId4608" xr:uid="{00000000-0004-0000-0000-0000FF110000}"/>
    <hyperlink ref="W4615" r:id="rId4609" xr:uid="{00000000-0004-0000-0000-000000120000}"/>
    <hyperlink ref="W4616" r:id="rId4610" xr:uid="{00000000-0004-0000-0000-000001120000}"/>
    <hyperlink ref="W4617" r:id="rId4611" xr:uid="{00000000-0004-0000-0000-000002120000}"/>
    <hyperlink ref="W4618" r:id="rId4612" xr:uid="{00000000-0004-0000-0000-000003120000}"/>
    <hyperlink ref="W4619" r:id="rId4613" xr:uid="{00000000-0004-0000-0000-000004120000}"/>
    <hyperlink ref="W4620" r:id="rId4614" xr:uid="{00000000-0004-0000-0000-000005120000}"/>
    <hyperlink ref="W4621" r:id="rId4615" xr:uid="{00000000-0004-0000-0000-000006120000}"/>
    <hyperlink ref="W4622" r:id="rId4616" xr:uid="{00000000-0004-0000-0000-000007120000}"/>
    <hyperlink ref="W4623" r:id="rId4617" xr:uid="{00000000-0004-0000-0000-000008120000}"/>
    <hyperlink ref="W4624" r:id="rId4618" xr:uid="{00000000-0004-0000-0000-000009120000}"/>
    <hyperlink ref="W4625" r:id="rId4619" xr:uid="{00000000-0004-0000-0000-00000A120000}"/>
    <hyperlink ref="W4626" r:id="rId4620" xr:uid="{00000000-0004-0000-0000-00000B120000}"/>
    <hyperlink ref="W4627" r:id="rId4621" xr:uid="{00000000-0004-0000-0000-00000C120000}"/>
    <hyperlink ref="W4628" r:id="rId4622" xr:uid="{00000000-0004-0000-0000-00000D120000}"/>
    <hyperlink ref="W4629" r:id="rId4623" xr:uid="{00000000-0004-0000-0000-00000E120000}"/>
    <hyperlink ref="W4630" r:id="rId4624" xr:uid="{00000000-0004-0000-0000-00000F120000}"/>
    <hyperlink ref="W4631" r:id="rId4625" xr:uid="{00000000-0004-0000-0000-000010120000}"/>
    <hyperlink ref="W4632" r:id="rId4626" xr:uid="{00000000-0004-0000-0000-000011120000}"/>
    <hyperlink ref="W4633" r:id="rId4627" xr:uid="{00000000-0004-0000-0000-000012120000}"/>
    <hyperlink ref="W4634" r:id="rId4628" xr:uid="{00000000-0004-0000-0000-000013120000}"/>
    <hyperlink ref="W4635" r:id="rId4629" xr:uid="{00000000-0004-0000-0000-000014120000}"/>
    <hyperlink ref="W4636" r:id="rId4630" xr:uid="{00000000-0004-0000-0000-000015120000}"/>
    <hyperlink ref="W4637" r:id="rId4631" xr:uid="{00000000-0004-0000-0000-000016120000}"/>
    <hyperlink ref="W4638" r:id="rId4632" xr:uid="{00000000-0004-0000-0000-000017120000}"/>
    <hyperlink ref="W4639" r:id="rId4633" xr:uid="{00000000-0004-0000-0000-000018120000}"/>
    <hyperlink ref="W4640" r:id="rId4634" xr:uid="{00000000-0004-0000-0000-000019120000}"/>
    <hyperlink ref="W4641" r:id="rId4635" xr:uid="{00000000-0004-0000-0000-00001A120000}"/>
    <hyperlink ref="W4642" r:id="rId4636" xr:uid="{00000000-0004-0000-0000-00001B120000}"/>
    <hyperlink ref="W4643" r:id="rId4637" xr:uid="{00000000-0004-0000-0000-00001C120000}"/>
    <hyperlink ref="W4644" r:id="rId4638" xr:uid="{00000000-0004-0000-0000-00001D120000}"/>
    <hyperlink ref="W4645" r:id="rId4639" xr:uid="{00000000-0004-0000-0000-00001E120000}"/>
    <hyperlink ref="W4646" r:id="rId4640" xr:uid="{00000000-0004-0000-0000-00001F120000}"/>
    <hyperlink ref="W4647" r:id="rId4641" xr:uid="{00000000-0004-0000-0000-000020120000}"/>
    <hyperlink ref="W4648" r:id="rId4642" xr:uid="{00000000-0004-0000-0000-000021120000}"/>
    <hyperlink ref="W4649" r:id="rId4643" xr:uid="{00000000-0004-0000-0000-000022120000}"/>
    <hyperlink ref="W4650" r:id="rId4644" xr:uid="{00000000-0004-0000-0000-000023120000}"/>
    <hyperlink ref="W4651" r:id="rId4645" xr:uid="{00000000-0004-0000-0000-000024120000}"/>
    <hyperlink ref="W4652" r:id="rId4646" xr:uid="{00000000-0004-0000-0000-000025120000}"/>
    <hyperlink ref="W4653" r:id="rId4647" xr:uid="{00000000-0004-0000-0000-000026120000}"/>
    <hyperlink ref="W4654" r:id="rId4648" xr:uid="{00000000-0004-0000-0000-000027120000}"/>
    <hyperlink ref="W4655" r:id="rId4649" xr:uid="{00000000-0004-0000-0000-000028120000}"/>
    <hyperlink ref="W4656" r:id="rId4650" xr:uid="{00000000-0004-0000-0000-000029120000}"/>
    <hyperlink ref="W4657" r:id="rId4651" xr:uid="{00000000-0004-0000-0000-00002A120000}"/>
    <hyperlink ref="W4658" r:id="rId4652" xr:uid="{00000000-0004-0000-0000-00002B120000}"/>
    <hyperlink ref="W4659" r:id="rId4653" xr:uid="{00000000-0004-0000-0000-00002C120000}"/>
    <hyperlink ref="W4660" r:id="rId4654" xr:uid="{00000000-0004-0000-0000-00002D120000}"/>
    <hyperlink ref="W4661" r:id="rId4655" xr:uid="{00000000-0004-0000-0000-00002E120000}"/>
    <hyperlink ref="W4662" r:id="rId4656" xr:uid="{00000000-0004-0000-0000-00002F120000}"/>
    <hyperlink ref="W4663" r:id="rId4657" xr:uid="{00000000-0004-0000-0000-000030120000}"/>
    <hyperlink ref="W4664" r:id="rId4658" xr:uid="{00000000-0004-0000-0000-000031120000}"/>
    <hyperlink ref="W4665" r:id="rId4659" xr:uid="{00000000-0004-0000-0000-000032120000}"/>
    <hyperlink ref="W4666" r:id="rId4660" xr:uid="{00000000-0004-0000-0000-000033120000}"/>
    <hyperlink ref="W4667" r:id="rId4661" xr:uid="{00000000-0004-0000-0000-000034120000}"/>
    <hyperlink ref="W4668" r:id="rId4662" xr:uid="{00000000-0004-0000-0000-000035120000}"/>
    <hyperlink ref="W4669" r:id="rId4663" xr:uid="{00000000-0004-0000-0000-000036120000}"/>
    <hyperlink ref="W4670" r:id="rId4664" xr:uid="{00000000-0004-0000-0000-000037120000}"/>
    <hyperlink ref="W4671" r:id="rId4665" xr:uid="{00000000-0004-0000-0000-000038120000}"/>
    <hyperlink ref="W4672" r:id="rId4666" xr:uid="{00000000-0004-0000-0000-000039120000}"/>
    <hyperlink ref="W4673" r:id="rId4667" xr:uid="{00000000-0004-0000-0000-00003A120000}"/>
    <hyperlink ref="W4674" r:id="rId4668" xr:uid="{00000000-0004-0000-0000-00003B120000}"/>
    <hyperlink ref="W4675" r:id="rId4669" xr:uid="{00000000-0004-0000-0000-00003C120000}"/>
    <hyperlink ref="W4676" r:id="rId4670" xr:uid="{00000000-0004-0000-0000-00003D120000}"/>
    <hyperlink ref="W4677" r:id="rId4671" xr:uid="{00000000-0004-0000-0000-00003E120000}"/>
    <hyperlink ref="W4678" r:id="rId4672" xr:uid="{00000000-0004-0000-0000-00003F120000}"/>
    <hyperlink ref="W4679" r:id="rId4673" xr:uid="{00000000-0004-0000-0000-000040120000}"/>
    <hyperlink ref="W4680" r:id="rId4674" xr:uid="{00000000-0004-0000-0000-000041120000}"/>
    <hyperlink ref="W4681" r:id="rId4675" xr:uid="{00000000-0004-0000-0000-000042120000}"/>
    <hyperlink ref="W4682" r:id="rId4676" xr:uid="{00000000-0004-0000-0000-000043120000}"/>
    <hyperlink ref="W4683" r:id="rId4677" xr:uid="{00000000-0004-0000-0000-000044120000}"/>
    <hyperlink ref="W4684" r:id="rId4678" xr:uid="{00000000-0004-0000-0000-000045120000}"/>
    <hyperlink ref="W4685" r:id="rId4679" xr:uid="{00000000-0004-0000-0000-000046120000}"/>
    <hyperlink ref="W4686" r:id="rId4680" xr:uid="{00000000-0004-0000-0000-000047120000}"/>
    <hyperlink ref="W4687" r:id="rId4681" xr:uid="{00000000-0004-0000-0000-000048120000}"/>
    <hyperlink ref="W4688" r:id="rId4682" xr:uid="{00000000-0004-0000-0000-000049120000}"/>
    <hyperlink ref="W4689" r:id="rId4683" xr:uid="{00000000-0004-0000-0000-00004A120000}"/>
    <hyperlink ref="W4690" r:id="rId4684" xr:uid="{00000000-0004-0000-0000-00004B120000}"/>
    <hyperlink ref="W4691" r:id="rId4685" xr:uid="{00000000-0004-0000-0000-00004C120000}"/>
    <hyperlink ref="W4692" r:id="rId4686" xr:uid="{00000000-0004-0000-0000-00004D120000}"/>
    <hyperlink ref="W4693" r:id="rId4687" xr:uid="{00000000-0004-0000-0000-00004E120000}"/>
    <hyperlink ref="W4694" r:id="rId4688" xr:uid="{00000000-0004-0000-0000-00004F120000}"/>
    <hyperlink ref="W4695" r:id="rId4689" xr:uid="{00000000-0004-0000-0000-000050120000}"/>
    <hyperlink ref="W4696" r:id="rId4690" xr:uid="{00000000-0004-0000-0000-000051120000}"/>
    <hyperlink ref="W4697" r:id="rId4691" xr:uid="{00000000-0004-0000-0000-000052120000}"/>
    <hyperlink ref="W4698" r:id="rId4692" xr:uid="{00000000-0004-0000-0000-000053120000}"/>
    <hyperlink ref="W4699" r:id="rId4693" xr:uid="{00000000-0004-0000-0000-000054120000}"/>
    <hyperlink ref="W4700" r:id="rId4694" xr:uid="{00000000-0004-0000-0000-000055120000}"/>
    <hyperlink ref="W4701" r:id="rId4695" xr:uid="{00000000-0004-0000-0000-000056120000}"/>
    <hyperlink ref="W4702" r:id="rId4696" xr:uid="{00000000-0004-0000-0000-000057120000}"/>
    <hyperlink ref="W4703" r:id="rId4697" xr:uid="{00000000-0004-0000-0000-000058120000}"/>
    <hyperlink ref="W4704" r:id="rId4698" xr:uid="{00000000-0004-0000-0000-000059120000}"/>
    <hyperlink ref="W4705" r:id="rId4699" xr:uid="{00000000-0004-0000-0000-00005A120000}"/>
    <hyperlink ref="W4706" r:id="rId4700" xr:uid="{00000000-0004-0000-0000-00005B120000}"/>
    <hyperlink ref="W4707" r:id="rId4701" xr:uid="{00000000-0004-0000-0000-00005C120000}"/>
    <hyperlink ref="W4708" r:id="rId4702" xr:uid="{00000000-0004-0000-0000-00005D120000}"/>
    <hyperlink ref="W4709" r:id="rId4703" xr:uid="{00000000-0004-0000-0000-00005E120000}"/>
    <hyperlink ref="W4710" r:id="rId4704" xr:uid="{00000000-0004-0000-0000-00005F120000}"/>
    <hyperlink ref="W4711" r:id="rId4705" xr:uid="{00000000-0004-0000-0000-000060120000}"/>
    <hyperlink ref="W4712" r:id="rId4706" xr:uid="{00000000-0004-0000-0000-000061120000}"/>
    <hyperlink ref="W4713" r:id="rId4707" xr:uid="{00000000-0004-0000-0000-000062120000}"/>
    <hyperlink ref="W4714" r:id="rId4708" xr:uid="{00000000-0004-0000-0000-000063120000}"/>
    <hyperlink ref="W4715" r:id="rId4709" xr:uid="{00000000-0004-0000-0000-000064120000}"/>
    <hyperlink ref="W4716" r:id="rId4710" xr:uid="{00000000-0004-0000-0000-000065120000}"/>
    <hyperlink ref="W4717" r:id="rId4711" xr:uid="{00000000-0004-0000-0000-000066120000}"/>
    <hyperlink ref="W4718" r:id="rId4712" xr:uid="{00000000-0004-0000-0000-000067120000}"/>
    <hyperlink ref="W4719" r:id="rId4713" xr:uid="{00000000-0004-0000-0000-000068120000}"/>
    <hyperlink ref="W4720" r:id="rId4714" xr:uid="{00000000-0004-0000-0000-000069120000}"/>
    <hyperlink ref="W4721" r:id="rId4715" xr:uid="{00000000-0004-0000-0000-00006A120000}"/>
    <hyperlink ref="W4722" r:id="rId4716" xr:uid="{00000000-0004-0000-0000-00006B120000}"/>
    <hyperlink ref="W4723" r:id="rId4717" xr:uid="{00000000-0004-0000-0000-00006C120000}"/>
    <hyperlink ref="W4724" r:id="rId4718" xr:uid="{00000000-0004-0000-0000-00006D120000}"/>
    <hyperlink ref="W4725" r:id="rId4719" xr:uid="{00000000-0004-0000-0000-00006E120000}"/>
    <hyperlink ref="W4726" r:id="rId4720" xr:uid="{00000000-0004-0000-0000-00006F120000}"/>
    <hyperlink ref="W4727" r:id="rId4721" xr:uid="{00000000-0004-0000-0000-000070120000}"/>
    <hyperlink ref="W4728" r:id="rId4722" xr:uid="{00000000-0004-0000-0000-000071120000}"/>
    <hyperlink ref="W4729" r:id="rId4723" xr:uid="{00000000-0004-0000-0000-000072120000}"/>
    <hyperlink ref="W4730" r:id="rId4724" xr:uid="{00000000-0004-0000-0000-000073120000}"/>
    <hyperlink ref="W4731" r:id="rId4725" xr:uid="{00000000-0004-0000-0000-000074120000}"/>
    <hyperlink ref="W4732" r:id="rId4726" xr:uid="{00000000-0004-0000-0000-000075120000}"/>
    <hyperlink ref="W4733" r:id="rId4727" xr:uid="{00000000-0004-0000-0000-000076120000}"/>
    <hyperlink ref="W4734" r:id="rId4728" xr:uid="{00000000-0004-0000-0000-000077120000}"/>
    <hyperlink ref="W4735" r:id="rId4729" xr:uid="{00000000-0004-0000-0000-000078120000}"/>
    <hyperlink ref="W4736" r:id="rId4730" xr:uid="{00000000-0004-0000-0000-000079120000}"/>
    <hyperlink ref="W4737" r:id="rId4731" xr:uid="{00000000-0004-0000-0000-00007A120000}"/>
    <hyperlink ref="W4738" r:id="rId4732" xr:uid="{00000000-0004-0000-0000-00007B120000}"/>
    <hyperlink ref="W4739" r:id="rId4733" xr:uid="{00000000-0004-0000-0000-00007C120000}"/>
    <hyperlink ref="W4740" r:id="rId4734" xr:uid="{00000000-0004-0000-0000-00007D120000}"/>
    <hyperlink ref="W4741" r:id="rId4735" xr:uid="{00000000-0004-0000-0000-00007E120000}"/>
    <hyperlink ref="W4742" r:id="rId4736" xr:uid="{00000000-0004-0000-0000-00007F120000}"/>
    <hyperlink ref="W4743" r:id="rId4737" xr:uid="{00000000-0004-0000-0000-000080120000}"/>
    <hyperlink ref="W4744" r:id="rId4738" xr:uid="{00000000-0004-0000-0000-000081120000}"/>
    <hyperlink ref="W4745" r:id="rId4739" xr:uid="{00000000-0004-0000-0000-000082120000}"/>
    <hyperlink ref="W4746" r:id="rId4740" xr:uid="{00000000-0004-0000-0000-000083120000}"/>
    <hyperlink ref="W4747" r:id="rId4741" xr:uid="{00000000-0004-0000-0000-000084120000}"/>
    <hyperlink ref="W4748" r:id="rId4742" xr:uid="{00000000-0004-0000-0000-000085120000}"/>
    <hyperlink ref="W4749" r:id="rId4743" xr:uid="{00000000-0004-0000-0000-000086120000}"/>
    <hyperlink ref="W4750" r:id="rId4744" xr:uid="{00000000-0004-0000-0000-000087120000}"/>
    <hyperlink ref="W4751" r:id="rId4745" xr:uid="{00000000-0004-0000-0000-000088120000}"/>
    <hyperlink ref="W4752" r:id="rId4746" xr:uid="{00000000-0004-0000-0000-000089120000}"/>
    <hyperlink ref="W4753" r:id="rId4747" xr:uid="{00000000-0004-0000-0000-00008A120000}"/>
    <hyperlink ref="W4754" r:id="rId4748" xr:uid="{00000000-0004-0000-0000-00008B120000}"/>
    <hyperlink ref="W4755" r:id="rId4749" xr:uid="{00000000-0004-0000-0000-00008C120000}"/>
    <hyperlink ref="W4756" r:id="rId4750" xr:uid="{00000000-0004-0000-0000-00008D120000}"/>
    <hyperlink ref="W4757" r:id="rId4751" xr:uid="{00000000-0004-0000-0000-00008E120000}"/>
    <hyperlink ref="W4758" r:id="rId4752" xr:uid="{00000000-0004-0000-0000-00008F120000}"/>
    <hyperlink ref="W4759" r:id="rId4753" xr:uid="{00000000-0004-0000-0000-000090120000}"/>
    <hyperlink ref="W4760" r:id="rId4754" xr:uid="{00000000-0004-0000-0000-000091120000}"/>
    <hyperlink ref="W4761" r:id="rId4755" xr:uid="{00000000-0004-0000-0000-000092120000}"/>
    <hyperlink ref="W4762" r:id="rId4756" xr:uid="{00000000-0004-0000-0000-000093120000}"/>
    <hyperlink ref="W4763" r:id="rId4757" xr:uid="{00000000-0004-0000-0000-000094120000}"/>
    <hyperlink ref="W4764" r:id="rId4758" xr:uid="{00000000-0004-0000-0000-000095120000}"/>
    <hyperlink ref="W4765" r:id="rId4759" xr:uid="{00000000-0004-0000-0000-000096120000}"/>
    <hyperlink ref="W4766" r:id="rId4760" xr:uid="{00000000-0004-0000-0000-000097120000}"/>
    <hyperlink ref="W4767" r:id="rId4761" xr:uid="{00000000-0004-0000-0000-000098120000}"/>
    <hyperlink ref="W4768" r:id="rId4762" xr:uid="{00000000-0004-0000-0000-000099120000}"/>
    <hyperlink ref="W4769" r:id="rId4763" xr:uid="{00000000-0004-0000-0000-00009A120000}"/>
    <hyperlink ref="W4770" r:id="rId4764" xr:uid="{00000000-0004-0000-0000-00009B120000}"/>
    <hyperlink ref="W4771" r:id="rId4765" xr:uid="{00000000-0004-0000-0000-00009C120000}"/>
    <hyperlink ref="W4772" r:id="rId4766" xr:uid="{00000000-0004-0000-0000-00009D120000}"/>
    <hyperlink ref="W4773" r:id="rId4767" xr:uid="{00000000-0004-0000-0000-00009E120000}"/>
    <hyperlink ref="W4774" r:id="rId4768" xr:uid="{00000000-0004-0000-0000-00009F120000}"/>
    <hyperlink ref="W4775" r:id="rId4769" xr:uid="{00000000-0004-0000-0000-0000A0120000}"/>
    <hyperlink ref="W4776" r:id="rId4770" xr:uid="{00000000-0004-0000-0000-0000A1120000}"/>
    <hyperlink ref="W4777" r:id="rId4771" xr:uid="{00000000-0004-0000-0000-0000A2120000}"/>
    <hyperlink ref="W4778" r:id="rId4772" xr:uid="{00000000-0004-0000-0000-0000A3120000}"/>
    <hyperlink ref="W4779" r:id="rId4773" xr:uid="{00000000-0004-0000-0000-0000A4120000}"/>
    <hyperlink ref="W4780" r:id="rId4774" xr:uid="{00000000-0004-0000-0000-0000A5120000}"/>
    <hyperlink ref="W4781" r:id="rId4775" xr:uid="{00000000-0004-0000-0000-0000A6120000}"/>
    <hyperlink ref="W4782" r:id="rId4776" xr:uid="{00000000-0004-0000-0000-0000A7120000}"/>
    <hyperlink ref="W4783" r:id="rId4777" xr:uid="{00000000-0004-0000-0000-0000A8120000}"/>
    <hyperlink ref="W4784" r:id="rId4778" xr:uid="{00000000-0004-0000-0000-0000A9120000}"/>
    <hyperlink ref="W4785" r:id="rId4779" xr:uid="{00000000-0004-0000-0000-0000AA120000}"/>
    <hyperlink ref="W4786" r:id="rId4780" xr:uid="{00000000-0004-0000-0000-0000AB120000}"/>
    <hyperlink ref="W4787" r:id="rId4781" xr:uid="{00000000-0004-0000-0000-0000AC120000}"/>
    <hyperlink ref="W4788" r:id="rId4782" xr:uid="{00000000-0004-0000-0000-0000AD120000}"/>
    <hyperlink ref="W4789" r:id="rId4783" xr:uid="{00000000-0004-0000-0000-0000AE120000}"/>
    <hyperlink ref="W4790" r:id="rId4784" xr:uid="{00000000-0004-0000-0000-0000AF120000}"/>
    <hyperlink ref="W4791" r:id="rId4785" xr:uid="{00000000-0004-0000-0000-0000B0120000}"/>
    <hyperlink ref="W4792" r:id="rId4786" xr:uid="{00000000-0004-0000-0000-0000B1120000}"/>
    <hyperlink ref="W4793" r:id="rId4787" xr:uid="{00000000-0004-0000-0000-0000B2120000}"/>
    <hyperlink ref="W4794" r:id="rId4788" xr:uid="{00000000-0004-0000-0000-0000B3120000}"/>
    <hyperlink ref="W4795" r:id="rId4789" xr:uid="{00000000-0004-0000-0000-0000B4120000}"/>
    <hyperlink ref="W4796" r:id="rId4790" xr:uid="{00000000-0004-0000-0000-0000B5120000}"/>
    <hyperlink ref="W4797" r:id="rId4791" xr:uid="{00000000-0004-0000-0000-0000B6120000}"/>
    <hyperlink ref="W4798" r:id="rId4792" xr:uid="{00000000-0004-0000-0000-0000B7120000}"/>
    <hyperlink ref="W4799" r:id="rId4793" xr:uid="{00000000-0004-0000-0000-0000B8120000}"/>
    <hyperlink ref="W4800" r:id="rId4794" xr:uid="{00000000-0004-0000-0000-0000B9120000}"/>
    <hyperlink ref="W4801" r:id="rId4795" xr:uid="{00000000-0004-0000-0000-0000BA120000}"/>
    <hyperlink ref="W4802" r:id="rId4796" xr:uid="{00000000-0004-0000-0000-0000BB120000}"/>
    <hyperlink ref="W4803" r:id="rId4797" xr:uid="{00000000-0004-0000-0000-0000BC120000}"/>
    <hyperlink ref="W4804" r:id="rId4798" xr:uid="{00000000-0004-0000-0000-0000BD120000}"/>
    <hyperlink ref="W4805" r:id="rId4799" xr:uid="{00000000-0004-0000-0000-0000BE120000}"/>
    <hyperlink ref="W4806" r:id="rId4800" xr:uid="{00000000-0004-0000-0000-0000BF120000}"/>
    <hyperlink ref="W4807" r:id="rId4801" xr:uid="{00000000-0004-0000-0000-0000C0120000}"/>
    <hyperlink ref="W4808" r:id="rId4802" xr:uid="{00000000-0004-0000-0000-0000C1120000}"/>
    <hyperlink ref="W4809" r:id="rId4803" xr:uid="{00000000-0004-0000-0000-0000C2120000}"/>
    <hyperlink ref="W4948" r:id="rId4804" xr:uid="{00000000-0004-0000-0000-0000C3120000}"/>
    <hyperlink ref="W4949" r:id="rId4805" xr:uid="{00000000-0004-0000-0000-0000C4120000}"/>
    <hyperlink ref="W4950" r:id="rId4806" xr:uid="{00000000-0004-0000-0000-0000C5120000}"/>
    <hyperlink ref="W4951" r:id="rId4807" xr:uid="{00000000-0004-0000-0000-0000C6120000}"/>
    <hyperlink ref="W4952" r:id="rId4808" xr:uid="{00000000-0004-0000-0000-0000C7120000}"/>
    <hyperlink ref="W4953" r:id="rId4809" xr:uid="{00000000-0004-0000-0000-0000C8120000}"/>
    <hyperlink ref="W4954" r:id="rId4810" xr:uid="{00000000-0004-0000-0000-0000C9120000}"/>
    <hyperlink ref="W4955" r:id="rId4811" xr:uid="{00000000-0004-0000-0000-0000CA120000}"/>
    <hyperlink ref="W4956" r:id="rId4812" xr:uid="{00000000-0004-0000-0000-0000CB120000}"/>
    <hyperlink ref="W4957" r:id="rId4813" xr:uid="{00000000-0004-0000-0000-0000CC120000}"/>
    <hyperlink ref="W4958" r:id="rId4814" xr:uid="{00000000-0004-0000-0000-0000CD120000}"/>
    <hyperlink ref="W4959" r:id="rId4815" xr:uid="{00000000-0004-0000-0000-0000CE120000}"/>
    <hyperlink ref="W4960" r:id="rId4816" xr:uid="{00000000-0004-0000-0000-0000CF120000}"/>
    <hyperlink ref="W4961" r:id="rId4817" xr:uid="{00000000-0004-0000-0000-0000D0120000}"/>
    <hyperlink ref="W4962" r:id="rId4818" xr:uid="{00000000-0004-0000-0000-0000D1120000}"/>
    <hyperlink ref="W4963" r:id="rId4819" xr:uid="{00000000-0004-0000-0000-0000D2120000}"/>
    <hyperlink ref="W4964" r:id="rId4820" xr:uid="{00000000-0004-0000-0000-0000D3120000}"/>
    <hyperlink ref="W4965" r:id="rId4821" xr:uid="{00000000-0004-0000-0000-0000D4120000}"/>
    <hyperlink ref="W4966" r:id="rId4822" xr:uid="{00000000-0004-0000-0000-0000D5120000}"/>
    <hyperlink ref="W4967" r:id="rId4823" xr:uid="{00000000-0004-0000-0000-0000D6120000}"/>
    <hyperlink ref="W4968" r:id="rId4824" xr:uid="{00000000-0004-0000-0000-0000D7120000}"/>
    <hyperlink ref="W4969" r:id="rId4825" xr:uid="{00000000-0004-0000-0000-0000D8120000}"/>
    <hyperlink ref="W4970" r:id="rId4826" xr:uid="{00000000-0004-0000-0000-0000D9120000}"/>
    <hyperlink ref="W4971" r:id="rId4827" xr:uid="{00000000-0004-0000-0000-0000DA120000}"/>
    <hyperlink ref="W4972" r:id="rId4828" xr:uid="{00000000-0004-0000-0000-0000DB120000}"/>
    <hyperlink ref="W4973" r:id="rId4829" xr:uid="{00000000-0004-0000-0000-0000DC120000}"/>
    <hyperlink ref="W4974" r:id="rId4830" xr:uid="{00000000-0004-0000-0000-0000DD120000}"/>
    <hyperlink ref="W4975" r:id="rId4831" xr:uid="{00000000-0004-0000-0000-0000DE120000}"/>
    <hyperlink ref="W4976" r:id="rId4832" xr:uid="{00000000-0004-0000-0000-0000DF120000}"/>
    <hyperlink ref="W4977" r:id="rId4833" xr:uid="{00000000-0004-0000-0000-0000E0120000}"/>
    <hyperlink ref="W4978" r:id="rId4834" xr:uid="{00000000-0004-0000-0000-0000E1120000}"/>
    <hyperlink ref="W4979" r:id="rId4835" xr:uid="{00000000-0004-0000-0000-0000E2120000}"/>
    <hyperlink ref="W4980" r:id="rId4836" xr:uid="{00000000-0004-0000-0000-0000E3120000}"/>
    <hyperlink ref="W4981" r:id="rId4837" xr:uid="{00000000-0004-0000-0000-0000E4120000}"/>
    <hyperlink ref="W4982" r:id="rId4838" xr:uid="{00000000-0004-0000-0000-0000E5120000}"/>
    <hyperlink ref="W4983" r:id="rId4839" xr:uid="{00000000-0004-0000-0000-0000E6120000}"/>
    <hyperlink ref="W4984" r:id="rId4840" xr:uid="{00000000-0004-0000-0000-0000E7120000}"/>
    <hyperlink ref="W4985" r:id="rId4841" xr:uid="{00000000-0004-0000-0000-0000E8120000}"/>
    <hyperlink ref="W4986" r:id="rId4842" xr:uid="{00000000-0004-0000-0000-0000E9120000}"/>
    <hyperlink ref="W4987" r:id="rId4843" xr:uid="{00000000-0004-0000-0000-0000EA120000}"/>
    <hyperlink ref="W4988" r:id="rId4844" xr:uid="{00000000-0004-0000-0000-0000EB120000}"/>
    <hyperlink ref="W4989" r:id="rId4845" xr:uid="{00000000-0004-0000-0000-0000EC120000}"/>
    <hyperlink ref="W4990" r:id="rId4846" xr:uid="{00000000-0004-0000-0000-0000ED120000}"/>
    <hyperlink ref="W4991" r:id="rId4847" xr:uid="{00000000-0004-0000-0000-0000EE120000}"/>
    <hyperlink ref="W4992" r:id="rId4848" xr:uid="{00000000-0004-0000-0000-0000EF120000}"/>
    <hyperlink ref="W4993" r:id="rId4849" xr:uid="{00000000-0004-0000-0000-0000F0120000}"/>
    <hyperlink ref="W4994" r:id="rId4850" xr:uid="{00000000-0004-0000-0000-0000F1120000}"/>
    <hyperlink ref="W4995" r:id="rId4851" xr:uid="{00000000-0004-0000-0000-0000F2120000}"/>
    <hyperlink ref="W4996" r:id="rId4852" xr:uid="{00000000-0004-0000-0000-0000F3120000}"/>
    <hyperlink ref="W4997" r:id="rId4853" xr:uid="{00000000-0004-0000-0000-0000F4120000}"/>
    <hyperlink ref="W4998" r:id="rId4854" xr:uid="{00000000-0004-0000-0000-0000F5120000}"/>
    <hyperlink ref="W4999" r:id="rId4855" xr:uid="{00000000-0004-0000-0000-0000F6120000}"/>
    <hyperlink ref="W5000" r:id="rId4856" xr:uid="{00000000-0004-0000-0000-0000F7120000}"/>
    <hyperlink ref="W5001" r:id="rId4857" xr:uid="{00000000-0004-0000-0000-0000F8120000}"/>
    <hyperlink ref="W5002" r:id="rId4858" xr:uid="{00000000-0004-0000-0000-0000F9120000}"/>
    <hyperlink ref="W5003" r:id="rId4859" xr:uid="{00000000-0004-0000-0000-0000FA120000}"/>
    <hyperlink ref="W5004" r:id="rId4860" xr:uid="{00000000-0004-0000-0000-0000FB120000}"/>
    <hyperlink ref="W5005" r:id="rId4861" xr:uid="{00000000-0004-0000-0000-0000FC120000}"/>
    <hyperlink ref="W5006" r:id="rId4862" xr:uid="{00000000-0004-0000-0000-0000FD120000}"/>
    <hyperlink ref="W5007" r:id="rId4863" xr:uid="{00000000-0004-0000-0000-0000FE120000}"/>
    <hyperlink ref="W5008" r:id="rId4864" xr:uid="{00000000-0004-0000-0000-0000FF120000}"/>
    <hyperlink ref="W5009" r:id="rId4865" xr:uid="{00000000-0004-0000-0000-000000130000}"/>
    <hyperlink ref="W5010" r:id="rId4866" xr:uid="{00000000-0004-0000-0000-000001130000}"/>
    <hyperlink ref="W5011" r:id="rId4867" xr:uid="{00000000-0004-0000-0000-000002130000}"/>
    <hyperlink ref="W5012" r:id="rId4868" xr:uid="{00000000-0004-0000-0000-000003130000}"/>
    <hyperlink ref="W5013" r:id="rId4869" xr:uid="{00000000-0004-0000-0000-000004130000}"/>
    <hyperlink ref="W5014" r:id="rId4870" xr:uid="{00000000-0004-0000-0000-000005130000}"/>
    <hyperlink ref="W5015" r:id="rId4871" xr:uid="{00000000-0004-0000-0000-000006130000}"/>
    <hyperlink ref="W5016" r:id="rId4872" xr:uid="{00000000-0004-0000-0000-000007130000}"/>
    <hyperlink ref="W5017" r:id="rId4873" xr:uid="{00000000-0004-0000-0000-000008130000}"/>
    <hyperlink ref="W5018" r:id="rId4874" xr:uid="{00000000-0004-0000-0000-000009130000}"/>
    <hyperlink ref="W5019" r:id="rId4875" xr:uid="{00000000-0004-0000-0000-00000A130000}"/>
    <hyperlink ref="W5020" r:id="rId4876" xr:uid="{00000000-0004-0000-0000-00000B130000}"/>
    <hyperlink ref="W5021" r:id="rId4877" xr:uid="{00000000-0004-0000-0000-00000C130000}"/>
    <hyperlink ref="W5022" r:id="rId4878" xr:uid="{00000000-0004-0000-0000-00000D130000}"/>
    <hyperlink ref="W5023" r:id="rId4879" xr:uid="{00000000-0004-0000-0000-00000E130000}"/>
    <hyperlink ref="W5024" r:id="rId4880" xr:uid="{00000000-0004-0000-0000-00000F130000}"/>
    <hyperlink ref="W5025" r:id="rId4881" xr:uid="{00000000-0004-0000-0000-000010130000}"/>
    <hyperlink ref="W5026" r:id="rId4882" xr:uid="{00000000-0004-0000-0000-000011130000}"/>
    <hyperlink ref="W5027" r:id="rId4883" xr:uid="{00000000-0004-0000-0000-000012130000}"/>
    <hyperlink ref="W5028" r:id="rId4884" xr:uid="{00000000-0004-0000-0000-000013130000}"/>
    <hyperlink ref="W5029" r:id="rId4885" xr:uid="{00000000-0004-0000-0000-000014130000}"/>
    <hyperlink ref="W5030" r:id="rId4886" xr:uid="{00000000-0004-0000-0000-000015130000}"/>
    <hyperlink ref="W5031" r:id="rId4887" xr:uid="{00000000-0004-0000-0000-000016130000}"/>
    <hyperlink ref="W5032" r:id="rId4888" xr:uid="{00000000-0004-0000-0000-000017130000}"/>
    <hyperlink ref="W5033" r:id="rId4889" xr:uid="{00000000-0004-0000-0000-000018130000}"/>
    <hyperlink ref="W5034" r:id="rId4890" xr:uid="{00000000-0004-0000-0000-000019130000}"/>
    <hyperlink ref="W5035" r:id="rId4891" xr:uid="{00000000-0004-0000-0000-00001A130000}"/>
    <hyperlink ref="W5036" r:id="rId4892" xr:uid="{00000000-0004-0000-0000-00001B130000}"/>
    <hyperlink ref="W5037" r:id="rId4893" xr:uid="{00000000-0004-0000-0000-00001C130000}"/>
    <hyperlink ref="W5038" r:id="rId4894" xr:uid="{00000000-0004-0000-0000-00001D130000}"/>
    <hyperlink ref="W5039" r:id="rId4895" xr:uid="{00000000-0004-0000-0000-00001E130000}"/>
    <hyperlink ref="W5040" r:id="rId4896" xr:uid="{00000000-0004-0000-0000-00001F130000}"/>
    <hyperlink ref="W5041" r:id="rId4897" xr:uid="{00000000-0004-0000-0000-000020130000}"/>
    <hyperlink ref="W5042" r:id="rId4898" xr:uid="{00000000-0004-0000-0000-000021130000}"/>
    <hyperlink ref="W5043" r:id="rId4899" xr:uid="{00000000-0004-0000-0000-000022130000}"/>
    <hyperlink ref="W5044" r:id="rId4900" xr:uid="{00000000-0004-0000-0000-000023130000}"/>
    <hyperlink ref="W5045" r:id="rId4901" xr:uid="{00000000-0004-0000-0000-000024130000}"/>
    <hyperlink ref="W5046" r:id="rId4902" xr:uid="{00000000-0004-0000-0000-000025130000}"/>
    <hyperlink ref="W5047" r:id="rId4903" xr:uid="{00000000-0004-0000-0000-000026130000}"/>
    <hyperlink ref="W5048" r:id="rId4904" xr:uid="{00000000-0004-0000-0000-000027130000}"/>
    <hyperlink ref="W5049" r:id="rId4905" xr:uid="{00000000-0004-0000-0000-000028130000}"/>
    <hyperlink ref="W5050" r:id="rId4906" xr:uid="{00000000-0004-0000-0000-000029130000}"/>
    <hyperlink ref="W5051" r:id="rId4907" xr:uid="{00000000-0004-0000-0000-00002A130000}"/>
    <hyperlink ref="W5052" r:id="rId4908" xr:uid="{00000000-0004-0000-0000-00002B130000}"/>
    <hyperlink ref="W5053" r:id="rId4909" xr:uid="{00000000-0004-0000-0000-00002C130000}"/>
    <hyperlink ref="W5054" r:id="rId4910" xr:uid="{00000000-0004-0000-0000-00002D130000}"/>
    <hyperlink ref="W5055" r:id="rId4911" xr:uid="{00000000-0004-0000-0000-00002E130000}"/>
    <hyperlink ref="W5056" r:id="rId4912" xr:uid="{00000000-0004-0000-0000-00002F130000}"/>
    <hyperlink ref="W5057" r:id="rId4913" xr:uid="{00000000-0004-0000-0000-000030130000}"/>
    <hyperlink ref="W5058" r:id="rId4914" xr:uid="{00000000-0004-0000-0000-000031130000}"/>
    <hyperlink ref="W5059" r:id="rId4915" xr:uid="{00000000-0004-0000-0000-000032130000}"/>
    <hyperlink ref="W5060" r:id="rId4916" xr:uid="{00000000-0004-0000-0000-000033130000}"/>
    <hyperlink ref="W5061" r:id="rId4917" xr:uid="{00000000-0004-0000-0000-000034130000}"/>
    <hyperlink ref="W5062" r:id="rId4918" xr:uid="{00000000-0004-0000-0000-000035130000}"/>
    <hyperlink ref="W5063" r:id="rId4919" xr:uid="{00000000-0004-0000-0000-000036130000}"/>
    <hyperlink ref="W5064" r:id="rId4920" xr:uid="{00000000-0004-0000-0000-000037130000}"/>
    <hyperlink ref="W5065" r:id="rId4921" xr:uid="{00000000-0004-0000-0000-000038130000}"/>
    <hyperlink ref="W5066" r:id="rId4922" xr:uid="{00000000-0004-0000-0000-000039130000}"/>
    <hyperlink ref="W5067" r:id="rId4923" xr:uid="{00000000-0004-0000-0000-00003A130000}"/>
    <hyperlink ref="W5068" r:id="rId4924" xr:uid="{00000000-0004-0000-0000-00003B130000}"/>
    <hyperlink ref="W5069" r:id="rId4925" xr:uid="{00000000-0004-0000-0000-00003C130000}"/>
    <hyperlink ref="W5070" r:id="rId4926" xr:uid="{00000000-0004-0000-0000-00003D130000}"/>
    <hyperlink ref="W5071" r:id="rId4927" xr:uid="{00000000-0004-0000-0000-00003E130000}"/>
    <hyperlink ref="W5072" r:id="rId4928" xr:uid="{00000000-0004-0000-0000-00003F130000}"/>
    <hyperlink ref="W5073" r:id="rId4929" xr:uid="{00000000-0004-0000-0000-000040130000}"/>
    <hyperlink ref="W5074" r:id="rId4930" xr:uid="{00000000-0004-0000-0000-000041130000}"/>
    <hyperlink ref="W5075" r:id="rId4931" xr:uid="{00000000-0004-0000-0000-000042130000}"/>
    <hyperlink ref="W5076" r:id="rId4932" xr:uid="{00000000-0004-0000-0000-000043130000}"/>
    <hyperlink ref="W5077" r:id="rId4933" xr:uid="{00000000-0004-0000-0000-000044130000}"/>
    <hyperlink ref="W5078" r:id="rId4934" xr:uid="{00000000-0004-0000-0000-000045130000}"/>
    <hyperlink ref="W5079" r:id="rId4935" xr:uid="{00000000-0004-0000-0000-000046130000}"/>
    <hyperlink ref="W5080" r:id="rId4936" xr:uid="{00000000-0004-0000-0000-000047130000}"/>
    <hyperlink ref="W5081" r:id="rId4937" xr:uid="{00000000-0004-0000-0000-000048130000}"/>
    <hyperlink ref="W5082" r:id="rId4938" xr:uid="{00000000-0004-0000-0000-000049130000}"/>
    <hyperlink ref="W5083" r:id="rId4939" xr:uid="{00000000-0004-0000-0000-00004A130000}"/>
    <hyperlink ref="W5084" r:id="rId4940" xr:uid="{00000000-0004-0000-0000-00004B130000}"/>
    <hyperlink ref="W5085" r:id="rId4941" xr:uid="{00000000-0004-0000-0000-00004C130000}"/>
    <hyperlink ref="W5086" r:id="rId4942" xr:uid="{00000000-0004-0000-0000-00004D130000}"/>
    <hyperlink ref="W5087" r:id="rId4943" xr:uid="{00000000-0004-0000-0000-00004E130000}"/>
    <hyperlink ref="W5088" r:id="rId4944" xr:uid="{00000000-0004-0000-0000-00004F130000}"/>
    <hyperlink ref="W5089" r:id="rId4945" xr:uid="{00000000-0004-0000-0000-000050130000}"/>
    <hyperlink ref="W5090" r:id="rId4946" xr:uid="{00000000-0004-0000-0000-000051130000}"/>
    <hyperlink ref="W5091" r:id="rId4947" xr:uid="{00000000-0004-0000-0000-000052130000}"/>
    <hyperlink ref="W5092" r:id="rId4948" xr:uid="{00000000-0004-0000-0000-000053130000}"/>
    <hyperlink ref="W5093" r:id="rId4949" xr:uid="{00000000-0004-0000-0000-000054130000}"/>
    <hyperlink ref="W5094" r:id="rId4950" xr:uid="{00000000-0004-0000-0000-000055130000}"/>
    <hyperlink ref="W5095" r:id="rId4951" xr:uid="{00000000-0004-0000-0000-000056130000}"/>
    <hyperlink ref="W5096" r:id="rId4952" xr:uid="{00000000-0004-0000-0000-000057130000}"/>
    <hyperlink ref="W5097" r:id="rId4953" xr:uid="{00000000-0004-0000-0000-000058130000}"/>
    <hyperlink ref="W5098" r:id="rId4954" xr:uid="{00000000-0004-0000-0000-000059130000}"/>
    <hyperlink ref="W5099" r:id="rId4955" xr:uid="{00000000-0004-0000-0000-00005A130000}"/>
    <hyperlink ref="W5100" r:id="rId4956" xr:uid="{00000000-0004-0000-0000-00005B130000}"/>
    <hyperlink ref="W5101" r:id="rId4957" xr:uid="{00000000-0004-0000-0000-00005C130000}"/>
    <hyperlink ref="W5102" r:id="rId4958" xr:uid="{00000000-0004-0000-0000-00005D130000}"/>
    <hyperlink ref="W5103" r:id="rId4959" xr:uid="{00000000-0004-0000-0000-00005E130000}"/>
    <hyperlink ref="W5104" r:id="rId4960" xr:uid="{00000000-0004-0000-0000-00005F130000}"/>
    <hyperlink ref="W5105" r:id="rId4961" xr:uid="{00000000-0004-0000-0000-000060130000}"/>
    <hyperlink ref="W5106" r:id="rId4962" xr:uid="{00000000-0004-0000-0000-000061130000}"/>
    <hyperlink ref="W5107" r:id="rId4963" xr:uid="{00000000-0004-0000-0000-000062130000}"/>
    <hyperlink ref="W5108" r:id="rId4964" xr:uid="{00000000-0004-0000-0000-000063130000}"/>
    <hyperlink ref="W5109" r:id="rId4965" xr:uid="{00000000-0004-0000-0000-000064130000}"/>
    <hyperlink ref="W5110" r:id="rId4966" xr:uid="{00000000-0004-0000-0000-000065130000}"/>
    <hyperlink ref="W5111" r:id="rId4967" xr:uid="{00000000-0004-0000-0000-000066130000}"/>
    <hyperlink ref="W5112" r:id="rId4968" xr:uid="{00000000-0004-0000-0000-000067130000}"/>
    <hyperlink ref="W5113" r:id="rId4969" xr:uid="{00000000-0004-0000-0000-000068130000}"/>
    <hyperlink ref="W5114" r:id="rId4970" xr:uid="{00000000-0004-0000-0000-000069130000}"/>
    <hyperlink ref="W5115" r:id="rId4971" xr:uid="{00000000-0004-0000-0000-00006A130000}"/>
    <hyperlink ref="W5116" r:id="rId4972" xr:uid="{00000000-0004-0000-0000-00006B130000}"/>
    <hyperlink ref="W5117" r:id="rId4973" xr:uid="{00000000-0004-0000-0000-00006C130000}"/>
    <hyperlink ref="W5118" r:id="rId4974" xr:uid="{00000000-0004-0000-0000-00006D130000}"/>
    <hyperlink ref="W5119" r:id="rId4975" xr:uid="{00000000-0004-0000-0000-00006E130000}"/>
    <hyperlink ref="W5120" r:id="rId4976" xr:uid="{00000000-0004-0000-0000-00006F130000}"/>
    <hyperlink ref="W5121" r:id="rId4977" xr:uid="{00000000-0004-0000-0000-000070130000}"/>
    <hyperlink ref="W5122" r:id="rId4978" xr:uid="{00000000-0004-0000-0000-000071130000}"/>
    <hyperlink ref="W5123" r:id="rId4979" xr:uid="{00000000-0004-0000-0000-000072130000}"/>
    <hyperlink ref="W5124" r:id="rId4980" xr:uid="{00000000-0004-0000-0000-000073130000}"/>
    <hyperlink ref="W5125" r:id="rId4981" xr:uid="{00000000-0004-0000-0000-000074130000}"/>
    <hyperlink ref="W5126" r:id="rId4982" xr:uid="{00000000-0004-0000-0000-000075130000}"/>
    <hyperlink ref="W5127" r:id="rId4983" xr:uid="{00000000-0004-0000-0000-000076130000}"/>
    <hyperlink ref="W5128" r:id="rId4984" xr:uid="{00000000-0004-0000-0000-000077130000}"/>
    <hyperlink ref="W5129" r:id="rId4985" xr:uid="{00000000-0004-0000-0000-000078130000}"/>
    <hyperlink ref="W5130" r:id="rId4986" xr:uid="{00000000-0004-0000-0000-000079130000}"/>
    <hyperlink ref="W5131" r:id="rId4987" xr:uid="{00000000-0004-0000-0000-00007A130000}"/>
    <hyperlink ref="W5132" r:id="rId4988" xr:uid="{00000000-0004-0000-0000-00007B130000}"/>
    <hyperlink ref="W5133" r:id="rId4989" xr:uid="{00000000-0004-0000-0000-00007C130000}"/>
    <hyperlink ref="W5134" r:id="rId4990" xr:uid="{00000000-0004-0000-0000-00007D130000}"/>
    <hyperlink ref="W5135" r:id="rId4991" xr:uid="{00000000-0004-0000-0000-00007E130000}"/>
    <hyperlink ref="W5136" r:id="rId4992" xr:uid="{00000000-0004-0000-0000-00007F130000}"/>
    <hyperlink ref="W5137" r:id="rId4993" xr:uid="{00000000-0004-0000-0000-000080130000}"/>
    <hyperlink ref="W5138" r:id="rId4994" xr:uid="{00000000-0004-0000-0000-000081130000}"/>
    <hyperlink ref="W5139" r:id="rId4995" xr:uid="{00000000-0004-0000-0000-000082130000}"/>
    <hyperlink ref="W5140" r:id="rId4996" xr:uid="{00000000-0004-0000-0000-000083130000}"/>
    <hyperlink ref="W5141" r:id="rId4997" xr:uid="{00000000-0004-0000-0000-000084130000}"/>
    <hyperlink ref="W5142" r:id="rId4998" xr:uid="{00000000-0004-0000-0000-000085130000}"/>
    <hyperlink ref="W5143" r:id="rId4999" xr:uid="{00000000-0004-0000-0000-000086130000}"/>
    <hyperlink ref="W5144" r:id="rId5000" xr:uid="{00000000-0004-0000-0000-000087130000}"/>
    <hyperlink ref="W5145" r:id="rId5001" xr:uid="{00000000-0004-0000-0000-000088130000}"/>
    <hyperlink ref="W5146" r:id="rId5002" xr:uid="{00000000-0004-0000-0000-000089130000}"/>
    <hyperlink ref="W5147" r:id="rId5003" xr:uid="{00000000-0004-0000-0000-00008A130000}"/>
    <hyperlink ref="W5148" r:id="rId5004" xr:uid="{00000000-0004-0000-0000-00008B130000}"/>
    <hyperlink ref="W5149" r:id="rId5005" xr:uid="{00000000-0004-0000-0000-00008C130000}"/>
    <hyperlink ref="W5150" r:id="rId5006" xr:uid="{00000000-0004-0000-0000-00008D130000}"/>
    <hyperlink ref="W5151" r:id="rId5007" xr:uid="{00000000-0004-0000-0000-00008E130000}"/>
    <hyperlink ref="W5152" r:id="rId5008" xr:uid="{00000000-0004-0000-0000-00008F130000}"/>
    <hyperlink ref="W5153" r:id="rId5009" xr:uid="{00000000-0004-0000-0000-000090130000}"/>
    <hyperlink ref="W5154" r:id="rId5010" xr:uid="{00000000-0004-0000-0000-000091130000}"/>
    <hyperlink ref="W5155" r:id="rId5011" xr:uid="{00000000-0004-0000-0000-000092130000}"/>
    <hyperlink ref="W5156" r:id="rId5012" xr:uid="{00000000-0004-0000-0000-000093130000}"/>
    <hyperlink ref="W5157" r:id="rId5013" xr:uid="{00000000-0004-0000-0000-000094130000}"/>
    <hyperlink ref="W5158" r:id="rId5014" xr:uid="{00000000-0004-0000-0000-000095130000}"/>
    <hyperlink ref="W5159" r:id="rId5015" xr:uid="{00000000-0004-0000-0000-000096130000}"/>
    <hyperlink ref="W5160" r:id="rId5016" xr:uid="{00000000-0004-0000-0000-000097130000}"/>
    <hyperlink ref="W5161" r:id="rId5017" xr:uid="{00000000-0004-0000-0000-000098130000}"/>
    <hyperlink ref="W5162" r:id="rId5018" xr:uid="{00000000-0004-0000-0000-000099130000}"/>
    <hyperlink ref="W5163" r:id="rId5019" xr:uid="{00000000-0004-0000-0000-00009A130000}"/>
    <hyperlink ref="W5164" r:id="rId5020" xr:uid="{00000000-0004-0000-0000-00009B130000}"/>
    <hyperlink ref="W5165" r:id="rId5021" xr:uid="{00000000-0004-0000-0000-00009C130000}"/>
    <hyperlink ref="W5166" r:id="rId5022" xr:uid="{00000000-0004-0000-0000-00009D130000}"/>
    <hyperlink ref="W5167" r:id="rId5023" xr:uid="{00000000-0004-0000-0000-00009E130000}"/>
    <hyperlink ref="W5168" r:id="rId5024" xr:uid="{00000000-0004-0000-0000-00009F130000}"/>
    <hyperlink ref="W5169" r:id="rId5025" xr:uid="{00000000-0004-0000-0000-0000A0130000}"/>
    <hyperlink ref="W5170" r:id="rId5026" xr:uid="{00000000-0004-0000-0000-0000A1130000}"/>
    <hyperlink ref="W5171" r:id="rId5027" xr:uid="{00000000-0004-0000-0000-0000A2130000}"/>
    <hyperlink ref="W5174" r:id="rId5028" xr:uid="{00000000-0004-0000-0000-0000A3130000}"/>
    <hyperlink ref="W5175" r:id="rId5029" xr:uid="{00000000-0004-0000-0000-0000A4130000}"/>
    <hyperlink ref="W5176" r:id="rId5030" xr:uid="{00000000-0004-0000-0000-0000A5130000}"/>
    <hyperlink ref="W5177" r:id="rId5031" xr:uid="{00000000-0004-0000-0000-0000A6130000}"/>
    <hyperlink ref="W5178" r:id="rId5032" xr:uid="{00000000-0004-0000-0000-0000A7130000}"/>
    <hyperlink ref="W5179" r:id="rId5033" xr:uid="{00000000-0004-0000-0000-0000A8130000}"/>
    <hyperlink ref="W5180" r:id="rId5034" xr:uid="{00000000-0004-0000-0000-0000A9130000}"/>
    <hyperlink ref="W5181" r:id="rId5035" xr:uid="{00000000-0004-0000-0000-0000AA130000}"/>
    <hyperlink ref="W5184" r:id="rId5036" xr:uid="{00000000-0004-0000-0000-0000AB130000}"/>
  </hyperlinks>
  <pageMargins left="0.7" right="0.7" top="0.75" bottom="0.75" header="0.3" footer="0.3"/>
  <pageSetup paperSize="9" orientation="portrait" r:id="rId5037"/>
  <legacyDrawing r:id="rId503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E284-B703-4219-BB89-6577A25606CF}">
  <dimension ref="D5:H28"/>
  <sheetViews>
    <sheetView topLeftCell="A7" zoomScale="97" workbookViewId="0">
      <selection activeCell="C4" sqref="C4"/>
    </sheetView>
  </sheetViews>
  <sheetFormatPr defaultRowHeight="14.25" x14ac:dyDescent="0.45"/>
  <cols>
    <col min="4" max="4" width="26.59765625" bestFit="1" customWidth="1"/>
    <col min="5" max="5" width="14.3984375" bestFit="1" customWidth="1"/>
    <col min="6" max="6" width="11.265625" bestFit="1" customWidth="1"/>
    <col min="7" max="7" width="31.06640625" bestFit="1" customWidth="1"/>
    <col min="8" max="8" width="29.33203125" bestFit="1" customWidth="1"/>
    <col min="9" max="9" width="31.06640625" bestFit="1" customWidth="1"/>
    <col min="10" max="10" width="29.33203125" bestFit="1" customWidth="1"/>
  </cols>
  <sheetData>
    <row r="5" spans="7:7" ht="18" x14ac:dyDescent="0.55000000000000004">
      <c r="G5" s="10" t="s">
        <v>11266</v>
      </c>
    </row>
    <row r="21" spans="4:8" x14ac:dyDescent="0.45">
      <c r="D21" s="3" t="s">
        <v>11270</v>
      </c>
    </row>
    <row r="22" spans="4:8" x14ac:dyDescent="0.45">
      <c r="D22" t="s">
        <v>11267</v>
      </c>
    </row>
    <row r="23" spans="4:8" x14ac:dyDescent="0.45">
      <c r="D23" t="s">
        <v>11268</v>
      </c>
      <c r="G23" t="s">
        <v>10924</v>
      </c>
    </row>
    <row r="24" spans="4:8" x14ac:dyDescent="0.45">
      <c r="D24" t="s">
        <v>11269</v>
      </c>
      <c r="G24" s="11" t="s">
        <v>11276</v>
      </c>
      <c r="H24" t="s">
        <v>11277</v>
      </c>
    </row>
    <row r="25" spans="4:8" x14ac:dyDescent="0.45">
      <c r="D25" t="s">
        <v>11271</v>
      </c>
    </row>
    <row r="26" spans="4:8" x14ac:dyDescent="0.45">
      <c r="D26" t="s">
        <v>11272</v>
      </c>
    </row>
    <row r="27" spans="4:8" x14ac:dyDescent="0.45">
      <c r="D27" t="s">
        <v>11273</v>
      </c>
    </row>
    <row r="28" spans="4:8" x14ac:dyDescent="0.45">
      <c r="D28" t="s">
        <v>11274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CCS data</vt:lpstr>
      <vt:lpstr>plants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dalene fossen</dc:creator>
  <cp:lastModifiedBy>mathias dalene fossen</cp:lastModifiedBy>
  <dcterms:created xsi:type="dcterms:W3CDTF">2020-10-01T14:16:26Z</dcterms:created>
  <dcterms:modified xsi:type="dcterms:W3CDTF">2025-11-25T12:47:30Z</dcterms:modified>
</cp:coreProperties>
</file>